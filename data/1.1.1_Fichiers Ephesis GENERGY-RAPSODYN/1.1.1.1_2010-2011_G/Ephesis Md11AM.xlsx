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0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6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drawing3.xml" ContentType="application/vnd.openxmlformats-officedocument.drawing+xml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3.xml" ContentType="application/vnd.openxmlformats-officedocument.spreadsheetml.comments+xml"/>
  <Override PartName="/xl/comments7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README" sheetId="1" state="visible" r:id="rId3"/>
    <sheet name="Trial" sheetId="2" state="visible" r:id="rId4"/>
    <sheet name="Site" sheetId="3" state="visible" r:id="rId5"/>
    <sheet name="Contact" sheetId="4" state="visible" r:id="rId6"/>
    <sheet name="Variable" sheetId="5" state="visible" r:id="rId7"/>
    <sheet name="PlantMaterial" sheetId="6" state="visible" r:id="rId8"/>
    <sheet name="Treatment" sheetId="7" state="visible" r:id="rId9"/>
    <sheet name="Level" sheetId="8" state="visible" r:id="rId10"/>
    <sheet name="Data" sheetId="9" state="visible" r:id="rId11"/>
    <sheet name="Files" sheetId="10" state="visible" r:id="rId12"/>
    <sheet name="ForestComplementaryInfo" sheetId="11" state="visible" r:id="rId13"/>
    <sheet name="StaticData" sheetId="12" state="visible" r:id="rId14"/>
    <sheet name="Meteo_Data" sheetId="13" state="visible" r:id="rId15"/>
    <sheet name="Soil_data" sheetId="14" state="visible" r:id="rId16"/>
    <sheet name="INN_Data" sheetId="15" state="visible" r:id="rId17"/>
    <sheet name="Parcellaire_data" sheetId="16" state="visible" r:id="rId18"/>
    <sheet name="ITK_data" sheetId="17" state="visible" r:id="rId19"/>
  </sheets>
  <externalReferences>
    <externalReference r:id="rId20"/>
  </externalReferences>
  <definedNames>
    <definedName function="false" hidden="false" name="HoldingInstitution" vbProcedure="false">StaticData!$C$1:$C$21</definedName>
    <definedName function="false" hidden="false" name="InstitutionName" vbProcedure="false">StaticData!$B$1:$B$1457</definedName>
    <definedName function="false" hidden="false" name="ProjectAcronym" vbProcedure="false">StaticData!$D$1:$D$225</definedName>
    <definedName function="false" hidden="false" name="SiteName" vbProcedure="false">StaticData!$E$1:$E$24</definedName>
    <definedName function="false" hidden="false" name="TaxonScientificName" vbProcedure="false">StaticData!$A$1:$A$5470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E68" authorId="0">
      <text>
        <r>
          <rPr>
            <sz val="10"/>
            <rFont val="Arial"/>
            <family val="2"/>
          </rPr>
          <t xml:space="preserve">cpommier:
</t>
        </r>
        <r>
          <rPr>
            <sz val="9"/>
            <color rgb="FF000000"/>
            <rFont val="Tahoma"/>
            <family val="2"/>
            <charset val="1"/>
          </rPr>
          <t xml:space="preserve">Mandatory column which could be empty.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Tyfanie Bourlet</author>
  </authors>
  <commentList>
    <comment ref="B1" authorId="0">
      <text>
        <r>
          <rPr>
            <sz val="10"/>
            <rFont val="Arial"/>
            <family val="2"/>
          </rPr>
          <t xml:space="preserve">Tyfanie Bourlet:
</t>
        </r>
        <r>
          <rPr>
            <sz val="9"/>
            <color rgb="FF000000"/>
            <rFont val="Tahoma"/>
            <family val="2"/>
            <charset val="1"/>
          </rPr>
          <t xml:space="preserve">Mettre les coordonnées GPS http://www.lexilogos.com/calcul_distances.htm)</t>
        </r>
      </text>
    </comment>
    <comment ref="C1" authorId="0">
      <text>
        <r>
          <rPr>
            <sz val="10"/>
            <rFont val="Arial"/>
            <family val="2"/>
          </rPr>
          <t xml:space="preserve">Tyfanie Bourlet:
</t>
        </r>
        <r>
          <rPr>
            <sz val="9"/>
            <color rgb="FF000000"/>
            <rFont val="Tahoma"/>
            <family val="2"/>
            <charset val="1"/>
          </rPr>
          <t xml:space="preserve">Mettre les coordonnées GPS http://www.lexilogos.com/calcul_distances.htm)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A1" authorId="0">
      <text>
        <r>
          <rPr>
            <sz val="10"/>
            <rFont val="Arial"/>
            <family val="2"/>
          </rPr>
          <t xml:space="preserve">cpommier:
</t>
        </r>
        <r>
          <rPr>
            <sz val="9"/>
            <color rgb="FF000000"/>
            <rFont val="Tahoma"/>
            <family val="2"/>
            <charset val="1"/>
          </rPr>
          <t xml:space="preserve">Adonis : modalité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Auteur inconnu</author>
    <author>Tyfanie Bourlet</author>
  </authors>
  <commentList>
    <comment ref="A1" authorId="1">
      <text>
        <r>
          <rPr>
            <sz val="10"/>
            <rFont val="Arial"/>
            <family val="2"/>
          </rPr>
          <t xml:space="preserve">Tyfanie Bourlet:
</t>
        </r>
        <r>
          <rPr>
            <sz val="9"/>
            <color rgb="FF000000"/>
            <rFont val="Tahoma"/>
            <family val="2"/>
            <charset val="1"/>
          </rPr>
          <t xml:space="preserve">Mettre les LotNames (RAPSO003,,,,)</t>
        </r>
      </text>
    </comment>
    <comment ref="E1" authorId="0">
      <text>
        <r>
          <rPr>
            <sz val="10"/>
            <rFont val="Arial"/>
            <family val="2"/>
          </rPr>
          <t xml:space="preserve">cpommier:
</t>
        </r>
        <r>
          <rPr>
            <sz val="9"/>
            <color rgb="FF000000"/>
            <rFont val="Tahoma"/>
            <family val="2"/>
            <charset val="1"/>
          </rPr>
          <t xml:space="preserve">Mandatory column which could be empty.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Tyfanie Bourlet</author>
  </authors>
  <commentList>
    <comment ref="A1" authorId="0">
      <text>
        <r>
          <rPr>
            <sz val="10"/>
            <rFont val="Arial"/>
            <family val="2"/>
          </rPr>
          <t xml:space="preserve">Tyfanie Bourlet:
</t>
        </r>
        <r>
          <rPr>
            <sz val="9"/>
            <color rgb="FF000000"/>
            <rFont val="Tahoma"/>
            <family val="2"/>
            <charset val="1"/>
          </rPr>
          <t xml:space="preserve">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<sst xmlns="http://schemas.openxmlformats.org/spreadsheetml/2006/main" count="11378" uniqueCount="8078">
  <si>
    <t xml:space="preserve">GnpISVersionNumber</t>
  </si>
  <si>
    <t xml:space="preserve">14_1</t>
  </si>
  <si>
    <t xml:space="preserve">StaticDataExtraction</t>
  </si>
  <si>
    <t xml:space="preserve">SubmissionType</t>
  </si>
  <si>
    <t xml:space="preserve">Ephesis</t>
  </si>
  <si>
    <t xml:space="preserve">This worksheet is used for submit phenotyping data.</t>
  </si>
  <si>
    <t xml:space="preserve">SUBMIT NOTE</t>
  </si>
  <si>
    <r>
      <rPr>
        <b val="true"/>
        <sz val="10"/>
        <color rgb="FFFF0000"/>
        <rFont val="Arial"/>
        <family val="2"/>
        <charset val="1"/>
      </rPr>
      <t xml:space="preserve">RED</t>
    </r>
    <r>
      <rPr>
        <sz val="10"/>
        <rFont val="Arial"/>
        <family val="2"/>
        <charset val="1"/>
      </rPr>
      <t xml:space="preserve"> names indicate </t>
    </r>
    <r>
      <rPr>
        <b val="true"/>
        <sz val="10"/>
        <rFont val="Arial"/>
        <family val="2"/>
        <charset val="1"/>
      </rPr>
      <t xml:space="preserve"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</si>
  <si>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rPr>
        <b val="true"/>
        <sz val="10"/>
        <rFont val="Arial"/>
        <family val="2"/>
        <charset val="1"/>
      </rPr>
      <t xml:space="preserve">BLACK</t>
    </r>
    <r>
      <rPr>
        <sz val="10"/>
        <rFont val="Arial"/>
        <family val="2"/>
        <charset val="1"/>
      </rPr>
      <t xml:space="preserve"> names indicate </t>
    </r>
    <r>
      <rPr>
        <b val="true"/>
        <sz val="10"/>
        <rFont val="Arial"/>
        <family val="2"/>
        <charset val="1"/>
      </rPr>
      <t xml:space="preserve"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</si>
  <si>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rPr>
        <b val="true"/>
        <sz val="10"/>
        <color rgb="FF0000FF"/>
        <rFont val="Arial"/>
        <family val="2"/>
        <charset val="1"/>
      </rPr>
      <t xml:space="preserve">BLUE</t>
    </r>
    <r>
      <rPr>
        <sz val="10"/>
        <color rgb="FF00CCFF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names indicate</t>
    </r>
    <r>
      <rPr>
        <b val="true"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 xml:space="preserve">for submission. Column can be empty but must not be deleted.</t>
    </r>
  </si>
  <si>
    <t xml:space="preserve">DOCUMENTATION</t>
  </si>
  <si>
    <t xml:space="preserve">TRIAL</t>
  </si>
  <si>
    <t xml:space="preserve">General information on the trial</t>
  </si>
  <si>
    <t xml:space="preserve">TrialName</t>
  </si>
  <si>
    <t xml:space="preserve">TrialCode</t>
  </si>
  <si>
    <t xml:space="preserve">DateBegin</t>
  </si>
  <si>
    <t xml:space="preserve">DateEnd</t>
  </si>
  <si>
    <t xml:space="preserve">TrialGoal</t>
  </si>
  <si>
    <t xml:space="preserve">TrialComments</t>
  </si>
  <si>
    <t xml:space="preserve">PhenotypingCampain</t>
  </si>
  <si>
    <t xml:space="preserve">PMID</t>
  </si>
  <si>
    <t xml:space="preserve">X</t>
  </si>
  <si>
    <t xml:space="preserve">Y</t>
  </si>
  <si>
    <t xml:space="preserve">PreviousCrop</t>
  </si>
  <si>
    <t xml:space="preserve">TrialDesign</t>
  </si>
  <si>
    <t xml:space="preserve">TrialHistory</t>
  </si>
  <si>
    <t xml:space="preserve">ProjectAcronym</t>
  </si>
  <si>
    <t xml:space="preserve">TrialSet</t>
  </si>
  <si>
    <t xml:space="preserve">TrialSetType</t>
  </si>
  <si>
    <t xml:space="preserve">Description</t>
  </si>
  <si>
    <t xml:space="preserve">Free naming of the trial/assay</t>
  </si>
  <si>
    <t xml:space="preserve">Trial identification. Used for data integrity and update so must be unique</t>
  </si>
  <si>
    <t xml:space="preserve">Beginning date of this trial</t>
  </si>
  <si>
    <t xml:space="preserve">End date of this trial</t>
  </si>
  <si>
    <t xml:space="preserve">The main objectives of this experimentation</t>
  </si>
  <si>
    <t xml:space="preserve">Comments on this trial</t>
  </si>
  <si>
    <t xml:space="preserve">Name/Tag of a group of observations within the Trial. For instance all 2012 observations for a multiannual perenial plant trial.</t>
  </si>
  <si>
    <t xml:space="preserve">Comma separated list of publication's PMID.</t>
  </si>
  <si>
    <r>
      <rPr>
        <sz val="10"/>
        <rFont val="Arial"/>
        <family val="2"/>
        <charset val="1"/>
      </rPr>
      <t xml:space="preserve">Description of the </t>
    </r>
    <r>
      <rPr>
        <b val="true"/>
        <sz val="10"/>
        <rFont val="Arial"/>
        <family val="2"/>
        <charset val="1"/>
      </rPr>
      <t xml:space="preserve">X</t>
    </r>
    <r>
      <rPr>
        <sz val="10"/>
        <rFont val="Arial"/>
        <family val="2"/>
        <charset val="1"/>
      </rPr>
      <t xml:space="preserve"> of the</t>
    </r>
    <r>
      <rPr>
        <b val="true"/>
        <sz val="10"/>
        <rFont val="Arial"/>
        <family val="2"/>
        <charset val="1"/>
      </rPr>
      <t xml:space="preserve"> Data sheet</t>
    </r>
  </si>
  <si>
    <r>
      <rPr>
        <sz val="10"/>
        <rFont val="Arial"/>
        <family val="2"/>
        <charset val="1"/>
      </rPr>
      <t xml:space="preserve">Description of the</t>
    </r>
    <r>
      <rPr>
        <b val="true"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 val="true"/>
        <sz val="10"/>
        <rFont val="Arial"/>
        <family val="2"/>
        <charset val="1"/>
      </rPr>
      <t xml:space="preserve">Data sheet</t>
    </r>
  </si>
  <si>
    <t xml:space="preserve">Crop installed on this site before this trial</t>
  </si>
  <si>
    <t xml:space="preserve">Design of the trial</t>
  </si>
  <si>
    <t xml:space="preserve">Identification of previous contacts and/or owners</t>
  </si>
  <si>
    <t xml:space="preserve">Acronym of the project in which the experiment was made</t>
  </si>
  <si>
    <t xml:space="preserve">Name of the trial group</t>
  </si>
  <si>
    <t xml:space="preserve">Type of the trial group</t>
  </si>
  <si>
    <t xml:space="preserve">Example</t>
  </si>
  <si>
    <t xml:space="preserve">mon test</t>
  </si>
  <si>
    <t xml:space="preserve">MON_TEST</t>
  </si>
  <si>
    <t xml:space="preserve">22/03/2013</t>
  </si>
  <si>
    <t xml:space="preserve">2014</t>
  </si>
  <si>
    <t xml:space="preserve">Diversity analysis</t>
  </si>
  <si>
    <t xml:space="preserve">Essai test</t>
  </si>
  <si>
    <t xml:space="preserve">15608279,2052071</t>
  </si>
  <si>
    <t xml:space="preserve">row</t>
  </si>
  <si>
    <t xml:space="preserve">column</t>
  </si>
  <si>
    <t xml:space="preserve">Come from BORDEAUX (Louvet)</t>
  </si>
  <si>
    <t xml:space="preserve">myGroup</t>
  </si>
  <si>
    <t xml:space="preserve">Replication</t>
  </si>
  <si>
    <t xml:space="preserve">Data type</t>
  </si>
  <si>
    <t xml:space="preserve">String</t>
  </si>
  <si>
    <t xml:space="preserve">Date: dd/mm/yyyy
Date: mm/yyyy
Date: yyyy</t>
  </si>
  <si>
    <t xml:space="preserve">Number</t>
  </si>
  <si>
    <t xml:space="preserve">SITE</t>
  </si>
  <si>
    <t xml:space="preserve">General information on the experimental site</t>
  </si>
  <si>
    <t xml:space="preserve">SiteName</t>
  </si>
  <si>
    <t xml:space="preserve">Latitude</t>
  </si>
  <si>
    <t xml:space="preserve">Longitude</t>
  </si>
  <si>
    <t xml:space="preserve">Elevation</t>
  </si>
  <si>
    <t xml:space="preserve">Exposure</t>
  </si>
  <si>
    <t xml:space="preserve">Slope</t>
  </si>
  <si>
    <t xml:space="preserve">CityOrRegionOrCountry</t>
  </si>
  <si>
    <t xml:space="preserve">SiteStatus</t>
  </si>
  <si>
    <t xml:space="preserve">Landowner</t>
  </si>
  <si>
    <t xml:space="preserve">Comment</t>
  </si>
  <si>
    <t xml:space="preserve">MeteoStationCode</t>
  </si>
  <si>
    <t xml:space="preserve">MeteoStationNetwork</t>
  </si>
  <si>
    <t xml:space="preserve">Name of the experimental site (Plateform name, Field identification, etc…)</t>
  </si>
  <si>
    <t xml:space="preserve">Latitude of the experimental site (GPS).
Use decimal version of the coordinate (cf. http://www.lexilogos.com/calcul_distances.htm)</t>
  </si>
  <si>
    <t xml:space="preserve">Longitude of the experimental site (GPS).
Use decimal version of the coordinate (cf. http://www.lexilogos.com/calcul_distances.htm)</t>
  </si>
  <si>
    <t xml:space="preserve">Altitude of the experimental site</t>
  </si>
  <si>
    <t xml:space="preserve">Principal exposure of the experimental site</t>
  </si>
  <si>
    <t xml:space="preserve">Principal type of the slope of the experimental site</t>
  </si>
  <si>
    <t xml:space="preserve">Nearest city, region or country from the experimental site</t>
  </si>
  <si>
    <t xml:space="preserve">Property status of the experimental site</t>
  </si>
  <si>
    <t xml:space="preserve">Landowner of the experimental site</t>
  </si>
  <si>
    <t xml:space="preserve">Comment about the experimental site</t>
  </si>
  <si>
    <t xml:space="preserve">Code of the meteo station</t>
  </si>
  <si>
    <t xml:space="preserve">Name of the meteo station network</t>
  </si>
  <si>
    <t xml:space="preserve">Examples</t>
  </si>
  <si>
    <t xml:space="preserve">Bordeaux</t>
  </si>
  <si>
    <t xml:space="preserve">FRA</t>
  </si>
  <si>
    <t xml:space="preserve">S</t>
  </si>
  <si>
    <t xml:space="preserve">Forêt domaniale</t>
  </si>
  <si>
    <t xml:space="preserve">P (= Private property)
I (= INRA)
S (= Under a specific regime)</t>
  </si>
  <si>
    <t xml:space="preserve">CONTACT</t>
  </si>
  <si>
    <t xml:space="preserve">List of persons involved in this trial (scientific, submiter, landowner…)</t>
  </si>
  <si>
    <t xml:space="preserve">Type</t>
  </si>
  <si>
    <t xml:space="preserve">LastName</t>
  </si>
  <si>
    <t xml:space="preserve">FirstName</t>
  </si>
  <si>
    <t xml:space="preserve">Phone</t>
  </si>
  <si>
    <t xml:space="preserve">Fax</t>
  </si>
  <si>
    <t xml:space="preserve">Email</t>
  </si>
  <si>
    <t xml:space="preserve">Institution</t>
  </si>
  <si>
    <t xml:space="preserve">Laboratory</t>
  </si>
  <si>
    <t xml:space="preserve">Type of the contact.</t>
  </si>
  <si>
    <t xml:space="preserve">Contact name, in upper case.</t>
  </si>
  <si>
    <t xml:space="preserve">Contact first name, first letter in upper case.</t>
  </si>
  <si>
    <t xml:space="preserve">Following international phone number convention.</t>
  </si>
  <si>
    <t xml:space="preserve">Following international fax number convention</t>
  </si>
  <si>
    <t xml:space="preserve">Electronic mail.</t>
  </si>
  <si>
    <t xml:space="preserve">Institution name.</t>
  </si>
  <si>
    <t xml:space="preserve">Laboratory name.</t>
  </si>
  <si>
    <t xml:space="preserve">Submiter</t>
  </si>
  <si>
    <t xml:space="preserve">DUPOND</t>
  </si>
  <si>
    <t xml:space="preserve">Jacques</t>
  </si>
  <si>
    <t xml:space="preserve">+33 (0) 1 30 83 38 99</t>
  </si>
  <si>
    <t xml:space="preserve">+33 (0) 1 30 83 38 90</t>
  </si>
  <si>
    <t xml:space="preserve">jacques.dupond@email.com</t>
  </si>
  <si>
    <t xml:space="preserve">INRA</t>
  </si>
  <si>
    <t xml:space="preserve">URGI</t>
  </si>
  <si>
    <t xml:space="preserve">Phone number</t>
  </si>
  <si>
    <t xml:space="preserve">Fax number</t>
  </si>
  <si>
    <t xml:space="preserve">VARIABLE</t>
  </si>
  <si>
    <t xml:space="preserve">List of variables observed in this trial. Idealy they are part of a well identified ontology.</t>
  </si>
  <si>
    <t xml:space="preserve">Each variable is reused as a column in the Data sheet.</t>
  </si>
  <si>
    <t xml:space="preserve">OntologyName</t>
  </si>
  <si>
    <t xml:space="preserve">VariableCode</t>
  </si>
  <si>
    <t xml:space="preserve">VariableName</t>
  </si>
  <si>
    <t xml:space="preserve">MeasurmentUnit</t>
  </si>
  <si>
    <t xml:space="preserve">MeasurmentProtocol</t>
  </si>
  <si>
    <t xml:space="preserve">ParentVariable</t>
  </si>
  <si>
    <t xml:space="preserve">Full name of the ontology holding this variable</t>
  </si>
  <si>
    <r>
      <rPr>
        <sz val="10"/>
        <rFont val="Arial"/>
        <family val="2"/>
        <charset val="1"/>
      </rPr>
      <t xml:space="preserve">Identification of the variable. Unique within the ontology declared in O</t>
    </r>
    <r>
      <rPr>
        <b val="true"/>
        <sz val="10"/>
        <rFont val="Arial"/>
        <family val="2"/>
        <charset val="1"/>
      </rPr>
      <t xml:space="preserve">ntologyName</t>
    </r>
    <r>
      <rPr>
        <sz val="10"/>
        <rFont val="Arial"/>
        <family val="2"/>
        <charset val="1"/>
      </rPr>
      <t xml:space="preserve">. This code is used as header in the </t>
    </r>
    <r>
      <rPr>
        <b val="true"/>
        <sz val="10"/>
        <rFont val="Arial"/>
        <family val="2"/>
        <charset val="1"/>
      </rPr>
      <t xml:space="preserve">Data sheet</t>
    </r>
  </si>
  <si>
    <t xml:space="preserve">Name of the variable</t>
  </si>
  <si>
    <t xml:space="preserve">Full description of the variable</t>
  </si>
  <si>
    <t xml:space="preserve">Unit of the mesured variable</t>
  </si>
  <si>
    <t xml:space="preserve">Reference measurment protocol of the variable</t>
  </si>
  <si>
    <r>
      <rPr>
        <b val="true"/>
        <sz val="10"/>
        <rFont val="Arial"/>
        <family val="2"/>
        <charset val="1"/>
      </rPr>
      <t xml:space="preserve">VariableCode</t>
    </r>
    <r>
      <rPr>
        <sz val="10"/>
        <rFont val="Arial"/>
        <family val="2"/>
        <charset val="1"/>
      </rPr>
      <t xml:space="preserve"> of this variable's parent</t>
    </r>
  </si>
  <si>
    <t xml:space="preserve">Comments on the variable</t>
  </si>
  <si>
    <t xml:space="preserve">trait ontology</t>
  </si>
  <si>
    <t xml:space="preserve">haut</t>
  </si>
  <si>
    <t xml:space="preserve">hauteur</t>
  </si>
  <si>
    <t xml:space="preserve">cm</t>
  </si>
  <si>
    <t xml:space="preserve">PLANT MATERIAL</t>
  </si>
  <si>
    <t xml:space="preserve">List of genotypes. Should be preexisting in GnpIS. If not sure contact us.</t>
  </si>
  <si>
    <t xml:space="preserve">TaxonScientificName</t>
  </si>
  <si>
    <t xml:space="preserve">AccessionNumber</t>
  </si>
  <si>
    <t xml:space="preserve">AccessionName</t>
  </si>
  <si>
    <t xml:space="preserve">HoldingInstitution</t>
  </si>
  <si>
    <t xml:space="preserve">LotName</t>
  </si>
  <si>
    <t xml:space="preserve">Scientific name of the taxon</t>
  </si>
  <si>
    <t xml:space="preserve">Unique identification of the accession/genotype</t>
  </si>
  <si>
    <t xml:space="preserve">Full name of the accession</t>
  </si>
  <si>
    <t xml:space="preserve">Institution holding this accession</t>
  </si>
  <si>
    <r>
      <rPr>
        <sz val="10"/>
        <rFont val="Arial"/>
        <family val="2"/>
        <charset val="1"/>
      </rPr>
      <t xml:space="preserve">Identification of the physical plant(s) used in the trial : seeds, tree, ….
Used in the first column of the </t>
    </r>
    <r>
      <rPr>
        <b val="true"/>
        <sz val="10"/>
        <rFont val="Arial"/>
        <family val="2"/>
        <charset val="1"/>
      </rPr>
      <t xml:space="preserve">Data sheet</t>
    </r>
  </si>
  <si>
    <t xml:space="preserve">Triticum aestivum</t>
  </si>
  <si>
    <t xml:space="preserve">274Col49</t>
  </si>
  <si>
    <t xml:space="preserve">chargeur</t>
  </si>
  <si>
    <t xml:space="preserve">ch</t>
  </si>
  <si>
    <t xml:space="preserve">TREATMENT</t>
  </si>
  <si>
    <t xml:space="preserve">List of factor and modalities used in this trial. Treatments are  combination of modalities.</t>
  </si>
  <si>
    <t xml:space="preserve">Each factor is reused as a column in the Data sheet. The modalities of each factor are the authorised value for this factor/column.</t>
  </si>
  <si>
    <t xml:space="preserve">Factor</t>
  </si>
  <si>
    <t xml:space="preserve">ModeCode</t>
  </si>
  <si>
    <t xml:space="preserve">ModeName</t>
  </si>
  <si>
    <t xml:space="preserve">ModeDescription</t>
  </si>
  <si>
    <r>
      <rPr>
        <sz val="10"/>
        <rFont val="Arial"/>
        <family val="2"/>
        <charset val="1"/>
      </rPr>
      <t xml:space="preserve">Name of the factor.
This name is used as header in the </t>
    </r>
    <r>
      <rPr>
        <b val="true"/>
        <sz val="10"/>
        <rFont val="Arial"/>
        <family val="2"/>
        <charset val="1"/>
      </rPr>
      <t xml:space="preserve">Data sheet</t>
    </r>
  </si>
  <si>
    <r>
      <rPr>
        <sz val="10"/>
        <rFont val="Arial"/>
        <family val="2"/>
        <charset val="1"/>
      </rPr>
      <t xml:space="preserve">Unique identifier of the modality.
This code is used as value in the </t>
    </r>
    <r>
      <rPr>
        <b val="true"/>
        <sz val="10"/>
        <rFont val="Arial"/>
        <family val="2"/>
        <charset val="1"/>
      </rPr>
      <t xml:space="preserve">Data sheet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factor</t>
    </r>
    <r>
      <rPr>
        <sz val="10"/>
        <rFont val="Arial"/>
        <family val="2"/>
        <charset val="1"/>
      </rPr>
      <t xml:space="preserve">'s column</t>
    </r>
  </si>
  <si>
    <t xml:space="preserve">Full name of the modality</t>
  </si>
  <si>
    <t xml:space="preserve">Full description of the modality, possibly with a short description of its caracteristics like phenologic stade for a given treatment</t>
  </si>
  <si>
    <t xml:space="preserve">engrais</t>
  </si>
  <si>
    <t xml:space="preserve">N0</t>
  </si>
  <si>
    <t xml:space="preserve">azote 0</t>
  </si>
  <si>
    <t xml:space="preserve">ajout de 0 kilog/hectar de produitA a x concentration tous les mois.</t>
  </si>
  <si>
    <t xml:space="preserve">LEVEL</t>
  </si>
  <si>
    <t xml:space="preserve">Structure of the trial, for instance bloc &gt; plot &gt; plant. Can be empty if you want to store only genotype x factor data and no plot data. </t>
  </si>
  <si>
    <t xml:space="preserve">Each level is reused as a column in the Data sheet.</t>
  </si>
  <si>
    <t xml:space="preserve">Code</t>
  </si>
  <si>
    <t xml:space="preserve">Name</t>
  </si>
  <si>
    <t xml:space="preserve">ParentLevel</t>
  </si>
  <si>
    <r>
      <rPr>
        <sz val="10"/>
        <rFont val="Arial"/>
        <family val="2"/>
        <charset val="1"/>
      </rPr>
      <t xml:space="preserve">Unique identification of the level (plot, bloc, plant, …) within the trial.
This code is used as header in the </t>
    </r>
    <r>
      <rPr>
        <b val="true"/>
        <sz val="10"/>
        <rFont val="Arial"/>
        <family val="2"/>
        <charset val="1"/>
      </rPr>
      <t xml:space="preserve">Data sheet</t>
    </r>
  </si>
  <si>
    <t xml:space="preserve">Full name of the level</t>
  </si>
  <si>
    <t xml:space="preserve">Description of the level</t>
  </si>
  <si>
    <r>
      <rPr>
        <b val="true"/>
        <sz val="10"/>
        <rFont val="Arial"/>
        <family val="2"/>
        <charset val="1"/>
      </rPr>
      <t xml:space="preserve"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</si>
  <si>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 xml:space="preserve">Rep</t>
  </si>
  <si>
    <t xml:space="preserve">Repetition</t>
  </si>
  <si>
    <t xml:space="preserve">Bloc</t>
  </si>
  <si>
    <t xml:space="preserve">DATA</t>
  </si>
  <si>
    <t xml:space="preserve">Data matrix: hold any type of observation (phenotype, env, etc…)</t>
  </si>
  <si>
    <t xml:space="preserve">&lt;factors&gt;</t>
  </si>
  <si>
    <t xml:space="preserve">&lt;levels&gt;</t>
  </si>
  <si>
    <t xml:space="preserve">X(m)</t>
  </si>
  <si>
    <t xml:space="preserve">Y(m)</t>
  </si>
  <si>
    <t xml:space="preserve">&lt;variables&gt;_value</t>
  </si>
  <si>
    <t xml:space="preserve">&lt;variables&gt;_date</t>
  </si>
  <si>
    <r>
      <rPr>
        <sz val="10"/>
        <rFont val="Arial"/>
        <family val="2"/>
        <charset val="1"/>
      </rPr>
      <t xml:space="preserve">Identification of the genotype of the observed object.
Must be found in the </t>
    </r>
    <r>
      <rPr>
        <b val="true"/>
        <sz val="10"/>
        <rFont val="Arial"/>
        <family val="2"/>
        <charset val="1"/>
      </rPr>
      <t xml:space="preserve">VarietalList sheet</t>
    </r>
  </si>
  <si>
    <r>
      <rPr>
        <i val="true"/>
        <u val="single"/>
        <sz val="10"/>
        <rFont val="Arial"/>
        <family val="2"/>
        <charset val="1"/>
      </rPr>
      <t xml:space="preserve">headers:</t>
    </r>
    <r>
      <rPr>
        <sz val="10"/>
        <rFont val="Arial"/>
        <family val="2"/>
        <charset val="1"/>
      </rPr>
      <t xml:space="preserve"> all </t>
    </r>
    <r>
      <rPr>
        <b val="true"/>
        <sz val="10"/>
        <rFont val="Arial"/>
        <family val="2"/>
        <charset val="1"/>
      </rPr>
      <t xml:space="preserve">factors</t>
    </r>
    <r>
      <rPr>
        <sz val="10"/>
        <rFont val="Arial"/>
        <family val="2"/>
        <charset val="1"/>
      </rPr>
      <t xml:space="preserve"> declared in the </t>
    </r>
    <r>
      <rPr>
        <b val="true"/>
        <sz val="10"/>
        <rFont val="Arial"/>
        <family val="2"/>
        <charset val="1"/>
      </rPr>
      <t xml:space="preserve">Treatments sheet</t>
    </r>
  </si>
  <si>
    <r>
      <rPr>
        <i val="true"/>
        <u val="single"/>
        <sz val="10"/>
        <rFont val="Arial"/>
        <family val="2"/>
        <charset val="1"/>
      </rPr>
      <t xml:space="preserve">headers:</t>
    </r>
    <r>
      <rPr>
        <sz val="10"/>
        <rFont val="Arial"/>
        <family val="2"/>
        <charset val="1"/>
      </rPr>
      <t xml:space="preserve"> all </t>
    </r>
    <r>
      <rPr>
        <b val="true"/>
        <sz val="10"/>
        <rFont val="Arial"/>
        <family val="2"/>
        <charset val="1"/>
      </rPr>
      <t xml:space="preserve">levels</t>
    </r>
    <r>
      <rPr>
        <sz val="10"/>
        <rFont val="Arial"/>
        <family val="2"/>
        <charset val="1"/>
      </rPr>
      <t xml:space="preserve"> declared in the </t>
    </r>
    <r>
      <rPr>
        <b val="true"/>
        <sz val="10"/>
        <rFont val="Arial"/>
        <family val="2"/>
        <charset val="1"/>
      </rPr>
      <t xml:space="preserve">StudySubjectLevels sheet</t>
    </r>
  </si>
  <si>
    <t xml:space="preserve">X position of the observed object</t>
  </si>
  <si>
    <t xml:space="preserve">Y position of the observed object</t>
  </si>
  <si>
    <t xml:space="preserve">X position of the observed object in meters</t>
  </si>
  <si>
    <t xml:space="preserve">Y position of the observed object in meters</t>
  </si>
  <si>
    <r>
      <rPr>
        <i val="true"/>
        <u val="single"/>
        <sz val="10"/>
        <rFont val="Arial"/>
        <family val="2"/>
        <charset val="1"/>
      </rPr>
      <t xml:space="preserve">headers:</t>
    </r>
    <r>
      <rPr>
        <sz val="10"/>
        <rFont val="Arial"/>
        <family val="2"/>
        <charset val="1"/>
      </rPr>
      <t xml:space="preserve"> all </t>
    </r>
    <r>
      <rPr>
        <b val="true"/>
        <sz val="10"/>
        <rFont val="Arial"/>
        <family val="2"/>
        <charset val="1"/>
      </rPr>
      <t xml:space="preserve">variables</t>
    </r>
    <r>
      <rPr>
        <sz val="10"/>
        <rFont val="Arial"/>
        <family val="2"/>
        <charset val="1"/>
      </rPr>
      <t xml:space="preserve"> declared in the </t>
    </r>
    <r>
      <rPr>
        <b val="true"/>
        <sz val="10"/>
        <rFont val="Arial"/>
        <family val="2"/>
        <charset val="1"/>
      </rPr>
      <t xml:space="preserve">Variables sheet</t>
    </r>
  </si>
  <si>
    <r>
      <rPr>
        <i val="true"/>
        <u val="single"/>
        <sz val="10"/>
        <rFont val="Arial"/>
        <family val="2"/>
        <charset val="1"/>
      </rPr>
      <t xml:space="preserve">values</t>
    </r>
    <r>
      <rPr>
        <i val="true"/>
        <sz val="10"/>
        <rFont val="Arial"/>
        <family val="2"/>
        <charset val="1"/>
      </rPr>
      <t xml:space="preserve">:</t>
    </r>
    <r>
      <rPr>
        <sz val="10"/>
        <rFont val="Arial"/>
        <family val="2"/>
        <charset val="1"/>
      </rPr>
      <t xml:space="preserve"> all </t>
    </r>
    <r>
      <rPr>
        <b val="true"/>
        <sz val="10"/>
        <rFont val="Arial"/>
        <family val="2"/>
        <charset val="1"/>
      </rPr>
      <t xml:space="preserve">mode_code</t>
    </r>
    <r>
      <rPr>
        <sz val="10"/>
        <rFont val="Arial"/>
        <family val="2"/>
        <charset val="1"/>
      </rPr>
      <t xml:space="preserve"> declared in the </t>
    </r>
    <r>
      <rPr>
        <b val="true"/>
        <sz val="10"/>
        <rFont val="Arial"/>
        <family val="2"/>
        <charset val="1"/>
      </rPr>
      <t xml:space="preserve">Treatment sheet</t>
    </r>
  </si>
  <si>
    <r>
      <rPr>
        <i val="true"/>
        <u val="single"/>
        <sz val="10"/>
        <rFont val="Arial"/>
        <family val="2"/>
        <charset val="1"/>
      </rPr>
      <t xml:space="preserve">values</t>
    </r>
    <r>
      <rPr>
        <i val="true"/>
        <sz val="10"/>
        <rFont val="Arial"/>
        <family val="2"/>
        <charset val="1"/>
      </rPr>
      <t xml:space="preserve">:</t>
    </r>
    <r>
      <rPr>
        <sz val="10"/>
        <rFont val="Arial"/>
        <family val="2"/>
        <charset val="1"/>
      </rPr>
      <t xml:space="preserve"> levels identifiers</t>
    </r>
  </si>
  <si>
    <r>
      <rPr>
        <i val="true"/>
        <u val="single"/>
        <sz val="10"/>
        <rFont val="Arial"/>
        <family val="2"/>
        <charset val="1"/>
      </rPr>
      <t xml:space="preserve">values</t>
    </r>
    <r>
      <rPr>
        <i val="true"/>
        <sz val="10"/>
        <rFont val="Arial"/>
        <family val="2"/>
        <charset val="1"/>
      </rPr>
      <t xml:space="preserve">:</t>
    </r>
    <r>
      <rPr>
        <sz val="10"/>
        <rFont val="Arial"/>
        <family val="2"/>
        <charset val="1"/>
      </rPr>
      <t xml:space="preserve"> value of the variable for the observed object</t>
    </r>
  </si>
  <si>
    <r>
      <rPr>
        <i val="true"/>
        <u val="single"/>
        <sz val="10"/>
        <rFont val="Arial"/>
        <family val="2"/>
        <charset val="1"/>
      </rPr>
      <t xml:space="preserve">values</t>
    </r>
    <r>
      <rPr>
        <i val="true"/>
        <sz val="10"/>
        <rFont val="Arial"/>
        <family val="2"/>
        <charset val="1"/>
      </rPr>
      <t xml:space="preserve">:</t>
    </r>
    <r>
      <rPr>
        <sz val="10"/>
        <rFont val="Arial"/>
        <family val="2"/>
        <charset val="1"/>
      </rPr>
      <t xml:space="preserve"> observation date of the variable</t>
    </r>
  </si>
  <si>
    <r>
      <rPr>
        <i val="true"/>
        <u val="single"/>
        <sz val="10"/>
        <rFont val="Arial"/>
        <family val="2"/>
        <charset val="1"/>
      </rPr>
      <t xml:space="preserve">header</t>
    </r>
    <r>
      <rPr>
        <sz val="10"/>
        <rFont val="Arial"/>
        <family val="2"/>
        <charset val="1"/>
      </rPr>
      <t xml:space="preserve">: engrais
</t>
    </r>
    <r>
      <rPr>
        <i val="true"/>
        <sz val="10"/>
        <rFont val="Arial"/>
        <family val="2"/>
        <charset val="1"/>
      </rPr>
      <t xml:space="preserve">value:</t>
    </r>
    <r>
      <rPr>
        <sz val="10"/>
        <rFont val="Arial"/>
        <family val="2"/>
        <charset val="1"/>
      </rPr>
      <t xml:space="preserve"> N0</t>
    </r>
  </si>
  <si>
    <r>
      <rPr>
        <i val="true"/>
        <u val="single"/>
        <sz val="10"/>
        <rFont val="Arial"/>
        <family val="2"/>
        <charset val="1"/>
      </rPr>
      <t xml:space="preserve">header</t>
    </r>
    <r>
      <rPr>
        <sz val="10"/>
        <rFont val="Arial"/>
        <family val="2"/>
        <charset val="1"/>
      </rPr>
      <t xml:space="preserve">: bloc
</t>
    </r>
    <r>
      <rPr>
        <i val="true"/>
        <sz val="10"/>
        <rFont val="Arial"/>
        <family val="2"/>
        <charset val="1"/>
      </rPr>
      <t xml:space="preserve">value:</t>
    </r>
    <r>
      <rPr>
        <sz val="10"/>
        <rFont val="Arial"/>
        <family val="2"/>
        <charset val="1"/>
      </rPr>
      <t xml:space="preserve"> bloc1</t>
    </r>
  </si>
  <si>
    <r>
      <rPr>
        <i val="true"/>
        <u val="single"/>
        <sz val="10"/>
        <rFont val="Arial"/>
        <family val="2"/>
        <charset val="1"/>
      </rPr>
      <t xml:space="preserve">header</t>
    </r>
    <r>
      <rPr>
        <sz val="10"/>
        <rFont val="Arial"/>
        <family val="2"/>
        <charset val="1"/>
      </rPr>
      <t xml:space="preserve">: haut_value
</t>
    </r>
    <r>
      <rPr>
        <i val="true"/>
        <sz val="10"/>
        <rFont val="Arial"/>
        <family val="2"/>
        <charset val="1"/>
      </rPr>
      <t xml:space="preserve">value:</t>
    </r>
    <r>
      <rPr>
        <sz val="10"/>
        <rFont val="Arial"/>
        <family val="2"/>
        <charset val="1"/>
      </rPr>
      <t xml:space="preserve"> 15</t>
    </r>
  </si>
  <si>
    <r>
      <rPr>
        <i val="true"/>
        <u val="single"/>
        <sz val="10"/>
        <rFont val="Arial"/>
        <family val="2"/>
        <charset val="1"/>
      </rPr>
      <t xml:space="preserve">header</t>
    </r>
    <r>
      <rPr>
        <sz val="10"/>
        <rFont val="Arial"/>
        <family val="2"/>
        <charset val="1"/>
      </rPr>
      <t xml:space="preserve">: haut_date
</t>
    </r>
    <r>
      <rPr>
        <i val="true"/>
        <sz val="10"/>
        <rFont val="Arial"/>
        <family val="2"/>
        <charset val="1"/>
      </rPr>
      <t xml:space="preserve">value:</t>
    </r>
    <r>
      <rPr>
        <sz val="10"/>
        <rFont val="Arial"/>
        <family val="2"/>
        <charset val="1"/>
      </rPr>
      <t xml:space="preserve"> </t>
    </r>
  </si>
  <si>
    <t xml:space="preserve">String or Number</t>
  </si>
  <si>
    <t xml:space="preserve">Date</t>
  </si>
  <si>
    <t xml:space="preserve">FILES</t>
  </si>
  <si>
    <t xml:space="preserve">FileName</t>
  </si>
  <si>
    <t xml:space="preserve">Link</t>
  </si>
  <si>
    <t xml:space="preserve">FileType</t>
  </si>
  <si>
    <t xml:space="preserve">FileSize</t>
  </si>
  <si>
    <t xml:space="preserve">CreationDate</t>
  </si>
  <si>
    <t xml:space="preserve">Name of the file</t>
  </si>
  <si>
    <t xml:space="preserve">URL where the file can be found (file repository)</t>
  </si>
  <si>
    <t xml:space="preserve">File type</t>
  </si>
  <si>
    <t xml:space="preserve">File size</t>
  </si>
  <si>
    <t xml:space="preserve">Creation date of the file</t>
  </si>
  <si>
    <t xml:space="preserve">Description of the file</t>
  </si>
  <si>
    <t xml:space="preserve">MeteoWholeTrial.txt
ITK.xls
Plan.xls</t>
  </si>
  <si>
    <t xml:space="preserve">http://urgi.versailles.inra.fr/Species/Wheat/Sequence-Repository</t>
  </si>
  <si>
    <t xml:space="preserve">xls</t>
  </si>
  <si>
    <t xml:space="preserve">xls
csv
txt</t>
  </si>
  <si>
    <t xml:space="preserve">Date: dd/mm/yyyy</t>
  </si>
  <si>
    <t xml:space="preserve">FOREST COMPLEMENTARY INFO</t>
  </si>
  <si>
    <r>
      <rPr>
        <b val="true"/>
        <sz val="10"/>
        <rFont val="Arial"/>
        <family val="2"/>
        <charset val="1"/>
      </rPr>
      <t xml:space="preserve">Additional fields. </t>
    </r>
    <r>
      <rPr>
        <b val="true"/>
        <sz val="10"/>
        <color rgb="FFFF0000"/>
        <rFont val="Arial"/>
        <family val="2"/>
        <charset val="1"/>
      </rPr>
      <t xml:space="preserve">Mandatory</t>
    </r>
    <r>
      <rPr>
        <b val="true"/>
        <sz val="10"/>
        <rFont val="Arial"/>
        <family val="2"/>
        <charset val="1"/>
      </rPr>
      <t xml:space="preserve"> tab for forest submissions.</t>
    </r>
  </si>
  <si>
    <t xml:space="preserve">TrialType</t>
  </si>
  <si>
    <t xml:space="preserve">TrialStatus</t>
  </si>
  <si>
    <t xml:space="preserve">DataFormat</t>
  </si>
  <si>
    <t xml:space="preserve">Type of this trial</t>
  </si>
  <si>
    <t xml:space="preserve">State and monitoring level of this trial</t>
  </si>
  <si>
    <t xml:space="preserve">Which format is used to store the data ?</t>
  </si>
  <si>
    <t xml:space="preserve">Digital</t>
  </si>
  <si>
    <t xml:space="preserve">1 (= provenances comparison)
2 (= maternal descendants comparison)
3 (= two-parents descendants comparison)
4 (= species comparison)
5 (=clones seeds orchard)
6 (=clonal comparison)
7 (= clonal park)
8 (= juveniles comparison)
9 (= other)</t>
  </si>
  <si>
    <t xml:space="preserve">A (= abandoned/ruined)
1 (= weakly active)
2 (= moderately active)
3 (= active)
4 (= very active)
9 (= unknown)</t>
  </si>
  <si>
    <t xml:space="preserve">Paper
Scan
Digital
Unknown</t>
  </si>
  <si>
    <t xml:space="preserve">AM_Md11</t>
  </si>
  <si>
    <t xml:space="preserve">AM11MD</t>
  </si>
  <si>
    <t xml:space="preserve">08/09/2010</t>
  </si>
  <si>
    <t xml:space="preserve">2010-2011</t>
  </si>
  <si>
    <t xml:space="preserve">RAPSODYN</t>
  </si>
  <si>
    <t xml:space="preserve">Mondonville</t>
  </si>
  <si>
    <t xml:space="preserve">43'40'04'N</t>
  </si>
  <si>
    <t xml:space="preserve">01'14'10'E</t>
  </si>
  <si>
    <t xml:space="preserve">FRA_31_MOND</t>
  </si>
  <si>
    <t xml:space="preserve">BGA</t>
  </si>
  <si>
    <t xml:space="preserve">Nesi</t>
  </si>
  <si>
    <t xml:space="preserve">Nathalie</t>
  </si>
  <si>
    <t xml:space="preserve">nathalie.nesi@rennes.inra.fr</t>
  </si>
  <si>
    <t xml:space="preserve">IGEPP</t>
  </si>
  <si>
    <t xml:space="preserve">INRA Brassica Experimental Ontology</t>
  </si>
  <si>
    <t xml:space="preserve">PLANTDENS</t>
  </si>
  <si>
    <t xml:space="preserve">Plant_Density</t>
  </si>
  <si>
    <t xml:space="preserve">Number of viable plants counted per surface unit. </t>
  </si>
  <si>
    <t xml:space="preserve">Plant nb.m-²</t>
  </si>
  <si>
    <t xml:space="preserve"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</si>
  <si>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 xml:space="preserve">densité en sortie d'hiver (1=faible densité)</t>
  </si>
  <si>
    <t xml:space="preserve">REGSTAND</t>
  </si>
  <si>
    <t xml:space="preserve">Regularity_Stand</t>
  </si>
  <si>
    <t xml:space="preserve">Scoring of the regularity of the plant stand.</t>
  </si>
  <si>
    <t xml:space="preserve">Note</t>
  </si>
  <si>
    <t xml:space="preserve">Visual notations (scale 0 - 9). 0 = NA, 1 = high irregular, 3 = irregular, 5 = moderately regular, 7 = regular, 9 = perfectly regular.</t>
  </si>
  <si>
    <t xml:space="preserve">homogénéité en sortir d'hiver</t>
  </si>
  <si>
    <t xml:space="preserve">PLOTHARVEST</t>
  </si>
  <si>
    <t xml:space="preserve">Plot_Harvest_Weight</t>
  </si>
  <si>
    <t xml:space="preserve">Weight (kg) of raw materials harvested by plot.</t>
  </si>
  <si>
    <t xml:space="preserve">kg</t>
  </si>
  <si>
    <t xml:space="preserve">A measurement of the amount (in kg) of raw material that was harvested per plot as determined by on-board weighing on the harvester. </t>
  </si>
  <si>
    <t xml:space="preserve">HI</t>
  </si>
  <si>
    <t xml:space="preserve">Harvest_Index</t>
  </si>
  <si>
    <t xml:space="preserve">Proportion of seed biomass respect to the total plant biomass (including shoot and root).</t>
  </si>
  <si>
    <t xml:space="preserve">%</t>
  </si>
  <si>
    <t xml:space="preserve"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</si>
  <si>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 xml:space="preserve">NHI</t>
  </si>
  <si>
    <t xml:space="preserve">Nitrogen_Harvest_Index</t>
  </si>
  <si>
    <t xml:space="preserve">Proportion of N accumulated in seed to N accumulated in the total plant (including shoot and root).</t>
  </si>
  <si>
    <t xml:space="preserve">Samples from HI assay are analysed for N_%DW in the different fractions.                                                                                                                               NHI = (N_%DW_Seed / N_%DW_Plant) x 100</t>
  </si>
  <si>
    <t xml:space="preserve">OY</t>
  </si>
  <si>
    <t xml:space="preserve">Oil_Yield</t>
  </si>
  <si>
    <t xml:space="preserve">Oil yield per ha.</t>
  </si>
  <si>
    <t xml:space="preserve">q.ha-1</t>
  </si>
  <si>
    <t xml:space="preserve"> OY = (O x SY) </t>
  </si>
  <si>
    <t xml:space="preserve">PLOTSURF</t>
  </si>
  <si>
    <t xml:space="preserve">Plot_Surface</t>
  </si>
  <si>
    <t xml:space="preserve">Surface of the elementary experimental plot.</t>
  </si>
  <si>
    <t xml:space="preserve">m2</t>
  </si>
  <si>
    <t xml:space="preserve">Surface is determined by the experimental design.                                                              PLOTSURF = L x N x E. Where L = length of the sowing line, N = Nb of sowing lines, E = inter-line spacing.</t>
  </si>
  <si>
    <t xml:space="preserve">PODSHAT</t>
  </si>
  <si>
    <t xml:space="preserve">Pod_shattering</t>
  </si>
  <si>
    <t xml:space="preserve">Scoring of pods open just before harvest.</t>
  </si>
  <si>
    <t xml:space="preserve">Visual notations (scale 0 - 9). 0 = NA, 1 = high PODSHAT &gt; 90%, 3 = 60-90%, 5 = 30-60%, 7 = 10-30%, 9 = &lt; 10%.</t>
  </si>
  <si>
    <t xml:space="preserve">PrY</t>
  </si>
  <si>
    <t xml:space="preserve">Prot_Yield</t>
  </si>
  <si>
    <t xml:space="preserve">Protein yield per ha.</t>
  </si>
  <si>
    <t xml:space="preserve"> PrY = (Pr x SY) </t>
  </si>
  <si>
    <t xml:space="preserve">SN</t>
  </si>
  <si>
    <t xml:space="preserve">Seed_Nb_Surface</t>
  </si>
  <si>
    <t xml:space="preserve">Number of seeds per square meter.</t>
  </si>
  <si>
    <t xml:space="preserve">Seed nb.m-²</t>
  </si>
  <si>
    <t xml:space="preserve"> SN = (SY / TSW) x 10000</t>
  </si>
  <si>
    <t xml:space="preserve">SY</t>
  </si>
  <si>
    <t xml:space="preserve">Seed_Yield_q/ha  </t>
  </si>
  <si>
    <t xml:space="preserve">Weight (q) of seeds that was harvested per ha calculated with moisture and impurity contents at 0% each.</t>
  </si>
  <si>
    <t xml:space="preserve"> SY = (PLOTHARVEST / PLOTSURF) x (((100 - SEEDH2O_HARV or LAB)/100) x ((100 - SEEDIMPUR)/100)) x 100</t>
  </si>
  <si>
    <t xml:space="preserve">SYNORM</t>
  </si>
  <si>
    <t xml:space="preserve">Seed_Yield_Normalized_q/ha  </t>
  </si>
  <si>
    <t xml:space="preserve"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</si>
  <si>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</si>
  <si>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 xml:space="preserve">TSW</t>
  </si>
  <si>
    <t xml:space="preserve">1000_Seed_Weight</t>
  </si>
  <si>
    <t xml:space="preserve">Determination of the weight of 1000 well-developed mature and dry seeds after harvest.</t>
  </si>
  <si>
    <t xml:space="preserve">g</t>
  </si>
  <si>
    <t xml:space="preserve">The seed sample for SEEDH2O_LAB determination is used for seed counting (NBSEED_sample) using a precision counter.                                                                            TSW = (SEEDH2O_LAB / NBSEED_sample) x 1000</t>
  </si>
  <si>
    <t xml:space="preserve">PLANTSIZE</t>
  </si>
  <si>
    <t xml:space="preserve">Plant_Size</t>
  </si>
  <si>
    <t xml:space="preserve">Height of plants in an experimental plot.</t>
  </si>
  <si>
    <t xml:space="preserve">Height is measured from ground to the top of the plants using a dipstick graduated in cm.                                                              </t>
  </si>
  <si>
    <t xml:space="preserve">GRWSTG_C1</t>
  </si>
  <si>
    <t xml:space="preserve">Growth_Stage_C1</t>
  </si>
  <si>
    <t xml:space="preserve">Bolting date when the first inter-node appears, corresponds to growth stage C1 (CETIOM) or 31 (BBCH scale).</t>
  </si>
  <si>
    <t xml:space="preserve">Nb of calendar days from the 1st of January (+ or - if stage occurs in December).</t>
  </si>
  <si>
    <t xml:space="preserve">Visual notations of the day when growth stage is reached by 50% of the plants in a given plot. </t>
  </si>
  <si>
    <t xml:space="preserve">GRWSTG_F1</t>
  </si>
  <si>
    <t xml:space="preserve">Growth_Stage_F1</t>
  </si>
  <si>
    <t xml:space="preserve">First flowers are open, corresponds to growth stage F1 (CETIOM) or 60 (BBCH scale).</t>
  </si>
  <si>
    <t xml:space="preserve">Nb of calendar days from the 1st of January.</t>
  </si>
  <si>
    <t xml:space="preserve">GRWSTG_F2</t>
  </si>
  <si>
    <t xml:space="preserve">Growth_Stage_F2</t>
  </si>
  <si>
    <t xml:space="preserve">10% of the flowers are open on the main inflorescence, elongation of the main inflorescence. Corresponds to growth stage F2 (CETIOM) or 61 (BBCH scale).</t>
  </si>
  <si>
    <t xml:space="preserve">GRWSTG_FLO</t>
  </si>
  <si>
    <t xml:space="preserve">Growth_Stage_Flowering</t>
  </si>
  <si>
    <t xml:space="preserve"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</si>
  <si>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</si>
  <si>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 xml:space="preserve">GRWSTG_ENDFLO</t>
  </si>
  <si>
    <t xml:space="preserve">Growth_Stage_End_Flowering</t>
  </si>
  <si>
    <t xml:space="preserve">End of flowering on the main inflorescence, corresponds to growth stage 69 (BBCH scale).</t>
  </si>
  <si>
    <t xml:space="preserve">GRWSTG_G1</t>
  </si>
  <si>
    <t xml:space="preserve">Growth_Stage_G1</t>
  </si>
  <si>
    <t xml:space="preserve">10% of the pods have reached their final size, flowering of secondary inflorescences. Corresponds to growth stage G1 (CETIOM) or 71 (BBCH scale).</t>
  </si>
  <si>
    <t xml:space="preserve">GRWSTG_G4</t>
  </si>
  <si>
    <t xml:space="preserve">Growth_Stage_G4</t>
  </si>
  <si>
    <t xml:space="preserve">30% of the pods have reached their final size, flowering of secondary inflorescences. Corresponds to growth stage G4 (CETIOM) or 73 (BBCH scale).</t>
  </si>
  <si>
    <t xml:space="preserve">GRWSTG_PODDEV</t>
  </si>
  <si>
    <t xml:space="preserve">Growth_Stage_Pod_Development</t>
  </si>
  <si>
    <t xml:space="preserve"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</si>
  <si>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</si>
  <si>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 xml:space="preserve">GRWSTG_G5</t>
  </si>
  <si>
    <t xml:space="preserve">Growth_Stage_G5</t>
  </si>
  <si>
    <t xml:space="preserve">10% of the seeds have reached maturity, seeds are brown and hard. Corresponds to growth stage G5 (CETIOM) or 81 (BBCH scale).</t>
  </si>
  <si>
    <t xml:space="preserve">GRWSTG_PODMATURITY</t>
  </si>
  <si>
    <t xml:space="preserve">Growth_Stage_Pod_Maturity</t>
  </si>
  <si>
    <t xml:space="preserve"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</si>
  <si>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</si>
  <si>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 xml:space="preserve">EMERG</t>
  </si>
  <si>
    <t xml:space="preserve">Plant_Emergence</t>
  </si>
  <si>
    <t xml:space="preserve">Percentage of seeds that emerge. </t>
  </si>
  <si>
    <t xml:space="preserve">Plant counting on a line.                                                                                     EMERG = (Number of plants obtained / Number of seeds sown) x 100</t>
  </si>
  <si>
    <t xml:space="preserve">ERUCIC</t>
  </si>
  <si>
    <t xml:space="preserve">Erucic_Acid</t>
  </si>
  <si>
    <t xml:space="preserve">Content of erucic acid in seeds determined by NIRS.</t>
  </si>
  <si>
    <t xml:space="preserve">% total fatty acids</t>
  </si>
  <si>
    <t xml:space="preserve">NIRS assay. XXX calibration.</t>
  </si>
  <si>
    <t xml:space="preserve">PALMITIC</t>
  </si>
  <si>
    <t xml:space="preserve">Palmitic_Acid </t>
  </si>
  <si>
    <t xml:space="preserve">Content of palmitic acid in seeds determined by NIRS.</t>
  </si>
  <si>
    <t xml:space="preserve">STEARIC</t>
  </si>
  <si>
    <t xml:space="preserve">Stearic_Acid</t>
  </si>
  <si>
    <t xml:space="preserve">Content of stearic acid in seeds determined by NIRS.</t>
  </si>
  <si>
    <t xml:space="preserve">OLEIC</t>
  </si>
  <si>
    <t xml:space="preserve">Oleic_Acid </t>
  </si>
  <si>
    <t xml:space="preserve">Content of oleic acid in seeds determined by NIRS.</t>
  </si>
  <si>
    <t xml:space="preserve">LINOLEIC</t>
  </si>
  <si>
    <t xml:space="preserve">Linoleic_Acid </t>
  </si>
  <si>
    <t xml:space="preserve">Content of linoleic acid in seedsdetermined by NIRS.</t>
  </si>
  <si>
    <t xml:space="preserve">LINOLENIC</t>
  </si>
  <si>
    <t xml:space="preserve">Linolenic_Acid </t>
  </si>
  <si>
    <t xml:space="preserve">Content of linolenic acid in seeds determined by NIRS.</t>
  </si>
  <si>
    <t xml:space="preserve">O</t>
  </si>
  <si>
    <t xml:space="preserve">Oil_%</t>
  </si>
  <si>
    <t xml:space="preserve">Content of oil in seeds determined by NIRS.</t>
  </si>
  <si>
    <t xml:space="preserve">% of Seed Dry Weight</t>
  </si>
  <si>
    <t xml:space="preserve">Pr</t>
  </si>
  <si>
    <t xml:space="preserve">Protein_%</t>
  </si>
  <si>
    <t xml:space="preserve">Content of proteins in seeds determined by NIRS.</t>
  </si>
  <si>
    <t xml:space="preserve">GLS</t>
  </si>
  <si>
    <t xml:space="preserve">Glucosinolates</t>
  </si>
  <si>
    <t xml:space="preserve">Content of glucosinolates in seeds determined by NIRS.</t>
  </si>
  <si>
    <t xml:space="preserve">μmol.g-1MS</t>
  </si>
  <si>
    <t xml:space="preserve">SEEDH2O_NIRS</t>
  </si>
  <si>
    <t xml:space="preserve">Seed_Moisture_NIRS</t>
  </si>
  <si>
    <t xml:space="preserve">Moisture content in a sample of seeds determined by NIRS.</t>
  </si>
  <si>
    <t xml:space="preserve">PRMEAL</t>
  </si>
  <si>
    <t xml:space="preserve">Protein_Meal_%</t>
  </si>
  <si>
    <t xml:space="preserve">Content of proteins in the meal determined by NIRS.</t>
  </si>
  <si>
    <t xml:space="preserve">SEEDH2O_HARV</t>
  </si>
  <si>
    <t xml:space="preserve">Seed_Moisture_Harvest</t>
  </si>
  <si>
    <t xml:space="preserve">Moisture content in a sample of seeds determined by humiditer.</t>
  </si>
  <si>
    <t xml:space="preserve">Humidimeter. Rapeseed calibration.</t>
  </si>
  <si>
    <t xml:space="preserve">SEEDH2O_LAB</t>
  </si>
  <si>
    <t xml:space="preserve">Seed_Moisture_Lab</t>
  </si>
  <si>
    <t xml:space="preserve"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</si>
  <si>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</si>
  <si>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 xml:space="preserve">SEEDIMPUR</t>
  </si>
  <si>
    <t xml:space="preserve">Seed_Impurities</t>
  </si>
  <si>
    <t xml:space="preserve"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</si>
  <si>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</si>
  <si>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 xml:space="preserve">BIOTIC</t>
  </si>
  <si>
    <t xml:space="preserve">Biotic_Stress</t>
  </si>
  <si>
    <t xml:space="preserve">Biotic attack during the crop cycle.</t>
  </si>
  <si>
    <t xml:space="preserve">Comment about all relevant biotic stresses.</t>
  </si>
  <si>
    <t xml:space="preserve">Visual observations. </t>
  </si>
  <si>
    <t xml:space="preserve">CROP</t>
  </si>
  <si>
    <t xml:space="preserve">Crop</t>
  </si>
  <si>
    <t xml:space="preserve">Crop problems during the cycle.</t>
  </si>
  <si>
    <t xml:space="preserve">Comment about all relevant pbs during the cycle.</t>
  </si>
  <si>
    <t xml:space="preserve">CLIMATIC</t>
  </si>
  <si>
    <t xml:space="preserve">Climatic_Stress</t>
  </si>
  <si>
    <t xml:space="preserve">Climatic incidents during the crop cycle</t>
  </si>
  <si>
    <t xml:space="preserve">Comment about all relevant abiotic stresses.</t>
  </si>
  <si>
    <t xml:space="preserve">LODGING</t>
  </si>
  <si>
    <t xml:space="preserve">Plant_Lodging</t>
  </si>
  <si>
    <t xml:space="preserve">Scoring of the plant lodging of the plot.</t>
  </si>
  <si>
    <t xml:space="preserve"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</si>
  <si>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 xml:space="preserve">Brassica napus L.</t>
  </si>
  <si>
    <t xml:space="preserve">G-003</t>
  </si>
  <si>
    <t xml:space="preserve">AM014</t>
  </si>
  <si>
    <t xml:space="preserve">G-004</t>
  </si>
  <si>
    <t xml:space="preserve">AM015</t>
  </si>
  <si>
    <t xml:space="preserve">G-005</t>
  </si>
  <si>
    <t xml:space="preserve">AM016</t>
  </si>
  <si>
    <t xml:space="preserve">G-006</t>
  </si>
  <si>
    <t xml:space="preserve">AM017</t>
  </si>
  <si>
    <t xml:space="preserve">G-007</t>
  </si>
  <si>
    <t xml:space="preserve">AM018</t>
  </si>
  <si>
    <t xml:space="preserve">G-008</t>
  </si>
  <si>
    <t xml:space="preserve">AM019</t>
  </si>
  <si>
    <t xml:space="preserve">G-009</t>
  </si>
  <si>
    <t xml:space="preserve">AM020</t>
  </si>
  <si>
    <t xml:space="preserve">G-010</t>
  </si>
  <si>
    <t xml:space="preserve">AM022</t>
  </si>
  <si>
    <t xml:space="preserve">G-011</t>
  </si>
  <si>
    <t xml:space="preserve">AM027</t>
  </si>
  <si>
    <t xml:space="preserve">G-012</t>
  </si>
  <si>
    <t xml:space="preserve">AM028</t>
  </si>
  <si>
    <t xml:space="preserve">G-013</t>
  </si>
  <si>
    <t xml:space="preserve">AM030</t>
  </si>
  <si>
    <t xml:space="preserve">G-014</t>
  </si>
  <si>
    <t xml:space="preserve">AM031</t>
  </si>
  <si>
    <t xml:space="preserve">G-015</t>
  </si>
  <si>
    <t xml:space="preserve">AM032</t>
  </si>
  <si>
    <t xml:space="preserve">G-016</t>
  </si>
  <si>
    <t xml:space="preserve">AM033</t>
  </si>
  <si>
    <t xml:space="preserve">G-017</t>
  </si>
  <si>
    <t xml:space="preserve">AM034</t>
  </si>
  <si>
    <t xml:space="preserve">G-018</t>
  </si>
  <si>
    <t xml:space="preserve">AM035</t>
  </si>
  <si>
    <t xml:space="preserve">G-019</t>
  </si>
  <si>
    <t xml:space="preserve">AM036</t>
  </si>
  <si>
    <t xml:space="preserve">G-020</t>
  </si>
  <si>
    <t xml:space="preserve">AM037</t>
  </si>
  <si>
    <t xml:space="preserve">G-021</t>
  </si>
  <si>
    <t xml:space="preserve">AM038</t>
  </si>
  <si>
    <t xml:space="preserve">G-022</t>
  </si>
  <si>
    <t xml:space="preserve">AM039</t>
  </si>
  <si>
    <t xml:space="preserve">G-023</t>
  </si>
  <si>
    <t xml:space="preserve">AM040</t>
  </si>
  <si>
    <t xml:space="preserve">G-024</t>
  </si>
  <si>
    <t xml:space="preserve">AM042</t>
  </si>
  <si>
    <t xml:space="preserve">G-025</t>
  </si>
  <si>
    <t xml:space="preserve">AM045</t>
  </si>
  <si>
    <t xml:space="preserve">G-026</t>
  </si>
  <si>
    <t xml:space="preserve">AM046</t>
  </si>
  <si>
    <t xml:space="preserve">G-027</t>
  </si>
  <si>
    <t xml:space="preserve">AM048</t>
  </si>
  <si>
    <t xml:space="preserve">G-028</t>
  </si>
  <si>
    <t xml:space="preserve">AM049</t>
  </si>
  <si>
    <t xml:space="preserve">G-029</t>
  </si>
  <si>
    <t xml:space="preserve">AM050</t>
  </si>
  <si>
    <t xml:space="preserve">G-030</t>
  </si>
  <si>
    <t xml:space="preserve">AM052</t>
  </si>
  <si>
    <t xml:space="preserve">G-031</t>
  </si>
  <si>
    <t xml:space="preserve">AM053</t>
  </si>
  <si>
    <t xml:space="preserve">G-032</t>
  </si>
  <si>
    <t xml:space="preserve">AM055</t>
  </si>
  <si>
    <t xml:space="preserve">G-033</t>
  </si>
  <si>
    <t xml:space="preserve">AM056</t>
  </si>
  <si>
    <t xml:space="preserve">G-034</t>
  </si>
  <si>
    <t xml:space="preserve">AM057</t>
  </si>
  <si>
    <t xml:space="preserve">G-035</t>
  </si>
  <si>
    <t xml:space="preserve">AM058</t>
  </si>
  <si>
    <t xml:space="preserve">G-036</t>
  </si>
  <si>
    <t xml:space="preserve">AM059</t>
  </si>
  <si>
    <t xml:space="preserve">G-037</t>
  </si>
  <si>
    <t xml:space="preserve">AM060</t>
  </si>
  <si>
    <t xml:space="preserve">G-038</t>
  </si>
  <si>
    <t xml:space="preserve">AM061</t>
  </si>
  <si>
    <t xml:space="preserve">G-039</t>
  </si>
  <si>
    <t xml:space="preserve">AM062</t>
  </si>
  <si>
    <t xml:space="preserve">G-040</t>
  </si>
  <si>
    <t xml:space="preserve">AM063</t>
  </si>
  <si>
    <t xml:space="preserve">G-041</t>
  </si>
  <si>
    <t xml:space="preserve">AM064</t>
  </si>
  <si>
    <t xml:space="preserve">G-042</t>
  </si>
  <si>
    <t xml:space="preserve">AM066</t>
  </si>
  <si>
    <t xml:space="preserve">G-043</t>
  </si>
  <si>
    <t xml:space="preserve">AM067</t>
  </si>
  <si>
    <t xml:space="preserve">G-044</t>
  </si>
  <si>
    <t xml:space="preserve">AM068</t>
  </si>
  <si>
    <t xml:space="preserve">G-045</t>
  </si>
  <si>
    <t xml:space="preserve">AM069</t>
  </si>
  <si>
    <t xml:space="preserve">G-046</t>
  </si>
  <si>
    <t xml:space="preserve">AM070</t>
  </si>
  <si>
    <t xml:space="preserve">G-047</t>
  </si>
  <si>
    <t xml:space="preserve">AM071</t>
  </si>
  <si>
    <t xml:space="preserve">G-048</t>
  </si>
  <si>
    <t xml:space="preserve">AM073</t>
  </si>
  <si>
    <t xml:space="preserve">G-049</t>
  </si>
  <si>
    <t xml:space="preserve">AM074</t>
  </si>
  <si>
    <t xml:space="preserve">G-050</t>
  </si>
  <si>
    <t xml:space="preserve">AM076</t>
  </si>
  <si>
    <t xml:space="preserve">G-051</t>
  </si>
  <si>
    <t xml:space="preserve">AM078</t>
  </si>
  <si>
    <t xml:space="preserve">G-052</t>
  </si>
  <si>
    <t xml:space="preserve">AM080</t>
  </si>
  <si>
    <t xml:space="preserve">G-053</t>
  </si>
  <si>
    <t xml:space="preserve">AM082</t>
  </si>
  <si>
    <t xml:space="preserve">G-054</t>
  </si>
  <si>
    <t xml:space="preserve">AM083</t>
  </si>
  <si>
    <t xml:space="preserve">G-055</t>
  </si>
  <si>
    <t xml:space="preserve">AM084</t>
  </si>
  <si>
    <t xml:space="preserve">G-056</t>
  </si>
  <si>
    <t xml:space="preserve">AM085</t>
  </si>
  <si>
    <t xml:space="preserve">G-057</t>
  </si>
  <si>
    <t xml:space="preserve">AM086</t>
  </si>
  <si>
    <t xml:space="preserve">G-058</t>
  </si>
  <si>
    <t xml:space="preserve">AM087</t>
  </si>
  <si>
    <t xml:space="preserve">G-059</t>
  </si>
  <si>
    <t xml:space="preserve">AM088</t>
  </si>
  <si>
    <t xml:space="preserve">G-060</t>
  </si>
  <si>
    <t xml:space="preserve">AM089</t>
  </si>
  <si>
    <t xml:space="preserve">G-061</t>
  </si>
  <si>
    <t xml:space="preserve">AM090</t>
  </si>
  <si>
    <t xml:space="preserve">G-062</t>
  </si>
  <si>
    <t xml:space="preserve">AM091</t>
  </si>
  <si>
    <t xml:space="preserve">G-063</t>
  </si>
  <si>
    <t xml:space="preserve">AM092</t>
  </si>
  <si>
    <t xml:space="preserve">G-064</t>
  </si>
  <si>
    <t xml:space="preserve">AM093</t>
  </si>
  <si>
    <t xml:space="preserve">G-065</t>
  </si>
  <si>
    <t xml:space="preserve">AM094</t>
  </si>
  <si>
    <t xml:space="preserve">G-066</t>
  </si>
  <si>
    <t xml:space="preserve">AM096</t>
  </si>
  <si>
    <t xml:space="preserve">G-067</t>
  </si>
  <si>
    <t xml:space="preserve">AM098</t>
  </si>
  <si>
    <t xml:space="preserve">G-068</t>
  </si>
  <si>
    <t xml:space="preserve">AM100</t>
  </si>
  <si>
    <t xml:space="preserve">G-069</t>
  </si>
  <si>
    <t xml:space="preserve">AM101</t>
  </si>
  <si>
    <t xml:space="preserve">G-070</t>
  </si>
  <si>
    <t xml:space="preserve">AM106</t>
  </si>
  <si>
    <t xml:space="preserve">G-071</t>
  </si>
  <si>
    <t xml:space="preserve">AM107</t>
  </si>
  <si>
    <t xml:space="preserve">G-072</t>
  </si>
  <si>
    <t xml:space="preserve">AM109</t>
  </si>
  <si>
    <t xml:space="preserve">G-073</t>
  </si>
  <si>
    <t xml:space="preserve">AM111</t>
  </si>
  <si>
    <t xml:space="preserve">G-074</t>
  </si>
  <si>
    <t xml:space="preserve">AM120</t>
  </si>
  <si>
    <t xml:space="preserve">G-075</t>
  </si>
  <si>
    <t xml:space="preserve">AM123</t>
  </si>
  <si>
    <t xml:space="preserve">G-076</t>
  </si>
  <si>
    <t xml:space="preserve">AM124</t>
  </si>
  <si>
    <t xml:space="preserve">G-077</t>
  </si>
  <si>
    <t xml:space="preserve">AM125</t>
  </si>
  <si>
    <t xml:space="preserve">G-078</t>
  </si>
  <si>
    <t xml:space="preserve">AM127</t>
  </si>
  <si>
    <t xml:space="preserve">G-079</t>
  </si>
  <si>
    <t xml:space="preserve">AM129</t>
  </si>
  <si>
    <t xml:space="preserve">G-080</t>
  </si>
  <si>
    <t xml:space="preserve">AM130</t>
  </si>
  <si>
    <t xml:space="preserve">G-081</t>
  </si>
  <si>
    <t xml:space="preserve">AM131</t>
  </si>
  <si>
    <t xml:space="preserve">G-082</t>
  </si>
  <si>
    <t xml:space="preserve">AM133</t>
  </si>
  <si>
    <t xml:space="preserve">G-083</t>
  </si>
  <si>
    <t xml:space="preserve">AM137</t>
  </si>
  <si>
    <t xml:space="preserve">G-084</t>
  </si>
  <si>
    <t xml:space="preserve">AM138</t>
  </si>
  <si>
    <t xml:space="preserve">G-085</t>
  </si>
  <si>
    <t xml:space="preserve">AM139</t>
  </si>
  <si>
    <t xml:space="preserve">G-086</t>
  </si>
  <si>
    <t xml:space="preserve">AM140</t>
  </si>
  <si>
    <t xml:space="preserve">G-087</t>
  </si>
  <si>
    <t xml:space="preserve">AM141</t>
  </si>
  <si>
    <t xml:space="preserve">G-088</t>
  </si>
  <si>
    <t xml:space="preserve">AM143</t>
  </si>
  <si>
    <t xml:space="preserve">G-089</t>
  </si>
  <si>
    <t xml:space="preserve">AM144</t>
  </si>
  <si>
    <t xml:space="preserve">G-090</t>
  </si>
  <si>
    <t xml:space="preserve">AM145</t>
  </si>
  <si>
    <t xml:space="preserve">G-091</t>
  </si>
  <si>
    <t xml:space="preserve">AM146</t>
  </si>
  <si>
    <t xml:space="preserve">G-092</t>
  </si>
  <si>
    <t xml:space="preserve">AM147</t>
  </si>
  <si>
    <t xml:space="preserve">G-093</t>
  </si>
  <si>
    <t xml:space="preserve">AM148</t>
  </si>
  <si>
    <t xml:space="preserve">G-094</t>
  </si>
  <si>
    <t xml:space="preserve">AM149</t>
  </si>
  <si>
    <t xml:space="preserve">G-095</t>
  </si>
  <si>
    <t xml:space="preserve">AM156</t>
  </si>
  <si>
    <t xml:space="preserve">G-096</t>
  </si>
  <si>
    <t xml:space="preserve">AM158</t>
  </si>
  <si>
    <t xml:space="preserve">G-097</t>
  </si>
  <si>
    <t xml:space="preserve">AM161</t>
  </si>
  <si>
    <t xml:space="preserve">G-098</t>
  </si>
  <si>
    <t xml:space="preserve">AM164</t>
  </si>
  <si>
    <t xml:space="preserve">G-099</t>
  </si>
  <si>
    <t xml:space="preserve">AM165</t>
  </si>
  <si>
    <t xml:space="preserve">G-100</t>
  </si>
  <si>
    <t xml:space="preserve">AM166</t>
  </si>
  <si>
    <t xml:space="preserve">G-101</t>
  </si>
  <si>
    <t xml:space="preserve">AM167</t>
  </si>
  <si>
    <t xml:space="preserve">G-102</t>
  </si>
  <si>
    <t xml:space="preserve">AM168</t>
  </si>
  <si>
    <t xml:space="preserve">G-103</t>
  </si>
  <si>
    <t xml:space="preserve">AM169</t>
  </si>
  <si>
    <t xml:space="preserve">G-104</t>
  </si>
  <si>
    <t xml:space="preserve">AM170</t>
  </si>
  <si>
    <t xml:space="preserve">G-105</t>
  </si>
  <si>
    <t xml:space="preserve">AM171</t>
  </si>
  <si>
    <t xml:space="preserve">G-106</t>
  </si>
  <si>
    <t xml:space="preserve">AM172</t>
  </si>
  <si>
    <t xml:space="preserve">G-107</t>
  </si>
  <si>
    <t xml:space="preserve">AM173</t>
  </si>
  <si>
    <t xml:space="preserve">G-108</t>
  </si>
  <si>
    <t xml:space="preserve">AM174</t>
  </si>
  <si>
    <t xml:space="preserve">G-109</t>
  </si>
  <si>
    <t xml:space="preserve">AM183</t>
  </si>
  <si>
    <t xml:space="preserve">G-110</t>
  </si>
  <si>
    <t xml:space="preserve">AM185</t>
  </si>
  <si>
    <t xml:space="preserve">G-111</t>
  </si>
  <si>
    <t xml:space="preserve">AM186</t>
  </si>
  <si>
    <t xml:space="preserve">G-112</t>
  </si>
  <si>
    <t xml:space="preserve">AM188</t>
  </si>
  <si>
    <t xml:space="preserve">G-113</t>
  </si>
  <si>
    <t xml:space="preserve">AM189</t>
  </si>
  <si>
    <t xml:space="preserve">G-114</t>
  </si>
  <si>
    <t xml:space="preserve">AM193</t>
  </si>
  <si>
    <t xml:space="preserve">G-115</t>
  </si>
  <si>
    <t xml:space="preserve">AM195</t>
  </si>
  <si>
    <t xml:space="preserve">G-116</t>
  </si>
  <si>
    <t xml:space="preserve">AM197</t>
  </si>
  <si>
    <t xml:space="preserve">G-117</t>
  </si>
  <si>
    <t xml:space="preserve">AM198</t>
  </si>
  <si>
    <t xml:space="preserve">G-001</t>
  </si>
  <si>
    <t xml:space="preserve">Aviso</t>
  </si>
  <si>
    <t xml:space="preserve">G-002</t>
  </si>
  <si>
    <t xml:space="preserve">Montego</t>
  </si>
  <si>
    <t xml:space="preserve">Azote</t>
  </si>
  <si>
    <t xml:space="preserve">N1</t>
  </si>
  <si>
    <t xml:space="preserve">azote limitant</t>
  </si>
  <si>
    <t xml:space="preserve">Fertilisation limitante (30U)</t>
  </si>
  <si>
    <t xml:space="preserve">N2</t>
  </si>
  <si>
    <t xml:space="preserve">azote optimal</t>
  </si>
  <si>
    <t xml:space="preserve">Fertilisation optimale (120U)</t>
  </si>
  <si>
    <t xml:space="preserve">bloc</t>
  </si>
  <si>
    <t xml:space="preserve">plot</t>
  </si>
  <si>
    <t xml:space="preserve">parcelle</t>
  </si>
  <si>
    <t xml:space="preserve">rep</t>
  </si>
  <si>
    <t xml:space="preserve">répétition</t>
  </si>
  <si>
    <t xml:space="preserve">Parcelle</t>
  </si>
  <si>
    <t xml:space="preserve">PLANTDENS_value</t>
  </si>
  <si>
    <t xml:space="preserve">PLANTDENS_date</t>
  </si>
  <si>
    <t xml:space="preserve">REGSTAND_value</t>
  </si>
  <si>
    <t xml:space="preserve">REGSTAND_date</t>
  </si>
  <si>
    <t xml:space="preserve">PLOTHARVEST_value</t>
  </si>
  <si>
    <t xml:space="preserve">PLOTHARVEST_date</t>
  </si>
  <si>
    <t xml:space="preserve">HI_value</t>
  </si>
  <si>
    <t xml:space="preserve">HI_date</t>
  </si>
  <si>
    <t xml:space="preserve">NHI_value</t>
  </si>
  <si>
    <t xml:space="preserve">NHI_date</t>
  </si>
  <si>
    <t xml:space="preserve">OY_value</t>
  </si>
  <si>
    <t xml:space="preserve">OY_date</t>
  </si>
  <si>
    <t xml:space="preserve">PLOTSURF_value</t>
  </si>
  <si>
    <t xml:space="preserve">PLOTSURF_date</t>
  </si>
  <si>
    <t xml:space="preserve">PODSHAT_value</t>
  </si>
  <si>
    <t xml:space="preserve">PODSHAT_date</t>
  </si>
  <si>
    <t xml:space="preserve">PrY_value</t>
  </si>
  <si>
    <t xml:space="preserve">PrY_date</t>
  </si>
  <si>
    <t xml:space="preserve">SN_value</t>
  </si>
  <si>
    <t xml:space="preserve">SN_date</t>
  </si>
  <si>
    <t xml:space="preserve">SY_value</t>
  </si>
  <si>
    <t xml:space="preserve">SY-date</t>
  </si>
  <si>
    <t xml:space="preserve">SYNORM_value</t>
  </si>
  <si>
    <t xml:space="preserve">SYNORM_date</t>
  </si>
  <si>
    <t xml:space="preserve">TSW_value</t>
  </si>
  <si>
    <t xml:space="preserve">TSW_date</t>
  </si>
  <si>
    <t xml:space="preserve">PLANTSIZE_value</t>
  </si>
  <si>
    <t xml:space="preserve">PLANTSIZE_date</t>
  </si>
  <si>
    <t xml:space="preserve">GRWSTG_C1_value</t>
  </si>
  <si>
    <t xml:space="preserve">GRWSTG_C1_date</t>
  </si>
  <si>
    <t xml:space="preserve">GRWSTG_F1_value</t>
  </si>
  <si>
    <t xml:space="preserve">GRWSTG_F1_date</t>
  </si>
  <si>
    <t xml:space="preserve">GRWSTG_F2_value</t>
  </si>
  <si>
    <t xml:space="preserve">GRWSTG_F2_date</t>
  </si>
  <si>
    <t xml:space="preserve">GRWSTG_FLO_value</t>
  </si>
  <si>
    <t xml:space="preserve">GRWSTG_FLO_date</t>
  </si>
  <si>
    <t xml:space="preserve">GRWSTG_ENDFLO_value</t>
  </si>
  <si>
    <t xml:space="preserve">GRWSTG_ENDFLO_date</t>
  </si>
  <si>
    <t xml:space="preserve">GRWSTG_G1_value</t>
  </si>
  <si>
    <t xml:space="preserve">GRWSTG_G1_date</t>
  </si>
  <si>
    <t xml:space="preserve">GRWSTG_G4_value</t>
  </si>
  <si>
    <t xml:space="preserve">GRWSTG_G4_date</t>
  </si>
  <si>
    <t xml:space="preserve">GRWSTG_PODDEV_value</t>
  </si>
  <si>
    <t xml:space="preserve">GRWSTG_PODDEV_date</t>
  </si>
  <si>
    <t xml:space="preserve">GRWSTG_G5_value</t>
  </si>
  <si>
    <t xml:space="preserve">GRWSTG_G5_date</t>
  </si>
  <si>
    <t xml:space="preserve">GRWSTG_PODMATURITY_value</t>
  </si>
  <si>
    <t xml:space="preserve">GRWSTG_PODMATURITY_date</t>
  </si>
  <si>
    <t xml:space="preserve">EMERG_value</t>
  </si>
  <si>
    <t xml:space="preserve">EMERG_date</t>
  </si>
  <si>
    <t xml:space="preserve">ERUCIC_value</t>
  </si>
  <si>
    <t xml:space="preserve">ERUCIC_date</t>
  </si>
  <si>
    <t xml:space="preserve">PALMITIC_value</t>
  </si>
  <si>
    <t xml:space="preserve">PALMITIC-date</t>
  </si>
  <si>
    <t xml:space="preserve">STEARIC_value</t>
  </si>
  <si>
    <t xml:space="preserve">STEARIC_date</t>
  </si>
  <si>
    <t xml:space="preserve">OLEIC_value</t>
  </si>
  <si>
    <t xml:space="preserve">OLEIC_date</t>
  </si>
  <si>
    <t xml:space="preserve">LINOLEIC_value</t>
  </si>
  <si>
    <t xml:space="preserve">LINOLEIC_date</t>
  </si>
  <si>
    <t xml:space="preserve">LINOLENIC_value</t>
  </si>
  <si>
    <t xml:space="preserve">LINOLENIC_date</t>
  </si>
  <si>
    <t xml:space="preserve">O_value</t>
  </si>
  <si>
    <t xml:space="preserve">O_date</t>
  </si>
  <si>
    <t xml:space="preserve">Pr_value</t>
  </si>
  <si>
    <t xml:space="preserve">Pr_date</t>
  </si>
  <si>
    <t xml:space="preserve">GLS_value</t>
  </si>
  <si>
    <t xml:space="preserve">GLS_date</t>
  </si>
  <si>
    <t xml:space="preserve">SEEDH2O_NIRS_value</t>
  </si>
  <si>
    <t xml:space="preserve">SEEDH2O_NIRS_date</t>
  </si>
  <si>
    <t xml:space="preserve">PRMEAL_value</t>
  </si>
  <si>
    <t xml:space="preserve">PRMEAL_date</t>
  </si>
  <si>
    <t xml:space="preserve">SEEDH2O_HARV_value</t>
  </si>
  <si>
    <t xml:space="preserve">SEEDH2O_HARV_date</t>
  </si>
  <si>
    <t xml:space="preserve">SEEDH2O_LAB_value</t>
  </si>
  <si>
    <t xml:space="preserve">SEEDH2O_LAB_date</t>
  </si>
  <si>
    <t xml:space="preserve">SEEDIMPUR_value</t>
  </si>
  <si>
    <t xml:space="preserve">SEEDIMPUR_date</t>
  </si>
  <si>
    <t xml:space="preserve">LODGING_value</t>
  </si>
  <si>
    <t xml:space="preserve">LODGING_date</t>
  </si>
  <si>
    <t xml:space="preserve">montego</t>
  </si>
  <si>
    <t xml:space="preserve">b1</t>
  </si>
  <si>
    <t xml:space="preserve">b1-AM1</t>
  </si>
  <si>
    <t xml:space="preserve">b1-AM2</t>
  </si>
  <si>
    <t xml:space="preserve">b1-AM3</t>
  </si>
  <si>
    <t xml:space="preserve">b2</t>
  </si>
  <si>
    <t xml:space="preserve">b2-AM1</t>
  </si>
  <si>
    <t xml:space="preserve">b2-AM2</t>
  </si>
  <si>
    <t xml:space="preserve">b2-AM3</t>
  </si>
  <si>
    <t xml:space="preserve">aviso</t>
  </si>
  <si>
    <t xml:space="preserve">NA</t>
  </si>
  <si>
    <t xml:space="preserve">Meteo_data</t>
  </si>
  <si>
    <t xml:space="preserve">See tab</t>
  </si>
  <si>
    <t xml:space="preserve">Excel</t>
  </si>
  <si>
    <t xml:space="preserve">Soil_data</t>
  </si>
  <si>
    <t xml:space="preserve">INN_data</t>
  </si>
  <si>
    <t xml:space="preserve">Parcellaire_data</t>
  </si>
  <si>
    <t xml:space="preserve">ITK_data</t>
  </si>
  <si>
    <t xml:space="preserve">InstitutionName</t>
  </si>
  <si>
    <t xml:space="preserve">Acareosperma Gagnep.</t>
  </si>
  <si>
    <t xml:space="preserve">A &amp; I University</t>
  </si>
  <si>
    <t xml:space="preserve">Conservatoire Botanique National Méditerranéen de Porquerolles</t>
  </si>
  <si>
    <t xml:space="preserve">AF 1999 018</t>
  </si>
  <si>
    <t xml:space="preserve">Arvalis-Chalons</t>
  </si>
  <si>
    <t xml:space="preserve">Acareosperma spireanum Gagnep.</t>
  </si>
  <si>
    <t xml:space="preserve">Abed Plant Breeding Station</t>
  </si>
  <si>
    <t xml:space="preserve">Gautier Semences</t>
  </si>
  <si>
    <t xml:space="preserve">AF 1999 046</t>
  </si>
  <si>
    <t xml:space="preserve">Arvalis-Greoux</t>
  </si>
  <si>
    <t xml:space="preserve">Acyrthosiphon magnoliae</t>
  </si>
  <si>
    <t xml:space="preserve">Abteilung Biochemie</t>
  </si>
  <si>
    <t xml:space="preserve">Institut Jean-Pierre Bourgin</t>
  </si>
  <si>
    <t xml:space="preserve">AF 1999 064</t>
  </si>
  <si>
    <t xml:space="preserve">Bergheim</t>
  </si>
  <si>
    <t xml:space="preserve">Acyrthosiphon pisum</t>
  </si>
  <si>
    <t xml:space="preserve">Abteilung Traub</t>
  </si>
  <si>
    <t xml:space="preserve">Pépinière du Mas d'Auge</t>
  </si>
  <si>
    <t xml:space="preserve">AF 2001 001</t>
  </si>
  <si>
    <t xml:space="preserve">BGAMDV</t>
  </si>
  <si>
    <t xml:space="preserve">Aegilops</t>
  </si>
  <si>
    <t xml:space="preserve">ADIS DNA core facility at MPIZ</t>
  </si>
  <si>
    <t xml:space="preserve">Pépinières Rey</t>
  </si>
  <si>
    <t xml:space="preserve">AF 2001 009</t>
  </si>
  <si>
    <t xml:space="preserve">Aegilops aucheri Boiss.</t>
  </si>
  <si>
    <t xml:space="preserve">ADT</t>
  </si>
  <si>
    <t xml:space="preserve">UE Ressources Génétiques végétales en Conditions Océaniques, INRA-Rennes, Site de Ploudaniel</t>
  </si>
  <si>
    <t xml:space="preserve">AF 2001 019-031</t>
  </si>
  <si>
    <t xml:space="preserve">Clermont-Ferrand</t>
  </si>
  <si>
    <t xml:space="preserve">Aegilops bicornis</t>
  </si>
  <si>
    <t xml:space="preserve">Agricultural and Agri-Food Canada</t>
  </si>
  <si>
    <t xml:space="preserve">UMR Amélioration Génétique et Adaptation des Plantes, INRA-Montpellier</t>
  </si>
  <si>
    <t xml:space="preserve">AF 2001 024</t>
  </si>
  <si>
    <t xml:space="preserve">Colmar</t>
  </si>
  <si>
    <t xml:space="preserve">Aegilops bicornis (Forsk.) Jaub. &amp; Spach.</t>
  </si>
  <si>
    <t xml:space="preserve">Agricultural and Technological Research Centre</t>
  </si>
  <si>
    <t xml:space="preserve">UMR Développement et Amélioration des Plantes, INRA-Montpellier</t>
  </si>
  <si>
    <t xml:space="preserve">AF 2001 030</t>
  </si>
  <si>
    <t xml:space="preserve">Dijon</t>
  </si>
  <si>
    <t xml:space="preserve">Aegilops comosa</t>
  </si>
  <si>
    <t xml:space="preserve">Agricultural Biotechnology R&amp;D,  Life Technologies,  Inc.</t>
  </si>
  <si>
    <t xml:space="preserve">UMR Écophysiologie et Génomique Fonctionnelle de la Vigne, INRA-Bordeaux</t>
  </si>
  <si>
    <t xml:space="preserve">AF 2001 032</t>
  </si>
  <si>
    <t xml:space="preserve">Estrees-Mons</t>
  </si>
  <si>
    <t xml:space="preserve">Aegilops comosa Sibth. &amp; Sm.</t>
  </si>
  <si>
    <t xml:space="preserve">Agricultural Experiment Station University of the District of Columbia</t>
  </si>
  <si>
    <t xml:space="preserve">UMR Génétique, Diversité et Ecophysiologie des Céréales, INRA-Clermont</t>
  </si>
  <si>
    <t xml:space="preserve">AF 2001 047</t>
  </si>
  <si>
    <t xml:space="preserve">Estrées-Mons</t>
  </si>
  <si>
    <t xml:space="preserve">Aegilops crassa Boiss.</t>
  </si>
  <si>
    <t xml:space="preserve">Agricultural Genomics</t>
  </si>
  <si>
    <t xml:space="preserve">UMR Génétique et Écophysiologie des Légumineuses à Graines, INRA-Dijon</t>
  </si>
  <si>
    <t xml:space="preserve">AF 2001 051</t>
  </si>
  <si>
    <t xml:space="preserve">Fertreve - Foret de Vincence</t>
  </si>
  <si>
    <t xml:space="preserve">Aegilops crassa Boiss. subsp. vavilovi Zhuk.</t>
  </si>
  <si>
    <t xml:space="preserve">Agricultural Institute Krizevci</t>
  </si>
  <si>
    <t xml:space="preserve">UMR Institut de Génétique, Environnement et Protection des Plantes, INRA-Rennes, Site de Ploudaniel</t>
  </si>
  <si>
    <t xml:space="preserve">AF 2001 073</t>
  </si>
  <si>
    <t xml:space="preserve">FLORIMOND DESPREZ</t>
  </si>
  <si>
    <t xml:space="preserve">Aegilops crassa var. palaestina</t>
  </si>
  <si>
    <t xml:space="preserve">Agricultural Institute Osijek</t>
  </si>
  <si>
    <t xml:space="preserve">UMR Santé de la Vigne et Qualité du Vin, INRA-Colmar</t>
  </si>
  <si>
    <t xml:space="preserve">Ag_EST</t>
  </si>
  <si>
    <t xml:space="preserve">IPGPAS</t>
  </si>
  <si>
    <t xml:space="preserve">Aegilops crassa var. vavilovi</t>
  </si>
  <si>
    <t xml:space="preserve">Agricultural Research &amp; Advisory Station, Dept. of Agriculture</t>
  </si>
  <si>
    <t xml:space="preserve">Unité Expérimentale du Domaine de Vassal, INRA-Montpellier</t>
  </si>
  <si>
    <t xml:space="preserve">AIP_P00272</t>
  </si>
  <si>
    <t xml:space="preserve">Le Moulon</t>
  </si>
  <si>
    <t xml:space="preserve">Aegilops cylindrica Host</t>
  </si>
  <si>
    <t xml:space="preserve">Agricultural Research Centre - Mtwapa</t>
  </si>
  <si>
    <t xml:space="preserve">Unité Expérimentale Vigne et Vin, INRA-Montreuil Bellay</t>
  </si>
  <si>
    <t xml:space="preserve">ANR-06- GPLA-016</t>
  </si>
  <si>
    <t xml:space="preserve">LLC</t>
  </si>
  <si>
    <t xml:space="preserve">Aegilops juvenalis (Thell.) Eig</t>
  </si>
  <si>
    <t xml:space="preserve">Agricultural Research Institute for East Brazil</t>
  </si>
  <si>
    <t xml:space="preserve">UR AgroSystèmes TROpicaux, INRA Antilles-Guyane</t>
  </si>
  <si>
    <t xml:space="preserve">Ap_EST_Riken</t>
  </si>
  <si>
    <t xml:space="preserve">Lusignan</t>
  </si>
  <si>
    <t xml:space="preserve">Aegilops longissima</t>
  </si>
  <si>
    <t xml:space="preserve">Agricultural Research Institute Hungarian Academy of Sciences</t>
  </si>
  <si>
    <t xml:space="preserve">UR Espèces Fruitières, INRA-Bordeaux</t>
  </si>
  <si>
    <t xml:space="preserve">AS-2005</t>
  </si>
  <si>
    <t xml:space="preserve">Maule</t>
  </si>
  <si>
    <t xml:space="preserve">Aegilops longissima Schweinf. &amp; Muschli in Muschli</t>
  </si>
  <si>
    <t xml:space="preserve">Agricultural Research Institute Kromeriz, Co. Ltd.</t>
  </si>
  <si>
    <t xml:space="preserve">UR Génétique et Amélioration des Fruits et Légumes, INRA-Avignon</t>
  </si>
  <si>
    <t xml:space="preserve">ATH_AfNO1999032</t>
  </si>
  <si>
    <t xml:space="preserve">MOMONT</t>
  </si>
  <si>
    <t xml:space="preserve">Aegilops lorentii</t>
  </si>
  <si>
    <t xml:space="preserve">Agricultural Research Institute of Taihu Prefecture</t>
  </si>
  <si>
    <t xml:space="preserve">UR Génétique et Écophysiologie de la Qualité des Agrumes, INRA-Corse</t>
  </si>
  <si>
    <t xml:space="preserve">ATH_RI_NASC</t>
  </si>
  <si>
    <t xml:space="preserve">Orgeval</t>
  </si>
  <si>
    <t xml:space="preserve">Aegilops mutica Boiss.</t>
  </si>
  <si>
    <t xml:space="preserve">Agricultural Research Institute, Uyole</t>
  </si>
  <si>
    <t xml:space="preserve">URP Prairies et Plantes Fourragères, INRA-Lusignan</t>
  </si>
  <si>
    <t xml:space="preserve">AtPhy</t>
  </si>
  <si>
    <t xml:space="preserve">Reclainville</t>
  </si>
  <si>
    <t xml:space="preserve">Aegilops ovata L.</t>
  </si>
  <si>
    <t xml:space="preserve">Agricultural Research Organization Volcani Centre</t>
  </si>
  <si>
    <t xml:space="preserve">BcLTF1</t>
  </si>
  <si>
    <t xml:space="preserve">Rennes</t>
  </si>
  <si>
    <t xml:space="preserve">Aegilops ovata var. anatolica Eig</t>
  </si>
  <si>
    <t xml:space="preserve">Agricultural Research Station - Ghana</t>
  </si>
  <si>
    <t xml:space="preserve">BCVEL1</t>
  </si>
  <si>
    <t xml:space="preserve">Saint-Laurent - Foret domaniale de Vierzon</t>
  </si>
  <si>
    <t xml:space="preserve">Aegilops peregrina</t>
  </si>
  <si>
    <t xml:space="preserve">Agricultural Research Station - Greece</t>
  </si>
  <si>
    <t xml:space="preserve">BcYOH1</t>
  </si>
  <si>
    <t xml:space="preserve">Saint-Symphorien - Foret domaniale de la Petite Charnie</t>
  </si>
  <si>
    <t xml:space="preserve">Aegilops recta</t>
  </si>
  <si>
    <t xml:space="preserve">Agricultural Research Station Lovrin-Timis</t>
  </si>
  <si>
    <t xml:space="preserve">BerrySize</t>
  </si>
  <si>
    <t xml:space="preserve">Aegilops searsii Feldman &amp; Kislev</t>
  </si>
  <si>
    <t xml:space="preserve">Agriculture &amp; Animal Production State Research Farm</t>
  </si>
  <si>
    <t xml:space="preserve">BGI_EST_OS</t>
  </si>
  <si>
    <t xml:space="preserve">Aegilops sharonensis</t>
  </si>
  <si>
    <t xml:space="preserve">Agri-obtentions Clermont-Ferrand</t>
  </si>
  <si>
    <t xml:space="preserve">BIEP</t>
  </si>
  <si>
    <t xml:space="preserve">Aegilops speltoides</t>
  </si>
  <si>
    <t xml:space="preserve">Agri-Obtentions, Guyancourt</t>
  </si>
  <si>
    <t xml:space="preserve">BotPathoINRA</t>
  </si>
  <si>
    <t xml:space="preserve">Aegilops squarrosa auct., p. p., non. L.</t>
  </si>
  <si>
    <t xml:space="preserve">Agripro Seeds Inc.</t>
  </si>
  <si>
    <t xml:space="preserve">Botrytis_on_Sunflower_2008</t>
  </si>
  <si>
    <t xml:space="preserve">Aegilops squarrosa L.</t>
  </si>
  <si>
    <t xml:space="preserve">Agrogene</t>
  </si>
  <si>
    <t xml:space="preserve">B1</t>
  </si>
  <si>
    <t xml:space="preserve">Aegilops subulata Pomel</t>
  </si>
  <si>
    <t xml:space="preserve">Agrolit S.A.</t>
  </si>
  <si>
    <t xml:space="preserve">Cabomba_EST</t>
  </si>
  <si>
    <t xml:space="preserve">Aegilops tauschii</t>
  </si>
  <si>
    <t xml:space="preserve">Agronomy</t>
  </si>
  <si>
    <t xml:space="preserve">CANDIDATE_GENES_BIOGECO</t>
  </si>
  <si>
    <t xml:space="preserve">Aegilops tauschii subsp. tauschii x Triticum turgidum subsp.</t>
  </si>
  <si>
    <t xml:space="preserve">A.H. Whitmore Foundation Farm</t>
  </si>
  <si>
    <t xml:space="preserve">Chlorose</t>
  </si>
  <si>
    <t xml:space="preserve">Aegilops triuncialis L.</t>
  </si>
  <si>
    <t xml:space="preserve">Alata Horticultural Research Institute</t>
  </si>
  <si>
    <t xml:space="preserve">CI1999 076</t>
  </si>
  <si>
    <t xml:space="preserve">Aegilops turcomanica</t>
  </si>
  <si>
    <t xml:space="preserve">Alibert</t>
  </si>
  <si>
    <t xml:space="preserve">CI1999 088</t>
  </si>
  <si>
    <t xml:space="preserve">Aegilops variabilis Eig</t>
  </si>
  <si>
    <t xml:space="preserve">All-Union Institute for Vegetable Breeding and Seed Production</t>
  </si>
  <si>
    <t xml:space="preserve">CI2000 005</t>
  </si>
  <si>
    <t xml:space="preserve">Aegilops vavilovi</t>
  </si>
  <si>
    <t xml:space="preserve">Alternate Crops and  Systems Laboratory</t>
  </si>
  <si>
    <t xml:space="preserve">CI2001 002</t>
  </si>
  <si>
    <t xml:space="preserve">Aegilops ventricosa Tausch</t>
  </si>
  <si>
    <t xml:space="preserve">Amélioration des plantes et biotechnologies végétales</t>
  </si>
  <si>
    <t xml:space="preserve">CM2006-var4</t>
  </si>
  <si>
    <t xml:space="preserve">Allium cepa L.</t>
  </si>
  <si>
    <t xml:space="preserve">Amélioration des Semences Légumières</t>
  </si>
  <si>
    <t xml:space="preserve">CNVmaize</t>
  </si>
  <si>
    <t xml:space="preserve">Allium cepa L. groupe aggregatum</t>
  </si>
  <si>
    <t xml:space="preserve">Amelioration et Sante des Plantes</t>
  </si>
  <si>
    <t xml:space="preserve">CP1</t>
  </si>
  <si>
    <t xml:space="preserve">Allium L.</t>
  </si>
  <si>
    <t xml:space="preserve">AMIS/BIOTROP</t>
  </si>
  <si>
    <t xml:space="preserve">CP1P1</t>
  </si>
  <si>
    <t xml:space="preserve">Allium sativum L.</t>
  </si>
  <si>
    <t xml:space="preserve">André Pichot</t>
  </si>
  <si>
    <t xml:space="preserve">CP1p2</t>
  </si>
  <si>
    <t xml:space="preserve">Allium sativum longicuspis</t>
  </si>
  <si>
    <t xml:space="preserve">Applied Biotechnology Center,  CIMMYT</t>
  </si>
  <si>
    <t xml:space="preserve">CP1p3</t>
  </si>
  <si>
    <t xml:space="preserve">Allium sativum sativum</t>
  </si>
  <si>
    <t xml:space="preserve">ARC Interfruitec - Nietvoorbij, Stellenbosch - South Africa</t>
  </si>
  <si>
    <t xml:space="preserve">CP1p4</t>
  </si>
  <si>
    <t xml:space="preserve">Ampelopsis aconitifolia Bunge</t>
  </si>
  <si>
    <t xml:space="preserve">ARCHIVE</t>
  </si>
  <si>
    <t xml:space="preserve">CP1p5</t>
  </si>
  <si>
    <t xml:space="preserve">Ampelopsis aegirophylla Planch.</t>
  </si>
  <si>
    <t xml:space="preserve">Arizona Genomics Institute</t>
  </si>
  <si>
    <t xml:space="preserve">CP1p7</t>
  </si>
  <si>
    <t xml:space="preserve">Ampelopsis bipinnata Michx.</t>
  </si>
  <si>
    <t xml:space="preserve">Arkansas Agricultural Experiment Station, University of Arkansas</t>
  </si>
  <si>
    <t xml:space="preserve">CP2p1</t>
  </si>
  <si>
    <t xml:space="preserve">Ampelopsis bodinieri (H.Lév. &amp; Vaniot) Rehder</t>
  </si>
  <si>
    <t xml:space="preserve">Armenian Institute of Agriculture Armanskaja SSR</t>
  </si>
  <si>
    <t xml:space="preserve">CP3</t>
  </si>
  <si>
    <t xml:space="preserve">Ampelopsis brevipedunculata (Maxim.) Trautv.</t>
  </si>
  <si>
    <t xml:space="preserve">Arvalis-Institut du végétal</t>
  </si>
  <si>
    <t xml:space="preserve">CP4</t>
  </si>
  <si>
    <t xml:space="preserve">Ampelopsis chaffanjonii (H.Lév.) Rehder</t>
  </si>
  <si>
    <t xml:space="preserve">ASGROW</t>
  </si>
  <si>
    <t xml:space="preserve">CP4P2</t>
  </si>
  <si>
    <t xml:space="preserve">Ampelopsis citrulloïdes Lebas</t>
  </si>
  <si>
    <t xml:space="preserve">Asociacion de Nuevos Alquimistas</t>
  </si>
  <si>
    <t xml:space="preserve">CSIRO</t>
  </si>
  <si>
    <t xml:space="preserve">Ampelopsis cordata Michx.</t>
  </si>
  <si>
    <t xml:space="preserve">Association Cap Vert</t>
  </si>
  <si>
    <t xml:space="preserve">CSIRO-INRA_1</t>
  </si>
  <si>
    <t xml:space="preserve">Ampelopsis delavayana Planch.</t>
  </si>
  <si>
    <t xml:space="preserve">Association des Créateurs de Variétés Fourragères</t>
  </si>
  <si>
    <t xml:space="preserve">C2008-14-RGA</t>
  </si>
  <si>
    <t xml:space="preserve">Ampelopsis heterophylla Blume</t>
  </si>
  <si>
    <t xml:space="preserve">Association française interprofessionnelle de l'olive</t>
  </si>
  <si>
    <t xml:space="preserve">DayLength</t>
  </si>
  <si>
    <t xml:space="preserve">Ampelopsis megalophylla Diels &amp; Gilg</t>
  </si>
  <si>
    <t xml:space="preserve">Association Fruits Oubliés</t>
  </si>
  <si>
    <t xml:space="preserve">DBESTARABI</t>
  </si>
  <si>
    <t xml:space="preserve">Ampelopsis Michx.</t>
  </si>
  <si>
    <t xml:space="preserve">Association Les Croqueurs de Pommes du territoire du Jarez</t>
  </si>
  <si>
    <t xml:space="preserve">DBESTMAIZE</t>
  </si>
  <si>
    <t xml:space="preserve">Ampelopsis orientalis Planch.</t>
  </si>
  <si>
    <t xml:space="preserve">Association Les Croqueurs de Pommes du territoire du Jarez, Domaine de la Cantonnière</t>
  </si>
  <si>
    <t xml:space="preserve">DBESTPEA</t>
  </si>
  <si>
    <t xml:space="preserve">Ampelopsis serjaniifolia Bunge</t>
  </si>
  <si>
    <t xml:space="preserve">Association Les Croqueurs de Pommes du territoire du Jarez, Verger de Pleyne</t>
  </si>
  <si>
    <t xml:space="preserve">DBESTPOPLAR</t>
  </si>
  <si>
    <t xml:space="preserve">Ampelopsis vitifolia Planch.</t>
  </si>
  <si>
    <t xml:space="preserve">Association Technique Viticole de Bourgogne</t>
  </si>
  <si>
    <t xml:space="preserve">DBESTRAPE</t>
  </si>
  <si>
    <t xml:space="preserve">Aphis fabae</t>
  </si>
  <si>
    <t xml:space="preserve">ATAV Hérault</t>
  </si>
  <si>
    <t xml:space="preserve">DBESTRICE</t>
  </si>
  <si>
    <t xml:space="preserve">Aphis gossypii</t>
  </si>
  <si>
    <t xml:space="preserve">ATAV Val de Loire</t>
  </si>
  <si>
    <t xml:space="preserve">DBESTSUNFLOWER</t>
  </si>
  <si>
    <t xml:space="preserve">Aphis nerii</t>
  </si>
  <si>
    <t xml:space="preserve">Australian Medicago Genetic Resource Center</t>
  </si>
  <si>
    <t xml:space="preserve">DBESTWHEAT</t>
  </si>
  <si>
    <t xml:space="preserve">Apium graveolens</t>
  </si>
  <si>
    <t xml:space="preserve">Australian Winter Cereals Collection Agricultural Research Centre</t>
  </si>
  <si>
    <t xml:space="preserve">DBESTZINNIA</t>
  </si>
  <si>
    <t xml:space="preserve">Arabidopsis Heynh.</t>
  </si>
  <si>
    <t xml:space="preserve">Aventis CropScience</t>
  </si>
  <si>
    <t xml:space="preserve">D_noxia_KU</t>
  </si>
  <si>
    <t xml:space="preserve">Arabidopsis thaliana</t>
  </si>
  <si>
    <t xml:space="preserve">Ballard's Nurseries</t>
  </si>
  <si>
    <t xml:space="preserve">EGRAM</t>
  </si>
  <si>
    <t xml:space="preserve">Asteraceae</t>
  </si>
  <si>
    <t xml:space="preserve">Banco de Germoplasm de Trigo, Centro Internacional de Mejoramiento de Maíz y Trigo</t>
  </si>
  <si>
    <t xml:space="preserve">eIF4E</t>
  </si>
  <si>
    <t xml:space="preserve">Atalantia ceylanica (Arn.) Oliv.</t>
  </si>
  <si>
    <t xml:space="preserve">Banco de Germoplasma de El Encín</t>
  </si>
  <si>
    <t xml:space="preserve">ERECTA</t>
  </si>
  <si>
    <t xml:space="preserve">Atalantia Corrêa</t>
  </si>
  <si>
    <t xml:space="preserve">Banglasdesh Agricultural Research Institute</t>
  </si>
  <si>
    <t xml:space="preserve">EXEGESE-BLE</t>
  </si>
  <si>
    <t xml:space="preserve">Aurantioideae</t>
  </si>
  <si>
    <t xml:space="preserve">Barajev Kazakhstan Sciences Research Institute</t>
  </si>
  <si>
    <t xml:space="preserve">Fleshless</t>
  </si>
  <si>
    <t xml:space="preserve">Avena sativa</t>
  </si>
  <si>
    <t xml:space="preserve">Barani Agricultural Research Institute</t>
  </si>
  <si>
    <t xml:space="preserve">GABI-PLANT</t>
  </si>
  <si>
    <t xml:space="preserve">Botryotinia fuckeliana</t>
  </si>
  <si>
    <t xml:space="preserve">Bavaria Saat Muenchen BGB GmbH</t>
  </si>
  <si>
    <t xml:space="preserve">GCP 2006-02</t>
  </si>
  <si>
    <t xml:space="preserve">Brachypodium distachyon</t>
  </si>
  <si>
    <t xml:space="preserve">BAYER CROP SCIENCE</t>
  </si>
  <si>
    <t xml:space="preserve">Genoble</t>
  </si>
  <si>
    <t xml:space="preserve">Brassica carinata A. Braun</t>
  </si>
  <si>
    <t xml:space="preserve">Bayer CropScience</t>
  </si>
  <si>
    <t xml:space="preserve">GEN107_PTGS</t>
  </si>
  <si>
    <t xml:space="preserve">Brassica juncea (L.) Czern.</t>
  </si>
  <si>
    <t xml:space="preserve">Bayerische Pflanzenzuchtgesellschaft eG &amp; Co. KG</t>
  </si>
  <si>
    <t xml:space="preserve">GnpSeq</t>
  </si>
  <si>
    <t xml:space="preserve">Brassica L.</t>
  </si>
  <si>
    <t xml:space="preserve">Beatson RA, Nelson - New Zealand</t>
  </si>
  <si>
    <t xml:space="preserve">GNP05013C</t>
  </si>
  <si>
    <t xml:space="preserve">Beijing Academy of Agriculture and Forestry Sciences</t>
  </si>
  <si>
    <t xml:space="preserve">GNP3-B4</t>
  </si>
  <si>
    <t xml:space="preserve">Brassica napus var. napobrassica (L.) Rchb</t>
  </si>
  <si>
    <t xml:space="preserve">Beijing Agricultural University - Departement of Agriculture</t>
  </si>
  <si>
    <t xml:space="preserve">GOP A1</t>
  </si>
  <si>
    <t xml:space="preserve">Brassica napus var. napus L.</t>
  </si>
  <si>
    <t xml:space="preserve">Bejo</t>
  </si>
  <si>
    <t xml:space="preserve">GOP PEA-A</t>
  </si>
  <si>
    <t xml:space="preserve">Brassica nigra (L.) W. D. J. Koch</t>
  </si>
  <si>
    <t xml:space="preserve">Belloy et Compagnie</t>
  </si>
  <si>
    <t xml:space="preserve">GOP PEA-B</t>
  </si>
  <si>
    <t xml:space="preserve">Brassica oleracea L.</t>
  </si>
  <si>
    <t xml:space="preserve">Benito Poggiali, Faenza - Italy</t>
  </si>
  <si>
    <t xml:space="preserve">GOP PEA-C</t>
  </si>
  <si>
    <t xml:space="preserve">Brassica oleracea var. acephala DC.</t>
  </si>
  <si>
    <t xml:space="preserve">Bergeron Gabrielle, St-Cyr-au-Mont-d'Or Lyon - France</t>
  </si>
  <si>
    <t xml:space="preserve">GOP PEA-G</t>
  </si>
  <si>
    <t xml:space="preserve">Brassica oleracea var. botrytis L.</t>
  </si>
  <si>
    <t xml:space="preserve">BGI</t>
  </si>
  <si>
    <t xml:space="preserve">GOP Q5</t>
  </si>
  <si>
    <t xml:space="preserve">Brassica oleracea var. capitata f. capitata</t>
  </si>
  <si>
    <t xml:space="preserve">Biochemistry</t>
  </si>
  <si>
    <t xml:space="preserve">GOP T6</t>
  </si>
  <si>
    <t xml:space="preserve">Brassica oleracea var. capitata f. pyramidalis</t>
  </si>
  <si>
    <t xml:space="preserve">Biochemistry,  Department of Natural Sciences</t>
  </si>
  <si>
    <t xml:space="preserve">GPiDB</t>
  </si>
  <si>
    <t xml:space="preserve">Brassica oleracea var. capitata f. rubra</t>
  </si>
  <si>
    <t xml:space="preserve">Biochemistry and  Biophysics,  Department of Chemistry, Lundberg Laboratory</t>
  </si>
  <si>
    <t xml:space="preserve">GPLA06027C</t>
  </si>
  <si>
    <t xml:space="preserve">Brassica oleracea var. capitata L.</t>
  </si>
  <si>
    <t xml:space="preserve">Biochemistry Department</t>
  </si>
  <si>
    <t xml:space="preserve">GrainGenes</t>
  </si>
  <si>
    <t xml:space="preserve">Brassica oleracea var. costata DC.</t>
  </si>
  <si>
    <t xml:space="preserve">Biochimie et Physiologie Moleculaire des plantes</t>
  </si>
  <si>
    <t xml:space="preserve">GRAPEGEN06</t>
  </si>
  <si>
    <t xml:space="preserve">Brassica oleracea var. gemmifera (DC.) Zenker</t>
  </si>
  <si>
    <t xml:space="preserve">BIOGECO</t>
  </si>
  <si>
    <t xml:space="preserve">GrapeReSeq</t>
  </si>
  <si>
    <t xml:space="preserve">Brassica oleracea var. gongylodes L.</t>
  </si>
  <si>
    <t xml:space="preserve">BIOGEMMA</t>
  </si>
  <si>
    <t xml:space="preserve">GRAPESEQ</t>
  </si>
  <si>
    <t xml:space="preserve">Brassica oleracea var. italica Plenck</t>
  </si>
  <si>
    <t xml:space="preserve">Biogemma</t>
  </si>
  <si>
    <t xml:space="preserve">GRMap</t>
  </si>
  <si>
    <t xml:space="preserve">Brassica oleracea var. medullosa Thell.</t>
  </si>
  <si>
    <t xml:space="preserve">BIOGEMMA Mondonville</t>
  </si>
  <si>
    <t xml:space="preserve">GTPases</t>
  </si>
  <si>
    <t xml:space="preserve">Brassica oleracea var. oleracea L.</t>
  </si>
  <si>
    <t xml:space="preserve">BIOGEMMA SAS</t>
  </si>
  <si>
    <t xml:space="preserve">HA_HG1_EST</t>
  </si>
  <si>
    <t xml:space="preserve">Brassica oleracea var. ramosa DC.</t>
  </si>
  <si>
    <t xml:space="preserve">BIOGER</t>
  </si>
  <si>
    <t xml:space="preserve">Hcyl</t>
  </si>
  <si>
    <t xml:space="preserve">Brassica oleracea var. sabauda L.</t>
  </si>
  <si>
    <t xml:space="preserve">BIOGER - Equipe Analyse Fonctionnelle du genome de Botrytis cinerea</t>
  </si>
  <si>
    <t xml:space="preserve">HG1</t>
  </si>
  <si>
    <t xml:space="preserve">Brassica rapa L.</t>
  </si>
  <si>
    <t xml:space="preserve">BioInformatics</t>
  </si>
  <si>
    <t xml:space="preserve">Brassica rapa subsp. chinensis (L.) Hanelt</t>
  </si>
  <si>
    <t xml:space="preserve">Bioinformatics</t>
  </si>
  <si>
    <t xml:space="preserve">INRA_AFGBC</t>
  </si>
  <si>
    <t xml:space="preserve">Brassica rapa subsp. dichotoma (Roxb.) Hanelt</t>
  </si>
  <si>
    <t xml:space="preserve">Bioinformatics Department</t>
  </si>
  <si>
    <t xml:space="preserve">INRA_BBSRC_NUEtraits</t>
  </si>
  <si>
    <t xml:space="preserve">Brassica rapa subsp. oleifera (DC.) Metzg</t>
  </si>
  <si>
    <t xml:space="preserve">Bioinformatics Team</t>
  </si>
  <si>
    <t xml:space="preserve">INRA_CIS</t>
  </si>
  <si>
    <t xml:space="preserve">Brassica rapa subsp. pekinensis (Lour.) Hanelt</t>
  </si>
  <si>
    <t xml:space="preserve">Biological Resources Division</t>
  </si>
  <si>
    <t xml:space="preserve">INRA_EVOL</t>
  </si>
  <si>
    <t xml:space="preserve">Brassica rapa subsp. rapa L.</t>
  </si>
  <si>
    <t xml:space="preserve">Biological Sciences</t>
  </si>
  <si>
    <t xml:space="preserve">INRA_mapping</t>
  </si>
  <si>
    <t xml:space="preserve">Brassica rapa subsp. ruvo L. H. Bailey</t>
  </si>
  <si>
    <t xml:space="preserve">Biologie Cellulaire</t>
  </si>
  <si>
    <t xml:space="preserve">INRA_nitrate</t>
  </si>
  <si>
    <t xml:space="preserve">Brassica rapa subsp. trilocularis (Roxb.) Hanelt</t>
  </si>
  <si>
    <t xml:space="preserve">Biologie cellulaire</t>
  </si>
  <si>
    <t xml:space="preserve">INRA_PEA_GAP</t>
  </si>
  <si>
    <t xml:space="preserve">Bromus secalinus</t>
  </si>
  <si>
    <t xml:space="preserve">Biologie Vegetale</t>
  </si>
  <si>
    <t xml:space="preserve">INRA_POPYOMICS1</t>
  </si>
  <si>
    <t xml:space="preserve">Cabomba aquatica</t>
  </si>
  <si>
    <t xml:space="preserve">Biology</t>
  </si>
  <si>
    <t xml:space="preserve">INRA_split</t>
  </si>
  <si>
    <t xml:space="preserve">Canis lupus familiaris</t>
  </si>
  <si>
    <t xml:space="preserve">Biology Department and  Biotechnology Institute</t>
  </si>
  <si>
    <t xml:space="preserve">INRA_URLEG_IPK</t>
  </si>
  <si>
    <t xml:space="preserve">Capsicum annuum L.</t>
  </si>
  <si>
    <t xml:space="preserve">Biometrics and  Bioinformatics Unit</t>
  </si>
  <si>
    <t xml:space="preserve">INRA_Wheat_Breeding_Network</t>
  </si>
  <si>
    <t xml:space="preserve">Capsicum baccatum L.</t>
  </si>
  <si>
    <t xml:space="preserve">BioPia</t>
  </si>
  <si>
    <t xml:space="preserve">INRA_Zm</t>
  </si>
  <si>
    <t xml:space="preserve">Capsicum cardenasii L.</t>
  </si>
  <si>
    <t xml:space="preserve">Bioplante</t>
  </si>
  <si>
    <t xml:space="preserve">INRA01</t>
  </si>
  <si>
    <t xml:space="preserve">Capsicum chacoense Heiser &amp; Sm.</t>
  </si>
  <si>
    <t xml:space="preserve">Biotech Research Center</t>
  </si>
  <si>
    <t xml:space="preserve">INRA02</t>
  </si>
  <si>
    <t xml:space="preserve">Capsicum chinense</t>
  </si>
  <si>
    <t xml:space="preserve">Biotechnology</t>
  </si>
  <si>
    <t xml:space="preserve">INRA03</t>
  </si>
  <si>
    <t xml:space="preserve">Capsicum eximium Jacq.</t>
  </si>
  <si>
    <t xml:space="preserve">Biotechnology Division</t>
  </si>
  <si>
    <t xml:space="preserve">INRA04</t>
  </si>
  <si>
    <t xml:space="preserve">Capsicum frutescens Hunziker</t>
  </si>
  <si>
    <t xml:space="preserve">Biotechnology Institute</t>
  </si>
  <si>
    <t xml:space="preserve">INRA05</t>
  </si>
  <si>
    <t xml:space="preserve">Capsicum galapagoense L.</t>
  </si>
  <si>
    <t xml:space="preserve">Biotechnology Section,  Agricultural Experiment Station</t>
  </si>
  <si>
    <t xml:space="preserve">INRA06</t>
  </si>
  <si>
    <t xml:space="preserve">Capsicum L.</t>
  </si>
  <si>
    <t xml:space="preserve">Biotechnology Team</t>
  </si>
  <si>
    <t xml:space="preserve">INRA07</t>
  </si>
  <si>
    <t xml:space="preserve">Capsicum microcarpum</t>
  </si>
  <si>
    <t xml:space="preserve">Biotrop</t>
  </si>
  <si>
    <t xml:space="preserve">IN_SILICO_INFINIUM_OAK</t>
  </si>
  <si>
    <t xml:space="preserve">Capsicum praetermissum Cav.</t>
  </si>
  <si>
    <t xml:space="preserve">BiO3P</t>
  </si>
  <si>
    <t xml:space="preserve">Interop</t>
  </si>
  <si>
    <t xml:space="preserve">Capsicum pubescens</t>
  </si>
  <si>
    <t xml:space="preserve">Blanc Marie Thérèse et Jean-Claude Beaumont, Monteux - France</t>
  </si>
  <si>
    <t xml:space="preserve">IN_VITRO_INFINIUM_OAK</t>
  </si>
  <si>
    <t xml:space="preserve">Carica papaya</t>
  </si>
  <si>
    <t xml:space="preserve">BLONDEAU (ETS A)</t>
  </si>
  <si>
    <t xml:space="preserve">IN_VITRO_PETRAEA_SNP</t>
  </si>
  <si>
    <t xml:space="preserve">Castanea crenata</t>
  </si>
  <si>
    <t xml:space="preserve">BMAS</t>
  </si>
  <si>
    <t xml:space="preserve">ITEC</t>
  </si>
  <si>
    <t xml:space="preserve">Castanea crenata x dentata</t>
  </si>
  <si>
    <t xml:space="preserve">Bois Marie France, St Gilles - France</t>
  </si>
  <si>
    <t xml:space="preserve">IWGSC Wheat Survey</t>
  </si>
  <si>
    <t xml:space="preserve">Castanea crenata x henryi</t>
  </si>
  <si>
    <t xml:space="preserve">Bolivian Institute for Agricultural Technology - Chinoli Experiment Station</t>
  </si>
  <si>
    <t xml:space="preserve">Map4</t>
  </si>
  <si>
    <t xml:space="preserve">Castanea crenata x mollissima</t>
  </si>
  <si>
    <t xml:space="preserve">Bonté H. et Cie, S.A.</t>
  </si>
  <si>
    <t xml:space="preserve">Melon-GAFL</t>
  </si>
  <si>
    <t xml:space="preserve">Castanea crenata x pumila</t>
  </si>
  <si>
    <t xml:space="preserve">Boreal Plant Breeding Ltd</t>
  </si>
  <si>
    <t xml:space="preserve">Muscares</t>
  </si>
  <si>
    <t xml:space="preserve">Castanea crenata x sativa</t>
  </si>
  <si>
    <t xml:space="preserve">Boret-Godineau (bought by Vilmorin)</t>
  </si>
  <si>
    <t xml:space="preserve">NO 2001 027</t>
  </si>
  <si>
    <t xml:space="preserve">Castanea crenata x seguinii</t>
  </si>
  <si>
    <t xml:space="preserve">Botany</t>
  </si>
  <si>
    <t xml:space="preserve">NoBi2001029</t>
  </si>
  <si>
    <t xml:space="preserve">Castanea dentata</t>
  </si>
  <si>
    <t xml:space="preserve">Botany and  Plant Genetics</t>
  </si>
  <si>
    <t xml:space="preserve">NovelTree</t>
  </si>
  <si>
    <t xml:space="preserve">Castanea dentata pumila</t>
  </si>
  <si>
    <t xml:space="preserve">Boulet Luc-Pierre,  Meynes - France</t>
  </si>
  <si>
    <t xml:space="preserve">NSF</t>
  </si>
  <si>
    <t xml:space="preserve">Castanea dentata seguinii</t>
  </si>
  <si>
    <t xml:space="preserve">Boyce Thompson Institute for Plant Research</t>
  </si>
  <si>
    <t xml:space="preserve">NSF DBI Grant</t>
  </si>
  <si>
    <t xml:space="preserve">Castanea dentata x henryi</t>
  </si>
  <si>
    <t xml:space="preserve">Bretagne Plants</t>
  </si>
  <si>
    <t xml:space="preserve">Okayama University Project</t>
  </si>
  <si>
    <t xml:space="preserve">Castanea dentata x mollissima</t>
  </si>
  <si>
    <t xml:space="preserve">Bretagne Plants &amp; Syndicat des Producteur de Plants de Pontivy</t>
  </si>
  <si>
    <t xml:space="preserve">OsChip</t>
  </si>
  <si>
    <t xml:space="preserve">Castanea dentata x sativa</t>
  </si>
  <si>
    <t xml:space="preserve">Bundesversuchswirtschaft Wieselburg</t>
  </si>
  <si>
    <t xml:space="preserve">OSCRGF</t>
  </si>
  <si>
    <t xml:space="preserve">Castanea henryi</t>
  </si>
  <si>
    <t xml:space="preserve">Bureau National Interprofessionnel du Cognac</t>
  </si>
  <si>
    <t xml:space="preserve">OSCRR1</t>
  </si>
  <si>
    <t xml:space="preserve">Castanea henryi  x seguinii</t>
  </si>
  <si>
    <t xml:space="preserve">Buryat Republican State Agricultural Experiment Station</t>
  </si>
  <si>
    <t xml:space="preserve">OSEST</t>
  </si>
  <si>
    <t xml:space="preserve">Castanea henryi x mollissima</t>
  </si>
  <si>
    <t xml:space="preserve">Bvumbwe Agricultural Research Station</t>
  </si>
  <si>
    <t xml:space="preserve">OsIRD</t>
  </si>
  <si>
    <t xml:space="preserve">Castanea henryi x pumila</t>
  </si>
  <si>
    <t xml:space="preserve">Cabel Hall Citrus Ltd.</t>
  </si>
  <si>
    <t xml:space="preserve">OsMU1</t>
  </si>
  <si>
    <t xml:space="preserve">Castanea henryi x sativa</t>
  </si>
  <si>
    <t xml:space="preserve">CACBA Avenue Gaston Phoebus</t>
  </si>
  <si>
    <t xml:space="preserve">Pea Consensus</t>
  </si>
  <si>
    <t xml:space="preserve">Castanea mollissima</t>
  </si>
  <si>
    <t xml:space="preserve">Cadoux (F)</t>
  </si>
  <si>
    <t xml:space="preserve">Pea_Aphid_EST</t>
  </si>
  <si>
    <t xml:space="preserve">Castanea mollissima x pumila</t>
  </si>
  <si>
    <t xml:space="preserve">CAES Genome Facility</t>
  </si>
  <si>
    <t xml:space="preserve">PeaPql</t>
  </si>
  <si>
    <t xml:space="preserve">Castanea mollissima x sativa</t>
  </si>
  <si>
    <t xml:space="preserve">CAILLARD</t>
  </si>
  <si>
    <t xml:space="preserve">Phyto_EST_INRA</t>
  </si>
  <si>
    <t xml:space="preserve">Castanea mollissima x seguinii</t>
  </si>
  <si>
    <t xml:space="preserve">Caillard</t>
  </si>
  <si>
    <t xml:space="preserve">PlantaComp</t>
  </si>
  <si>
    <t xml:space="preserve">Castanea P. Mill.</t>
  </si>
  <si>
    <t xml:space="preserve">California Agricultural Experiment Station, University of California</t>
  </si>
  <si>
    <t xml:space="preserve">PN40024</t>
  </si>
  <si>
    <t xml:space="preserve">Castanea pumila</t>
  </si>
  <si>
    <t xml:space="preserve">California Citrus Exp. Sta.</t>
  </si>
  <si>
    <t xml:space="preserve">PoplarMap</t>
  </si>
  <si>
    <t xml:space="preserve">Castanea pumila x sativa</t>
  </si>
  <si>
    <t xml:space="preserve">California nursery</t>
  </si>
  <si>
    <t xml:space="preserve">POPSEC</t>
  </si>
  <si>
    <t xml:space="preserve">Castanea pumila x seguinii</t>
  </si>
  <si>
    <t xml:space="preserve">California State University</t>
  </si>
  <si>
    <t xml:space="preserve">private_mRNA</t>
  </si>
  <si>
    <t xml:space="preserve">Castanea sativa</t>
  </si>
  <si>
    <t xml:space="preserve">CAMBIER FRERES</t>
  </si>
  <si>
    <t xml:space="preserve">private_mRNA_WH</t>
  </si>
  <si>
    <t xml:space="preserve">Castanea sativa x seguinii</t>
  </si>
  <si>
    <t xml:space="preserve">Cambridge Science Park</t>
  </si>
  <si>
    <t xml:space="preserve">private_mRNA_ZE</t>
  </si>
  <si>
    <t xml:space="preserve">Castanea seguinii</t>
  </si>
  <si>
    <t xml:space="preserve">Canadian Clonal Genebank, Greenhouse and Processing Crops Research Centre, Agriculture and Agri-Food Canada</t>
  </si>
  <si>
    <t xml:space="preserve">priv_ATH_mRNA</t>
  </si>
  <si>
    <t xml:space="preserve">Cissus aralioides Planch.</t>
  </si>
  <si>
    <t xml:space="preserve">Canterbury Agriculture and Science Centre - DSIR - Crop Research Division</t>
  </si>
  <si>
    <t xml:space="preserve">Priv01</t>
  </si>
  <si>
    <t xml:space="preserve">Cissus cactiformis Gilg</t>
  </si>
  <si>
    <t xml:space="preserve">Caussade Semences</t>
  </si>
  <si>
    <t xml:space="preserve">pub_ATH_mRNA</t>
  </si>
  <si>
    <t xml:space="preserve">Cissus L.</t>
  </si>
  <si>
    <t xml:space="preserve">Caussade semences</t>
  </si>
  <si>
    <t xml:space="preserve">Pub_Frag_EST</t>
  </si>
  <si>
    <t xml:space="preserve">Cissus quadrangularis L.</t>
  </si>
  <si>
    <t xml:space="preserve">C.C. Benoist</t>
  </si>
  <si>
    <t xml:space="preserve">Pub_Frag_mRNA</t>
  </si>
  <si>
    <t xml:space="preserve">Cissus rotundifolia Blume</t>
  </si>
  <si>
    <t xml:space="preserve">Cebeco Hande lsraad (Commercial Section)</t>
  </si>
  <si>
    <t xml:space="preserve">Pub_Hargo_EST</t>
  </si>
  <si>
    <t xml:space="preserve">Cissus sicyoides L.</t>
  </si>
  <si>
    <t xml:space="preserve">Cebeco Seed Innovations Ltd</t>
  </si>
  <si>
    <t xml:space="preserve">Pub_Hpara_EST</t>
  </si>
  <si>
    <t xml:space="preserve">(Citrange x Citrus paradisi Macf.)</t>
  </si>
  <si>
    <t xml:space="preserve">CeBiTec</t>
  </si>
  <si>
    <t xml:space="preserve">Public</t>
  </si>
  <si>
    <t xml:space="preserve">(Citrange x (Citrus reticulata var. austera ? x Fortunella sp))</t>
  </si>
  <si>
    <t xml:space="preserve">CEFEL</t>
  </si>
  <si>
    <t xml:space="preserve">Public EST Hcy1</t>
  </si>
  <si>
    <t xml:space="preserve">(Citrange x Citrus sinensis (L.) Osb.)</t>
  </si>
  <si>
    <t xml:space="preserve">Celera AgGen</t>
  </si>
  <si>
    <t xml:space="preserve">Public mRNA Hcy</t>
  </si>
  <si>
    <t xml:space="preserve">(Citrange x Eremocitrus glauca (Lindl.) Swing.)</t>
  </si>
  <si>
    <t xml:space="preserve">Celera Aggen</t>
  </si>
  <si>
    <t xml:space="preserve">public_Est_Ap</t>
  </si>
  <si>
    <t xml:space="preserve">(Citrange x Fortunella sp.)</t>
  </si>
  <si>
    <t xml:space="preserve">Cell Biology</t>
  </si>
  <si>
    <t xml:space="preserve">public_Est_Vn</t>
  </si>
  <si>
    <t xml:space="preserve">(Citrange x Poncirus trifoliata (L.) Raf.)</t>
  </si>
  <si>
    <t xml:space="preserve">Cell Physiology</t>
  </si>
  <si>
    <t xml:space="preserve">public_mRNA</t>
  </si>
  <si>
    <t xml:space="preserve">Citreae</t>
  </si>
  <si>
    <t xml:space="preserve">Cell Technologies</t>
  </si>
  <si>
    <t xml:space="preserve">public_mRNA_Ap</t>
  </si>
  <si>
    <t xml:space="preserve">Citrinae</t>
  </si>
  <si>
    <t xml:space="preserve">Center for Biotechnology</t>
  </si>
  <si>
    <t xml:space="preserve">public_mRNA_BN</t>
  </si>
  <si>
    <t xml:space="preserve">Citropsis daweana Swingle &amp; M. Kellerm.</t>
  </si>
  <si>
    <t xml:space="preserve">Center For Genetic Resource Information</t>
  </si>
  <si>
    <t xml:space="preserve">public_mRNA_Bot</t>
  </si>
  <si>
    <t xml:space="preserve">Citropsis Swingle &amp; Kellerm.</t>
  </si>
  <si>
    <t xml:space="preserve">Center of Forest Research</t>
  </si>
  <si>
    <t xml:space="preserve">public_mRNA_OS</t>
  </si>
  <si>
    <t xml:space="preserve">Citrus alata Tan.</t>
  </si>
  <si>
    <t xml:space="preserve">Central Agricultural Research Institute</t>
  </si>
  <si>
    <t xml:space="preserve">public_mRNA_Vn</t>
  </si>
  <si>
    <t xml:space="preserve">Citrus amblycarpa (Hassk.) Ochse</t>
  </si>
  <si>
    <t xml:space="preserve">Central Res. Lab.,  Life Sci. Res. Cent.</t>
  </si>
  <si>
    <t xml:space="preserve">public_mRNA_WH</t>
  </si>
  <si>
    <t xml:space="preserve">Citrus ampullacea Hort. ex Tan.</t>
  </si>
  <si>
    <t xml:space="preserve">Centre de coopération Internationale en Recherche Agronomique pour le Développement</t>
  </si>
  <si>
    <t xml:space="preserve">public_mRNA_ZE</t>
  </si>
  <si>
    <t xml:space="preserve">Citrus anonyma Hort. ex Y. Tan.</t>
  </si>
  <si>
    <t xml:space="preserve">Centre de Genetique Moleculaire</t>
  </si>
  <si>
    <t xml:space="preserve">public_PS_mRNA</t>
  </si>
  <si>
    <t xml:space="preserve">Citrus asahikan Hort. ex Tan.</t>
  </si>
  <si>
    <t xml:space="preserve">Centre de Montpellier</t>
  </si>
  <si>
    <t xml:space="preserve">Public_Rose_EST</t>
  </si>
  <si>
    <t xml:space="preserve">Citrus assamensis Dutta &amp; Bhatt.</t>
  </si>
  <si>
    <t xml:space="preserve">centre de montpellier</t>
  </si>
  <si>
    <t xml:space="preserve">public_SB_mRNA</t>
  </si>
  <si>
    <t xml:space="preserve">Citrus aurantiaca Hort. ex Tan.</t>
  </si>
  <si>
    <t xml:space="preserve">Centre de Recherche Agronomique de l'Etat, Station d'Amelioration des Plantes</t>
  </si>
  <si>
    <t xml:space="preserve">pub_MT_EST</t>
  </si>
  <si>
    <t xml:space="preserve">Citrus aurantifolia (Christm.) Swing</t>
  </si>
  <si>
    <t xml:space="preserve">Centre de Recherches Agronomiques,  Departement deBiotechnologie</t>
  </si>
  <si>
    <t xml:space="preserve">pub_MT_mRNA</t>
  </si>
  <si>
    <t xml:space="preserve">(Citrus aurantifolia (Christm.) Swing. x Fortunella sp.)</t>
  </si>
  <si>
    <t xml:space="preserve">Centre de Recherches Agronomiques d'Alsace</t>
  </si>
  <si>
    <t xml:space="preserve">Pub_Rose_mRNA</t>
  </si>
  <si>
    <t xml:space="preserve">Citrus aurantium L.</t>
  </si>
  <si>
    <t xml:space="preserve">Centre de recherches sur les cultures abritées et industrielles</t>
  </si>
  <si>
    <t xml:space="preserve">pub_SB_EST</t>
  </si>
  <si>
    <t xml:space="preserve">(Citrus aurantium L. x Poncirus trifoliata (L.) Raf.)</t>
  </si>
  <si>
    <t xml:space="preserve">Centre d'Etudes Techniques Agricoles (CETA), Domaine de M. Genier</t>
  </si>
  <si>
    <t xml:space="preserve">pub_SUNF_mRNA</t>
  </si>
  <si>
    <t xml:space="preserve">Citrus aurata Risso</t>
  </si>
  <si>
    <t xml:space="preserve">Centre for Forest Biology and Department of Biology</t>
  </si>
  <si>
    <t xml:space="preserve">QTL_LR4_QLS</t>
  </si>
  <si>
    <t xml:space="preserve">Citrus aurea Hort. ex Tan.</t>
  </si>
  <si>
    <t xml:space="preserve">Centre for Genetic Resources, the Netherlands</t>
  </si>
  <si>
    <t xml:space="preserve">QualityLegSeed</t>
  </si>
  <si>
    <t xml:space="preserve">Citrus balincolong Tan.</t>
  </si>
  <si>
    <t xml:space="preserve">Centre for Plant Conservation Genetics</t>
  </si>
  <si>
    <t xml:space="preserve">Resequencing of  S15 mutant</t>
  </si>
  <si>
    <t xml:space="preserve">Citrus balotina Poit. &amp; Turpin</t>
  </si>
  <si>
    <t xml:space="preserve">Centre for Plant Conservation Genetics,  Southern CrossUniversity</t>
  </si>
  <si>
    <t xml:space="preserve">RIL2</t>
  </si>
  <si>
    <t xml:space="preserve">Citrus benikoji Hort. ex Tan.</t>
  </si>
  <si>
    <t xml:space="preserve">Centre for Plant Molecular Biology</t>
  </si>
  <si>
    <t xml:space="preserve">RIL345</t>
  </si>
  <si>
    <t xml:space="preserve">Citrus bergamia Risso &amp; Poit.</t>
  </si>
  <si>
    <t xml:space="preserve">Centre National de Contôle et de Certification des Semences et Plants</t>
  </si>
  <si>
    <t xml:space="preserve">RIL9</t>
  </si>
  <si>
    <t xml:space="preserve">Citrus boholensis Tan.</t>
  </si>
  <si>
    <t xml:space="preserve">Centre National de la Recherche Scientifique</t>
  </si>
  <si>
    <t xml:space="preserve">ROOTEST-SSR</t>
  </si>
  <si>
    <t xml:space="preserve">Citrus canaliculata Hort. ex Y. Tan</t>
  </si>
  <si>
    <t xml:space="preserve">Centre Régional de Ressources Génétiques du Nord-Pas-de-Calais</t>
  </si>
  <si>
    <t xml:space="preserve">Rosa_EST_INRA</t>
  </si>
  <si>
    <t xml:space="preserve">Citrus celebica Koord.</t>
  </si>
  <si>
    <t xml:space="preserve">Centre Technique de l'Olivier</t>
  </si>
  <si>
    <t xml:space="preserve">Rose_Flowering_Genes</t>
  </si>
  <si>
    <t xml:space="preserve">Citrus chuana Hort. ex Tseng</t>
  </si>
  <si>
    <t xml:space="preserve">Centro Agronomico Tropical de Investigación y Enseñanza</t>
  </si>
  <si>
    <t xml:space="preserve">Rp_EST</t>
  </si>
  <si>
    <t xml:space="preserve">Citrus clementina Hort. ex Tan.</t>
  </si>
  <si>
    <t xml:space="preserve">Centro de Edafologia y Biologia Aplicada del Segura</t>
  </si>
  <si>
    <t xml:space="preserve">Sclerotinia_on_Sunflower_2008</t>
  </si>
  <si>
    <t xml:space="preserve">(Citrus clementina Hort. ex Tan. x Poncirus trifoliata (L.) Raf.)</t>
  </si>
  <si>
    <t xml:space="preserve">Centro de Edafologia y Biologia Aplicada del Segura - Caballero Jose Egea</t>
  </si>
  <si>
    <t xml:space="preserve">SCU</t>
  </si>
  <si>
    <t xml:space="preserve">Citrus combara Raf.</t>
  </si>
  <si>
    <t xml:space="preserve">Centro de Edafologia y Biologia Aplicada del Segura - Martinez Gomez Pedro</t>
  </si>
  <si>
    <t xml:space="preserve">Seedlessness</t>
  </si>
  <si>
    <t xml:space="preserve">Citrus crenatifolia Lush.</t>
  </si>
  <si>
    <t xml:space="preserve">Centro de Investigacion Palmira Corp. Colombiana Invest. Agropec</t>
  </si>
  <si>
    <t xml:space="preserve">SNPGrapeMap</t>
  </si>
  <si>
    <t xml:space="preserve">Citrus daoxianensis S.W. He &amp; G.F. Liu</t>
  </si>
  <si>
    <t xml:space="preserve">Centro de Investigaciones Agricolas 'Alberto Boerger'</t>
  </si>
  <si>
    <t xml:space="preserve">SSRGrapeIntMap</t>
  </si>
  <si>
    <t xml:space="preserve">Citrus davaoensis Tan.</t>
  </si>
  <si>
    <t xml:space="preserve">Centro de Investigaciones Agrícolas del Pacifico-Norte, INIA</t>
  </si>
  <si>
    <t xml:space="preserve">TACP1P3</t>
  </si>
  <si>
    <t xml:space="preserve">Citrus deliciosa Ten.</t>
  </si>
  <si>
    <t xml:space="preserve">Centro di Studio per il Miglioramento Genetico degli Agrumi</t>
  </si>
  <si>
    <t xml:space="preserve">TG</t>
  </si>
  <si>
    <t xml:space="preserve">Citrus depressa Hay.</t>
  </si>
  <si>
    <t xml:space="preserve">Centro Internacional de Mejoram de Maiz y Trigo - Turkey</t>
  </si>
  <si>
    <t xml:space="preserve">TomatoDive</t>
  </si>
  <si>
    <t xml:space="preserve">Citrus duttae Tan.</t>
  </si>
  <si>
    <t xml:space="preserve">Centro Internacional de Mejoramiento de Maiz y Trigo</t>
  </si>
  <si>
    <t xml:space="preserve">TRILAT-027</t>
  </si>
  <si>
    <t xml:space="preserve">Citrus erythrosa Hort. ex Tan.</t>
  </si>
  <si>
    <t xml:space="preserve">Centro Nacional de Investigaciones Agropecuarias, FONAIAP</t>
  </si>
  <si>
    <t xml:space="preserve">Triticarte</t>
  </si>
  <si>
    <t xml:space="preserve">Citrus excelsa Wester</t>
  </si>
  <si>
    <t xml:space="preserve">Centro Nacional de Pesquisa de Mandioca e Fruticultura</t>
  </si>
  <si>
    <t xml:space="preserve">Tritipol</t>
  </si>
  <si>
    <t xml:space="preserve">Citrus flavicarpa Hort. ex Tan.</t>
  </si>
  <si>
    <t xml:space="preserve">Centro Nacional de Recursos Geneticos e Biotecnologia</t>
  </si>
  <si>
    <t xml:space="preserve">TRI017</t>
  </si>
  <si>
    <t xml:space="preserve">Citrus funadoko Hort. ex Y. Tan.</t>
  </si>
  <si>
    <t xml:space="preserve">Centro regional andino Mendoza Argentina (Centro Regional de Investigaciones Científicas y Tecnológicas)</t>
  </si>
  <si>
    <t xml:space="preserve">Udine_SSR</t>
  </si>
  <si>
    <t xml:space="preserve">Citrus genshokan Hort. ex Tan.</t>
  </si>
  <si>
    <t xml:space="preserve">Centro Regional de Investigacion INIA La Platina</t>
  </si>
  <si>
    <t xml:space="preserve">UMR5667-PREST03</t>
  </si>
  <si>
    <t xml:space="preserve">Citrus glaberrima Hort. ex Tan.</t>
  </si>
  <si>
    <t xml:space="preserve">Cereal Crops Unit</t>
  </si>
  <si>
    <t xml:space="preserve">unknown</t>
  </si>
  <si>
    <t xml:space="preserve">Citrus hainanensis Tan.</t>
  </si>
  <si>
    <t xml:space="preserve">Cereal Institute, National Agricultural Research Foundation</t>
  </si>
  <si>
    <t xml:space="preserve">USDA CSREES-NRI Grant</t>
  </si>
  <si>
    <t xml:space="preserve">Citrus halimii Stone</t>
  </si>
  <si>
    <t xml:space="preserve">Cereal Research Centre,  Agriculture &amp; Agri-Foods Canada</t>
  </si>
  <si>
    <t xml:space="preserve">VAST</t>
  </si>
  <si>
    <t xml:space="preserve">Citrus hanaju Siebold ex Shirai</t>
  </si>
  <si>
    <t xml:space="preserve">Cereal Research Centre,  Agriculture and  Agri-food Canada</t>
  </si>
  <si>
    <t xml:space="preserve">VITAROMA</t>
  </si>
  <si>
    <t xml:space="preserve">Citrus haniana Hort. ex Tseng</t>
  </si>
  <si>
    <t xml:space="preserve">Cereal Research Centre, Agriculture and Agri-Food Canada</t>
  </si>
  <si>
    <t xml:space="preserve">VMC</t>
  </si>
  <si>
    <t xml:space="preserve">Citrus hassaku Hort. ex Tan.</t>
  </si>
  <si>
    <t xml:space="preserve">Cereal Research Institute</t>
  </si>
  <si>
    <t xml:space="preserve">VO0271V</t>
  </si>
  <si>
    <t xml:space="preserve">Citrus himekitsu Hort. ex Y. Tan.</t>
  </si>
  <si>
    <t xml:space="preserve">Cereals Group,  John Innes Centre</t>
  </si>
  <si>
    <t xml:space="preserve">VTP</t>
  </si>
  <si>
    <t xml:space="preserve">Citrus hiroshimana Hort. ex Y. Tan.</t>
  </si>
  <si>
    <t xml:space="preserve">Chair of Genome Research</t>
  </si>
  <si>
    <t xml:space="preserve">VVBACLib</t>
  </si>
  <si>
    <t xml:space="preserve">Citrus honghoensis Y. M. Ye et al.</t>
  </si>
  <si>
    <t xml:space="preserve">Chambre d'Agriculture de Dordogne</t>
  </si>
  <si>
    <t xml:space="preserve">VVMD</t>
  </si>
  <si>
    <t xml:space="preserve">Citrus hyalopulpa Tan.</t>
  </si>
  <si>
    <t xml:space="preserve">Chambre d'Agriculture de la Drôme</t>
  </si>
  <si>
    <t xml:space="preserve">VVPM</t>
  </si>
  <si>
    <t xml:space="preserve">Citrus hystrix DC.</t>
  </si>
  <si>
    <t xml:space="preserve">Chambre d'Agriculture de la Gironde</t>
  </si>
  <si>
    <t xml:space="preserve">VVS</t>
  </si>
  <si>
    <t xml:space="preserve">Citrus ichangensis Swing.</t>
  </si>
  <si>
    <t xml:space="preserve">Chambre d'Agriculture de la Haute-Garonne</t>
  </si>
  <si>
    <t xml:space="preserve">Wheat_ISBP_Markers</t>
  </si>
  <si>
    <t xml:space="preserve">(Citrus ichangensis Swing. x Citrus unshiu (Mak.) Marc.)</t>
  </si>
  <si>
    <t xml:space="preserve">Chambre d'Agriculture de l'Ardèche</t>
  </si>
  <si>
    <t xml:space="preserve">Wheat_SSR_Markers</t>
  </si>
  <si>
    <t xml:space="preserve">Citrus indica Tan.</t>
  </si>
  <si>
    <t xml:space="preserve">Chambre d'Agriculture de l'Aude</t>
  </si>
  <si>
    <t xml:space="preserve">WH_EST_resist</t>
  </si>
  <si>
    <t xml:space="preserve">Citrus inflata Hort. ex Tan.</t>
  </si>
  <si>
    <t xml:space="preserve">Chambre d'Agriculture de l'Hérault</t>
  </si>
  <si>
    <t xml:space="preserve">WMC</t>
  </si>
  <si>
    <t xml:space="preserve">Citrus inflato-rugosa Hort. ex Tan.</t>
  </si>
  <si>
    <t xml:space="preserve">Chambre d'Agriculture de Loire-Atlantique</t>
  </si>
  <si>
    <t xml:space="preserve">ZM_cornsensus</t>
  </si>
  <si>
    <t xml:space="preserve">Citrus intermedia Hort. ex Tan.</t>
  </si>
  <si>
    <t xml:space="preserve">Chambre d'Agriculture de l'Yonne</t>
  </si>
  <si>
    <t xml:space="preserve">ZMS1P1_DGT</t>
  </si>
  <si>
    <t xml:space="preserve">Citrus iriomotensis Hort. ex Tan.</t>
  </si>
  <si>
    <t xml:space="preserve">Chambre d'Agriculture de Saône-et-Loire</t>
  </si>
  <si>
    <t xml:space="preserve">ZmS1P2</t>
  </si>
  <si>
    <t xml:space="preserve">Citrus iwaikan Hort. ex Y. Tan.</t>
  </si>
  <si>
    <t xml:space="preserve">Chambre d'Agriculture de Savoie</t>
  </si>
  <si>
    <t xml:space="preserve">ZMS1P8</t>
  </si>
  <si>
    <t xml:space="preserve">Citrus iyo Hort. ex Tan.</t>
  </si>
  <si>
    <t xml:space="preserve">Chambre d'Agriculture des Bouches-du-Rhône</t>
  </si>
  <si>
    <t xml:space="preserve">ZmS1P9</t>
  </si>
  <si>
    <t xml:space="preserve">Citrus jambhiri Lush.</t>
  </si>
  <si>
    <t xml:space="preserve">Chambre d'Agriculture des Landes</t>
  </si>
  <si>
    <t xml:space="preserve">ZmS2P1</t>
  </si>
  <si>
    <t xml:space="preserve">Citrus javanica Blume</t>
  </si>
  <si>
    <t xml:space="preserve">Chambre d'Agriculture des Pyrénées-Atlantiques</t>
  </si>
  <si>
    <t xml:space="preserve">ZmS2P2</t>
  </si>
  <si>
    <t xml:space="preserve">Citrus junos Siebold ex Tan.</t>
  </si>
  <si>
    <t xml:space="preserve">Chambre d'Agriculture des Pyrénées-Orientales</t>
  </si>
  <si>
    <t xml:space="preserve">ZmS2P3</t>
  </si>
  <si>
    <t xml:space="preserve">Citrus karna Raf.</t>
  </si>
  <si>
    <t xml:space="preserve">Chambre d'Agriculture d'Indre-et-Loire</t>
  </si>
  <si>
    <t xml:space="preserve">ZMS3P1</t>
  </si>
  <si>
    <t xml:space="preserve">Citrus keraji Hort. ex Tan.</t>
  </si>
  <si>
    <t xml:space="preserve">Chambre d'Agriculture du Gard</t>
  </si>
  <si>
    <t xml:space="preserve">ZMS3P2</t>
  </si>
  <si>
    <t xml:space="preserve">Citrus kerrii Tan.</t>
  </si>
  <si>
    <t xml:space="preserve">Chambre d'Agriculture du Gers</t>
  </si>
  <si>
    <t xml:space="preserve">ZMS3P2-ZmDIGEST</t>
  </si>
  <si>
    <t xml:space="preserve">Citrus kinokuni Hort. ex Tan.</t>
  </si>
  <si>
    <t xml:space="preserve">Chambre d'Agriculture du Jura</t>
  </si>
  <si>
    <t xml:space="preserve">Rapsodyn</t>
  </si>
  <si>
    <t xml:space="preserve">Citrus kotokan Hayata</t>
  </si>
  <si>
    <t xml:space="preserve">Chambre d'Agriculture du Loir-et-Cher</t>
  </si>
  <si>
    <t xml:space="preserve">Citrus L.</t>
  </si>
  <si>
    <t xml:space="preserve">Chambre d'Agriculture du Lot</t>
  </si>
  <si>
    <t xml:space="preserve">Citrus latifolia Tan.</t>
  </si>
  <si>
    <t xml:space="preserve">Chambre d'Agriculture du Lot-et-Garonne</t>
  </si>
  <si>
    <t xml:space="preserve">Citrus latipes (Swing.) Tan.</t>
  </si>
  <si>
    <t xml:space="preserve">Chambre d'Agriculture du Maine-et-Loire</t>
  </si>
  <si>
    <t xml:space="preserve">Citrus leiocarpa Hort. ex Tan.</t>
  </si>
  <si>
    <t xml:space="preserve">Chambre d'Agriculture du Puy-de-Dôme</t>
  </si>
  <si>
    <t xml:space="preserve">Citrus limetta Risso</t>
  </si>
  <si>
    <t xml:space="preserve">Chambre d'Agriculture du Tarn</t>
  </si>
  <si>
    <t xml:space="preserve">Citrus limettioides Tan.</t>
  </si>
  <si>
    <t xml:space="preserve">Chambre d'Agriculture du Tarn-et-Garonne</t>
  </si>
  <si>
    <t xml:space="preserve">Citrus limon (L.) Burm.</t>
  </si>
  <si>
    <t xml:space="preserve">Chambre d'Agriculture du Var</t>
  </si>
  <si>
    <t xml:space="preserve">(Citrus limon (L.) Burm. x Citrus aurantifolia (Christm.) Swing.)</t>
  </si>
  <si>
    <t xml:space="preserve">Chambre d'Agriculture du Vaucluse</t>
  </si>
  <si>
    <t xml:space="preserve">(Citrus limon (L.) Burm. x Citrus reticulata Blanco)</t>
  </si>
  <si>
    <t xml:space="preserve">Chambre Régionale d'Agriculture d'Auvergne</t>
  </si>
  <si>
    <t xml:space="preserve">(Citrus limon (L.) Burm. x Citrus sinensis (L.) Osb.)</t>
  </si>
  <si>
    <t xml:space="preserve">Chaozhou Fruit Research Institute</t>
  </si>
  <si>
    <t xml:space="preserve">(Citrus limon (L.) Burm. x Fortunella sp.)</t>
  </si>
  <si>
    <t xml:space="preserve">Charlottetown Research Centre, Agriculture and Agri-Food Canada</t>
  </si>
  <si>
    <t xml:space="preserve">(Citrus limon (L.) Burm. x Poncirus trifoliata (L.) Raf.)</t>
  </si>
  <si>
    <t xml:space="preserve">Chiayi Agricultural Experiment Station</t>
  </si>
  <si>
    <t xml:space="preserve">Citrus limonia Osb.</t>
  </si>
  <si>
    <t xml:space="preserve">Chinese Academy of Agriculture Sciences</t>
  </si>
  <si>
    <t xml:space="preserve">Citrus limonimedica Lush.</t>
  </si>
  <si>
    <t xml:space="preserve">CIAT</t>
  </si>
  <si>
    <t xml:space="preserve">Citrus longilimon Tan.</t>
  </si>
  <si>
    <t xml:space="preserve">CIP</t>
  </si>
  <si>
    <t xml:space="preserve">Citrus longispina Wester</t>
  </si>
  <si>
    <t xml:space="preserve">CIRAD-FLHOR</t>
  </si>
  <si>
    <t xml:space="preserve">Citrus lumia Risso &amp; Poit.</t>
  </si>
  <si>
    <t xml:space="preserve">CIRAD-FLHOR - Guadeloupe</t>
  </si>
  <si>
    <t xml:space="preserve">Citrus luteo-turgida Hort. ex Tan.</t>
  </si>
  <si>
    <t xml:space="preserve">CIRAD-FLHOR - Réunion</t>
  </si>
  <si>
    <t xml:space="preserve">Citrus lycopersicaeformis (Lush.) Hort. ex Tan.</t>
  </si>
  <si>
    <t xml:space="preserve">CIRAD-FLHOR Martinique</t>
  </si>
  <si>
    <t xml:space="preserve">Citrus macrolimon Tan.</t>
  </si>
  <si>
    <t xml:space="preserve">Citrus &amp; Subtropical Fruit Research Institute</t>
  </si>
  <si>
    <t xml:space="preserve">Citrus macrophylla Wester</t>
  </si>
  <si>
    <t xml:space="preserve">Citrus &amp; Subtropical Hort. Research Station</t>
  </si>
  <si>
    <t xml:space="preserve">Citrus macroptera Montr.</t>
  </si>
  <si>
    <t xml:space="preserve">Citrus Budwood Registration Bureau</t>
  </si>
  <si>
    <t xml:space="preserve">Citrus maderaspatana Hort. ex Tan.</t>
  </si>
  <si>
    <t xml:space="preserve">Citrus Clonal Protection Program</t>
  </si>
  <si>
    <t xml:space="preserve">Citrus madurensis Lour.</t>
  </si>
  <si>
    <t xml:space="preserve">Citrus Experimental Station</t>
  </si>
  <si>
    <t xml:space="preserve">Citrus mangshanensis</t>
  </si>
  <si>
    <t xml:space="preserve">Citrus Research Center</t>
  </si>
  <si>
    <t xml:space="preserve">Citrus maxima (Burm.) Merr.</t>
  </si>
  <si>
    <t xml:space="preserve">Citrus Research Institute</t>
  </si>
  <si>
    <t xml:space="preserve">(Citrus maxima (Burm.) Merr. x Citrus ichangensis Swing.)</t>
  </si>
  <si>
    <t xml:space="preserve">Citrus Research Institute - Turquie</t>
  </si>
  <si>
    <t xml:space="preserve">Citrus medica L.</t>
  </si>
  <si>
    <t xml:space="preserve">CIVAM Région Corse</t>
  </si>
  <si>
    <t xml:space="preserve">Citrus medioglobosa Hort. ex Tan.</t>
  </si>
  <si>
    <t xml:space="preserve">Claeys-Luck</t>
  </si>
  <si>
    <t xml:space="preserve">Citrus megaloxycarpa Lush.</t>
  </si>
  <si>
    <t xml:space="preserve">Clause</t>
  </si>
  <si>
    <t xml:space="preserve">Citrus mellarosa Risso</t>
  </si>
  <si>
    <t xml:space="preserve">Clause semences</t>
  </si>
  <si>
    <t xml:space="preserve">Citrus meyeri Y. Tan.</t>
  </si>
  <si>
    <t xml:space="preserve">Clause Vegetable Seeds St Rémy</t>
  </si>
  <si>
    <t xml:space="preserve">Citrus miaray Wester</t>
  </si>
  <si>
    <t xml:space="preserve">Clause Vegetable Seeds Valence</t>
  </si>
  <si>
    <t xml:space="preserve">Citrus micrantha Wester</t>
  </si>
  <si>
    <t xml:space="preserve">Clemson University Genomics Institute</t>
  </si>
  <si>
    <t xml:space="preserve">Citrus mitsuharu Hort. ex Y. Tan.</t>
  </si>
  <si>
    <t xml:space="preserve">CNB</t>
  </si>
  <si>
    <t xml:space="preserve">Citrus montana Tan.</t>
  </si>
  <si>
    <t xml:space="preserve">CNB-CSIC</t>
  </si>
  <si>
    <t xml:space="preserve">Citrus myrtifolia Raf.</t>
  </si>
  <si>
    <t xml:space="preserve">CNRGV</t>
  </si>
  <si>
    <t xml:space="preserve">Citrus nana Tan.</t>
  </si>
  <si>
    <t xml:space="preserve">C.N.R.S.,  Institut des Sciences du Vegetal</t>
  </si>
  <si>
    <t xml:space="preserve">Citrus natsudaidai Hay.</t>
  </si>
  <si>
    <t xml:space="preserve">CNRS ALIMENTEC</t>
  </si>
  <si>
    <t xml:space="preserve">Citrus neo-aurantium Tan.</t>
  </si>
  <si>
    <t xml:space="preserve">CNRS ERS</t>
  </si>
  <si>
    <t xml:space="preserve">Citrus nippokoreana Tan.</t>
  </si>
  <si>
    <t xml:space="preserve">CNRS UMR 5096</t>
  </si>
  <si>
    <t xml:space="preserve">Citrus nobilis Lour.</t>
  </si>
  <si>
    <t xml:space="preserve">Coker's Pedigree Seed Co.</t>
  </si>
  <si>
    <t xml:space="preserve">Citrus oblonga Hort. ex Y. Tan.</t>
  </si>
  <si>
    <t xml:space="preserve">College of life science</t>
  </si>
  <si>
    <t xml:space="preserve">Citrus obovoidea Hort. ex Tak.</t>
  </si>
  <si>
    <t xml:space="preserve">Colorado Agricultural Experiment Station, Colorado State University</t>
  </si>
  <si>
    <t xml:space="preserve">Citrus obversa Hassk.</t>
  </si>
  <si>
    <t xml:space="preserve">Comité Interprofessionnel de Sélection de la Vigne de Savoie</t>
  </si>
  <si>
    <t xml:space="preserve">Citrus odorata Wester ex. Tan.</t>
  </si>
  <si>
    <t xml:space="preserve">Comité Interprofessionnel des Vins d'Alsace</t>
  </si>
  <si>
    <t xml:space="preserve">Citrus oleocarpa Hort. ex Tan.</t>
  </si>
  <si>
    <t xml:space="preserve">Comité Interprofessionnel des Vins de Champagne</t>
  </si>
  <si>
    <t xml:space="preserve">Citrus omikanto Hort. ex Y. Tan.</t>
  </si>
  <si>
    <t xml:space="preserve">Commonwealth Scientific and  Industrial Research OrganisationDivision of Plant Industry</t>
  </si>
  <si>
    <t xml:space="preserve">Citrus otachibana Hort. ex Y. Tan.</t>
  </si>
  <si>
    <t xml:space="preserve">Commonwealth Scientific and Industrial Research Organisation</t>
  </si>
  <si>
    <t xml:space="preserve">Citrus oto Hort. ex Y. Tan.</t>
  </si>
  <si>
    <t xml:space="preserve">Comparative Genetics Unit</t>
  </si>
  <si>
    <t xml:space="preserve">Citrus ovata Hassk.</t>
  </si>
  <si>
    <t xml:space="preserve">Complex Carbohydrate Research Center</t>
  </si>
  <si>
    <t xml:space="preserve">Citrus panuban (Wester) Tan.</t>
  </si>
  <si>
    <t xml:space="preserve">Consejo Superior de Investigaciones Científicas</t>
  </si>
  <si>
    <t xml:space="preserve">Citrus papaya Hassk.</t>
  </si>
  <si>
    <t xml:space="preserve">Conservatoire Botanique National de Bailleul</t>
  </si>
  <si>
    <t xml:space="preserve">Citrus papillaris Blanco</t>
  </si>
  <si>
    <t xml:space="preserve">Citrus paradisi Macf.</t>
  </si>
  <si>
    <t xml:space="preserve">Conservatoire Botanique National Méditerranéen de Porquerolles + INRA Montpellier</t>
  </si>
  <si>
    <t xml:space="preserve">(Citrus paradisi Macf. x Citrus sinensis (L.) Osb.)</t>
  </si>
  <si>
    <t xml:space="preserve">Conservatoire du Vignoble Charentais - IREO</t>
  </si>
  <si>
    <t xml:space="preserve">(Citrus paradisi Macf. x Poncirus trifoliata (L.) Raf.)</t>
  </si>
  <si>
    <t xml:space="preserve">Conservatoire Régional des Cépages de Midi-Pyrénées</t>
  </si>
  <si>
    <t xml:space="preserve">Citrus paratangerina Hort. ex Tan.</t>
  </si>
  <si>
    <t xml:space="preserve">Conservatoire Régional d'Espèces Fruitières Anciennes et de Vignes de Midi-Pyrénées</t>
  </si>
  <si>
    <t xml:space="preserve">Citrus pennivesiculata (Lush.) Tan.</t>
  </si>
  <si>
    <t xml:space="preserve">Conservatoire Végétal Régional d'Aquitaine</t>
  </si>
  <si>
    <t xml:space="preserve">Citrus peretta Risso</t>
  </si>
  <si>
    <t xml:space="preserve">Coopérative Agricole AGORA</t>
  </si>
  <si>
    <t xml:space="preserve">Citrus platymamma Hort. ex Tan.</t>
  </si>
  <si>
    <t xml:space="preserve">Coopérative Agricole Provence Languedoc</t>
  </si>
  <si>
    <t xml:space="preserve">Citrus ponki (Hayata) Hort. ex Tan.</t>
  </si>
  <si>
    <t xml:space="preserve">Coopérative de Lennon</t>
  </si>
  <si>
    <t xml:space="preserve">Citrus pseudo-aurantium Hort. ex Y. Tan.</t>
  </si>
  <si>
    <t xml:space="preserve">Coopérative Fleuron d'Anjou</t>
  </si>
  <si>
    <t xml:space="preserve">Citrus pseudograndis Hort. ex Shirai</t>
  </si>
  <si>
    <t xml:space="preserve">Cornell Agricultural Experiment Station, University of Cornell</t>
  </si>
  <si>
    <t xml:space="preserve">Citrus pseudogulgul Hort. ex Shirai</t>
  </si>
  <si>
    <t xml:space="preserve">Corporacion Colombiana de Investigacion Agropecuaria Tibaitata, CORPOICA</t>
  </si>
  <si>
    <t xml:space="preserve">Citrus pseudolimon Tan.</t>
  </si>
  <si>
    <t xml:space="preserve">Cowra Experiment Farm</t>
  </si>
  <si>
    <t xml:space="preserve">Citrus pseudolimonum Wester</t>
  </si>
  <si>
    <t xml:space="preserve">CRA-Unitá di Ricerca per la Maiscoltura</t>
  </si>
  <si>
    <t xml:space="preserve">Citrus pseudopapillaris Tan.</t>
  </si>
  <si>
    <t xml:space="preserve">CRA-Unitá di Ricerca per la Valorizzazione Qualitativa dei Cereali</t>
  </si>
  <si>
    <t xml:space="preserve">Citrus pseudoparadisi Hort. ex Y. Tan.</t>
  </si>
  <si>
    <t xml:space="preserve">Criadero Klein S.A.</t>
  </si>
  <si>
    <t xml:space="preserve">Citrus pseudosunki Hort. ex Tan.</t>
  </si>
  <si>
    <t xml:space="preserve">C.R.I.D.A.</t>
  </si>
  <si>
    <t xml:space="preserve">Citrus pyriformis Hassk.</t>
  </si>
  <si>
    <t xml:space="preserve">Crop &amp; Food Research</t>
  </si>
  <si>
    <t xml:space="preserve">Citrus reshni Hort. ex Tan.</t>
  </si>
  <si>
    <t xml:space="preserve">Crop Breeding Institute</t>
  </si>
  <si>
    <t xml:space="preserve">Citrus reticulata Blanco</t>
  </si>
  <si>
    <t xml:space="preserve">Crop Development Centre, University of Saskatchewan</t>
  </si>
  <si>
    <t xml:space="preserve">(Citrus reticulata Blanco x Citrus aurantium L.)</t>
  </si>
  <si>
    <t xml:space="preserve">Crop Experimental Station Rural Development Administration</t>
  </si>
  <si>
    <t xml:space="preserve">(Citrus reticulata Blanco x Citrus paradisi Macf.)</t>
  </si>
  <si>
    <t xml:space="preserve">Crop Genetics</t>
  </si>
  <si>
    <t xml:space="preserve">(Citrus reticulata Blanco x Citrus sinensis (L.) Osb.)</t>
  </si>
  <si>
    <t xml:space="preserve">Crop Performance and  Improvement Department</t>
  </si>
  <si>
    <t xml:space="preserve">(Citrus reticulata Blanco x Fortunella sp.)</t>
  </si>
  <si>
    <t xml:space="preserve">Crop Production &amp; Pest Control Research Unit</t>
  </si>
  <si>
    <t xml:space="preserve">(Citrus reticulata Blanco x Poncirus trifoliata (L.) Raf.)</t>
  </si>
  <si>
    <t xml:space="preserve">Crop Research Institute, Olomouc</t>
  </si>
  <si>
    <t xml:space="preserve">Citrus rissoi Risso</t>
  </si>
  <si>
    <t xml:space="preserve">Crop Research Institute Plant Genetic Resources Unit</t>
  </si>
  <si>
    <t xml:space="preserve">Citrus rokugatsu Hort. ex Y. Tan.</t>
  </si>
  <si>
    <t xml:space="preserve">Crop Science</t>
  </si>
  <si>
    <t xml:space="preserve">Citrus rugulosa Hort. ex Tan.</t>
  </si>
  <si>
    <t xml:space="preserve">Citrus sarbati Tan.</t>
  </si>
  <si>
    <t xml:space="preserve">CSIRO Plant Industry</t>
  </si>
  <si>
    <t xml:space="preserve">Citrus semperflorens Lush.</t>
  </si>
  <si>
    <t xml:space="preserve">CSIRO Production and Processing</t>
  </si>
  <si>
    <t xml:space="preserve">Citrus shunkokan Hort. ex Tan.</t>
  </si>
  <si>
    <t xml:space="preserve">CTIFL Centre Technique Interprofessionnel des Fruits et Légumes, Centre de Lanxade</t>
  </si>
  <si>
    <t xml:space="preserve">Citrus sinensis (L.) Osb.</t>
  </si>
  <si>
    <t xml:space="preserve">Danko Hodowla Ro'slin sp. z o.o.</t>
  </si>
  <si>
    <t xml:space="preserve">(Citrus sinensis (L.) Osb. x Poncirus trifoliata (L.) Raf.)</t>
  </si>
  <si>
    <t xml:space="preserve">Davao Experimental Station</t>
  </si>
  <si>
    <t xml:space="preserve">Citrus sinograndis Hort. ex Y. Tan.</t>
  </si>
  <si>
    <t xml:space="preserve">De Groot en Slot BV</t>
  </si>
  <si>
    <t xml:space="preserve">Citrus southwickii Wester</t>
  </si>
  <si>
    <t xml:space="preserve">De Regibus Christian,  Saxon - Suisse</t>
  </si>
  <si>
    <t xml:space="preserve">Citrus sp.</t>
  </si>
  <si>
    <t xml:space="preserve">De Voetakker BV</t>
  </si>
  <si>
    <t xml:space="preserve">Citrus sphaerocarpa Tan.</t>
  </si>
  <si>
    <t xml:space="preserve">DeKalb AgResearch Inc.</t>
  </si>
  <si>
    <t xml:space="preserve">Citrus suavissima Hort. ex Tan.</t>
  </si>
  <si>
    <t xml:space="preserve">Delaware Biotechnology Institute</t>
  </si>
  <si>
    <t xml:space="preserve">Citrus succosa Hort. ex Tan.</t>
  </si>
  <si>
    <t xml:space="preserve">Delley Samen und Pflanzen AG</t>
  </si>
  <si>
    <t xml:space="preserve">Citrus sudachi Hort. ex Shirai</t>
  </si>
  <si>
    <t xml:space="preserve">Denaiffe et Fils</t>
  </si>
  <si>
    <t xml:space="preserve">Citrus suhuiensis Hort. ex Tan.</t>
  </si>
  <si>
    <t xml:space="preserve">Dep. of Biological Science</t>
  </si>
  <si>
    <t xml:space="preserve">Citrus suizabon Tan.</t>
  </si>
  <si>
    <t xml:space="preserve">Departamento de Citricultura, Estação N. Fruticultura 'Vieira Natividade'</t>
  </si>
  <si>
    <t xml:space="preserve">Citrus sulcata Hort. ex Tak.</t>
  </si>
  <si>
    <t xml:space="preserve">Departamento Genetica Evolutiva</t>
  </si>
  <si>
    <t xml:space="preserve">Citrus sunki Hort. ex Tan.</t>
  </si>
  <si>
    <t xml:space="preserve">Departement de phytologie, Universite Laval</t>
  </si>
  <si>
    <t xml:space="preserve">Citrus tachibana (Mak.) Tan.</t>
  </si>
  <si>
    <t xml:space="preserve">Departement des Sciences biologiques</t>
  </si>
  <si>
    <t xml:space="preserve">Citrus taiwanica Tan. &amp; Shim.</t>
  </si>
  <si>
    <t xml:space="preserve">Department of Agricultural Botany</t>
  </si>
  <si>
    <t xml:space="preserve">Citrus takuma-sudachi Hort. ex Tan.</t>
  </si>
  <si>
    <t xml:space="preserve">Department of Agriculture</t>
  </si>
  <si>
    <t xml:space="preserve">Citrus tamurana Hort. ex Tan.</t>
  </si>
  <si>
    <t xml:space="preserve">Department of Agronomy</t>
  </si>
  <si>
    <t xml:space="preserve">Citrus tangerina Hort. ex Tan.</t>
  </si>
  <si>
    <t xml:space="preserve">Department of Agronomy and  Plant Genetics</t>
  </si>
  <si>
    <t xml:space="preserve">Citrus tankan Hay.</t>
  </si>
  <si>
    <t xml:space="preserve">Department of Agronomy and  Plant Genetics,  University ofMinnesota</t>
  </si>
  <si>
    <t xml:space="preserve">Citrus tardiferax Hort. ex Tan.</t>
  </si>
  <si>
    <t xml:space="preserve">Department of Agronomy and Range Science</t>
  </si>
  <si>
    <t xml:space="preserve">Citrus tardiva Hort. ex Shirai</t>
  </si>
  <si>
    <t xml:space="preserve">Department of Biochemistry</t>
  </si>
  <si>
    <t xml:space="preserve">Citrus tarogayo Hort. ex Y. Tan.</t>
  </si>
  <si>
    <t xml:space="preserve">Department of Biochemistry and  Biophysics</t>
  </si>
  <si>
    <t xml:space="preserve">Citrus temple Hort. ex Y. Tan.</t>
  </si>
  <si>
    <t xml:space="preserve">Department of Biological Sciences</t>
  </si>
  <si>
    <t xml:space="preserve">(Citrus temple Hort. ex Y. Tan. x Citrus paradisi Macf.)</t>
  </si>
  <si>
    <t xml:space="preserve">Department of Biological Sciences and  Howard Hughes MedicalInstitute</t>
  </si>
  <si>
    <t xml:space="preserve">Citrus tengu Hort. ex Tan.</t>
  </si>
  <si>
    <t xml:space="preserve">Department of Biology</t>
  </si>
  <si>
    <t xml:space="preserve">Citrus tosa-asahi Hort. ex Y. Tan.</t>
  </si>
  <si>
    <t xml:space="preserve">Department of Biology,  Faculty of Science</t>
  </si>
  <si>
    <t xml:space="preserve">Citrus truncata Hort. ex Tan.</t>
  </si>
  <si>
    <t xml:space="preserve">Department of Biology and Biocenter Oulu</t>
  </si>
  <si>
    <t xml:space="preserve">Citrus tumida Hort. ex Tan.</t>
  </si>
  <si>
    <t xml:space="preserve">Department of Biology/Plant Genetics Group</t>
  </si>
  <si>
    <t xml:space="preserve">Citrus ujukitsu Tan.</t>
  </si>
  <si>
    <t xml:space="preserve">Department of Biosciences, Plant Physiology</t>
  </si>
  <si>
    <t xml:space="preserve">Citrus unshiu (Mak.) Mar.</t>
  </si>
  <si>
    <t xml:space="preserve">Department of Biotechnology</t>
  </si>
  <si>
    <t xml:space="preserve">(Citrus unshiu (Mak.) Marc. x (F. japonica x F. margarita 'Meiwa'))</t>
  </si>
  <si>
    <t xml:space="preserve">Department of Biotechnology Graduate School of Engineering</t>
  </si>
  <si>
    <t xml:space="preserve">Citrus vitiensis Tan.</t>
  </si>
  <si>
    <t xml:space="preserve">Department of Botany and  Plant Pathology</t>
  </si>
  <si>
    <t xml:space="preserve">Citrus webberii Wester</t>
  </si>
  <si>
    <t xml:space="preserve">Department of Botany, Faculty of Science, Chulalongkorn University</t>
  </si>
  <si>
    <t xml:space="preserve">Citrus westeri Tan.</t>
  </si>
  <si>
    <t xml:space="preserve">Department of Cell biology</t>
  </si>
  <si>
    <t xml:space="preserve">Citrus wilsonii Tan.</t>
  </si>
  <si>
    <t xml:space="preserve">Department of Crop Science,  division of Biotechnology and Genetic Engineering</t>
  </si>
  <si>
    <t xml:space="preserve">Citrus yamabuki Hort. ex Y. Tan.</t>
  </si>
  <si>
    <t xml:space="preserve">Department of Crop Science Agricultural University of Norway</t>
  </si>
  <si>
    <t xml:space="preserve">Citrus yanbaruensis Hort. ex Tan.</t>
  </si>
  <si>
    <t xml:space="preserve">Department of Cytogenetics</t>
  </si>
  <si>
    <t xml:space="preserve">Citrus yatsushiro Hort. ex Tan.</t>
  </si>
  <si>
    <t xml:space="preserve">Department of Ecology &amp; Evolutionary Biology</t>
  </si>
  <si>
    <t xml:space="preserve">Citrus yuge-hyokan Hort. ex Y. Tan.</t>
  </si>
  <si>
    <t xml:space="preserve">Department of Ecology and  Evolutionary Biology</t>
  </si>
  <si>
    <t xml:space="preserve">Citrus yuko Hort. ex Tan.</t>
  </si>
  <si>
    <t xml:space="preserve">Department of Enthomology,  plant protection Institute</t>
  </si>
  <si>
    <t xml:space="preserve">Clausena Burm. f.</t>
  </si>
  <si>
    <t xml:space="preserve">Department of Entomology</t>
  </si>
  <si>
    <t xml:space="preserve">Clausena excavata Burm. f.</t>
  </si>
  <si>
    <t xml:space="preserve">Department of Forest Genetics and Plant Physiology</t>
  </si>
  <si>
    <t xml:space="preserve">Clausena lansium (Lour.) Skeels</t>
  </si>
  <si>
    <t xml:space="preserve">Department of Forestry</t>
  </si>
  <si>
    <t xml:space="preserve">Clauseneae</t>
  </si>
  <si>
    <t xml:space="preserve">Department of Genetics</t>
  </si>
  <si>
    <t xml:space="preserve">Clauseninae</t>
  </si>
  <si>
    <t xml:space="preserve">Department of Genetics and  Forestry and  AgriculturalBiotechnology Institute</t>
  </si>
  <si>
    <t xml:space="preserve">Clematicissus angustissima (F.Muell.) Planch.</t>
  </si>
  <si>
    <t xml:space="preserve">Department of Genetics and  Genomics - Trisaia ResearchCentre</t>
  </si>
  <si>
    <t xml:space="preserve">Clematicissus Planch.</t>
  </si>
  <si>
    <t xml:space="preserve">Department of Genetics and Plant Breeding, University of Agricultural Sciences</t>
  </si>
  <si>
    <t xml:space="preserve">Cucumis L.</t>
  </si>
  <si>
    <t xml:space="preserve">Department of Genomics,  evolution and  development</t>
  </si>
  <si>
    <t xml:space="preserve">Cucumis melo L.</t>
  </si>
  <si>
    <t xml:space="preserve">Department of Horticultural Sciences, Saga University</t>
  </si>
  <si>
    <t xml:space="preserve">Cucumis melo ssp. agrestis</t>
  </si>
  <si>
    <t xml:space="preserve">Department of Horticulture</t>
  </si>
  <si>
    <t xml:space="preserve">Cucumis melo ssp. agrestis f. Acidulus</t>
  </si>
  <si>
    <t xml:space="preserve">Department of Plant Biology</t>
  </si>
  <si>
    <t xml:space="preserve">Cucumis melo ssp. agrestis f. Chinensis</t>
  </si>
  <si>
    <t xml:space="preserve">Department of Plant Biotechnology</t>
  </si>
  <si>
    <t xml:space="preserve">Cucumis melo ssp. agrestis f. Conomon</t>
  </si>
  <si>
    <t xml:space="preserve">Department of Plant Genetics</t>
  </si>
  <si>
    <t xml:space="preserve">Cucumis melo ssp. agrestis f. Makuwa</t>
  </si>
  <si>
    <t xml:space="preserve">Department of Plant Molecular Biology</t>
  </si>
  <si>
    <t xml:space="preserve">Cucumis melo ssp. agrestis f. Momordica</t>
  </si>
  <si>
    <t xml:space="preserve">Department of Plant Pathology</t>
  </si>
  <si>
    <t xml:space="preserve">Cucumis melo ssp. agrestis f. Tibish</t>
  </si>
  <si>
    <t xml:space="preserve">Department of Plant Science</t>
  </si>
  <si>
    <t xml:space="preserve">Cucumis melo ssp. melo</t>
  </si>
  <si>
    <t xml:space="preserve">Department of Plant Sciences</t>
  </si>
  <si>
    <t xml:space="preserve">Cucumis melo ssp. melo f. Ameri</t>
  </si>
  <si>
    <t xml:space="preserve">Department of Plant Sciences,  School of Life Sciences</t>
  </si>
  <si>
    <t xml:space="preserve">Cucumis melo ssp. melo f. Cantalupensis</t>
  </si>
  <si>
    <t xml:space="preserve">Department of Primary Industries</t>
  </si>
  <si>
    <t xml:space="preserve">Cucumis melo ssp. melo f. Cantalupensis gr. Charentais</t>
  </si>
  <si>
    <t xml:space="preserve">Department of Scientific and Industrial Research</t>
  </si>
  <si>
    <t xml:space="preserve">Cucumis melo ssp. melo f. Chandalak</t>
  </si>
  <si>
    <t xml:space="preserve">Department of Soil&amp;Crops</t>
  </si>
  <si>
    <t xml:space="preserve">Cucumis melo ssp. melo f. Chate</t>
  </si>
  <si>
    <t xml:space="preserve">Department of Vegetable Crops,  R.W.Michelmore Lab</t>
  </si>
  <si>
    <t xml:space="preserve">Cucumis melo ssp. melo f. Dudaim</t>
  </si>
  <si>
    <t xml:space="preserve">Department of Viticulture and Enology</t>
  </si>
  <si>
    <t xml:space="preserve">Cucumis melo ssp. melo f. Flexuosus</t>
  </si>
  <si>
    <t xml:space="preserve">Dept. of Biochemistry &amp; Molecular Biology</t>
  </si>
  <si>
    <t xml:space="preserve">Cucumis melo ssp. melo f. Inodorus</t>
  </si>
  <si>
    <t xml:space="preserve">Dept. of Horticulture</t>
  </si>
  <si>
    <t xml:space="preserve">Cucumis melo ssp. melo f. Inodorus gr. Canari</t>
  </si>
  <si>
    <t xml:space="preserve">Dept of Molecular Biosciences</t>
  </si>
  <si>
    <t xml:space="preserve">Cucumis melo ssp. melo f. Inodorus gr. Honeydew</t>
  </si>
  <si>
    <t xml:space="preserve">Dept. of Plant and  Soil Science,  Montana State University</t>
  </si>
  <si>
    <t xml:space="preserve">Cucumis melo ssp. melo f. Inodorus gr. Piel de sapo</t>
  </si>
  <si>
    <t xml:space="preserve">Dept. of Plant Pathology</t>
  </si>
  <si>
    <t xml:space="preserve">Cucumis melo ssp. melo f. Inodorus gr. Rochet</t>
  </si>
  <si>
    <t xml:space="preserve">Dept Plant Breeding</t>
  </si>
  <si>
    <t xml:space="preserve">Cucumis melo ssp. melo f. Inodorus gr. Tendral</t>
  </si>
  <si>
    <t xml:space="preserve">Desprez</t>
  </si>
  <si>
    <t xml:space="preserve">Cucumis melo ssp. melo f. Reticulatus</t>
  </si>
  <si>
    <t xml:space="preserve">Deutsche Saatveredelung Lippstadt - France</t>
  </si>
  <si>
    <t xml:space="preserve">Cynara L.</t>
  </si>
  <si>
    <t xml:space="preserve">Deutsche Saatveredelung Lippstadt-Bremen GmbH</t>
  </si>
  <si>
    <t xml:space="preserve">Dactylis glomerata L.</t>
  </si>
  <si>
    <t xml:space="preserve">Deutsche Saatzucht-Gesellschaft Salzmuende (G. Riebesel)</t>
  </si>
  <si>
    <t xml:space="preserve">Dactylis glomerata subsp. castellata Stebbins &amp; Zohary</t>
  </si>
  <si>
    <t xml:space="preserve">DEVM</t>
  </si>
  <si>
    <t xml:space="preserve">Dactylis glomerata subsp. glomerata L.</t>
  </si>
  <si>
    <t xml:space="preserve">Devon Botanic Garden and Field Laboratory, Department of Botany, University of Alberta</t>
  </si>
  <si>
    <t xml:space="preserve">Dactylis glomerata subsp. hispanica (Roth) Nyman</t>
  </si>
  <si>
    <t xml:space="preserve">DiaPC</t>
  </si>
  <si>
    <t xml:space="preserve">Dactylis glomerata subsp. izcoi S.Ortiz &amp; J.Rodríguez_Oubina</t>
  </si>
  <si>
    <t xml:space="preserve">Dipartimento di Colture Arboree - C.M.V.F.- Università di Bologna (ITA)</t>
  </si>
  <si>
    <t xml:space="preserve">Dactylis glomerata subsp. lusitanica Stebbins &amp; Zohary</t>
  </si>
  <si>
    <t xml:space="preserve">Dipartimento di Colture Arboree - C.M.V.F.- Università di Bologna (ITA) - Bassi Daniele</t>
  </si>
  <si>
    <t xml:space="preserve">Dactylis glomerata subsp. mairei Zohary &amp; Stebbins</t>
  </si>
  <si>
    <t xml:space="preserve">Dipartimento di Scienze Agrarie e Ambientali</t>
  </si>
  <si>
    <t xml:space="preserve">Dactylis L.</t>
  </si>
  <si>
    <t xml:space="preserve">Dipartimento di Scienze Agrarie e Ambientali - Genetica</t>
  </si>
  <si>
    <t xml:space="preserve">Dioscorea</t>
  </si>
  <si>
    <t xml:space="preserve">Dipartimento Innovazione, Divisione Biotecnologie e Agricoltura, ENEA</t>
  </si>
  <si>
    <t xml:space="preserve">Dioscorea alata</t>
  </si>
  <si>
    <t xml:space="preserve">Direction Départementale de l'Agriculture, Service du Génie Rural des Eaux et des Forêts</t>
  </si>
  <si>
    <t xml:space="preserve">Dioscorea altissima</t>
  </si>
  <si>
    <t xml:space="preserve">Direction Scientifique des Productions Végétales, INRA</t>
  </si>
  <si>
    <t xml:space="preserve">Dioscorea bulbifera</t>
  </si>
  <si>
    <t xml:space="preserve">Div. of Plant Industry,  CSIRO</t>
  </si>
  <si>
    <t xml:space="preserve">Dioscorea burkiliana</t>
  </si>
  <si>
    <t xml:space="preserve">Diversity Arrays Technology P/L - Triticarte P/L</t>
  </si>
  <si>
    <t xml:space="preserve">Dioscorea cayenensis rotundata</t>
  </si>
  <si>
    <t xml:space="preserve">Division Agronomique-Génétique et Amélioration des Plantes</t>
  </si>
  <si>
    <t xml:space="preserve">Dioscorea cordata</t>
  </si>
  <si>
    <t xml:space="preserve">Division of Applied Bioscience,  Graduate School ofAgriculture</t>
  </si>
  <si>
    <t xml:space="preserve">Dioscorea esculenta</t>
  </si>
  <si>
    <t xml:space="preserve">Division of Biological Sciences</t>
  </si>
  <si>
    <t xml:space="preserve">Dioscorea hurtiflora</t>
  </si>
  <si>
    <t xml:space="preserve">Division of Biology</t>
  </si>
  <si>
    <t xml:space="preserve">Dioscorea minutiflora</t>
  </si>
  <si>
    <t xml:space="preserve">Division of Plant Industry</t>
  </si>
  <si>
    <t xml:space="preserve">Dioscorea numularia</t>
  </si>
  <si>
    <t xml:space="preserve">Domaine de Sainte-Marguerite</t>
  </si>
  <si>
    <t xml:space="preserve">Dioscorea pilosiuscula</t>
  </si>
  <si>
    <t xml:space="preserve">Domaines Agricoles</t>
  </si>
  <si>
    <t xml:space="preserve">Dioscorea polygonoïdes</t>
  </si>
  <si>
    <t xml:space="preserve">Domaines Royaux</t>
  </si>
  <si>
    <t xml:space="preserve">Dioscorea transversa</t>
  </si>
  <si>
    <t xml:space="preserve">Domaines Sunset</t>
  </si>
  <si>
    <t xml:space="preserve">Dioscorea trifida</t>
  </si>
  <si>
    <t xml:space="preserve">Doneczkij institut agropromyshlennogo proizvodstva NAAN, GP</t>
  </si>
  <si>
    <t xml:space="preserve">Diuraphis noxia</t>
  </si>
  <si>
    <t xml:space="preserve">Donneur inconnu à Escolives-Sainte-Camille</t>
  </si>
  <si>
    <t xml:space="preserve">Equus caballus</t>
  </si>
  <si>
    <t xml:space="preserve">Donneur inconnu à Remoulins</t>
  </si>
  <si>
    <t xml:space="preserve">Eremocitrus glauca (Lindl.) Swing.</t>
  </si>
  <si>
    <t xml:space="preserve">Dr. J. Ackermann &amp; Co Saatzucht Irlbach</t>
  </si>
  <si>
    <t xml:space="preserve">(Eremocitrus glauca (Lindl.) Swing. x Citrus aurantium L.)</t>
  </si>
  <si>
    <t xml:space="preserve">Dr. Joachim Messing s lab</t>
  </si>
  <si>
    <t xml:space="preserve">(Eremocitrus glauca (Lindl.) Swing. x Citrus limon (L.) Burm. ?)</t>
  </si>
  <si>
    <t xml:space="preserve">D.S.A. Vaucluse (84) - France</t>
  </si>
  <si>
    <t xml:space="preserve">(Eremocitrus glauca (Lindl.) Swing. x Citrus sinensis(L.) Osb.)</t>
  </si>
  <si>
    <t xml:space="preserve">DuPont Hybrinova</t>
  </si>
  <si>
    <t xml:space="preserve">Eremocitrus Swingle</t>
  </si>
  <si>
    <t xml:space="preserve">East Malling Research</t>
  </si>
  <si>
    <t xml:space="preserve">Fabaceae</t>
  </si>
  <si>
    <t xml:space="preserve">Eastern Cereal and  Oilseed Research Centre</t>
  </si>
  <si>
    <t xml:space="preserve">Festuca arundinacea  subsp. arundinacea var. letourneuxiana St.-Yves. (10x)</t>
  </si>
  <si>
    <t xml:space="preserve">École Nationale d'Ingénieurs de l'Horticulture et du Paysage de l'Institut National d'Horticulture</t>
  </si>
  <si>
    <t xml:space="preserve">Festuca arundinacea Schreb.</t>
  </si>
  <si>
    <t xml:space="preserve">Ecole Nationale Supérieure Agronomique de Montpellier</t>
  </si>
  <si>
    <t xml:space="preserve">Festuca arundinacea subsp. arundinacea Schreb.</t>
  </si>
  <si>
    <t xml:space="preserve">Ecole Nationale Supérieure Agronomique de Toulouse</t>
  </si>
  <si>
    <t xml:space="preserve">Festuca arundinacea subsp. arundinacea var. atlantigena sensu Markgr.Dann. (8x)</t>
  </si>
  <si>
    <t xml:space="preserve">Ecomusée de la Grande Lande (Marquèze)</t>
  </si>
  <si>
    <t xml:space="preserve">Festuca arundinacea subsp. arundinacea var. genuina Schreb. (6x)</t>
  </si>
  <si>
    <t xml:space="preserve">Ecophysiologie des Plantes sous Stress Environnementaux (LEPSE)</t>
  </si>
  <si>
    <t xml:space="preserve">Festuca arundinacea subsp. arundinacea var. glaucescens Boiss. (4x)</t>
  </si>
  <si>
    <t xml:space="preserve">Einsenhut Vivaio</t>
  </si>
  <si>
    <t xml:space="preserve">Festuca filiformis Pourret</t>
  </si>
  <si>
    <t xml:space="preserve">EMBRAPA Brazil</t>
  </si>
  <si>
    <t xml:space="preserve">Festuca L.</t>
  </si>
  <si>
    <t xml:space="preserve">Empresa Brasileira de Pesquisa Agropecuaria</t>
  </si>
  <si>
    <t xml:space="preserve">Festuca nigrescens Lam.</t>
  </si>
  <si>
    <t xml:space="preserve">Empresa Citricola Victoria</t>
  </si>
  <si>
    <t xml:space="preserve">Festuca nigrescens subsp. nigrescens Lam.</t>
  </si>
  <si>
    <t xml:space="preserve">ENSA - INRA Unité de Formation en Botanique et Pathologie Végétale, INRA-Montpellier</t>
  </si>
  <si>
    <t xml:space="preserve">Festuca ovina L. (2x)</t>
  </si>
  <si>
    <t xml:space="preserve">Environmental Biology Group/ Research School of Biological Sciences</t>
  </si>
  <si>
    <t xml:space="preserve">Festuca ovina L. (4x)</t>
  </si>
  <si>
    <t xml:space="preserve">Environmental Molecular Biology Laboratory</t>
  </si>
  <si>
    <t xml:space="preserve">Festuca ovina L. (6x)</t>
  </si>
  <si>
    <t xml:space="preserve">Environmental Sciences Division</t>
  </si>
  <si>
    <t xml:space="preserve">Festuca ovina L. (8x)</t>
  </si>
  <si>
    <t xml:space="preserve">Enza Zaden France</t>
  </si>
  <si>
    <t xml:space="preserve">Festuca ovina subsp. guestfalica (Reichenb.) K. Richter</t>
  </si>
  <si>
    <t xml:space="preserve">EPGV</t>
  </si>
  <si>
    <t xml:space="preserve">Festuca rubra L.</t>
  </si>
  <si>
    <t xml:space="preserve">EPLEFPA Poitiers-Venours, Etablissement d'enseignement général et technologique agricole</t>
  </si>
  <si>
    <t xml:space="preserve">Festuca rubra subsp. arenaria (Osbeck) Aresh</t>
  </si>
  <si>
    <t xml:space="preserve">Equipe Genetique Vigne UMR DiaPC</t>
  </si>
  <si>
    <t xml:space="preserve">Festuca rubra subsp. fallax (Thuill.) Nyman</t>
  </si>
  <si>
    <t xml:space="preserve">Equipe Genomique Ble et Mais</t>
  </si>
  <si>
    <t xml:space="preserve">Festuca rubra subsp. litoralis (G. Meyer) Auquier</t>
  </si>
  <si>
    <t xml:space="preserve">Equipe Ginomique de la vigne (URGV)</t>
  </si>
  <si>
    <t xml:space="preserve">Festuca rubra subsp. pruinosa (Hackel) Piper</t>
  </si>
  <si>
    <t xml:space="preserve">Escola Superior de Agricultura 'Luiz de Quiroz'</t>
  </si>
  <si>
    <t xml:space="preserve">Festuca rubra subsp. rubra L.</t>
  </si>
  <si>
    <t xml:space="preserve">Estaçao Experimental de Itajaí</t>
  </si>
  <si>
    <t xml:space="preserve">Festuca stricta Host.</t>
  </si>
  <si>
    <t xml:space="preserve">Estaçao Experimental Fitotécnica de Taquari</t>
  </si>
  <si>
    <t xml:space="preserve">Festuca stricta subsp. trachyphylla (hackel) Patzke</t>
  </si>
  <si>
    <t xml:space="preserve">Estacao Nacional Melhoramento</t>
  </si>
  <si>
    <t xml:space="preserve">Festuca trichophylla (Gaudin) K.Richter</t>
  </si>
  <si>
    <t xml:space="preserve">Estacion Exp. Fabio Baudrit Moreno</t>
  </si>
  <si>
    <t xml:space="preserve">Festuca trichophylla subsp. trichophylla Hackel</t>
  </si>
  <si>
    <t xml:space="preserve">Estacion Experimental</t>
  </si>
  <si>
    <t xml:space="preserve">Fortunella crassifolia Swing.</t>
  </si>
  <si>
    <t xml:space="preserve">Estacion Experimental Agroindustrial 'Obispo Colombres'</t>
  </si>
  <si>
    <t xml:space="preserve">Fortunella hindsii (Champ.) Swing.</t>
  </si>
  <si>
    <t xml:space="preserve">Estacion Experimental Agropecuaria Rafaela</t>
  </si>
  <si>
    <t xml:space="preserve">Fortunella japonica (Thunb.) Swing.</t>
  </si>
  <si>
    <t xml:space="preserve">Estacion Experimental 'Aula Dei' - Consejo Superior de Investigaciones Científicas</t>
  </si>
  <si>
    <t xml:space="preserve">Fortunella margarita (Lour.) Swing.</t>
  </si>
  <si>
    <t xml:space="preserve">Estación Experimental de la Facultad de Agronomia en Salto</t>
  </si>
  <si>
    <t xml:space="preserve">Fortunella obovata Hort. ex Tan.</t>
  </si>
  <si>
    <t xml:space="preserve">Estacion Experimental 'La Estanzuela'</t>
  </si>
  <si>
    <t xml:space="preserve">Fortunella polyandra (Ridl.) Tan.</t>
  </si>
  <si>
    <t xml:space="preserve">Estacion Experimental La Platina</t>
  </si>
  <si>
    <t xml:space="preserve">(Fortunella sp. x Poncirus trifoliata (L.) Raf.)</t>
  </si>
  <si>
    <t xml:space="preserve">Estacion Experimental Los Diamantes</t>
  </si>
  <si>
    <t xml:space="preserve">Fortunella Swingle</t>
  </si>
  <si>
    <t xml:space="preserve">Estacion Experimental Santa Catalina DENAREF, INIAP</t>
  </si>
  <si>
    <t xml:space="preserve">Fortunella swinglei Tan.</t>
  </si>
  <si>
    <t xml:space="preserve">Etablissements Leblond</t>
  </si>
  <si>
    <t xml:space="preserve">Fragaria grandiflora</t>
  </si>
  <si>
    <t xml:space="preserve">Etablissements Lemaire-Deffontaines</t>
  </si>
  <si>
    <t xml:space="preserve">Fragaria vesca</t>
  </si>
  <si>
    <t xml:space="preserve">Eteve Lambertin Marie-Laure, Bouillargues - France</t>
  </si>
  <si>
    <t xml:space="preserve">Fragaria vesca subsp. vesca</t>
  </si>
  <si>
    <t xml:space="preserve">Ets A Bataille</t>
  </si>
  <si>
    <t xml:space="preserve">Fragaria x ananassa</t>
  </si>
  <si>
    <t xml:space="preserve">Ets George Laurent</t>
  </si>
  <si>
    <t xml:space="preserve">Gallus gallus</t>
  </si>
  <si>
    <t xml:space="preserve">Ets Tharreau</t>
  </si>
  <si>
    <t xml:space="preserve">Glycine</t>
  </si>
  <si>
    <t xml:space="preserve">Etude du polymorphisme des genomes vegetaux</t>
  </si>
  <si>
    <t xml:space="preserve">Glycine max</t>
  </si>
  <si>
    <t xml:space="preserve">Euralis génétique</t>
  </si>
  <si>
    <t xml:space="preserve">Glycosmis Corrêa</t>
  </si>
  <si>
    <t xml:space="preserve">EURALIS SEMENCES</t>
  </si>
  <si>
    <t xml:space="preserve">Glycosmis pentaphylla (Retz.) Corrêa</t>
  </si>
  <si>
    <t xml:space="preserve">Eversole Associates</t>
  </si>
  <si>
    <t xml:space="preserve">Gossypium spp.</t>
  </si>
  <si>
    <t xml:space="preserve">Evolutionary Biology Centre</t>
  </si>
  <si>
    <t xml:space="preserve">Hebeloma cylindrosporum</t>
  </si>
  <si>
    <t xml:space="preserve">Experimental Breeding Station Choryn</t>
  </si>
  <si>
    <t xml:space="preserve">Helianthus annuus</t>
  </si>
  <si>
    <t xml:space="preserve">Experimental Institute of Cereal Research</t>
  </si>
  <si>
    <t xml:space="preserve">Helianthus argophyllus</t>
  </si>
  <si>
    <t xml:space="preserve">F. Levieil</t>
  </si>
  <si>
    <t xml:space="preserve">Helianthus L.</t>
  </si>
  <si>
    <t xml:space="preserve">F. Von Lochow-Petkus GmbH</t>
  </si>
  <si>
    <t xml:space="preserve">Helianthus paradoxus</t>
  </si>
  <si>
    <t xml:space="preserve">Fabre</t>
  </si>
  <si>
    <t xml:space="preserve">Hordeum</t>
  </si>
  <si>
    <t xml:space="preserve">Fac.of Agri.</t>
  </si>
  <si>
    <t xml:space="preserve">Hordeum agriocrithon Aberg</t>
  </si>
  <si>
    <t xml:space="preserve">Facoltà di Agraria</t>
  </si>
  <si>
    <t xml:space="preserve">Hordeum andicola Griseb.</t>
  </si>
  <si>
    <t xml:space="preserve">Faculdad de Agronomia</t>
  </si>
  <si>
    <t xml:space="preserve">Hordeum andinum Trin.</t>
  </si>
  <si>
    <t xml:space="preserve">Facultad de Ciencias Agropecuarias, Universidad de Panamá</t>
  </si>
  <si>
    <t xml:space="preserve">Hordeum bogdani</t>
  </si>
  <si>
    <t xml:space="preserve">Faculté d'Agronomie</t>
  </si>
  <si>
    <t xml:space="preserve">Hordeum bogdanii</t>
  </si>
  <si>
    <t xml:space="preserve">Faculty of Agriculture - Institute of Field Crops</t>
  </si>
  <si>
    <t xml:space="preserve">Hordeum brachyantherum Nevski s.l.</t>
  </si>
  <si>
    <t xml:space="preserve">Faculty of Agriculture,  Laboratory of Plant Breeding</t>
  </si>
  <si>
    <t xml:space="preserve">Hordeum brachyantherum ssp. brachyantherum Nevski</t>
  </si>
  <si>
    <t xml:space="preserve">Faculty of Agriculture, University of Manitoba</t>
  </si>
  <si>
    <t xml:space="preserve">Hordeum brevisubulatum ssp. brevisubulatum</t>
  </si>
  <si>
    <t xml:space="preserve">Faculty of Bioresources</t>
  </si>
  <si>
    <t xml:space="preserve">Hordeum brevisubulatum ssp. iranicum</t>
  </si>
  <si>
    <t xml:space="preserve">Fear CD, Cain DW, Mowrey BD, CA - USA</t>
  </si>
  <si>
    <t xml:space="preserve">Hordeum brevisubulatum ssp. nevskianum</t>
  </si>
  <si>
    <t xml:space="preserve">Fédération des Syndicats Bretons</t>
  </si>
  <si>
    <t xml:space="preserve">Hordeum brevisubulatum ssp. turkestani</t>
  </si>
  <si>
    <t xml:space="preserve">Fédération des Syndicats Bretons &amp; A. Person</t>
  </si>
  <si>
    <t xml:space="preserve">Hordeum brevisubulatum ssp. turkestanicum</t>
  </si>
  <si>
    <t xml:space="preserve">Fédération des Syndicats Bretons &amp; Bretagne Plants</t>
  </si>
  <si>
    <t xml:space="preserve">Hordeum brevisubulatum ssp. violaceum</t>
  </si>
  <si>
    <t xml:space="preserve">Fédération des Syndicats Bretons &amp; Coopérative de Pleyber-Christ</t>
  </si>
  <si>
    <t xml:space="preserve">Hordeum brevisubulatum (Trin.) Link ssp. brevisubulatum s.l.</t>
  </si>
  <si>
    <t xml:space="preserve">Fédération des Syndicats Bretons &amp; Coopérative des Agriculteurs de Bretagne</t>
  </si>
  <si>
    <t xml:space="preserve">Hordeum brevisubulatum (Trin.) Link ssp. iranicum Bothmer</t>
  </si>
  <si>
    <t xml:space="preserve">Fédération des Vins de Savoie</t>
  </si>
  <si>
    <t xml:space="preserve">Hordeum brevisubulatum (Trin.) Link ssp. nevskianum (Bowden) Tzvel.</t>
  </si>
  <si>
    <t xml:space="preserve">Fédération des Vins du Puy de Dôme</t>
  </si>
  <si>
    <t xml:space="preserve">Hordeum brevisubulatum (Trin.) Link ssp. turkestanicum (Nevski) Tzvel.</t>
  </si>
  <si>
    <t xml:space="preserve">Ferme de moulon</t>
  </si>
  <si>
    <t xml:space="preserve">Hordeum brevisubulatum (Trin.) Link ssp. violaceum (Boiss. &amp; Hohen.) Tzvel.</t>
  </si>
  <si>
    <t xml:space="preserve">Ferme d'Etat de Pucheng</t>
  </si>
  <si>
    <t xml:space="preserve">Hordeum bulbosum L.</t>
  </si>
  <si>
    <t xml:space="preserve">FERME ECOLE DE BESPLAS</t>
  </si>
  <si>
    <t xml:space="preserve">Hordeum caespitosum Scribn.</t>
  </si>
  <si>
    <t xml:space="preserve">Ferme Expérimentale de Grignon</t>
  </si>
  <si>
    <t xml:space="preserve">Hordeum californicum Covas &amp; Stebbins</t>
  </si>
  <si>
    <t xml:space="preserve">Firma H. O. Luebeck, Magdeburg</t>
  </si>
  <si>
    <t xml:space="preserve">Hordeum chilense Roem. &amp; Schult.</t>
  </si>
  <si>
    <t xml:space="preserve">Fleck Jacqueline / L626</t>
  </si>
  <si>
    <t xml:space="preserve">Hordeum comosum J. Presl</t>
  </si>
  <si>
    <t xml:space="preserve">Fleischmann Rudolph Agricultural Research Institute, University of Agricultural Sciences</t>
  </si>
  <si>
    <t xml:space="preserve">Hordeum compressum</t>
  </si>
  <si>
    <t xml:space="preserve">Florimond Desprez</t>
  </si>
  <si>
    <t xml:space="preserve">Hordeum compressum Griseb.</t>
  </si>
  <si>
    <t xml:space="preserve">Fontaine (bought by Jouffray-Drillaud)</t>
  </si>
  <si>
    <t xml:space="preserve">Hordeum cordobense Bothmer, N. Jacobsen &amp; Nicora</t>
  </si>
  <si>
    <t xml:space="preserve">Food Science Institute</t>
  </si>
  <si>
    <t xml:space="preserve">Hordeum deficiens</t>
  </si>
  <si>
    <t xml:space="preserve">Forschungsanstalt Agroscope Reckenholz-Tänikon</t>
  </si>
  <si>
    <t xml:space="preserve">Hordeum deficiens Steud.</t>
  </si>
  <si>
    <t xml:space="preserve">Fr. Strube Saatzucht KG Soellingen</t>
  </si>
  <si>
    <t xml:space="preserve">Hordeum depressum (Scribn. &amp; J.G. Sm.) Rydb.</t>
  </si>
  <si>
    <t xml:space="preserve">Fruit Tree Laboratory</t>
  </si>
  <si>
    <t xml:space="preserve">Hordeum europaeum</t>
  </si>
  <si>
    <t xml:space="preserve">Fruit Tree Research Station</t>
  </si>
  <si>
    <t xml:space="preserve">Hordeum flexuosum Steud.</t>
  </si>
  <si>
    <t xml:space="preserve">Fruit Trees Research Station, Kuchinotsu Branch</t>
  </si>
  <si>
    <t xml:space="preserve">Hordeum geniculatum</t>
  </si>
  <si>
    <t xml:space="preserve">FR2424, Station Biologique</t>
  </si>
  <si>
    <t xml:space="preserve">Hordeum gussoneanum</t>
  </si>
  <si>
    <t xml:space="preserve">Fudan University</t>
  </si>
  <si>
    <t xml:space="preserve">Hordeum gussoneanum Parl.</t>
  </si>
  <si>
    <t xml:space="preserve">Fungal Genomics Lab</t>
  </si>
  <si>
    <t xml:space="preserve">Hordeum hexaploidum</t>
  </si>
  <si>
    <t xml:space="preserve">G. Geertsema-Groningen B.V.</t>
  </si>
  <si>
    <t xml:space="preserve">Hordeum hexaploidum Covas</t>
  </si>
  <si>
    <t xml:space="preserve">GA</t>
  </si>
  <si>
    <t xml:space="preserve">Hordeum hexastichon L.</t>
  </si>
  <si>
    <t xml:space="preserve">Gautier</t>
  </si>
  <si>
    <t xml:space="preserve">Hordeum hrasdanicum Gandilyan</t>
  </si>
  <si>
    <t xml:space="preserve">Hordeum irregulare</t>
  </si>
  <si>
    <t xml:space="preserve">Genavenir</t>
  </si>
  <si>
    <t xml:space="preserve">Hordeum ithaburense Boiss.</t>
  </si>
  <si>
    <t xml:space="preserve">Gene Function and Maize Traits Group</t>
  </si>
  <si>
    <t xml:space="preserve">Hordeum jubatum</t>
  </si>
  <si>
    <t xml:space="preserve">Genebank, Leibniz Institute of Plant Genetics and Crop Plant Research</t>
  </si>
  <si>
    <t xml:space="preserve">Hordeum jubatum breviaristatum</t>
  </si>
  <si>
    <t xml:space="preserve">Genetic Resources and Mediterranean Medicago Plant Breeding Laboratory, INRA-Montpellier</t>
  </si>
  <si>
    <t xml:space="preserve">Hordeum jubatum jubatum</t>
  </si>
  <si>
    <t xml:space="preserve">Genetic Resources Department - Research Institute for Cereals and Industrial Crops</t>
  </si>
  <si>
    <t xml:space="preserve">Hordeum jubatum ssp. breviaristatum Bowden</t>
  </si>
  <si>
    <t xml:space="preserve">Genetics</t>
  </si>
  <si>
    <t xml:space="preserve">Hordeum jubatum ssp. intermedium Bowden</t>
  </si>
  <si>
    <t xml:space="preserve">Genetics of Environmental Stress Tolerance</t>
  </si>
  <si>
    <t xml:space="preserve">Hordeum kaufmannii Regel</t>
  </si>
  <si>
    <t xml:space="preserve">Genetique et Amelioration des Plantes</t>
  </si>
  <si>
    <t xml:space="preserve">Hordeum L.</t>
  </si>
  <si>
    <t xml:space="preserve">Genetique et amelioration des plantes</t>
  </si>
  <si>
    <t xml:space="preserve">Hordeum lechleri (Steud.) Schenck</t>
  </si>
  <si>
    <t xml:space="preserve">Genetique et ecophysiologie des legumineuses</t>
  </si>
  <si>
    <t xml:space="preserve">Hordeum leporinum var. simulans Bowden</t>
  </si>
  <si>
    <t xml:space="preserve">Genetique fonctionnelle des maladies des Epitheliums, U563, CPIP, CHU Purpan</t>
  </si>
  <si>
    <t xml:space="preserve">Hordeum macilentum Steud.</t>
  </si>
  <si>
    <t xml:space="preserve">Genetique Moleculaire d'Arabidopsis</t>
  </si>
  <si>
    <t xml:space="preserve">Hordeum marinum Huds. ssp. gussoneanum (Parl.) Thell.</t>
  </si>
  <si>
    <t xml:space="preserve">Genome BC Conifer Forest Health</t>
  </si>
  <si>
    <t xml:space="preserve">Hordeum marinum Huds. ssp. marinum</t>
  </si>
  <si>
    <t xml:space="preserve">Genome et developpement des plantes</t>
  </si>
  <si>
    <t xml:space="preserve">Hordeum marinum ssp. gussoneanum</t>
  </si>
  <si>
    <t xml:space="preserve">GENOME express</t>
  </si>
  <si>
    <t xml:space="preserve">Hordeum marinum ssp. gussoneanum (Parl.) Thell.</t>
  </si>
  <si>
    <t xml:space="preserve">Genome Express</t>
  </si>
  <si>
    <t xml:space="preserve">Hordeum marinum ssp. marinum</t>
  </si>
  <si>
    <t xml:space="preserve">Genome Science Laboratory</t>
  </si>
  <si>
    <t xml:space="preserve">Hordeum maritimum</t>
  </si>
  <si>
    <t xml:space="preserve">Genome Systems,  Inc.,  a wholly owned subsidiary of IncytePharmaceuticals,  Inc.</t>
  </si>
  <si>
    <t xml:space="preserve">Hordeum maritimum gussonianum</t>
  </si>
  <si>
    <t xml:space="preserve">Genomics and  Genetics Institute,  GreenGene Biotech Inc.;Division of Bioscience and  Bioinformatics,  MyongJiUniversity</t>
  </si>
  <si>
    <t xml:space="preserve">Hordeum murinum</t>
  </si>
  <si>
    <t xml:space="preserve">Genomique</t>
  </si>
  <si>
    <t xml:space="preserve">Hordeum murinum L. ssp. glaucum (Steud.) Tzvelev</t>
  </si>
  <si>
    <t xml:space="preserve">Genomique Ble et Mais</t>
  </si>
  <si>
    <t xml:space="preserve">Hordeum murinum L. ssp. leporinum (Link) Arcang.</t>
  </si>
  <si>
    <t xml:space="preserve">Genoplante-Info</t>
  </si>
  <si>
    <t xml:space="preserve">Hordeum murinum L. ssp. murinum</t>
  </si>
  <si>
    <t xml:space="preserve">GENOSCOPE</t>
  </si>
  <si>
    <t xml:space="preserve">Hordeum murinum murinum</t>
  </si>
  <si>
    <t xml:space="preserve">Genoscope</t>
  </si>
  <si>
    <t xml:space="preserve">Hordeum murinum ssp. glaucum</t>
  </si>
  <si>
    <t xml:space="preserve">Genoscope - Centre National de Sequencage</t>
  </si>
  <si>
    <t xml:space="preserve">Hordeum murinum ssp. glaucum (Steud.) Tzvelev</t>
  </si>
  <si>
    <t xml:space="preserve">Georgia State Agricultural Experiment Station</t>
  </si>
  <si>
    <t xml:space="preserve">Hordeum murinum ssp. leporinum</t>
  </si>
  <si>
    <t xml:space="preserve">Germicopa SA</t>
  </si>
  <si>
    <t xml:space="preserve">Hordeum murinum ssp. murinum</t>
  </si>
  <si>
    <t xml:space="preserve">Germicopa SAS</t>
  </si>
  <si>
    <t xml:space="preserve">Hordeum muticum J. Presl</t>
  </si>
  <si>
    <t xml:space="preserve">GGO</t>
  </si>
  <si>
    <t xml:space="preserve">Hordeum nevskianum Bowden</t>
  </si>
  <si>
    <t xml:space="preserve">GIE Ail Dromois</t>
  </si>
  <si>
    <t xml:space="preserve">Hordeum nodosum</t>
  </si>
  <si>
    <t xml:space="preserve">GIE Epi de France</t>
  </si>
  <si>
    <t xml:space="preserve">Hordeum nodosum L.</t>
  </si>
  <si>
    <t xml:space="preserve">GIE Legland</t>
  </si>
  <si>
    <t xml:space="preserve">Hordeum parodii Covas</t>
  </si>
  <si>
    <t xml:space="preserve">Gigot Claude / L512</t>
  </si>
  <si>
    <t xml:space="preserve">Hordeum patagonicum (Haum.) Covas s.l.</t>
  </si>
  <si>
    <t xml:space="preserve">Gilbert-Fayol</t>
  </si>
  <si>
    <t xml:space="preserve">Hordeum persicum</t>
  </si>
  <si>
    <t xml:space="preserve">Ginitique Diversiti Ecophysiologie des Ciriales</t>
  </si>
  <si>
    <t xml:space="preserve">Hordeum pratense Huds.</t>
  </si>
  <si>
    <t xml:space="preserve">Giza Agricultural Research Station</t>
  </si>
  <si>
    <t xml:space="preserve">Hordeum pubescens Guss.</t>
  </si>
  <si>
    <t xml:space="preserve">Glen Saint Mary Nursery Co.</t>
  </si>
  <si>
    <t xml:space="preserve">Hordeum pusillum Nutt.</t>
  </si>
  <si>
    <t xml:space="preserve">Glenellen Pty Ltd.</t>
  </si>
  <si>
    <t xml:space="preserve">Hordeum pussilum</t>
  </si>
  <si>
    <t xml:space="preserve">Gnts VNII Rastenievodstva Im.N.I.Vavilova</t>
  </si>
  <si>
    <t xml:space="preserve">Hordeum sativum</t>
  </si>
  <si>
    <t xml:space="preserve">Goggi</t>
  </si>
  <si>
    <t xml:space="preserve">Hordeum sibiricum Rosh.</t>
  </si>
  <si>
    <t xml:space="preserve">Grad. Sch. Agric. Life Sci.</t>
  </si>
  <si>
    <t xml:space="preserve">Hordeum spp</t>
  </si>
  <si>
    <t xml:space="preserve">Graduate School of Biological Sciences</t>
  </si>
  <si>
    <t xml:space="preserve">Hordeum strictum Desf.</t>
  </si>
  <si>
    <t xml:space="preserve">Grand Anse Experimental Centre, Ministry of Agriculture and Marine Resources</t>
  </si>
  <si>
    <t xml:space="preserve">Hordeum tetraploidum Covas</t>
  </si>
  <si>
    <t xml:space="preserve">Grand Island Nurseries, Inc.</t>
  </si>
  <si>
    <t xml:space="preserve">Hordeum tetrastichum</t>
  </si>
  <si>
    <t xml:space="preserve">Greenhouse for Trop. Crops, Inst. Prod/Nutr. Wordls Crops, Un. Kassel</t>
  </si>
  <si>
    <t xml:space="preserve">Hordeum vulgare</t>
  </si>
  <si>
    <t xml:space="preserve">Grocep</t>
  </si>
  <si>
    <t xml:space="preserve">Hordeum vulgare convar. distichon (L.) Alefeld</t>
  </si>
  <si>
    <t xml:space="preserve">Group 305</t>
  </si>
  <si>
    <t xml:space="preserve">Hordeum vulgare L.</t>
  </si>
  <si>
    <t xml:space="preserve">Groupe d'Etude et de Contrôle des Variétés et des Semences, Cavaillon</t>
  </si>
  <si>
    <t xml:space="preserve">Hordeum vulgare L. ssp. distichon (L.) Koernicke</t>
  </si>
  <si>
    <t xml:space="preserve">Groupement Agricole Essonnois</t>
  </si>
  <si>
    <t xml:space="preserve">Hordeum vulgare L. ssp. spontaneum (K. Koch) A. &amp; Gr.</t>
  </si>
  <si>
    <t xml:space="preserve">Groupement Interprofessionnel des Fleurs et Plantes A Parfun</t>
  </si>
  <si>
    <t xml:space="preserve">Hordeum vulgare L. ssp. vulgare</t>
  </si>
  <si>
    <t xml:space="preserve">Gruntzig Maria, Fuchs Egon Halle/Saale - Allemagne</t>
  </si>
  <si>
    <t xml:space="preserve">Hordeum vulgare spontaneum</t>
  </si>
  <si>
    <t xml:space="preserve">GTZ, German Fruit Tree Project</t>
  </si>
  <si>
    <t xml:space="preserve">Hordeum vulgare ssp. distichon var. spontaneum Kornicke</t>
  </si>
  <si>
    <t xml:space="preserve">Guangxi Citrus Research Institute</t>
  </si>
  <si>
    <t xml:space="preserve">Hordeum vulgare var. distichon</t>
  </si>
  <si>
    <t xml:space="preserve">Gyumri Breeding Station</t>
  </si>
  <si>
    <t xml:space="preserve">Hordeum vulgare vulgare</t>
  </si>
  <si>
    <t xml:space="preserve">H Blas JM Malmonté</t>
  </si>
  <si>
    <t xml:space="preserve">Juglans L.</t>
  </si>
  <si>
    <t xml:space="preserve">H. Demesmay</t>
  </si>
  <si>
    <t xml:space="preserve">Lactuca L.</t>
  </si>
  <si>
    <t xml:space="preserve">H. L. Hall &amp; Sons, Ltd.</t>
  </si>
  <si>
    <t xml:space="preserve">Lactuca sativa f. Laitue à couper</t>
  </si>
  <si>
    <t xml:space="preserve">Hankkija Plant Breeding Institute</t>
  </si>
  <si>
    <t xml:space="preserve">Lactuca sativa f. Laitue à couper gr. Feuille de chêne</t>
  </si>
  <si>
    <t xml:space="preserve">Harpool Seed Inc.</t>
  </si>
  <si>
    <t xml:space="preserve">Lactuca sativa f. Laitue à couper gr. Laitue multi-feuilles</t>
  </si>
  <si>
    <t xml:space="preserve">Head of Genomic Information</t>
  </si>
  <si>
    <t xml:space="preserve">Lactuca sativa f. Laitue à couper gr. Lollo</t>
  </si>
  <si>
    <t xml:space="preserve">Hebei Germplasm Resources Genebank Cereal &amp; Oil Crops Research Institute</t>
  </si>
  <si>
    <t xml:space="preserve">Lactuca sativa f. Laitue pommée</t>
  </si>
  <si>
    <t xml:space="preserve">Heine Peragis Getreidezucht GmbH</t>
  </si>
  <si>
    <t xml:space="preserve">Lactuca sativa f. Laitue pommée gr. Batavia</t>
  </si>
  <si>
    <t xml:space="preserve">Hirla Henri, Toulouges - France</t>
  </si>
  <si>
    <t xml:space="preserve">Lactuca sativa f. Laitue pommée gr. Batavia sgr. Batavia européenne</t>
  </si>
  <si>
    <t xml:space="preserve">Hodowla Roslin Polniczych 'Nasiona Kobierzyc'</t>
  </si>
  <si>
    <t xml:space="preserve">Lactuca sativa f. Laitue pommée gr. Batavia sgr. Iceberg</t>
  </si>
  <si>
    <t xml:space="preserve">Hodowla Roslin Pustkow</t>
  </si>
  <si>
    <t xml:space="preserve">Lactuca sativa f. Laitue pommée gr. Laitue beurre</t>
  </si>
  <si>
    <t xml:space="preserve">Hodowla Roslin Strzelce Sp. z o.o. Grupa IHAR</t>
  </si>
  <si>
    <t xml:space="preserve">Lactuca sativa f. Laitue pommée gr. Romaine/grasse</t>
  </si>
  <si>
    <t xml:space="preserve">Hort Research</t>
  </si>
  <si>
    <t xml:space="preserve">Lactuca sativa f. Laitue pommée gr. Romaine/grasse sgr. Grasse</t>
  </si>
  <si>
    <t xml:space="preserve">Horticultural Research &amp; Advisory Station, Dept. of Agriculture</t>
  </si>
  <si>
    <t xml:space="preserve">Lactuca sativa f. Laitue pommée gr. Romaine/grasse sgr. Romaine</t>
  </si>
  <si>
    <t xml:space="preserve">Horticultural Research Section Agricultural Research Corporation</t>
  </si>
  <si>
    <t xml:space="preserve">Lactuca sativa f. Laitue tige</t>
  </si>
  <si>
    <t xml:space="preserve">Horticultural Research Station</t>
  </si>
  <si>
    <t xml:space="preserve">Lactuca sativa L.</t>
  </si>
  <si>
    <t xml:space="preserve">Horticultural Sciences Department,  Plant Molecular and Cellular Biology Program</t>
  </si>
  <si>
    <t xml:space="preserve">Lepidium L.</t>
  </si>
  <si>
    <t xml:space="preserve">Horticulture Department</t>
  </si>
  <si>
    <t xml:space="preserve">Lepidium sativum L.</t>
  </si>
  <si>
    <t xml:space="preserve">HortResearch, Havelock North Research Centre - Malone M. Havelock North and  Davidson J. Tuamarina Blenheim - New Zealand</t>
  </si>
  <si>
    <t xml:space="preserve">(Limequat x Fortunella hindsii(Champ.) Swing.)</t>
  </si>
  <si>
    <t xml:space="preserve">HortResearch, Mt. Albert Research Centre</t>
  </si>
  <si>
    <t xml:space="preserve">Linum usitatissinum</t>
  </si>
  <si>
    <t xml:space="preserve">HybriTech Seed</t>
  </si>
  <si>
    <t xml:space="preserve">Lolium L.</t>
  </si>
  <si>
    <t xml:space="preserve">HYBRO Saatzucht GmbH &amp; Co. KG c/o Saaten-Union GmbH</t>
  </si>
  <si>
    <t xml:space="preserve">Lolium multiflorum Lam.</t>
  </si>
  <si>
    <t xml:space="preserve">IBP</t>
  </si>
  <si>
    <t xml:space="preserve">Lolium perenne</t>
  </si>
  <si>
    <t xml:space="preserve">IBVB</t>
  </si>
  <si>
    <t xml:space="preserve">Lolium perenne L.</t>
  </si>
  <si>
    <t xml:space="preserve">ICARDA</t>
  </si>
  <si>
    <t xml:space="preserve">Lolium xhybridum Hausskn.</t>
  </si>
  <si>
    <t xml:space="preserve">ICRISAT</t>
  </si>
  <si>
    <t xml:space="preserve">Lotus alpinus</t>
  </si>
  <si>
    <t xml:space="preserve">Idaho Agricultural Experiment Station, University of Idaho</t>
  </si>
  <si>
    <t xml:space="preserve">Lupinus L.</t>
  </si>
  <si>
    <t xml:space="preserve">Illinois Agricultural Experiment Station, University of Illinois</t>
  </si>
  <si>
    <t xml:space="preserve">Malus domestica</t>
  </si>
  <si>
    <t xml:space="preserve">Indian Agricultural Research Institute</t>
  </si>
  <si>
    <t xml:space="preserve">Malus P. Mill.</t>
  </si>
  <si>
    <t xml:space="preserve">Indian Institute of Horticultural Research</t>
  </si>
  <si>
    <t xml:space="preserve">Manihot esculenta</t>
  </si>
  <si>
    <t xml:space="preserve">Indiana Agricultural Experiment Station, Purdue University</t>
  </si>
  <si>
    <t xml:space="preserve">Medicago aculeata</t>
  </si>
  <si>
    <t xml:space="preserve">Indo-American Hybrid Seeds</t>
  </si>
  <si>
    <t xml:space="preserve">Medicago aculeata aculeata</t>
  </si>
  <si>
    <t xml:space="preserve">Medicago aculeata inermis</t>
  </si>
  <si>
    <t xml:space="preserve">INRA - Mauguio</t>
  </si>
  <si>
    <t xml:space="preserve">Medicago arabica (L.) Huds.</t>
  </si>
  <si>
    <t xml:space="preserve">INRA - Tours</t>
  </si>
  <si>
    <t xml:space="preserve">Medicago arborea L.</t>
  </si>
  <si>
    <t xml:space="preserve">INRA - UMR BIOGECO</t>
  </si>
  <si>
    <t xml:space="preserve">Medicago asiatica</t>
  </si>
  <si>
    <t xml:space="preserve">INRA, Cirad/Amis</t>
  </si>
  <si>
    <t xml:space="preserve">Medicago blancheana Boiss.</t>
  </si>
  <si>
    <t xml:space="preserve">INRA de Crouel</t>
  </si>
  <si>
    <t xml:space="preserve">Medicago bonarotiana</t>
  </si>
  <si>
    <t xml:space="preserve">INRA, Domaine de Vassal (T. Lacombe) + IFV Institut Français de la Vigne et du Vin (L. Audeguin)</t>
  </si>
  <si>
    <t xml:space="preserve">Medicago cancellata Bieb.</t>
  </si>
  <si>
    <t xml:space="preserve">INRA GAFL Avignon + SICA Centrex</t>
  </si>
  <si>
    <t xml:space="preserve">Medicago carstiensis Jacq.</t>
  </si>
  <si>
    <t xml:space="preserve">INRA Guadeloupe</t>
  </si>
  <si>
    <t xml:space="preserve">Medicago constricta</t>
  </si>
  <si>
    <t xml:space="preserve">INRA Montpellier</t>
  </si>
  <si>
    <t xml:space="preserve">Medicago coronata</t>
  </si>
  <si>
    <t xml:space="preserve">INRA Rennes</t>
  </si>
  <si>
    <t xml:space="preserve">Medicago cretacea</t>
  </si>
  <si>
    <t xml:space="preserve">INRA Versailles</t>
  </si>
  <si>
    <t xml:space="preserve">Medicago daghestanica</t>
  </si>
  <si>
    <t xml:space="preserve">INRA-MycSA, UPR-1264</t>
  </si>
  <si>
    <t xml:space="preserve">Medicago disciformis</t>
  </si>
  <si>
    <t xml:space="preserve">INRAT, Tunisie + UR Génétique et Amélioration des Fruits et Légumes, INRA-Avignon</t>
  </si>
  <si>
    <t xml:space="preserve">Medicago dzhawakhetica</t>
  </si>
  <si>
    <t xml:space="preserve">Insect Biocontrol Lab</t>
  </si>
  <si>
    <t xml:space="preserve">Medicago eusativa</t>
  </si>
  <si>
    <t xml:space="preserve">INSIBIO</t>
  </si>
  <si>
    <t xml:space="preserve">Medicago glutinosa Bieb.</t>
  </si>
  <si>
    <t xml:space="preserve">Inst. Biologia Molecular y Celular de Plantas</t>
  </si>
  <si>
    <t xml:space="preserve">Medicago granadensis Willd.</t>
  </si>
  <si>
    <t xml:space="preserve">Institut Amélioration Plantes Cultivées Berlin</t>
  </si>
  <si>
    <t xml:space="preserve">Medicago heyniana</t>
  </si>
  <si>
    <t xml:space="preserve">Institut de Biologie Moleculair des Plantes du CNRS (IBMP)</t>
  </si>
  <si>
    <t xml:space="preserve">Medicago hybrida (Pourr.) Trautv.</t>
  </si>
  <si>
    <t xml:space="preserve">Institut de Biologie Moleculaire des Plantes</t>
  </si>
  <si>
    <t xml:space="preserve">Medicago intertexta ciliaris</t>
  </si>
  <si>
    <t xml:space="preserve">Institut de biologie moleculaire des plantes</t>
  </si>
  <si>
    <t xml:space="preserve">Medicago intertexta intertexta</t>
  </si>
  <si>
    <t xml:space="preserve">Institut de biotechnologie des plantes</t>
  </si>
  <si>
    <t xml:space="preserve">Medicago intertexta (L.) Mill.</t>
  </si>
  <si>
    <t xml:space="preserve">Institut de Recherche pour le Développement</t>
  </si>
  <si>
    <t xml:space="preserve">Medicago L.</t>
  </si>
  <si>
    <t xml:space="preserve">Institut de Recherches Agronomique</t>
  </si>
  <si>
    <t xml:space="preserve">Medicago laciniata (L.) Mill.</t>
  </si>
  <si>
    <t xml:space="preserve">Institut de Recherches Agronomiques et Forestières</t>
  </si>
  <si>
    <t xml:space="preserve">Medicago lanigera</t>
  </si>
  <si>
    <t xml:space="preserve">Institut de Recherches Agronomiques Tropicales et des cultures vivrières</t>
  </si>
  <si>
    <t xml:space="preserve">Medicago littoralis</t>
  </si>
  <si>
    <t xml:space="preserve">Institut de Recherches de Beibei</t>
  </si>
  <si>
    <t xml:space="preserve">Medicago lupulina L.</t>
  </si>
  <si>
    <t xml:space="preserve">Institut des forêts-Département Fruits et Agrumes</t>
  </si>
  <si>
    <t xml:space="preserve">Medicago marina L.</t>
  </si>
  <si>
    <t xml:space="preserve">Institut des Sciences du Vegetal (ISV)</t>
  </si>
  <si>
    <t xml:space="preserve">Medicago minima brevispina</t>
  </si>
  <si>
    <t xml:space="preserve">Institut des Sciences Vegetales</t>
  </si>
  <si>
    <t xml:space="preserve">Medicago minima (L.) L. ex Bartal.</t>
  </si>
  <si>
    <t xml:space="preserve">Institut for bioteknologi</t>
  </si>
  <si>
    <t xml:space="preserve">Medicago minima minima</t>
  </si>
  <si>
    <t xml:space="preserve">Institut Français de la Vigne et du Vin</t>
  </si>
  <si>
    <t xml:space="preserve">Medicago monantha (C.A. Mey.) Trautv.</t>
  </si>
  <si>
    <t xml:space="preserve">Institut Francais de Recherches Fruitières</t>
  </si>
  <si>
    <t xml:space="preserve">Medicago monspeliaca (L.) Trautv.</t>
  </si>
  <si>
    <t xml:space="preserve">Institut Francais de Recherches Fruitières - Martinique</t>
  </si>
  <si>
    <t xml:space="preserve">Medicago murex lesinsii</t>
  </si>
  <si>
    <t xml:space="preserve">Institut Francais de Recherches Fruitières - Réunion</t>
  </si>
  <si>
    <t xml:space="preserve">Medicago murex sphaerocarpos</t>
  </si>
  <si>
    <t xml:space="preserve">Institut fuer Entwicklungsbiologie und Molekularbiologie derPflanzen</t>
  </si>
  <si>
    <t xml:space="preserve">Medicago murex Willd.</t>
  </si>
  <si>
    <t xml:space="preserve">Institut für Biologie und Biotechnologie der Pflanzen (IBBP)</t>
  </si>
  <si>
    <t xml:space="preserve">Medicago muricoleptis</t>
  </si>
  <si>
    <t xml:space="preserve">Institut fur Pflanzengenetik und Kulturpflanzenforschung</t>
  </si>
  <si>
    <t xml:space="preserve">Medicago noeana Boiss.</t>
  </si>
  <si>
    <t xml:space="preserve">Institut für Pflanzengenetik und Kulturpflanzenforschung</t>
  </si>
  <si>
    <t xml:space="preserve">Medicago orbicularis biancae</t>
  </si>
  <si>
    <t xml:space="preserve">Medicago orbicularis (L.) Bartal.</t>
  </si>
  <si>
    <t xml:space="preserve">Institut National Agronomique Paris-Grignon</t>
  </si>
  <si>
    <t xml:space="preserve">Medicago orbicularis marginata</t>
  </si>
  <si>
    <t xml:space="preserve">Institut National de la Recherche Agronomique</t>
  </si>
  <si>
    <t xml:space="preserve">Medicago orthoceras</t>
  </si>
  <si>
    <t xml:space="preserve">Institut National de la Recherche Agronomique - Centre de Clermont-Ferrand</t>
  </si>
  <si>
    <t xml:space="preserve">Medicago papillosa Boiss.</t>
  </si>
  <si>
    <t xml:space="preserve">Institut National de la Recherche Agronomique - Centre de Montpellier</t>
  </si>
  <si>
    <t xml:space="preserve">Medicago pironae</t>
  </si>
  <si>
    <t xml:space="preserve">Institut National de la Recherche Agronomique d'Algerie</t>
  </si>
  <si>
    <t xml:space="preserve">Medicago platycarpa</t>
  </si>
  <si>
    <t xml:space="preserve">Institut National de la Recherche Agronomique de Tunisie</t>
  </si>
  <si>
    <t xml:space="preserve">Medicago polychroa Grossh.</t>
  </si>
  <si>
    <t xml:space="preserve">Institut National de la Recherche Agronomique du Maroc</t>
  </si>
  <si>
    <t xml:space="preserve">Medicago polymorpha brevispina</t>
  </si>
  <si>
    <t xml:space="preserve">Institut of Corn</t>
  </si>
  <si>
    <t xml:space="preserve">Medicago polymorpha L.</t>
  </si>
  <si>
    <t xml:space="preserve">Institut of Crop Germplasm Resources, Chinese Academy of Agricultural Sciences</t>
  </si>
  <si>
    <t xml:space="preserve">Medicago polymorpha polymorpha</t>
  </si>
  <si>
    <t xml:space="preserve">Institut of Subtropical Plants</t>
  </si>
  <si>
    <t xml:space="preserve">Medicago polymorpha vulgaris</t>
  </si>
  <si>
    <t xml:space="preserve">Institut ZA Povrtarstvo</t>
  </si>
  <si>
    <t xml:space="preserve">Medicago praecox DC.</t>
  </si>
  <si>
    <t xml:space="preserve">Institute Crop and Food Research Ltd. East Coast Technology Centre</t>
  </si>
  <si>
    <t xml:space="preserve">Medicago prostrata Jacq.</t>
  </si>
  <si>
    <t xml:space="preserve">Institute for Agrobotany</t>
  </si>
  <si>
    <t xml:space="preserve">Medicago quasifalcata</t>
  </si>
  <si>
    <t xml:space="preserve">Institute for Breeding and Production of Field Crops</t>
  </si>
  <si>
    <t xml:space="preserve">Medicago radiata</t>
  </si>
  <si>
    <t xml:space="preserve">Institute for Field and Vegetable Crops Novi Sad</t>
  </si>
  <si>
    <t xml:space="preserve">Medicago rhodopea Velen.</t>
  </si>
  <si>
    <t xml:space="preserve">Institute for Genome Research and Systems Biology / CeBiTec</t>
  </si>
  <si>
    <t xml:space="preserve">Medicago rigidula agrestis</t>
  </si>
  <si>
    <t xml:space="preserve">Institute for Grapevine Breeding</t>
  </si>
  <si>
    <t xml:space="preserve">Medicago rigidula cinerascens</t>
  </si>
  <si>
    <t xml:space="preserve">Institute for Plant Genetic Resources 'K. Malkov'</t>
  </si>
  <si>
    <t xml:space="preserve">Medicago rigidula (L.) All.</t>
  </si>
  <si>
    <t xml:space="preserve">Institute for Tropical ans Subtropical Crops</t>
  </si>
  <si>
    <t xml:space="preserve">Medicago rigidula rigidula</t>
  </si>
  <si>
    <t xml:space="preserve">Institute of Agriculture of the NAAS</t>
  </si>
  <si>
    <t xml:space="preserve">Medicago rigidula submitis</t>
  </si>
  <si>
    <t xml:space="preserve">Institute of Arable Crop Research</t>
  </si>
  <si>
    <t xml:space="preserve">Medicago rigiduloides</t>
  </si>
  <si>
    <t xml:space="preserve">Institute of Botany</t>
  </si>
  <si>
    <t xml:space="preserve">Medicago rotata Boiss.</t>
  </si>
  <si>
    <t xml:space="preserve">Institute of Citrus Research Chinese Academy of Agric. Sciences</t>
  </si>
  <si>
    <t xml:space="preserve">Medicago rugosa Desr.</t>
  </si>
  <si>
    <t xml:space="preserve">Institute of Crop Breeding and Cultivation, Chinese Academy of Agricultural Sciences</t>
  </si>
  <si>
    <t xml:space="preserve">Medicago rupestris</t>
  </si>
  <si>
    <t xml:space="preserve">Institute of Crop Research, Jilin Academy of Agricultural Sciences</t>
  </si>
  <si>
    <t xml:space="preserve">Medicago ruthenica (L.) Trautv.</t>
  </si>
  <si>
    <t xml:space="preserve">Institute of Crop Science, Federal Research Center for Agricult.(FAL)</t>
  </si>
  <si>
    <t xml:space="preserve">Medicago sativa caelurea</t>
  </si>
  <si>
    <t xml:space="preserve">Institute of Experimental Botany</t>
  </si>
  <si>
    <t xml:space="preserve">Medicago sativa falcata (L.) Arcang.</t>
  </si>
  <si>
    <t xml:space="preserve">Institute of Field Crops and Viticulture</t>
  </si>
  <si>
    <t xml:space="preserve">Medicago sativa gaetula</t>
  </si>
  <si>
    <t xml:space="preserve">Institute of forest genetics</t>
  </si>
  <si>
    <t xml:space="preserve">Medicago sativa glomerata (Balb.) Rouy</t>
  </si>
  <si>
    <t xml:space="preserve">Institute of Genetics,  Fudan University</t>
  </si>
  <si>
    <t xml:space="preserve">Medicago sativa L.</t>
  </si>
  <si>
    <t xml:space="preserve">Institute of Husbandry and Breeding of the National Academy of Sciences of Belarus</t>
  </si>
  <si>
    <t xml:space="preserve">Medicago sativa type mielga L.</t>
  </si>
  <si>
    <t xml:space="preserve">Institute of Mol. &amp; Cell. Bioscience,  Department of CellularFunction</t>
  </si>
  <si>
    <t xml:space="preserve">Medicago sauvagei</t>
  </si>
  <si>
    <t xml:space="preserve">Institute of Plant Breeding and Agricultural Research 'Nazareno Strampelli'</t>
  </si>
  <si>
    <t xml:space="preserve">Medicago saxatilis</t>
  </si>
  <si>
    <t xml:space="preserve">Institute of Plant Breeding, College of Agriculture, University of the Philippines, Los Baños College</t>
  </si>
  <si>
    <t xml:space="preserve">Medicago scutellata (L.) Mill.</t>
  </si>
  <si>
    <t xml:space="preserve">Institute of Plant Production n.a. V.Y. Yurjev of UAAS</t>
  </si>
  <si>
    <t xml:space="preserve">Medicago secundiflora</t>
  </si>
  <si>
    <t xml:space="preserve">Institute of Pomology, Jiangxi Academy of Agricultural Sciences</t>
  </si>
  <si>
    <t xml:space="preserve">Medicago shepardii Post ex Boiss.</t>
  </si>
  <si>
    <t xml:space="preserve">Institute of Wheat and Sunflower Dobroudja</t>
  </si>
  <si>
    <t xml:space="preserve">Medicago soleirolii Duby</t>
  </si>
  <si>
    <t xml:space="preserve">Institute Plant Biotechnology</t>
  </si>
  <si>
    <t xml:space="preserve">Medicago suffruticosa leiocarpa (Benth.) Urb</t>
  </si>
  <si>
    <t xml:space="preserve">InstitutionX</t>
  </si>
  <si>
    <t xml:space="preserve">Medicago suffruticosa Ramond ex DC.</t>
  </si>
  <si>
    <t xml:space="preserve">Instituto Agronomico de Campinas</t>
  </si>
  <si>
    <t xml:space="preserve">Medicago suffruticosa suffruticosa</t>
  </si>
  <si>
    <t xml:space="preserve">Instituto Agronomico de Parana</t>
  </si>
  <si>
    <t xml:space="preserve">Medicago tenoreana</t>
  </si>
  <si>
    <t xml:space="preserve">Instituto Canario de Investigaciones Agrarias</t>
  </si>
  <si>
    <t xml:space="preserve">Medicago tornata</t>
  </si>
  <si>
    <t xml:space="preserve">Instituto Colombiano Agropecuario</t>
  </si>
  <si>
    <t xml:space="preserve">Medicago tornata rugolosa</t>
  </si>
  <si>
    <t xml:space="preserve">Instituto de Biologia y Biotecnologia Vegetal</t>
  </si>
  <si>
    <t xml:space="preserve">Medicago tornata spinulosa</t>
  </si>
  <si>
    <t xml:space="preserve">Instituto de Biotecnologia,  CICVyA-CNIA</t>
  </si>
  <si>
    <t xml:space="preserve">Medicago tornata tornata</t>
  </si>
  <si>
    <t xml:space="preserve">Instituto de Investigacao Agronomica</t>
  </si>
  <si>
    <t xml:space="preserve">Medicago truncatula</t>
  </si>
  <si>
    <t xml:space="preserve">Instituto de Investigaciones de Citricos y otros Frutales</t>
  </si>
  <si>
    <t xml:space="preserve">Medicago truncatula longispina</t>
  </si>
  <si>
    <t xml:space="preserve">Instituto de Investigaciones Fundamentales en Agr. Tropical</t>
  </si>
  <si>
    <t xml:space="preserve">Medicago truncatula tricycla</t>
  </si>
  <si>
    <t xml:space="preserve">Instituto de Protecçao da Produçao Agro-Alimentar</t>
  </si>
  <si>
    <t xml:space="preserve">Medicago truncatula truncatula</t>
  </si>
  <si>
    <t xml:space="preserve">Instituto Fitogenetico 'Santa Catalina'</t>
  </si>
  <si>
    <t xml:space="preserve">Medicago turbinata (L.) All.</t>
  </si>
  <si>
    <t xml:space="preserve">Instituto Nacional de Ciencas Agr.</t>
  </si>
  <si>
    <t xml:space="preserve">Medicago varia Martyn</t>
  </si>
  <si>
    <t xml:space="preserve">Instituto Nacional de Investigação Agronomica</t>
  </si>
  <si>
    <t xml:space="preserve">Microcitrus australasica (F. Muell.) Swingle</t>
  </si>
  <si>
    <t xml:space="preserve">Instituto Nacional de Investigacion Agropecuaria</t>
  </si>
  <si>
    <t xml:space="preserve">(Microcitrus australasica (F. Muell.) Swingle x (Fortunella sp. x Citrus mitis))</t>
  </si>
  <si>
    <t xml:space="preserve">Instituto nacional de Investigaciones Agricolas Celaya Mexique</t>
  </si>
  <si>
    <t xml:space="preserve">(Microcitrus australasica (F. Muell.) Swingle x Microcitrus australis (Planch.) Swing.)</t>
  </si>
  <si>
    <t xml:space="preserve">Instituto Nacional de Investigaciones Forestales, Agrícolas y Pecuarias</t>
  </si>
  <si>
    <t xml:space="preserve">Microcitrus australis (A. Cunn. ex Mudie) Swingle</t>
  </si>
  <si>
    <t xml:space="preserve">Instituto Nacional de Tecnología Agropecuaria</t>
  </si>
  <si>
    <t xml:space="preserve">Microcitrus Swingle</t>
  </si>
  <si>
    <t xml:space="preserve">Instituto Nacional de Tecnología Agropecuaria Estacion Experimental Marcos Juárez</t>
  </si>
  <si>
    <t xml:space="preserve">Monodelphis domestica</t>
  </si>
  <si>
    <t xml:space="preserve">Instituto Nacional de Tecnología Agropecuaria Estacion Experimental Pergamino</t>
  </si>
  <si>
    <t xml:space="preserve">Murraya J. Koenig ex L.</t>
  </si>
  <si>
    <t xml:space="preserve">Instituto Valenciano de Investigaciones Agrarias</t>
  </si>
  <si>
    <t xml:space="preserve">Murraya paniculata (L.) Jack</t>
  </si>
  <si>
    <t xml:space="preserve">INTA</t>
  </si>
  <si>
    <t xml:space="preserve">Mus musculus</t>
  </si>
  <si>
    <t xml:space="preserve">INTA Estacion Experimental</t>
  </si>
  <si>
    <t xml:space="preserve">Muscadinia munsoniana Small</t>
  </si>
  <si>
    <t xml:space="preserve">Interactions Arbres/Microorganismes</t>
  </si>
  <si>
    <t xml:space="preserve">Muscadinia popenoei Fennell</t>
  </si>
  <si>
    <t xml:space="preserve">International Centre for Agricultural Research in Dry Areas</t>
  </si>
  <si>
    <t xml:space="preserve">Muscadinia rotundifolia cv. Carlos</t>
  </si>
  <si>
    <t xml:space="preserve">International Institute of Tropical Agriculture</t>
  </si>
  <si>
    <t xml:space="preserve">Muscadinia rotundifolia cv. Dulcet</t>
  </si>
  <si>
    <t xml:space="preserve">IPK</t>
  </si>
  <si>
    <t xml:space="preserve">Muscadinia rotundifolia cv. Fry</t>
  </si>
  <si>
    <t xml:space="preserve">IPMSV</t>
  </si>
  <si>
    <t xml:space="preserve">Muscadinia rotundifolia cv. Regale</t>
  </si>
  <si>
    <t xml:space="preserve">IRD</t>
  </si>
  <si>
    <t xml:space="preserve">Muscadinia rotundifolia cv. Trayshed</t>
  </si>
  <si>
    <t xml:space="preserve">IRISA</t>
  </si>
  <si>
    <t xml:space="preserve">Muscadinia rotundifolia cv. Yuga x Carlos</t>
  </si>
  <si>
    <t xml:space="preserve">IRRI</t>
  </si>
  <si>
    <t xml:space="preserve">Muscadinia rotundifolia Mchx.</t>
  </si>
  <si>
    <t xml:space="preserve">Istituto di Agronomia e Coltivazioni - Universita di Bologna</t>
  </si>
  <si>
    <t xml:space="preserve">Muscadinia Small</t>
  </si>
  <si>
    <t xml:space="preserve">Istituto di Genetica Vegetale, Consiglio Nazionale delle Richerche</t>
  </si>
  <si>
    <t xml:space="preserve">Myzus persicae</t>
  </si>
  <si>
    <t xml:space="preserve">Istituto di Scienze Biochimiche</t>
  </si>
  <si>
    <t xml:space="preserve">Olea europaea L.</t>
  </si>
  <si>
    <t xml:space="preserve">Istituto Sperimentale per lAgrumicoltura</t>
  </si>
  <si>
    <t xml:space="preserve">Onobrychis Hill.</t>
  </si>
  <si>
    <t xml:space="preserve">ISV-CNRS</t>
  </si>
  <si>
    <t xml:space="preserve">Onobrychis viciifolia Scop.</t>
  </si>
  <si>
    <t xml:space="preserve">J. Berthélémé</t>
  </si>
  <si>
    <t xml:space="preserve">Oryza barthii</t>
  </si>
  <si>
    <t xml:space="preserve">Jardin Botanico, Wilson Popenoe de Lancetilla</t>
  </si>
  <si>
    <t xml:space="preserve">Oryza glaberrima</t>
  </si>
  <si>
    <t xml:space="preserve">Jardin botanique de Bordeaux</t>
  </si>
  <si>
    <t xml:space="preserve">Oryza longistaminata</t>
  </si>
  <si>
    <t xml:space="preserve">Jiangsu Academy of Agricultural Sciences</t>
  </si>
  <si>
    <t xml:space="preserve">Oryza nivara</t>
  </si>
  <si>
    <t xml:space="preserve">JKI Julius Kühn-Institut</t>
  </si>
  <si>
    <t xml:space="preserve">Oryza rufipogon</t>
  </si>
  <si>
    <t xml:space="preserve">John Innes CentreNorwich Research Park</t>
  </si>
  <si>
    <t xml:space="preserve">Oryza sativa</t>
  </si>
  <si>
    <t xml:space="preserve">Jorion</t>
  </si>
  <si>
    <t xml:space="preserve">Oryzias latipes</t>
  </si>
  <si>
    <t xml:space="preserve">Jose Buck S.A.</t>
  </si>
  <si>
    <t xml:space="preserve">Pan troglodytes</t>
  </si>
  <si>
    <t xml:space="preserve">Joseph Nickerson Research Centre</t>
  </si>
  <si>
    <t xml:space="preserve">Parthenocissus henryana Graebn. ex Diels</t>
  </si>
  <si>
    <t xml:space="preserve">Jourdan Pierre,  Tain - France</t>
  </si>
  <si>
    <t xml:space="preserve">Parthenocissus Planch.</t>
  </si>
  <si>
    <t xml:space="preserve">Julius Kühn-Institut</t>
  </si>
  <si>
    <t xml:space="preserve">Parthenocissus quinquefolia (L.) Planch.</t>
  </si>
  <si>
    <t xml:space="preserve">Kaerntner Saatbaugenossenschaft/Carinthian Agricultural Company</t>
  </si>
  <si>
    <t xml:space="preserve">Parthenocissus tricuspidata Planch.</t>
  </si>
  <si>
    <t xml:space="preserve">Kagoshima University, Faculty of Agriculture, Laboratory of Horticultural Science</t>
  </si>
  <si>
    <t xml:space="preserve">Parthenocissus voineriana</t>
  </si>
  <si>
    <t xml:space="preserve">Kansas Agricultural Experiment Station, Kansas State University</t>
  </si>
  <si>
    <t xml:space="preserve">Phaseolus vulgaris</t>
  </si>
  <si>
    <t xml:space="preserve">Kansas State University</t>
  </si>
  <si>
    <t xml:space="preserve">Phleum L.</t>
  </si>
  <si>
    <t xml:space="preserve">Karaganda State Agricultural Experiment Station</t>
  </si>
  <si>
    <t xml:space="preserve">Phleum pratense L.</t>
  </si>
  <si>
    <t xml:space="preserve">Kazakh Research Institute of Agriculture</t>
  </si>
  <si>
    <t xml:space="preserve">Phytophthora parasitica</t>
  </si>
  <si>
    <t xml:space="preserve">Key Lab. of Crop Germplasm &amp; Biotechnology</t>
  </si>
  <si>
    <t xml:space="preserve">Picea abies</t>
  </si>
  <si>
    <t xml:space="preserve">Key Laboratory of Crop Germplasm &amp; Biotechnology</t>
  </si>
  <si>
    <t xml:space="preserve">Pinus pinaster</t>
  </si>
  <si>
    <t xml:space="preserve">Key Laboratory of Ministry of Education for PlantDevelopmental Biology</t>
  </si>
  <si>
    <t xml:space="preserve">Pinus sylvestris</t>
  </si>
  <si>
    <t xml:space="preserve">Key Laboratory Tree Genetic Engineering of Nanjing Forestry</t>
  </si>
  <si>
    <t xml:space="preserve">Pisum fulvum</t>
  </si>
  <si>
    <t xml:space="preserve">Kihara Institute for Biological Research,  Yokohama CityUniversity</t>
  </si>
  <si>
    <t xml:space="preserve">Pisum L.</t>
  </si>
  <si>
    <t xml:space="preserve">Kihara Institute for Biological Research, Yokohama City University</t>
  </si>
  <si>
    <t xml:space="preserve">Pisum sativum L.</t>
  </si>
  <si>
    <t xml:space="preserve">Kleinwanzlebener Saatzucht AG</t>
  </si>
  <si>
    <t xml:space="preserve">Pisum sativum subsp. abyssinicum</t>
  </si>
  <si>
    <t xml:space="preserve">Krasnyy Kut breeding station</t>
  </si>
  <si>
    <t xml:space="preserve">Pisum sativum subsp. elatius</t>
  </si>
  <si>
    <t xml:space="preserve">Kumho Life &amp; Environmental Science Laboratory (KLESL)</t>
  </si>
  <si>
    <t xml:space="preserve">Pisum sativum subsp. sativum</t>
  </si>
  <si>
    <t xml:space="preserve">KWS France</t>
  </si>
  <si>
    <t xml:space="preserve">Pisum sativum var. arvense</t>
  </si>
  <si>
    <t xml:space="preserve">KWS UK Ltd</t>
  </si>
  <si>
    <t xml:space="preserve">Pisum sativum var. choresmicum</t>
  </si>
  <si>
    <t xml:space="preserve">La. Agr. Exp. Sta.</t>
  </si>
  <si>
    <t xml:space="preserve">Pisum sativum var. pumilio</t>
  </si>
  <si>
    <t xml:space="preserve">Lab. Biol. Developpement des Plantes</t>
  </si>
  <si>
    <t xml:space="preserve">Pisum sativum var. tibetanicum</t>
  </si>
  <si>
    <t xml:space="preserve">Lab. Biotech. et Amelior. Plantes - Pole de Biotechnologie Vegetale</t>
  </si>
  <si>
    <t xml:space="preserve">Poncirus polyandra S. Q. Ding et al.</t>
  </si>
  <si>
    <t xml:space="preserve">Lab de Biochimie</t>
  </si>
  <si>
    <t xml:space="preserve">Poncirus Raf.</t>
  </si>
  <si>
    <t xml:space="preserve">Lab of Biotechnology</t>
  </si>
  <si>
    <t xml:space="preserve">Poncirus trifoliata (L.) Raf.</t>
  </si>
  <si>
    <t xml:space="preserve">Lab of Molecular Biology</t>
  </si>
  <si>
    <t xml:space="preserve">Populus alba</t>
  </si>
  <si>
    <t xml:space="preserve">Lab. of Plant Development Physiology and  Molecular Biology</t>
  </si>
  <si>
    <t xml:space="preserve">Populus alba x populus tremula var. glandulosa</t>
  </si>
  <si>
    <t xml:space="preserve">Lab of Plant Molecular Physiology</t>
  </si>
  <si>
    <t xml:space="preserve">Populus deltoides</t>
  </si>
  <si>
    <t xml:space="preserve">Laboratoire BAP</t>
  </si>
  <si>
    <t xml:space="preserve">Populus deltoides x Populus nigra</t>
  </si>
  <si>
    <t xml:space="preserve">Laboratoire de Biologie du Developpement des Plantes</t>
  </si>
  <si>
    <t xml:space="preserve">Populus deltoides x populus trichocarpa</t>
  </si>
  <si>
    <t xml:space="preserve">Laboratoire de Biologie du developpement des plantes</t>
  </si>
  <si>
    <t xml:space="preserve">Populus euphratica</t>
  </si>
  <si>
    <t xml:space="preserve">Laboratoire de Biologie Moleculaire</t>
  </si>
  <si>
    <t xml:space="preserve">Populus fremontii</t>
  </si>
  <si>
    <t xml:space="preserve">Laboratoire de Biotechnologie et Amelioration des Plantes</t>
  </si>
  <si>
    <t xml:space="preserve">Populus fremontii x populus angustifolia</t>
  </si>
  <si>
    <t xml:space="preserve">Laboratoire de Biotechnologie et d'amélioration des plantes</t>
  </si>
  <si>
    <t xml:space="preserve">Populus nigra</t>
  </si>
  <si>
    <t xml:space="preserve">Laboratoire de Génétique et Amélioration des Plantes, INRA-Lille</t>
  </si>
  <si>
    <t xml:space="preserve">Populus tomentiglandulosa</t>
  </si>
  <si>
    <t xml:space="preserve">Laboratoire de Genetique Moleculaire</t>
  </si>
  <si>
    <t xml:space="preserve">Populus tremula</t>
  </si>
  <si>
    <t xml:space="preserve">Laboratoire de Genomique et Bioinformatique</t>
  </si>
  <si>
    <t xml:space="preserve">Populus tremula x populus alba</t>
  </si>
  <si>
    <t xml:space="preserve">Laboratoire de Génomique et Bioinformatique</t>
  </si>
  <si>
    <t xml:space="preserve">Populus tremula x populus tremuloides</t>
  </si>
  <si>
    <t xml:space="preserve">Laboratoire de Mondonville</t>
  </si>
  <si>
    <t xml:space="preserve">Populus tremuloides</t>
  </si>
  <si>
    <t xml:space="preserve">Laboratoire de Nutrition Azotee des Plantes</t>
  </si>
  <si>
    <t xml:space="preserve">Populus trichocarpa</t>
  </si>
  <si>
    <t xml:space="preserve">Laboratoire de Pathologie Vegetale</t>
  </si>
  <si>
    <t xml:space="preserve">Populus trichocarpa x populus deltoides</t>
  </si>
  <si>
    <t xml:space="preserve">Laboratoire de Physiologie et Biologie MoleculairesVegetales,  URA CNRS 565</t>
  </si>
  <si>
    <t xml:space="preserve">Populus trichocarpa x Populus nigra</t>
  </si>
  <si>
    <t xml:space="preserve">Laboratoire de Phytoparasitologie</t>
  </si>
  <si>
    <t xml:space="preserve">Populus x canadensis</t>
  </si>
  <si>
    <t xml:space="preserve">Laboratoire de Phytopathologie Moleculaire ; SainsburyLaboratory</t>
  </si>
  <si>
    <t xml:space="preserve">Prunus armeniaca L.</t>
  </si>
  <si>
    <t xml:space="preserve">Laboratoire de Phytopathologie Moleculaire (LPPM)</t>
  </si>
  <si>
    <t xml:space="preserve">Prunus avium L.</t>
  </si>
  <si>
    <t xml:space="preserve">Laboratoire d'Organogenese Moleculaire Vegetale</t>
  </si>
  <si>
    <t xml:space="preserve">Prunus cerasus L.</t>
  </si>
  <si>
    <t xml:space="preserve">Laboratoire genome et developpement des plantes LGDP</t>
  </si>
  <si>
    <t xml:space="preserve">Prunus domestica L.</t>
  </si>
  <si>
    <t xml:space="preserve">Laboratoire Ginome et Diveloppement des Plantes</t>
  </si>
  <si>
    <t xml:space="preserve">Prunus dulcis (P. Mill.) D.A. Webber</t>
  </si>
  <si>
    <t xml:space="preserve">Laboratorio di Genetica Molecolare</t>
  </si>
  <si>
    <t xml:space="preserve">Prunus insititia L.</t>
  </si>
  <si>
    <t xml:space="preserve">Laboratory for Genomics and  Bioinformatics</t>
  </si>
  <si>
    <t xml:space="preserve">Prunus L.</t>
  </si>
  <si>
    <t xml:space="preserve">Laboratory of Biochemistry,  Department of Molecular Geneticsand</t>
  </si>
  <si>
    <t xml:space="preserve">Prunus semperflorens Ehrh.</t>
  </si>
  <si>
    <t xml:space="preserve">Laboratory of Functional Genetics</t>
  </si>
  <si>
    <t xml:space="preserve">Prunus x gondouinii (Poit. &amp; Turpin.) Schneid.</t>
  </si>
  <si>
    <t xml:space="preserve">Laboratory of Molecular Biology</t>
  </si>
  <si>
    <t xml:space="preserve">Pterocissus mirabilis Urb. &amp; Ekman</t>
  </si>
  <si>
    <t xml:space="preserve">Laboratory of Plant Biotechnology</t>
  </si>
  <si>
    <t xml:space="preserve">Pterocissus Urb. &amp; Ekman</t>
  </si>
  <si>
    <t xml:space="preserve">Laboratory of Plant Molecular Biology</t>
  </si>
  <si>
    <t xml:space="preserve">Pyrus L.</t>
  </si>
  <si>
    <t xml:space="preserve">Laboratory of Plant Molecular Breeding</t>
  </si>
  <si>
    <t xml:space="preserve">Quercus petraea</t>
  </si>
  <si>
    <t xml:space="preserve">Laboratory of Tropical Crop Improvement, Katholieke Universiteit Leuven</t>
  </si>
  <si>
    <t xml:space="preserve">Quercus robur</t>
  </si>
  <si>
    <t xml:space="preserve">Lacombe Research Centre Agriculture and Agri-Food Canada</t>
  </si>
  <si>
    <t xml:space="preserve">Rhopalosiphum padi</t>
  </si>
  <si>
    <t xml:space="preserve">Lafite, Ferme des Anglais</t>
  </si>
  <si>
    <t xml:space="preserve">Rosa chinensis</t>
  </si>
  <si>
    <t xml:space="preserve">Landbrugets Kornforaedling Sejet</t>
  </si>
  <si>
    <t xml:space="preserve">Rosa hybrida</t>
  </si>
  <si>
    <t xml:space="preserve">Landwirtschaftliche Lehranstalten Triesdorf</t>
  </si>
  <si>
    <t xml:space="preserve">Rosa wichuraiana</t>
  </si>
  <si>
    <t xml:space="preserve">Landwirtschaftsbetrieb Neuhof Rohrau, Pflanzenzucht</t>
  </si>
  <si>
    <t xml:space="preserve">Rutaceae</t>
  </si>
  <si>
    <t xml:space="preserve">Layne David - Summerland BC - Canada</t>
  </si>
  <si>
    <t xml:space="preserve">Saccharum officinarum</t>
  </si>
  <si>
    <t xml:space="preserve">LCB</t>
  </si>
  <si>
    <t xml:space="preserve">Saccharum spontaneum</t>
  </si>
  <si>
    <t xml:space="preserve">Lehrstuhl fuer Genetik</t>
  </si>
  <si>
    <t xml:space="preserve">Sclerotinia sclerotorium</t>
  </si>
  <si>
    <t xml:space="preserve">Leshan Citrus Association</t>
  </si>
  <si>
    <t xml:space="preserve">Secale cereale</t>
  </si>
  <si>
    <t xml:space="preserve">Lethbridge Research Station, Agriculture Canada</t>
  </si>
  <si>
    <t xml:space="preserve">Severinia buxifolia (Poir.) Ten.</t>
  </si>
  <si>
    <t xml:space="preserve">Letianxi Special Produce Station</t>
  </si>
  <si>
    <t xml:space="preserve">Severinia Ten. ex Endl.</t>
  </si>
  <si>
    <t xml:space="preserve">LG Molekulargenetik</t>
  </si>
  <si>
    <t xml:space="preserve">Solanum alandiae Cardenas</t>
  </si>
  <si>
    <t xml:space="preserve">Limagrain</t>
  </si>
  <si>
    <t xml:space="preserve">Solanum albicans Ochoa</t>
  </si>
  <si>
    <t xml:space="preserve">Limagrain Europe Riom</t>
  </si>
  <si>
    <t xml:space="preserve">Solanum andreanum Baker</t>
  </si>
  <si>
    <t xml:space="preserve">Limagrain Genetics</t>
  </si>
  <si>
    <t xml:space="preserve">Solanum avilesii Hawkes &amp; Hjert.</t>
  </si>
  <si>
    <t xml:space="preserve">Limagrain Iberica</t>
  </si>
  <si>
    <t xml:space="preserve">Solanum berthaultii Hawkes</t>
  </si>
  <si>
    <t xml:space="preserve">Limagrain UK Ltd</t>
  </si>
  <si>
    <t xml:space="preserve">Solanum brachistotrichum Rydb.</t>
  </si>
  <si>
    <t xml:space="preserve">Limagrain Verneuil Holding</t>
  </si>
  <si>
    <t xml:space="preserve">Solanum brevidens Phil.</t>
  </si>
  <si>
    <t xml:space="preserve">Limagrain-Nickerson GmbH</t>
  </si>
  <si>
    <t xml:space="preserve">Solanum bulbocastanum Dunal</t>
  </si>
  <si>
    <t xml:space="preserve">Lincoln University</t>
  </si>
  <si>
    <t xml:space="preserve">Solanum cardiophyllum Lindl.</t>
  </si>
  <si>
    <t xml:space="preserve">LIPM,  CNRS/INRA</t>
  </si>
  <si>
    <t xml:space="preserve">Solanum chacoense Bitter</t>
  </si>
  <si>
    <t xml:space="preserve">Lita Annenberg Hazen Genome Sequencing Center</t>
  </si>
  <si>
    <t xml:space="preserve">Solanum cheesmaniae</t>
  </si>
  <si>
    <t xml:space="preserve">Lithuanian Institute of Agriculture</t>
  </si>
  <si>
    <t xml:space="preserve">Solanum chmielewskii</t>
  </si>
  <si>
    <t xml:space="preserve">London Horticultural Society</t>
  </si>
  <si>
    <t xml:space="preserve">Solanum comersonii Poir.</t>
  </si>
  <si>
    <t xml:space="preserve">Louisiana State University USA</t>
  </si>
  <si>
    <t xml:space="preserve">Solanum demissum Lindl.</t>
  </si>
  <si>
    <t xml:space="preserve">Luigi Samoggia</t>
  </si>
  <si>
    <t xml:space="preserve">Solanum etuberosum Lindl.</t>
  </si>
  <si>
    <t xml:space="preserve">Luk'janenko Krasnodar Agricultural Research Institute</t>
  </si>
  <si>
    <t xml:space="preserve">Solanum fendleri A. Gray</t>
  </si>
  <si>
    <t xml:space="preserve">M. Alain Marcel</t>
  </si>
  <si>
    <t xml:space="preserve">Solanum gourlayi Hawkes</t>
  </si>
  <si>
    <t xml:space="preserve">M. Anderson Fred, CA - USA</t>
  </si>
  <si>
    <t xml:space="preserve">Solanum habrochaites</t>
  </si>
  <si>
    <t xml:space="preserve">M. Ballot</t>
  </si>
  <si>
    <t xml:space="preserve">Solanum hougasii Correll</t>
  </si>
  <si>
    <t xml:space="preserve">M. Bordes, Rivesaltes Pyrénées Orientales - France</t>
  </si>
  <si>
    <t xml:space="preserve">Solanum kurtzianum Bitter &amp; Wittm.</t>
  </si>
  <si>
    <t xml:space="preserve">M. Bouchot</t>
  </si>
  <si>
    <t xml:space="preserve">Solanum L.</t>
  </si>
  <si>
    <t xml:space="preserve">M. Boyat</t>
  </si>
  <si>
    <t xml:space="preserve">Solanum lycopersicum</t>
  </si>
  <si>
    <t xml:space="preserve">M. Briot</t>
  </si>
  <si>
    <t xml:space="preserve">Solanum lycopersicum var. cerasiforme</t>
  </si>
  <si>
    <t xml:space="preserve">M. Brun</t>
  </si>
  <si>
    <t xml:space="preserve">Solanum oplocense Hawkes</t>
  </si>
  <si>
    <t xml:space="preserve">M. Canino, Spain</t>
  </si>
  <si>
    <t xml:space="preserve">Solanum pennellii</t>
  </si>
  <si>
    <t xml:space="preserve">M. Carraut</t>
  </si>
  <si>
    <t xml:space="preserve">Solanum phureja Juz. &amp; Bukasov</t>
  </si>
  <si>
    <t xml:space="preserve">M. Chazotier</t>
  </si>
  <si>
    <t xml:space="preserve">Solanum pimpinellifolium</t>
  </si>
  <si>
    <t xml:space="preserve">M. Chorozé, pépiniériste</t>
  </si>
  <si>
    <t xml:space="preserve">Solanum polyadenium Greenm.</t>
  </si>
  <si>
    <t xml:space="preserve">M. Clanet</t>
  </si>
  <si>
    <t xml:space="preserve">Solanum polytrichon Rydb.</t>
  </si>
  <si>
    <t xml:space="preserve">M. Coste, Pyrénées Orientales - France</t>
  </si>
  <si>
    <t xml:space="preserve">Solanum schenckii Bitter</t>
  </si>
  <si>
    <t xml:space="preserve">M. Cunty</t>
  </si>
  <si>
    <t xml:space="preserve">Solanum sparsipilum Juz. &amp; Bukasov</t>
  </si>
  <si>
    <t xml:space="preserve">M. Duquesne</t>
  </si>
  <si>
    <t xml:space="preserve">Solanum spegazzinii Bitter</t>
  </si>
  <si>
    <t xml:space="preserve">M. Escudier, Aramon, Gard - France</t>
  </si>
  <si>
    <t xml:space="preserve">Solanum stenotonum Juz. &amp; Bukasov</t>
  </si>
  <si>
    <t xml:space="preserve">M. Flandin, pépiniériste</t>
  </si>
  <si>
    <t xml:space="preserve">Solanum stoloniferum Schltdl. &amp; Bouché</t>
  </si>
  <si>
    <t xml:space="preserve">M. Gidouin</t>
  </si>
  <si>
    <t xml:space="preserve">Solanum sucrense Hawkes</t>
  </si>
  <si>
    <t xml:space="preserve">M. Goepfert</t>
  </si>
  <si>
    <t xml:space="preserve">Solanum tarijense Hawkes</t>
  </si>
  <si>
    <t xml:space="preserve">M. Grassely</t>
  </si>
  <si>
    <t xml:space="preserve">Solanum trifidum Correll</t>
  </si>
  <si>
    <t xml:space="preserve">M. Guillaume</t>
  </si>
  <si>
    <t xml:space="preserve">Solanum tuberosum andigenum Juz. &amp; Bukasov</t>
  </si>
  <si>
    <t xml:space="preserve">M. Jaboulay</t>
  </si>
  <si>
    <t xml:space="preserve">Solanum tuberosum L.</t>
  </si>
  <si>
    <t xml:space="preserve">M. Kupper, arboriculteur</t>
  </si>
  <si>
    <t xml:space="preserve">Solanum tuberosum tuberosum L.</t>
  </si>
  <si>
    <t xml:space="preserve">M. Laboulfié</t>
  </si>
  <si>
    <t xml:space="preserve">Solanum vernei Bitter &amp; Wittm.</t>
  </si>
  <si>
    <t xml:space="preserve">M. Lerouzic</t>
  </si>
  <si>
    <t xml:space="preserve">Sorghum bicolor</t>
  </si>
  <si>
    <t xml:space="preserve">M. Luizet, Ecully, Rhone - France</t>
  </si>
  <si>
    <t xml:space="preserve">(Tangelo x Citrus paradisi Macf.)</t>
  </si>
  <si>
    <t xml:space="preserve">M. Malauzat, rue Château Trompette</t>
  </si>
  <si>
    <t xml:space="preserve">(Tangor x Citrus temple Hort. ex Y. Tan.)</t>
  </si>
  <si>
    <t xml:space="preserve">M. Maray-Meuilley</t>
  </si>
  <si>
    <t xml:space="preserve">Tetrastigma K.Schum.</t>
  </si>
  <si>
    <t xml:space="preserve">M. Merrand, St Etienne de Valoux, Ardeche - France</t>
  </si>
  <si>
    <t xml:space="preserve">Tetrastigma lanceolarium Planch.</t>
  </si>
  <si>
    <t xml:space="preserve">M. Moll</t>
  </si>
  <si>
    <t xml:space="preserve">Tetrastigma voinearium Pierre ex Gagnep.</t>
  </si>
  <si>
    <t xml:space="preserve">M. Murat</t>
  </si>
  <si>
    <t xml:space="preserve">Theobroma cacao</t>
  </si>
  <si>
    <t xml:space="preserve">M. Pejouan, Toulouges, Pyrénées Orientales  - France</t>
  </si>
  <si>
    <t xml:space="preserve">Thinopyrum ponticum (Podp.) Barkworth &amp; D.R. Dewey</t>
  </si>
  <si>
    <t xml:space="preserve">M. Pérès</t>
  </si>
  <si>
    <t xml:space="preserve">Toxoptera citricida</t>
  </si>
  <si>
    <t xml:space="preserve">M. Pierre Renoux</t>
  </si>
  <si>
    <t xml:space="preserve">Trifolium L.</t>
  </si>
  <si>
    <t xml:space="preserve">M. Poncet</t>
  </si>
  <si>
    <t xml:space="preserve">Trifolium pratense L.</t>
  </si>
  <si>
    <t xml:space="preserve">M. Popon</t>
  </si>
  <si>
    <t xml:space="preserve">Trifolium repens L.</t>
  </si>
  <si>
    <t xml:space="preserve">M. Ribelaygue, Pyrénées Orientales - France</t>
  </si>
  <si>
    <t xml:space="preserve">Trifolium resupinatum L.</t>
  </si>
  <si>
    <t xml:space="preserve">M. Riou Pierre, Francia</t>
  </si>
  <si>
    <t xml:space="preserve">Trifolium subterraneum</t>
  </si>
  <si>
    <t xml:space="preserve">M. Rohn</t>
  </si>
  <si>
    <t xml:space="preserve">Trifolium subterraneum brachicalycinum</t>
  </si>
  <si>
    <t xml:space="preserve">M. Roth</t>
  </si>
  <si>
    <t xml:space="preserve">Trifolium subterraneum subterraneum</t>
  </si>
  <si>
    <t xml:space="preserve">M. Roudier, Larnage - France</t>
  </si>
  <si>
    <t xml:space="preserve">Trifolium subterraneum yanninicum</t>
  </si>
  <si>
    <t xml:space="preserve">M. Rouget, Sernhac - France</t>
  </si>
  <si>
    <t xml:space="preserve">Triticeae</t>
  </si>
  <si>
    <t xml:space="preserve">M. Royère à 'Le Bicout'</t>
  </si>
  <si>
    <t xml:space="preserve">Triticum</t>
  </si>
  <si>
    <t xml:space="preserve">M. Saint-Germain</t>
  </si>
  <si>
    <t xml:space="preserve">Triticum aaronshii</t>
  </si>
  <si>
    <t xml:space="preserve">M. Schmidt</t>
  </si>
  <si>
    <t xml:space="preserve">Triticum aaronshii aaronshii</t>
  </si>
  <si>
    <t xml:space="preserve">M. Sigalas Antoine, Bordes-Hautes</t>
  </si>
  <si>
    <t xml:space="preserve">Triticum abyssinicum</t>
  </si>
  <si>
    <t xml:space="preserve">M. Soupa</t>
  </si>
  <si>
    <t xml:space="preserve">Triticum aegilopoides (Link) Bal.</t>
  </si>
  <si>
    <t xml:space="preserve">M. Stentzel</t>
  </si>
  <si>
    <t xml:space="preserve">M. Thomas</t>
  </si>
  <si>
    <t xml:space="preserve">Triticum aestivum aestivum</t>
  </si>
  <si>
    <t xml:space="preserve">M. Tisseyre, St Hyppolite Pyrénées Orientales - France</t>
  </si>
  <si>
    <t xml:space="preserve">Triticum aestivum compactum</t>
  </si>
  <si>
    <t xml:space="preserve">M. Wouters - Argentine</t>
  </si>
  <si>
    <t xml:space="preserve">Triticum aestivum fongicidum</t>
  </si>
  <si>
    <t xml:space="preserve">M. Zimandl</t>
  </si>
  <si>
    <t xml:space="preserve">Triticum aestivum group aestivum Bowden</t>
  </si>
  <si>
    <t xml:space="preserve">Maillard Arsène et Laurence, Elne - France</t>
  </si>
  <si>
    <t xml:space="preserve">Triticum aestivum group macha</t>
  </si>
  <si>
    <t xml:space="preserve">Maïsadour semences</t>
  </si>
  <si>
    <t xml:space="preserve">Triticum aestivum hisbis</t>
  </si>
  <si>
    <t xml:space="preserve">Maison Fernand Le Peuple</t>
  </si>
  <si>
    <t xml:space="preserve">Triticum aestivum L.</t>
  </si>
  <si>
    <t xml:space="preserve">Maize Group of National Key Labortory of Crop GeneticImprovement</t>
  </si>
  <si>
    <t xml:space="preserve">Triticum aestivum L. em. Thell.</t>
  </si>
  <si>
    <t xml:space="preserve">Maize Research Institute 'Zemin Polje'</t>
  </si>
  <si>
    <t xml:space="preserve">Triticum aestivum L. em. Thell. group aestivum</t>
  </si>
  <si>
    <t xml:space="preserve">Malang Research Institute for Food Crops, BALITAN</t>
  </si>
  <si>
    <t xml:space="preserve">Triticum aestivum L. em. Thell. group compactum (Host) Thell.</t>
  </si>
  <si>
    <t xml:space="preserve">Maliani Genetica di Maliani Cesare</t>
  </si>
  <si>
    <t xml:space="preserve">Triticum aestivum L. em. Thell. group spelta (L.) Thell.</t>
  </si>
  <si>
    <t xml:space="preserve">MAP</t>
  </si>
  <si>
    <t xml:space="preserve">Triticum aestivum L. em. Thell. group sphaerococcum (Perc.) Mac Key</t>
  </si>
  <si>
    <t xml:space="preserve">Marc CREPIN</t>
  </si>
  <si>
    <t xml:space="preserve">Triticum aestivum L. em. Thell. group vavilovii (Jakubz.) A. Love, stat. &amp; comb. nov</t>
  </si>
  <si>
    <t xml:space="preserve">Maryland Agricultural Experiment Station, University of Maryland</t>
  </si>
  <si>
    <t xml:space="preserve">Triticum aestivum L. em. Thell. subsp. compactum (Host.) MK.</t>
  </si>
  <si>
    <t xml:space="preserve">McNair Seed Company</t>
  </si>
  <si>
    <t xml:space="preserve">Triticum aestivum L. em. Thell. subsp. spelta (L.) Thell.</t>
  </si>
  <si>
    <t xml:space="preserve">Merckling</t>
  </si>
  <si>
    <t xml:space="preserve">Triticum aestivum L. em. Thell. subsp. sphaerococcum (Perc.) MK.</t>
  </si>
  <si>
    <t xml:space="preserve">Michigan Agricultural Experiment Station, Michigan State University</t>
  </si>
  <si>
    <t xml:space="preserve">Triticum aestivum L. em. Thell. subsp. vavilovi (Tuman.) Sears</t>
  </si>
  <si>
    <t xml:space="preserve">Microbiology and  Cell Biology</t>
  </si>
  <si>
    <t xml:space="preserve">Triticum aestivum L. group macha Bowden</t>
  </si>
  <si>
    <t xml:space="preserve">Microbiology and  Plant Phisiology</t>
  </si>
  <si>
    <t xml:space="preserve">Triticum aestivum L. ssp. hadropyrum (Flaksb.) Tzvelev</t>
  </si>
  <si>
    <t xml:space="preserve">Miln Masters Group Ltd</t>
  </si>
  <si>
    <t xml:space="preserve">Triticum aestivum L. ssp. macha (Dekapr. &amp; Menabde) Mac Key</t>
  </si>
  <si>
    <t xml:space="preserve">Minnesota Agricultural Experiment Station, University of Minnesota</t>
  </si>
  <si>
    <t xml:space="preserve">Triticum aestivum macha</t>
  </si>
  <si>
    <t xml:space="preserve">Minstry of Agriculture</t>
  </si>
  <si>
    <t xml:space="preserve">Triticum aestivum oasiculum</t>
  </si>
  <si>
    <t xml:space="preserve">Missouri Agricultural Experiment Station, University of Missouri</t>
  </si>
  <si>
    <t xml:space="preserve">Triticum aestivum petropavlovskyi</t>
  </si>
  <si>
    <t xml:space="preserve">Molecular and  Developmental Genetics</t>
  </si>
  <si>
    <t xml:space="preserve">Triticum aestivum spelta</t>
  </si>
  <si>
    <t xml:space="preserve">Molecular and Cell Biology</t>
  </si>
  <si>
    <t xml:space="preserve">Triticum aestivum sphaerococcum</t>
  </si>
  <si>
    <t xml:space="preserve">Molecular Biology</t>
  </si>
  <si>
    <t xml:space="preserve">Triticum aestivum ssp. aestivum</t>
  </si>
  <si>
    <t xml:space="preserve">Molecular Genetics</t>
  </si>
  <si>
    <t xml:space="preserve">Triticum aestivum ssp. hadropyrum</t>
  </si>
  <si>
    <t xml:space="preserve">Molecular Host plant resistance lab-Dr. C. Mike Smith</t>
  </si>
  <si>
    <t xml:space="preserve">Triticum aestivum var. compactum</t>
  </si>
  <si>
    <t xml:space="preserve">Molecular Plant Genetics</t>
  </si>
  <si>
    <t xml:space="preserve">Triticum aestivum var. compactum Bowden</t>
  </si>
  <si>
    <t xml:space="preserve">Triticum aestivum var. spelta</t>
  </si>
  <si>
    <t xml:space="preserve">Mons</t>
  </si>
  <si>
    <t xml:space="preserve">Triticum aestivum var. spelta Bowden</t>
  </si>
  <si>
    <t xml:space="preserve">Monsanto Company</t>
  </si>
  <si>
    <t xml:space="preserve">Triticum aestivum var. sphaerococcum</t>
  </si>
  <si>
    <t xml:space="preserve">Monsanto (Nîmes)</t>
  </si>
  <si>
    <t xml:space="preserve">Triticum aestivum var. sphaerococcum Bowden</t>
  </si>
  <si>
    <t xml:space="preserve">Monsanto semences</t>
  </si>
  <si>
    <t xml:space="preserve">Triticum aestivum var. vavilovii Bowden</t>
  </si>
  <si>
    <t xml:space="preserve">Monsanto (St Andiol)</t>
  </si>
  <si>
    <t xml:space="preserve">Triticum aestivum vavilovi</t>
  </si>
  <si>
    <t xml:space="preserve">Montana Agricultural Experiment Station, Montana State University</t>
  </si>
  <si>
    <t xml:space="preserve">Triticum amyleum</t>
  </si>
  <si>
    <t xml:space="preserve">Montanari Domenico, Faenza - Italy</t>
  </si>
  <si>
    <t xml:space="preserve">Triticum araraticum</t>
  </si>
  <si>
    <t xml:space="preserve">Monteux Caillet René, Mouries - France</t>
  </si>
  <si>
    <t xml:space="preserve">Triticum araraticum Jakubz.</t>
  </si>
  <si>
    <t xml:space="preserve">Montpellier SupAgro</t>
  </si>
  <si>
    <t xml:space="preserve">Triticum armeniacum (Jakubz.) A. Loeve &amp; D. Loeve</t>
  </si>
  <si>
    <t xml:space="preserve">Morphogenesis Research Group</t>
  </si>
  <si>
    <t xml:space="preserve">Triticum asiaticum Kudr.</t>
  </si>
  <si>
    <t xml:space="preserve">Morstar a.s., Breeding Station</t>
  </si>
  <si>
    <t xml:space="preserve">Triticum baeoticum</t>
  </si>
  <si>
    <t xml:space="preserve">Mr. Mazéas</t>
  </si>
  <si>
    <t xml:space="preserve">Triticum boeoticum ssp. boeoticum</t>
  </si>
  <si>
    <t xml:space="preserve">MSU-DOE Plant Research Laboratory</t>
  </si>
  <si>
    <t xml:space="preserve">Triticum boeoticum ssp. thaoudar</t>
  </si>
  <si>
    <t xml:space="preserve">MUCL Culture Collection</t>
  </si>
  <si>
    <t xml:space="preserve">Triticum cereale Schrank</t>
  </si>
  <si>
    <t xml:space="preserve">Murdoch University</t>
  </si>
  <si>
    <t xml:space="preserve">Triticum columnare</t>
  </si>
  <si>
    <t xml:space="preserve">Muséum d'histoire naturelle de Grenoble</t>
  </si>
  <si>
    <t xml:space="preserve">Triticum comosum</t>
  </si>
  <si>
    <t xml:space="preserve">Museum National d'Histoire Naturelle de Paris</t>
  </si>
  <si>
    <t xml:space="preserve">Triticum compositum</t>
  </si>
  <si>
    <t xml:space="preserve">Mutation breeding</t>
  </si>
  <si>
    <t xml:space="preserve">Triticum compositum L.</t>
  </si>
  <si>
    <t xml:space="preserve">NARO Hokkaido Agricultural Research Center</t>
  </si>
  <si>
    <t xml:space="preserve">Triticum crassum</t>
  </si>
  <si>
    <t xml:space="preserve">NARO Tohoku Agricultural Research Center</t>
  </si>
  <si>
    <t xml:space="preserve">Triticum cylindricum</t>
  </si>
  <si>
    <t xml:space="preserve">NASC</t>
  </si>
  <si>
    <t xml:space="preserve">Triticum dichasians</t>
  </si>
  <si>
    <t xml:space="preserve">National Biological Institute</t>
  </si>
  <si>
    <t xml:space="preserve">Triticum dicoccoides (Korn. ex Aschers. &amp; Graebn.) Aarons</t>
  </si>
  <si>
    <t xml:space="preserve">National Bureau of Plant Genetic Resources</t>
  </si>
  <si>
    <t xml:space="preserve">Triticum dicoccoides (Korn. ex Aschers. et Graebn.) Schweinf.</t>
  </si>
  <si>
    <t xml:space="preserve">National Center for Agricultural research and Technology Transfer</t>
  </si>
  <si>
    <t xml:space="preserve">Triticum dicoccoides Korn. ex Schweinf.</t>
  </si>
  <si>
    <t xml:space="preserve">National Center for Gene Research</t>
  </si>
  <si>
    <t xml:space="preserve">Triticum dicoccoides Korn. in litt. in Schweinf.</t>
  </si>
  <si>
    <t xml:space="preserve">National Citrus Research Programme</t>
  </si>
  <si>
    <t xml:space="preserve">Triticum dicoccoides race orientale Percival</t>
  </si>
  <si>
    <t xml:space="preserve">National Clonal Germplasm Repository - Orlando, USDA-ARS</t>
  </si>
  <si>
    <t xml:space="preserve">Triticum dicoccoides var. nudiglumis</t>
  </si>
  <si>
    <t xml:space="preserve">National Crop Experiment Station Seodundong</t>
  </si>
  <si>
    <t xml:space="preserve">Triticum dicoccoides var. nudiglumis Nabalek</t>
  </si>
  <si>
    <t xml:space="preserve">National Genebank of Kenya, Crop Plant Genetic Resources Centre - Muguga</t>
  </si>
  <si>
    <t xml:space="preserve">Triticum dicoccoides var. pyramidale Percival</t>
  </si>
  <si>
    <t xml:space="preserve">National Horticultural Research Institute</t>
  </si>
  <si>
    <t xml:space="preserve">Triticum dicoccoides var. timopheevii Zhuk.</t>
  </si>
  <si>
    <t xml:space="preserve">National Institute of Agrobiological Resources</t>
  </si>
  <si>
    <t xml:space="preserve">Triticum dicoccon</t>
  </si>
  <si>
    <t xml:space="preserve">National Institute of Agrobiological Sciences</t>
  </si>
  <si>
    <t xml:space="preserve">Triticum dicoccon Schrank</t>
  </si>
  <si>
    <t xml:space="preserve">National Institute of Agro-Environmental Sciences</t>
  </si>
  <si>
    <t xml:space="preserve">Triticum dicoccon (Schrank) A. Love, comb. nov.</t>
  </si>
  <si>
    <t xml:space="preserve">National Institute of Fruit Tree Science</t>
  </si>
  <si>
    <t xml:space="preserve">Triticum dicoccum Schrank</t>
  </si>
  <si>
    <t xml:space="preserve">National Key Laboratory of Crop Genetic Improvement</t>
  </si>
  <si>
    <t xml:space="preserve">Triticum dimococcum</t>
  </si>
  <si>
    <t xml:space="preserve">National Plant Breeding Research Station</t>
  </si>
  <si>
    <t xml:space="preserve">Triticum durum (Desf.) A. Love, comb. nov.</t>
  </si>
  <si>
    <t xml:space="preserve">National Plant Genetic Resources Centre</t>
  </si>
  <si>
    <t xml:space="preserve">Triticum farrum Bayle-Bar.</t>
  </si>
  <si>
    <t xml:space="preserve">National Plant Germplasm Quarantine Laboratory, USDA-ARS</t>
  </si>
  <si>
    <t xml:space="preserve">Triticum fungicidum</t>
  </si>
  <si>
    <t xml:space="preserve">National Research Centre for Citrus</t>
  </si>
  <si>
    <t xml:space="preserve">Triticum fungicidum subsp. nigrum</t>
  </si>
  <si>
    <t xml:space="preserve">National Research Centre on Plant Biotechnology</t>
  </si>
  <si>
    <t xml:space="preserve">Triticum georgicum</t>
  </si>
  <si>
    <t xml:space="preserve">National White Clover Impr. Prog. Agricultural Research &amp; Adv. Stat.</t>
  </si>
  <si>
    <t xml:space="preserve">Triticum hybernum L.</t>
  </si>
  <si>
    <t xml:space="preserve">Natural Resource Sciences and Landscape Architecture</t>
  </si>
  <si>
    <t xml:space="preserve">Triticum ibericum Menabde</t>
  </si>
  <si>
    <t xml:space="preserve">Nebraska Agricultural Experiment Station, University of Nebraska</t>
  </si>
  <si>
    <t xml:space="preserve">Triticum jakubzineri</t>
  </si>
  <si>
    <t xml:space="preserve">NEIKER-Tecnalia</t>
  </si>
  <si>
    <t xml:space="preserve">Triticum junceum L.</t>
  </si>
  <si>
    <t xml:space="preserve">New Mexico State University USA</t>
  </si>
  <si>
    <t xml:space="preserve">Triticum juvenale</t>
  </si>
  <si>
    <t xml:space="preserve">New South Wales Agriculture</t>
  </si>
  <si>
    <t xml:space="preserve">Triticum juvenale Thell.</t>
  </si>
  <si>
    <t xml:space="preserve">New York State Agricultural Experiment Station, Cornell University</t>
  </si>
  <si>
    <t xml:space="preserve">Triticum karamyschevii Nevski</t>
  </si>
  <si>
    <t xml:space="preserve">New Zealand Institute for Crop and Food Research, Ltd.</t>
  </si>
  <si>
    <t xml:space="preserve">Triticum kiharae</t>
  </si>
  <si>
    <t xml:space="preserve">Newhall Land and Water Compagny</t>
  </si>
  <si>
    <t xml:space="preserve">Triticum kotschyi</t>
  </si>
  <si>
    <t xml:space="preserve">N.I. Vavilov All-Russian Scientific Research Institute of Plant Industry</t>
  </si>
  <si>
    <t xml:space="preserve">Triticum L.</t>
  </si>
  <si>
    <t xml:space="preserve">N.I. Vavilov Research Instituteof Plant Industry</t>
  </si>
  <si>
    <t xml:space="preserve">Triticum macrochaetum</t>
  </si>
  <si>
    <t xml:space="preserve">Nickerson</t>
  </si>
  <si>
    <t xml:space="preserve">Triticum monococcum</t>
  </si>
  <si>
    <t xml:space="preserve">Nimblegen Systems Inc</t>
  </si>
  <si>
    <t xml:space="preserve">Triticum monococcum boeoticum</t>
  </si>
  <si>
    <t xml:space="preserve">nite de Genetique et d'Amelioration des Fruits et Legumes</t>
  </si>
  <si>
    <t xml:space="preserve">Triticum monococcum L. subsp. boeoticum (Boiss.) MK.</t>
  </si>
  <si>
    <t xml:space="preserve">Njala University College</t>
  </si>
  <si>
    <t xml:space="preserve">Triticum monococcum monococcum</t>
  </si>
  <si>
    <t xml:space="preserve">Noiton Dominique, Hamilton - New Zealand</t>
  </si>
  <si>
    <t xml:space="preserve">Triticum monococcum ssp. boeoticum</t>
  </si>
  <si>
    <t xml:space="preserve">Nordic Genetic Resource Center</t>
  </si>
  <si>
    <t xml:space="preserve">Triticum monococcum urartu</t>
  </si>
  <si>
    <t xml:space="preserve">Nordostbayerischer Saatbauverband</t>
  </si>
  <si>
    <t xml:space="preserve">Triticum muticum</t>
  </si>
  <si>
    <t xml:space="preserve">North American Plant Breeders, Inc.</t>
  </si>
  <si>
    <t xml:space="preserve">Triticum neglectum</t>
  </si>
  <si>
    <t xml:space="preserve">North Carolina Agricultural Experiment Station, North Carolina State University</t>
  </si>
  <si>
    <t xml:space="preserve">Triticum orientale</t>
  </si>
  <si>
    <t xml:space="preserve">North Dakota Agricultural Experiment Station, North Dakota State University</t>
  </si>
  <si>
    <t xml:space="preserve">Triticum orientale Percival</t>
  </si>
  <si>
    <t xml:space="preserve">Northrup King &amp; Co.</t>
  </si>
  <si>
    <t xml:space="preserve">Triticum ovatum</t>
  </si>
  <si>
    <t xml:space="preserve">Northwest A&amp;F University</t>
  </si>
  <si>
    <t xml:space="preserve">Triticum palaeocolchicum Menabde</t>
  </si>
  <si>
    <t xml:space="preserve">Norwegian University for Life Sciences</t>
  </si>
  <si>
    <t xml:space="preserve">Triticum peregrinum</t>
  </si>
  <si>
    <t xml:space="preserve">Novodonskaya - Donetsk State Agricultural Experiment Station</t>
  </si>
  <si>
    <t xml:space="preserve">Triticum peregrinum Hackel</t>
  </si>
  <si>
    <t xml:space="preserve">Nunhems Spain (El Ejido)</t>
  </si>
  <si>
    <t xml:space="preserve">Triticum persicum</t>
  </si>
  <si>
    <t xml:space="preserve">Nunhems Spain (La Palma)</t>
  </si>
  <si>
    <t xml:space="preserve">Triticum persicum (Percival) Vavilov ex Zhukovsky</t>
  </si>
  <si>
    <t xml:space="preserve">Nutrition azote des plantes</t>
  </si>
  <si>
    <t xml:space="preserve">Triticum persicum Vav.</t>
  </si>
  <si>
    <t xml:space="preserve">N.V. Clovis Matton Plant Breeding Station, Kerkhove</t>
  </si>
  <si>
    <t xml:space="preserve">Triticum pyramidale Perc.</t>
  </si>
  <si>
    <t xml:space="preserve">N.V. Clovis Matton Plant Breeding Station, Tiegem</t>
  </si>
  <si>
    <t xml:space="preserve">Triticum rectum</t>
  </si>
  <si>
    <t xml:space="preserve">Occitane des Semences</t>
  </si>
  <si>
    <t xml:space="preserve">Triticum repens L.</t>
  </si>
  <si>
    <t xml:space="preserve">Odesa State Regional Agricultural Experimental Station</t>
  </si>
  <si>
    <t xml:space="preserve">Triticum sativum Lam.</t>
  </si>
  <si>
    <t xml:space="preserve">Ohio Agricultural Reasearch and Development Center, Ohio State University</t>
  </si>
  <si>
    <t xml:space="preserve">Triticum searsii</t>
  </si>
  <si>
    <t xml:space="preserve">Oklahoma Agricultural Experiment Station, Division of Agricultural Sciences &amp; Natural Resources</t>
  </si>
  <si>
    <t xml:space="preserve">Triticum secale Link</t>
  </si>
  <si>
    <t xml:space="preserve">Ontario Agricultural College, University of Guelph</t>
  </si>
  <si>
    <t xml:space="preserve">Triticum spelta</t>
  </si>
  <si>
    <t xml:space="preserve">Oregon Agricultural Experimental Sation, Oregon State University</t>
  </si>
  <si>
    <t xml:space="preserve">Triticum speltiforme</t>
  </si>
  <si>
    <t xml:space="preserve">Organisation Bretonne de Sélection</t>
  </si>
  <si>
    <t xml:space="preserve">Triticum speltoides</t>
  </si>
  <si>
    <t xml:space="preserve">Orsem S.A.</t>
  </si>
  <si>
    <t xml:space="preserve">Triticum speltoides (Tausch) Gre. ex Richter var. aucheri</t>
  </si>
  <si>
    <t xml:space="preserve">Osmab Tosum Gene Bank - Ankara University</t>
  </si>
  <si>
    <t xml:space="preserve">Triticum speltoides (Tausch) Gre. ex Richter var. ligustica</t>
  </si>
  <si>
    <t xml:space="preserve">Pajbjergfonden</t>
  </si>
  <si>
    <t xml:space="preserve">Triticum speltoides (Tausch) Gren. ex Richter var. aucheri</t>
  </si>
  <si>
    <t xml:space="preserve">Palais Carnolés</t>
  </si>
  <si>
    <t xml:space="preserve">Triticum speltoides (Tausch) Gren. ex Richter var. ligustica</t>
  </si>
  <si>
    <t xml:space="preserve">Parc Naturel Régional du Haut-Languedoc</t>
  </si>
  <si>
    <t xml:space="preserve">Triticum sphaerococcum Perc.</t>
  </si>
  <si>
    <t xml:space="preserve">Parc Naturel Régional du Luberon</t>
  </si>
  <si>
    <t xml:space="preserve">Triticum syriacum</t>
  </si>
  <si>
    <t xml:space="preserve">Parc Naturel Régional du Queyras</t>
  </si>
  <si>
    <t xml:space="preserve">Triticum syriacum Bowden</t>
  </si>
  <si>
    <t xml:space="preserve">PARTNERCHIP</t>
  </si>
  <si>
    <t xml:space="preserve">Triticum tauschii</t>
  </si>
  <si>
    <t xml:space="preserve">Peltier Graines (don't exist anymore)</t>
  </si>
  <si>
    <t xml:space="preserve">Triticum thaoudar</t>
  </si>
  <si>
    <t xml:space="preserve">Pennsylvania Agricultural Experiment Station, Pennsylvania State University</t>
  </si>
  <si>
    <t xml:space="preserve">Triticum timococcum</t>
  </si>
  <si>
    <t xml:space="preserve">Pépinière A. Pays</t>
  </si>
  <si>
    <t xml:space="preserve">Triticum timonovum</t>
  </si>
  <si>
    <t xml:space="preserve">Pépinière Burlat</t>
  </si>
  <si>
    <t xml:space="preserve">Triticum timopheevii</t>
  </si>
  <si>
    <t xml:space="preserve">Pépinière Cadoux</t>
  </si>
  <si>
    <t xml:space="preserve">Triticum timopheevii araraticum</t>
  </si>
  <si>
    <t xml:space="preserve">Pépinière Delbard</t>
  </si>
  <si>
    <t xml:space="preserve">Triticum timopheevii armeniacum</t>
  </si>
  <si>
    <t xml:space="preserve">Pépinière Dieudonné</t>
  </si>
  <si>
    <t xml:space="preserve">Triticum timopheevii L. var. zhukovskyi</t>
  </si>
  <si>
    <t xml:space="preserve">Pépinière Domingo Orero</t>
  </si>
  <si>
    <t xml:space="preserve">Triticum timopheevii ssp. araraticum</t>
  </si>
  <si>
    <t xml:space="preserve">Triticum timopheevii ssp. armeniacum</t>
  </si>
  <si>
    <t xml:space="preserve">Pépinière ESAT LEnvol</t>
  </si>
  <si>
    <t xml:space="preserve">Triticum timopheevii ssp. armeniacum (Jakubz.) van Slageren</t>
  </si>
  <si>
    <t xml:space="preserve">Pépinière Escande Benoit, Saint Vite - France</t>
  </si>
  <si>
    <t xml:space="preserve">Triticum timopheevii ssp. timopheevii</t>
  </si>
  <si>
    <t xml:space="preserve">Pépinière Fabre, Villeneuve s/Lot - France</t>
  </si>
  <si>
    <t xml:space="preserve">Triticum timopheevii timopheevii</t>
  </si>
  <si>
    <t xml:space="preserve">Pépinière Jouve-Racamond</t>
  </si>
  <si>
    <t xml:space="preserve">Triticum timopheevii var. zhukovskyi</t>
  </si>
  <si>
    <t xml:space="preserve">Pépinière Lambertin</t>
  </si>
  <si>
    <t xml:space="preserve">Triticum timopheevii Zhuk.</t>
  </si>
  <si>
    <t xml:space="preserve">Pépinière Lambertin - Nîmes - France</t>
  </si>
  <si>
    <t xml:space="preserve">Triticum timopheevii (Zhuk.) Zhuk.</t>
  </si>
  <si>
    <t xml:space="preserve">Pépinière Leroy</t>
  </si>
  <si>
    <t xml:space="preserve">Triticum timopheevii (Zhuk.) Zhuk. var. timopheevii</t>
  </si>
  <si>
    <t xml:space="preserve">Pépinière Martre</t>
  </si>
  <si>
    <t xml:space="preserve">Triticum timopheevii (Zhuk.) Zhuk. var. zhukovskii (Men. &amp; Er.) Morris &amp; Sears</t>
  </si>
  <si>
    <t xml:space="preserve">Pépinière Moreau</t>
  </si>
  <si>
    <t xml:space="preserve">Triticum timopheevii (Zhuk.) Zhuk. var. zhukovskii (Men. &amp; Er.) Morris &amp; Sears comb. nov.</t>
  </si>
  <si>
    <t xml:space="preserve">Pépinière Pinguet-Guindon</t>
  </si>
  <si>
    <t xml:space="preserve">Triticum timopheevii zhukovskyi</t>
  </si>
  <si>
    <t xml:space="preserve">Pépinière Taliani,  Garons - France</t>
  </si>
  <si>
    <t xml:space="preserve">Triticum triaristatum</t>
  </si>
  <si>
    <t xml:space="preserve">Pépinière Thuilleaux</t>
  </si>
  <si>
    <t xml:space="preserve">Triticum tripsacoides</t>
  </si>
  <si>
    <t xml:space="preserve">Pépinière Valla Georges SCEA, Valence - France</t>
  </si>
  <si>
    <t xml:space="preserve">Triticum turgidum</t>
  </si>
  <si>
    <t xml:space="preserve">Pépinière Veauvy</t>
  </si>
  <si>
    <t xml:space="preserve">Triticum turgidum aethiopicum</t>
  </si>
  <si>
    <t xml:space="preserve">Pépinières Bachelet-Charvot</t>
  </si>
  <si>
    <t xml:space="preserve">Triticum turgidum carthlicum</t>
  </si>
  <si>
    <t xml:space="preserve">Pépinières Baltet</t>
  </si>
  <si>
    <t xml:space="preserve">Triticum turgidum dicoccoïdes</t>
  </si>
  <si>
    <t xml:space="preserve">Pépinières Croux</t>
  </si>
  <si>
    <t xml:space="preserve">Triticum turgidum dicoccum</t>
  </si>
  <si>
    <t xml:space="preserve">Pépinières de La Tronche</t>
  </si>
  <si>
    <t xml:space="preserve">Triticum turgidum durum</t>
  </si>
  <si>
    <t xml:space="preserve">Pépinières Fabre</t>
  </si>
  <si>
    <t xml:space="preserve">Triticum turgidum group aethiopicum</t>
  </si>
  <si>
    <t xml:space="preserve">Pépinières Garbaye et Gravier</t>
  </si>
  <si>
    <t xml:space="preserve">Triticum turgidum group palaeocolchicum</t>
  </si>
  <si>
    <t xml:space="preserve">Pépinières L. Pin</t>
  </si>
  <si>
    <t xml:space="preserve">Triticum turgidum group turgidum</t>
  </si>
  <si>
    <t xml:space="preserve">Pépinières Lafitte</t>
  </si>
  <si>
    <t xml:space="preserve">Triticum turgidum ispahanicum</t>
  </si>
  <si>
    <t xml:space="preserve">Pépinières Levavasseur</t>
  </si>
  <si>
    <t xml:space="preserve">Triticum turgidum L. em. Bowden var. timopheevii (Zhuk.) Bowden f. timopheevii Bowden</t>
  </si>
  <si>
    <t xml:space="preserve">Pépinières Nomblot</t>
  </si>
  <si>
    <t xml:space="preserve">Triticum turgidum L. em. Bowden var. timopheevii (Zhuk.) Bowden f. zhukovskyi (Mem. &amp; Er.) Bowden</t>
  </si>
  <si>
    <t xml:space="preserve">Triticum turgidum L. em. Bowden var. tumanianii (Jakubz.) Bowden</t>
  </si>
  <si>
    <t xml:space="preserve">Pépinières Rolland Crosse</t>
  </si>
  <si>
    <t xml:space="preserve">Triticum turgidum L. em. Thell.</t>
  </si>
  <si>
    <t xml:space="preserve">Pépinières Simon</t>
  </si>
  <si>
    <t xml:space="preserve">Triticum turgidum L. group aethiopicum Bowden</t>
  </si>
  <si>
    <t xml:space="preserve">Petal Genomics</t>
  </si>
  <si>
    <t xml:space="preserve">Triticum turgidum L. group dicoccon (Schrank) Thell.</t>
  </si>
  <si>
    <t xml:space="preserve">Peter Henderson &amp; Co</t>
  </si>
  <si>
    <t xml:space="preserve">Triticum turgidum L. group durum (Desf.) Husnot</t>
  </si>
  <si>
    <t xml:space="preserve">Petoseed</t>
  </si>
  <si>
    <t xml:space="preserve">Triticum turgidum L. group palaeocolchicum Bowden</t>
  </si>
  <si>
    <t xml:space="preserve">Pflanzenzucht Dr. h.c. Carsten Inh. Erhardt Eger KG</t>
  </si>
  <si>
    <t xml:space="preserve">Triticum turgidum L. group polonicum Bowden</t>
  </si>
  <si>
    <t xml:space="preserve">Phu Guy Fruit Research Centre</t>
  </si>
  <si>
    <t xml:space="preserve">Triticum turgidum L. group turgidum Bowden</t>
  </si>
  <si>
    <t xml:space="preserve">Phu Ho Fruit Crops Research Centre</t>
  </si>
  <si>
    <t xml:space="preserve">Triticum turgidum L. (Nevski) group carthlicum Bowden</t>
  </si>
  <si>
    <t xml:space="preserve">Phytopathologie und Pflanzenschutz</t>
  </si>
  <si>
    <t xml:space="preserve">Triticum turgidum L. ssp. dicoccoides (Korn. ex Schweinf.) A. Love, comb. nov.</t>
  </si>
  <si>
    <t xml:space="preserve">Piast Hodowla Roslin Lagiewniki Sp. z o.o.</t>
  </si>
  <si>
    <t xml:space="preserve">Triticum turgidum L. ssp. dicoccoides (Korn.) Thell.</t>
  </si>
  <si>
    <t xml:space="preserve">Pioneer génétique</t>
  </si>
  <si>
    <t xml:space="preserve">Triticum turgidum L. ssp. palaeocolchicum (A. Love &amp; D. Love) A. Love, comb. nov.</t>
  </si>
  <si>
    <t xml:space="preserve">Pioneer Seed Co. Ltd.</t>
  </si>
  <si>
    <t xml:space="preserve">Triticum turgidum L. ssp. timopheevii (Zhuk.) A. Love &amp; D. Love</t>
  </si>
  <si>
    <t xml:space="preserve">Plant Biochemistry and  Molecular Biology Group,  Division ofBiochemical Sciences</t>
  </si>
  <si>
    <t xml:space="preserve">Triticum turgidum L. ssp. turanicum (Jakubz.) A. Love &amp; D. Love</t>
  </si>
  <si>
    <t xml:space="preserve">Plant Biology Division</t>
  </si>
  <si>
    <t xml:space="preserve">Triticum turgidum L. ssp. turanicum (Jakubz.) A. Love, comb. nov.</t>
  </si>
  <si>
    <t xml:space="preserve">Plant Biotech Research Center</t>
  </si>
  <si>
    <t xml:space="preserve">Triticum turgidum L. ssp. turgidum (L.) A. Love, comb. nov.</t>
  </si>
  <si>
    <t xml:space="preserve">Plant Biotechnology Institute,  National Research Council ofCanada</t>
  </si>
  <si>
    <t xml:space="preserve">Triticum turgidum (L.) Thell.</t>
  </si>
  <si>
    <t xml:space="preserve">Plant Biotechnology Institute,  National Research CouncilCanada</t>
  </si>
  <si>
    <t xml:space="preserve">Triticum turgidum (L.) Thell. subsp. carthlicum (Nevski) MK.</t>
  </si>
  <si>
    <t xml:space="preserve">Plant Biotechnology Key Laboratory</t>
  </si>
  <si>
    <t xml:space="preserve">Triticum turgidum (L.) Thell. subsp. dicoccoides (Korn.) Thell.</t>
  </si>
  <si>
    <t xml:space="preserve">Plant Breeding and Acclimatization Institute at Radzikow</t>
  </si>
  <si>
    <t xml:space="preserve">Triticum turgidum L. Thell. subsp. dicoccon (Schrank) Thell.</t>
  </si>
  <si>
    <t xml:space="preserve">Plant Breeding and Genetics Institute</t>
  </si>
  <si>
    <t xml:space="preserve">Triticum turgidum (L.) Thell. subsp. paleocolchicum Men.</t>
  </si>
  <si>
    <t xml:space="preserve">Plant Breeding Institute,  University of Sydney</t>
  </si>
  <si>
    <t xml:space="preserve">Triticum turgidum (L.) Thell. subsp. turgidum convar aethiopicum Jakubz.</t>
  </si>
  <si>
    <t xml:space="preserve">Plant Breeding International</t>
  </si>
  <si>
    <t xml:space="preserve">Triticum turgidum L. Thell. subsp. turgidum convar durum (Desf.) MK.</t>
  </si>
  <si>
    <t xml:space="preserve">Plant Breeding Station Laski</t>
  </si>
  <si>
    <t xml:space="preserve">Triticum turgidum L. Thell. subsp. turgidum convar polonicum (L.) MK.</t>
  </si>
  <si>
    <t xml:space="preserve">plant cellular biology laboratory/ Dr. STEINMETZ</t>
  </si>
  <si>
    <t xml:space="preserve">Triticum turgidum (L.) Thell. subsp. turgidum convar turanicum (Jakubz.) MK.</t>
  </si>
  <si>
    <t xml:space="preserve">Plant culture institute - Tammisto</t>
  </si>
  <si>
    <t xml:space="preserve">Triticum turgidum L. var. carthlicum (Nevski) A. Love &amp; D. Love</t>
  </si>
  <si>
    <t xml:space="preserve">Plant Development Biology</t>
  </si>
  <si>
    <t xml:space="preserve">Triticum turgidum L. var. dicoccoides (Korn. in litt. in Schweinf.) Bowden</t>
  </si>
  <si>
    <t xml:space="preserve">Plant Development Molecular Biology Lab</t>
  </si>
  <si>
    <t xml:space="preserve">Triticum turgidum L. var. polonicum (L.) A. Love &amp; D. Love</t>
  </si>
  <si>
    <t xml:space="preserve">Plant development molecular biology lab</t>
  </si>
  <si>
    <t xml:space="preserve">Triticum turgidum L. var. timopheevii</t>
  </si>
  <si>
    <t xml:space="preserve">Plant Developmental Genetics</t>
  </si>
  <si>
    <t xml:space="preserve">Triticum turgidum L. var. tumanianii</t>
  </si>
  <si>
    <t xml:space="preserve">Plant Functional Genomics Research Group</t>
  </si>
  <si>
    <t xml:space="preserve">Triticum turgidum paleocolchicum</t>
  </si>
  <si>
    <t xml:space="preserve">Plant Gene Expression Center</t>
  </si>
  <si>
    <t xml:space="preserve">Triticum turgidum polonicum</t>
  </si>
  <si>
    <t xml:space="preserve">Plant Gene Resources of Canada Central Exper. Farm, Agri. Canada</t>
  </si>
  <si>
    <t xml:space="preserve">Triticum turgidum ssp. carthlicum</t>
  </si>
  <si>
    <t xml:space="preserve">Plant Gene Resources of Canada, Saskatoon Research Centre, Agriculture and Agri-Food Canada</t>
  </si>
  <si>
    <t xml:space="preserve">Triticum turgidum ssp. dicoccoides</t>
  </si>
  <si>
    <t xml:space="preserve">Plant Genetic Resources Department</t>
  </si>
  <si>
    <t xml:space="preserve">Triticum turgidum ssp. dicoccon</t>
  </si>
  <si>
    <t xml:space="preserve">Plant Genetic Resources Unit</t>
  </si>
  <si>
    <t xml:space="preserve">Triticum turgidum ssp. durum</t>
  </si>
  <si>
    <t xml:space="preserve">Plant Genetics</t>
  </si>
  <si>
    <t xml:space="preserve">Triticum turgidum ssp. palaeocolchicum A. Love &amp; D. Love</t>
  </si>
  <si>
    <t xml:space="preserve">Plant Genetics and  Breeding</t>
  </si>
  <si>
    <t xml:space="preserve">Triticum turgidum ssp. paleocolchicum</t>
  </si>
  <si>
    <t xml:space="preserve">Plant Genome Center Co.,  Ltd</t>
  </si>
  <si>
    <t xml:space="preserve">Triticum turgidum ssp. polonicum</t>
  </si>
  <si>
    <t xml:space="preserve">Plant Genome Mapping Laboratory</t>
  </si>
  <si>
    <t xml:space="preserve">Triticum turgidum ssp. turanicum</t>
  </si>
  <si>
    <t xml:space="preserve">Plant Genomics Lab.,  Department of Crop,  Soil and Environmental Sciences</t>
  </si>
  <si>
    <t xml:space="preserve">Triticum turgidum ssp. turgidum</t>
  </si>
  <si>
    <t xml:space="preserve">Plant Molecular and Cellular Biology Program</t>
  </si>
  <si>
    <t xml:space="preserve">Triticum turgidum subsp. carthlicum x Secale strictum subsp.</t>
  </si>
  <si>
    <t xml:space="preserve">Plant Molecular Biology</t>
  </si>
  <si>
    <t xml:space="preserve">Triticum turgidum turanicum</t>
  </si>
  <si>
    <t xml:space="preserve">Plant Molecular Genetic Laboratory</t>
  </si>
  <si>
    <t xml:space="preserve">Triticum turgidum turgidum</t>
  </si>
  <si>
    <t xml:space="preserve">Plant Molecular Genetics</t>
  </si>
  <si>
    <t xml:space="preserve">Triticum turgidum var. carthlicum</t>
  </si>
  <si>
    <t xml:space="preserve">Plant Molecular Genetics Laboratory</t>
  </si>
  <si>
    <t xml:space="preserve">Triticum turgidum var. dicoccon</t>
  </si>
  <si>
    <t xml:space="preserve">Plant Molecular Physiology and  Functional Genomics</t>
  </si>
  <si>
    <t xml:space="preserve">Triticum turgidum var. dicoccon Bowden</t>
  </si>
  <si>
    <t xml:space="preserve">Plant Natural Products</t>
  </si>
  <si>
    <t xml:space="preserve">Triticum turgidum var. durum</t>
  </si>
  <si>
    <t xml:space="preserve">Plant Nematode Genetics Group</t>
  </si>
  <si>
    <t xml:space="preserve">Triticum turgidum var. durum Bowden</t>
  </si>
  <si>
    <t xml:space="preserve">Plant Pathology</t>
  </si>
  <si>
    <t xml:space="preserve">Triticum turgidum var. polonicum</t>
  </si>
  <si>
    <t xml:space="preserve">Plant Pathology Department</t>
  </si>
  <si>
    <t xml:space="preserve">Triticum umbellulatum</t>
  </si>
  <si>
    <t xml:space="preserve">Plant Protection Division I.C.I.</t>
  </si>
  <si>
    <t xml:space="preserve">Triticum uniaristatum</t>
  </si>
  <si>
    <t xml:space="preserve">Plant Research Institute</t>
  </si>
  <si>
    <t xml:space="preserve">Triticum urartu</t>
  </si>
  <si>
    <t xml:space="preserve">Plant Research International</t>
  </si>
  <si>
    <t xml:space="preserve">Triticum urartu Thumanian ex Gandilyan</t>
  </si>
  <si>
    <t xml:space="preserve">Plant Sciences</t>
  </si>
  <si>
    <t xml:space="preserve">Triticum vaillantianum</t>
  </si>
  <si>
    <t xml:space="preserve">PLANT SELECT, Ltd.</t>
  </si>
  <si>
    <t xml:space="preserve">Triticum vavilovii Jakubz.</t>
  </si>
  <si>
    <t xml:space="preserve">Plant Systems Biology</t>
  </si>
  <si>
    <t xml:space="preserve">Triticum vulgare ssp. hadropyrum Flaksb.</t>
  </si>
  <si>
    <t xml:space="preserve">plantechno srl</t>
  </si>
  <si>
    <t xml:space="preserve">Triticum vulgare ssp. irano-asiaticum Flaksb.</t>
  </si>
  <si>
    <t xml:space="preserve">Plantes legumineuses, DGAP</t>
  </si>
  <si>
    <t xml:space="preserve">Triticum vulgare var. dicoccon (Schrank) Korn</t>
  </si>
  <si>
    <t xml:space="preserve">PlantTec Biotechnologie</t>
  </si>
  <si>
    <t xml:space="preserve">Triticum vulgare Villars</t>
  </si>
  <si>
    <t xml:space="preserve">Plate-Forme de cytogÃ©nÃ©tique MolÃ©culaire</t>
  </si>
  <si>
    <t xml:space="preserve">Triticum zhukovskyi Menabde &amp; Ericzjan</t>
  </si>
  <si>
    <t xml:space="preserve">Plew Horticultural Experimental Station</t>
  </si>
  <si>
    <t xml:space="preserve">Vicia faba L.</t>
  </si>
  <si>
    <t xml:space="preserve">PMDV - Equipe Analyse fonctionnelle du genome de Botrytis cinerea</t>
  </si>
  <si>
    <t xml:space="preserve">Vicia faba subsp. equina</t>
  </si>
  <si>
    <t xml:space="preserve">Pole de biotechnologie vegetales UMR5546</t>
  </si>
  <si>
    <t xml:space="preserve">Vicia faba subsp. major</t>
  </si>
  <si>
    <t xml:space="preserve">Povolzhskii NII Selektsii i Semenovodstva Im. P.N. Konstantinova Ran</t>
  </si>
  <si>
    <t xml:space="preserve">Vicia faba subsp. minor</t>
  </si>
  <si>
    <t xml:space="preserve">Practical Scientific Institute of Plant Growing 'SELECTIA'</t>
  </si>
  <si>
    <t xml:space="preserve">Vicia faba subsp. paucijuga</t>
  </si>
  <si>
    <t xml:space="preserve">Probsdorfer Plant Breeding</t>
  </si>
  <si>
    <t xml:space="preserve">Vicia L.</t>
  </si>
  <si>
    <t xml:space="preserve">Programa de Recursos Genéticos Nicaragüenses  (REGEN)</t>
  </si>
  <si>
    <t xml:space="preserve">Vicia sativa L.</t>
  </si>
  <si>
    <t xml:space="preserve">Projet Arborea, Centre d'Etude de la Foret</t>
  </si>
  <si>
    <t xml:space="preserve">Vitaceae</t>
  </si>
  <si>
    <t xml:space="preserve">Propriété Saint Jean</t>
  </si>
  <si>
    <t xml:space="preserve">Vitis</t>
  </si>
  <si>
    <t xml:space="preserve">PROSEA Headquarters, Wageningen Agricultural University</t>
  </si>
  <si>
    <t xml:space="preserve">Vitis aestivalis Mchx.</t>
  </si>
  <si>
    <t xml:space="preserve">proteomique</t>
  </si>
  <si>
    <t xml:space="preserve">Vitis affinis Gagnep. ex Osmaston</t>
  </si>
  <si>
    <t xml:space="preserve">PSB Produccion Vegetal, Murcia - Spain</t>
  </si>
  <si>
    <t xml:space="preserve">Vitis amurensis Ruprecht</t>
  </si>
  <si>
    <t xml:space="preserve">Punjab Agricultural University</t>
  </si>
  <si>
    <t xml:space="preserve">Vitis apliniana Collett &amp; Hemsl.</t>
  </si>
  <si>
    <t xml:space="preserve">Queensland Wheat Research Institut Department of Primary Industries</t>
  </si>
  <si>
    <t xml:space="preserve">Vitis arizonica Engelm.</t>
  </si>
  <si>
    <t xml:space="preserve">RAGT</t>
  </si>
  <si>
    <t xml:space="preserve">Vitis armata Diels &amp; Gilg</t>
  </si>
  <si>
    <t xml:space="preserve">R.A.G.T. 2N</t>
  </si>
  <si>
    <t xml:space="preserve">Vitis aubertiana Gage</t>
  </si>
  <si>
    <t xml:space="preserve">Rapillard Charly, Conthey - Suisse</t>
  </si>
  <si>
    <t xml:space="preserve">Vitis austrokoreana Hatus.</t>
  </si>
  <si>
    <t xml:space="preserve">RDP (UMR5667 INRA/CNRS/ENSL/UCBL)</t>
  </si>
  <si>
    <t xml:space="preserve">Vitis baileyana Munson</t>
  </si>
  <si>
    <t xml:space="preserve">Redblush Nursery</t>
  </si>
  <si>
    <t xml:space="preserve">Vitis balansaeana Planch.</t>
  </si>
  <si>
    <t xml:space="preserve">Regional Fruit Research Station, PAU</t>
  </si>
  <si>
    <t xml:space="preserve">Vitis berlandieri Planch.</t>
  </si>
  <si>
    <t xml:space="preserve">Regional Station Shillong, NBPGR</t>
  </si>
  <si>
    <t xml:space="preserve">Vitis betulifolia Diels &amp; Gilg</t>
  </si>
  <si>
    <t xml:space="preserve">Reproduction et Developpement des Plantes</t>
  </si>
  <si>
    <t xml:space="preserve">Vitis bicolor Le Conte</t>
  </si>
  <si>
    <t xml:space="preserve">Research and Development Division</t>
  </si>
  <si>
    <t xml:space="preserve">Vitis blancoii Munson</t>
  </si>
  <si>
    <t xml:space="preserve">Research Branch Agriculture Canada</t>
  </si>
  <si>
    <t xml:space="preserve">Vitis bourgeana Planch.</t>
  </si>
  <si>
    <t xml:space="preserve">Research Institute for Bioresources</t>
  </si>
  <si>
    <t xml:space="preserve">Vitis bourquina Munson</t>
  </si>
  <si>
    <t xml:space="preserve">Research Institute for Cereals and Technical Plants Fundulea</t>
  </si>
  <si>
    <t xml:space="preserve">Vitis bryoniifolia Bunge</t>
  </si>
  <si>
    <t xml:space="preserve">Research Institute for Olive and Citrus Trees</t>
  </si>
  <si>
    <t xml:space="preserve">Vitis burmanica Collett &amp; Hemsl.</t>
  </si>
  <si>
    <t xml:space="preserve">Research Institute of Agricultural for South-East Region</t>
  </si>
  <si>
    <t xml:space="preserve">Vitis californica Bentham</t>
  </si>
  <si>
    <t xml:space="preserve">Research Institute of Crop Production</t>
  </si>
  <si>
    <t xml:space="preserve">Vitis candicans Engelm.</t>
  </si>
  <si>
    <t xml:space="preserve">Research Institute of Village Services</t>
  </si>
  <si>
    <t xml:space="preserve">Vitis caribaea D.C.</t>
  </si>
  <si>
    <t xml:space="preserve">Resistance des Plantes aux Bioagresseurs (RPB)</t>
  </si>
  <si>
    <t xml:space="preserve">Vitis champinii Planch.</t>
  </si>
  <si>
    <t xml:space="preserve">Resources Botany Research Center</t>
  </si>
  <si>
    <t xml:space="preserve">Vitis choii Hatus.</t>
  </si>
  <si>
    <t xml:space="preserve">Revol Jean-Pierre, Larnage - France</t>
  </si>
  <si>
    <t xml:space="preserve">Vitis chrysobotrys H.Lév. &amp; Vaniot</t>
  </si>
  <si>
    <t xml:space="preserve">RhoBio</t>
  </si>
  <si>
    <t xml:space="preserve">Vitis chunganensis Hu</t>
  </si>
  <si>
    <t xml:space="preserve">Rice Research Institute</t>
  </si>
  <si>
    <t xml:space="preserve">Vitis chungii F.P.Metcalf</t>
  </si>
  <si>
    <t xml:space="preserve">RICP Praha-Ruzyne Agricultural Research Station</t>
  </si>
  <si>
    <t xml:space="preserve">Vitis cinerea Engelm.</t>
  </si>
  <si>
    <t xml:space="preserve">Rijk Zwaan</t>
  </si>
  <si>
    <t xml:space="preserve">Vitis coignetiae cv. Ishikari</t>
  </si>
  <si>
    <t xml:space="preserve">Ringot</t>
  </si>
  <si>
    <t xml:space="preserve">Vitis coignetiae Pulliat</t>
  </si>
  <si>
    <t xml:space="preserve">Roberts WL, Grandview Washington - USA</t>
  </si>
  <si>
    <t xml:space="preserve">Vitis cordifolia cv. n°9 Couderc</t>
  </si>
  <si>
    <t xml:space="preserve">Roseworthy Agricultural College</t>
  </si>
  <si>
    <t xml:space="preserve">Vitis cordifolia Mchx.</t>
  </si>
  <si>
    <t xml:space="preserve">Royal Palm Nurseries</t>
  </si>
  <si>
    <t xml:space="preserve">Vitis coriacea Shuttl.</t>
  </si>
  <si>
    <t xml:space="preserve">Rubidoux laboratory</t>
  </si>
  <si>
    <t xml:space="preserve">Vitis davidii Romanet du Caillaud</t>
  </si>
  <si>
    <t xml:space="preserve">Rustica Prograin Genetique</t>
  </si>
  <si>
    <t xml:space="preserve">Vitis del rioi Galet</t>
  </si>
  <si>
    <t xml:space="preserve">Rutgers University - NJ - USA</t>
  </si>
  <si>
    <t xml:space="preserve">Vitis doaniana Munson</t>
  </si>
  <si>
    <t xml:space="preserve">Rutgers University - NJ - USA - M. Vinson P</t>
  </si>
  <si>
    <t xml:space="preserve">Vitis embergeri Galet</t>
  </si>
  <si>
    <t xml:space="preserve">Saatbau Linz / Oberoesterreichische Landessaatbaugenossenschaft</t>
  </si>
  <si>
    <t xml:space="preserve">Vitis ficifolioides Wang</t>
  </si>
  <si>
    <t xml:space="preserve">Saaten-Union France s.a.r.l - Saaten-Union Recherche s.a.s</t>
  </si>
  <si>
    <t xml:space="preserve">Vitis flexuosa Thunb.</t>
  </si>
  <si>
    <t xml:space="preserve">Saatzucht Bauer GmbH &amp; Co KG</t>
  </si>
  <si>
    <t xml:space="preserve">Vitis gigas Fennell</t>
  </si>
  <si>
    <t xml:space="preserve">Saatzucht Donau GesmbH. &amp; CoKG</t>
  </si>
  <si>
    <t xml:space="preserve">Vitis girdiana Munson</t>
  </si>
  <si>
    <t xml:space="preserve">Saatzucht Engelen Büchling Ohg</t>
  </si>
  <si>
    <t xml:space="preserve">Vitis glabrescens Fritsch</t>
  </si>
  <si>
    <t xml:space="preserve">Saatzucht Hans Schweiger &amp; Co. Ohg</t>
  </si>
  <si>
    <t xml:space="preserve">Vitis hancockii Hance</t>
  </si>
  <si>
    <t xml:space="preserve">Saatzucht Josef Breun GdbR</t>
  </si>
  <si>
    <t xml:space="preserve">Vitis helleri Small</t>
  </si>
  <si>
    <t xml:space="preserve">Saatzucht Piatti</t>
  </si>
  <si>
    <t xml:space="preserve">Vitis hexamera Gagnep.</t>
  </si>
  <si>
    <t xml:space="preserve">Saatzucht Streng GmbH &amp; Co. KG</t>
  </si>
  <si>
    <t xml:space="preserve">Vitis hissarica Vassilcz.</t>
  </si>
  <si>
    <t xml:space="preserve">Saatzuchtgesellschaft Nordsaat GmbH</t>
  </si>
  <si>
    <t xml:space="preserve">Vitis illex Bailey</t>
  </si>
  <si>
    <t xml:space="preserve">Saatzuchtwirtschaft Johann Firlbeck KG</t>
  </si>
  <si>
    <t xml:space="preserve">Vitis kelemgensis Momiyama</t>
  </si>
  <si>
    <t xml:space="preserve">Saatzuchtwirtschaft Lang-Doerfler</t>
  </si>
  <si>
    <t xml:space="preserve">Vitis kiusiama Momiyama</t>
  </si>
  <si>
    <t xml:space="preserve">Saatzuchtwirtschaft Otto Breustedt GmbH</t>
  </si>
  <si>
    <t xml:space="preserve">Vitis L.</t>
  </si>
  <si>
    <t xml:space="preserve">Sakata Seed France</t>
  </si>
  <si>
    <t xml:space="preserve">Vitis labrusca cv. Cambridge</t>
  </si>
  <si>
    <t xml:space="preserve">Samarskij Niish Im.N.M. Tulajkova</t>
  </si>
  <si>
    <t xml:space="preserve">Vitis labrusca cv. Caroline</t>
  </si>
  <si>
    <t xml:space="preserve">SantÃ© de la Vigne et QualitÃ© du Vin</t>
  </si>
  <si>
    <t xml:space="preserve">Vitis labrusca cv. Caywood</t>
  </si>
  <si>
    <t xml:space="preserve">Santé de la Vigne et Qualité du Vin</t>
  </si>
  <si>
    <t xml:space="preserve">Vitis labrusca cv. Concord</t>
  </si>
  <si>
    <t xml:space="preserve">S.A.S. Florimond Desprez</t>
  </si>
  <si>
    <t xml:space="preserve">Vitis labrusca cv. Creveling</t>
  </si>
  <si>
    <t xml:space="preserve">Satten-Ring Pfeuffer - Von Ruemker oHG</t>
  </si>
  <si>
    <t xml:space="preserve">Vitis labrusca cv. Early Victor</t>
  </si>
  <si>
    <t xml:space="preserve">SBAT El Ariana, Tunisie</t>
  </si>
  <si>
    <t xml:space="preserve">Vitis labrusca cv. Isabelle</t>
  </si>
  <si>
    <t xml:space="preserve">SCA - Agricultural Research Station Turda-Cluj</t>
  </si>
  <si>
    <t xml:space="preserve">Vitis labrusca cv. Israella</t>
  </si>
  <si>
    <t xml:space="preserve">SCA Adrien Momont et fils, S.A.</t>
  </si>
  <si>
    <t xml:space="preserve">Vitis labrusca cv. Ive's seedling</t>
  </si>
  <si>
    <t xml:space="preserve">Schnable Laboratory</t>
  </si>
  <si>
    <t xml:space="preserve">Vitis labrusca cv. Miles</t>
  </si>
  <si>
    <t xml:space="preserve">Schnable laboratory</t>
  </si>
  <si>
    <t xml:space="preserve">Vitis labrusca cv. Muncy</t>
  </si>
  <si>
    <t xml:space="preserve">School of Biological Sciences</t>
  </si>
  <si>
    <t xml:space="preserve">Vitis labrusca cv. North America</t>
  </si>
  <si>
    <t xml:space="preserve">Science de l'Horticulture, Rabat, Maroc</t>
  </si>
  <si>
    <t xml:space="preserve">Vitis labrusca cv. North Carolina</t>
  </si>
  <si>
    <t xml:space="preserve">Scott Research Farm</t>
  </si>
  <si>
    <t xml:space="preserve">Vitis labrusca cv. Pierce = California Concord</t>
  </si>
  <si>
    <t xml:space="preserve">SDR Fruit LLC, Boulder- CO - USA</t>
  </si>
  <si>
    <t xml:space="preserve">Vitis labrusca cv. Rentz</t>
  </si>
  <si>
    <t xml:space="preserve">Seagaga Research Station</t>
  </si>
  <si>
    <t xml:space="preserve">Vitis labrusca cv. Scarlett</t>
  </si>
  <si>
    <t xml:space="preserve">Seager Wheeler</t>
  </si>
  <si>
    <t xml:space="preserve">Vitis labrusca L.</t>
  </si>
  <si>
    <t xml:space="preserve">Secobra Saatzucht GmbH</t>
  </si>
  <si>
    <t xml:space="preserve">Vitis lanata Roxburgh</t>
  </si>
  <si>
    <t xml:space="preserve">Seed and Plant Improvement Institute</t>
  </si>
  <si>
    <t xml:space="preserve">Vitis lanceolata Roxb.</t>
  </si>
  <si>
    <t xml:space="preserve">Selekt Research and Breeding Institute</t>
  </si>
  <si>
    <t xml:space="preserve">Vitis leucocarpa Hayata</t>
  </si>
  <si>
    <t xml:space="preserve">SELGEN, Breeding Station Chlumec</t>
  </si>
  <si>
    <t xml:space="preserve">Vitis lincecumii Buckley</t>
  </si>
  <si>
    <t xml:space="preserve">SELGEN, Breeding Station Stupice</t>
  </si>
  <si>
    <t xml:space="preserve">Vitis longii Prince</t>
  </si>
  <si>
    <t xml:space="preserve">SELGEN, Breeding Station Uhretice</t>
  </si>
  <si>
    <t xml:space="preserve">Vitis monticola Buckley</t>
  </si>
  <si>
    <t xml:space="preserve">Semences Cargill, Centre de Recherches Céréales à Pailles et Colza</t>
  </si>
  <si>
    <t xml:space="preserve">Vitis novisinensis Vassilcz.</t>
  </si>
  <si>
    <t xml:space="preserve">Semences de Provence</t>
  </si>
  <si>
    <t xml:space="preserve">Vitis pedicellata M.A.Lawson</t>
  </si>
  <si>
    <t xml:space="preserve">Semiarid Prairie Agricultural Research Centre, Agriculture and Agri-Food Canada</t>
  </si>
  <si>
    <t xml:space="preserve">Vitis pentagona Diels &amp; Gilg</t>
  </si>
  <si>
    <t xml:space="preserve">Semillas Falco</t>
  </si>
  <si>
    <t xml:space="preserve">Vitis piasezkii cv. pagnuccii</t>
  </si>
  <si>
    <t xml:space="preserve">Seminis</t>
  </si>
  <si>
    <t xml:space="preserve">Vitis piasezkii Maximowicz</t>
  </si>
  <si>
    <t xml:space="preserve">Seoul National University</t>
  </si>
  <si>
    <t xml:space="preserve">Vitis piloso-nerva F.P.Metcalf</t>
  </si>
  <si>
    <t xml:space="preserve">SERASEM</t>
  </si>
  <si>
    <t xml:space="preserve">Vitis potanini Maxim.</t>
  </si>
  <si>
    <t xml:space="preserve">Servien Norbert et Pierre-Gilles - Granges lès Beaumont - France</t>
  </si>
  <si>
    <t xml:space="preserve">Vitis pseudoreticulata W.T.Wang</t>
  </si>
  <si>
    <t xml:space="preserve">Settore Biotecnologie e Agricoltura, Dipartimento Innovazione, ENEA</t>
  </si>
  <si>
    <t xml:space="preserve">Vitis punctata Raf.</t>
  </si>
  <si>
    <t xml:space="preserve">Seva Flora SRO, Valtice - République Tchèque</t>
  </si>
  <si>
    <t xml:space="preserve">Vitis reticulata Pamp.</t>
  </si>
  <si>
    <t xml:space="preserve">Shanghai Institute of Plant Physiology and  Ecology</t>
  </si>
  <si>
    <t xml:space="preserve">Vitis retordii Romanet du Caill. ex Planch.</t>
  </si>
  <si>
    <t xml:space="preserve">Shanxi Academy of Agricultural Sciences</t>
  </si>
  <si>
    <t xml:space="preserve">Vitis riparia cv. Riparia Gloire de Montpellier</t>
  </si>
  <si>
    <t xml:space="preserve">Shulaev's Lab</t>
  </si>
  <si>
    <t xml:space="preserve">Vitis riparia cv. Riparia grand glabre</t>
  </si>
  <si>
    <t xml:space="preserve">Siberian Research Institute of Agriculture</t>
  </si>
  <si>
    <t xml:space="preserve">Vitis riparia Mchx.</t>
  </si>
  <si>
    <t xml:space="preserve">SICA Centrex, Torreilles, France</t>
  </si>
  <si>
    <t xml:space="preserve">Vitis romanetii Romanet du Caillaud</t>
  </si>
  <si>
    <t xml:space="preserve">Sica La Tapy</t>
  </si>
  <si>
    <t xml:space="preserve">Vitis rubra cv. palmata</t>
  </si>
  <si>
    <t xml:space="preserve">Sica SE.CO.CE. Semences Dromigny et Hamel</t>
  </si>
  <si>
    <t xml:space="preserve">Vitis rubra Mchx.</t>
  </si>
  <si>
    <t xml:space="preserve">Sicarex Beaujolais</t>
  </si>
  <si>
    <t xml:space="preserve">Vitis rufotomentosa Small</t>
  </si>
  <si>
    <t xml:space="preserve">Sicarex du Sud-Ouest</t>
  </si>
  <si>
    <t xml:space="preserve">Vitis rupestris cv. Rupestris du Lot</t>
  </si>
  <si>
    <t xml:space="preserve">Signaling and  Plant Metabolism</t>
  </si>
  <si>
    <t xml:space="preserve">Vitis rupestris Sheele</t>
  </si>
  <si>
    <t xml:space="preserve">Signaux et messages cellulaires chez les vegetaux</t>
  </si>
  <si>
    <t xml:space="preserve">Vitis schumanniana Kuntze</t>
  </si>
  <si>
    <t xml:space="preserve">SIS - Societa Italiana Sementi</t>
  </si>
  <si>
    <t xml:space="preserve">Vitis seguinii H.Lév.</t>
  </si>
  <si>
    <t xml:space="preserve">Sladkovicovo Plant Breeding Station</t>
  </si>
  <si>
    <t xml:space="preserve">Vitis serroniana Glaz.</t>
  </si>
  <si>
    <t xml:space="preserve">Small Grains Research Centre, Agricultural Research Institute 'Serbia'</t>
  </si>
  <si>
    <t xml:space="preserve">Vitis shiragai Makino</t>
  </si>
  <si>
    <t xml:space="preserve">Societa Produttori Sementi</t>
  </si>
  <si>
    <t xml:space="preserve">Vitis silvestrii Pamp.</t>
  </si>
  <si>
    <t xml:space="preserve">Société de Viticulture du Jura</t>
  </si>
  <si>
    <t xml:space="preserve">Vitis simpsonii Munson</t>
  </si>
  <si>
    <t xml:space="preserve">Société Pomologique du Berry</t>
  </si>
  <si>
    <t xml:space="preserve">Vitis thunbergii Siebold &amp; Zucc.</t>
  </si>
  <si>
    <t xml:space="preserve">Société pour l'Encouragement de l'Orge de Brasserie</t>
  </si>
  <si>
    <t xml:space="preserve">Vitis treleasei Munson</t>
  </si>
  <si>
    <t xml:space="preserve">SOGROUP</t>
  </si>
  <si>
    <t xml:space="preserve">Vitis tsoii Merr.</t>
  </si>
  <si>
    <t xml:space="preserve">Solanum</t>
  </si>
  <si>
    <t xml:space="preserve">Vitis vicaryana Kurz</t>
  </si>
  <si>
    <t xml:space="preserve">Solanum Tourneur</t>
  </si>
  <si>
    <t xml:space="preserve">Vitis vinifera L.</t>
  </si>
  <si>
    <t xml:space="preserve">Solary Plant Breeding Station</t>
  </si>
  <si>
    <t xml:space="preserve">Vitis vinifera subsp sylvestris cv. Lambrusque métisse</t>
  </si>
  <si>
    <t xml:space="preserve">Sorghum genetics and  molecular biology lab</t>
  </si>
  <si>
    <t xml:space="preserve">Vitis vinifera subsp sylvestris cv. Lambrusque vraie</t>
  </si>
  <si>
    <t xml:space="preserve">South Dakota Agricultural Experiment Station, South Dakota State University</t>
  </si>
  <si>
    <t xml:space="preserve">Vitis vinifera subsp sylvestris L.</t>
  </si>
  <si>
    <t xml:space="preserve">Southwick Steve, El Macero, CA - USA</t>
  </si>
  <si>
    <t xml:space="preserve">Vitis vinifera subsp vinifera cv. A Kalatchel</t>
  </si>
  <si>
    <t xml:space="preserve">Special Research Centre,  Basic and  Applied Plant MolecularBiology</t>
  </si>
  <si>
    <t xml:space="preserve">Vitis vinifera subsp vinifera cv. A 406 SRLH</t>
  </si>
  <si>
    <t xml:space="preserve">SRA  INRA-CIRAD</t>
  </si>
  <si>
    <t xml:space="preserve">Vitis vinifera subsp vinifera cv. Abbuoto</t>
  </si>
  <si>
    <t xml:space="preserve">Star Fruit</t>
  </si>
  <si>
    <t xml:space="preserve">Vitis vinifera subsp vinifera cv. Abdjouch</t>
  </si>
  <si>
    <t xml:space="preserve">State Key Lab of Genetics</t>
  </si>
  <si>
    <t xml:space="preserve">Vitis vinifera subsp vinifera cv. Abondance</t>
  </si>
  <si>
    <t xml:space="preserve">State Lab of Plant Physiology and  Biochemistry</t>
  </si>
  <si>
    <t xml:space="preserve">Vitis vinifera subsp vinifera cv. Abondant</t>
  </si>
  <si>
    <t xml:space="preserve">State Lab of plant physiology and  biochemistry</t>
  </si>
  <si>
    <t xml:space="preserve">Vitis vinifera subsp vinifera cv. Abouhou</t>
  </si>
  <si>
    <t xml:space="preserve">Station Agrumicole de Lipa</t>
  </si>
  <si>
    <t xml:space="preserve">Vitis vinifera subsp vinifera cv. Abouriou</t>
  </si>
  <si>
    <t xml:space="preserve">Station Agrumicole de Nan</t>
  </si>
  <si>
    <t xml:space="preserve">Vitis vinifera subsp vinifera cv. Achlamiche</t>
  </si>
  <si>
    <t xml:space="preserve">Station Centrale de la Recherche sur les Agrumes, Institut National de la Recherche Agronomique du Maroc</t>
  </si>
  <si>
    <t xml:space="preserve">Vitis vinifera subsp vinifera cv. Adissi</t>
  </si>
  <si>
    <t xml:space="preserve">Station d'amelioration des arbres forestiers</t>
  </si>
  <si>
    <t xml:space="preserve">Vitis vinifera subsp vinifera cv. Admirable de Courtiller</t>
  </si>
  <si>
    <t xml:space="preserve">Station d'amelioration des plantes</t>
  </si>
  <si>
    <t xml:space="preserve">Vitis vinifera subsp vinifera cv. Aetoniki</t>
  </si>
  <si>
    <t xml:space="preserve">Station d'arboriculture de Poros - Trizinias (Grèce)</t>
  </si>
  <si>
    <t xml:space="preserve">Vitis vinifera subsp vinifera cv. Aetonychi kokkino</t>
  </si>
  <si>
    <t xml:space="preserve">Station de Betanimena</t>
  </si>
  <si>
    <t xml:space="preserve">Vitis vinifera subsp vinifera cv. Aetonychi mavro</t>
  </si>
  <si>
    <t xml:space="preserve">Station de cultures fruitières de Foulaya</t>
  </si>
  <si>
    <t xml:space="preserve">Vitis vinifera subsp vinifera cv. Aetonyki</t>
  </si>
  <si>
    <t xml:space="preserve">Station de Génétique et Amélioration des Plantes, INRA-Versailles</t>
  </si>
  <si>
    <t xml:space="preserve">Vitis vinifera subsp vinifera cv. Afarta pobres</t>
  </si>
  <si>
    <t xml:space="preserve">Station de Genetique et d'Amelioration des Plantes</t>
  </si>
  <si>
    <t xml:space="preserve">Vitis vinifera subsp vinifera cv. Affenthaler</t>
  </si>
  <si>
    <t xml:space="preserve">Station de Genetique et d'Amelioration des plantes</t>
  </si>
  <si>
    <t xml:space="preserve">Vitis vinifera subsp vinifera cv. Ag isioum</t>
  </si>
  <si>
    <t xml:space="preserve">Station de Génétique et d'Amélioration des Plantes, INRA-Dijon</t>
  </si>
  <si>
    <t xml:space="preserve">Vitis vinifera subsp vinifera cv. Ag Kiourdach</t>
  </si>
  <si>
    <t xml:space="preserve">Station de Genetique et dÕAmelioration des Plantes</t>
  </si>
  <si>
    <t xml:space="preserve">Vitis vinifera subsp vinifera cv. Agadaï</t>
  </si>
  <si>
    <t xml:space="preserve">Station de Genetique et dUAmelioration des Plantes</t>
  </si>
  <si>
    <t xml:space="preserve">Vitis vinifera subsp vinifera cv. Agapanthe</t>
  </si>
  <si>
    <t xml:space="preserve">Station de Genetique Vegetale</t>
  </si>
  <si>
    <t xml:space="preserve">Vitis vinifera subsp vinifera cv. Aghianniotico</t>
  </si>
  <si>
    <t xml:space="preserve">Station de Genetique Vegetale du Moulon</t>
  </si>
  <si>
    <t xml:space="preserve">Vitis vinifera subsp vinifera cv. Aghiorgitiko</t>
  </si>
  <si>
    <t xml:space="preserve">Station de Pathologie Vegetale</t>
  </si>
  <si>
    <t xml:space="preserve">Vitis vinifera subsp vinifera cv. Aglianico</t>
  </si>
  <si>
    <t xml:space="preserve">Station de Pathologie Végétale, INRA-Avignon</t>
  </si>
  <si>
    <t xml:space="preserve">Vitis vinifera subsp vinifera cv. Agostenga noir</t>
  </si>
  <si>
    <t xml:space="preserve">Station de recherche Agroscope Changins-Wädenswil</t>
  </si>
  <si>
    <t xml:space="preserve">Vitis vinifera subsp vinifera cv. Agourane</t>
  </si>
  <si>
    <t xml:space="preserve">Station de recherche Agroscope Changins-WÃ¤denswil</t>
  </si>
  <si>
    <t xml:space="preserve">Vitis vinifera subsp vinifera cv. Agrio mavro</t>
  </si>
  <si>
    <t xml:space="preserve">Station de Recherche du Comité Nord</t>
  </si>
  <si>
    <t xml:space="preserve">Vitis vinifera subsp vinifera cv. Aguyar</t>
  </si>
  <si>
    <t xml:space="preserve">Station de Recherche du Comité Nord &amp; GIPT</t>
  </si>
  <si>
    <t xml:space="preserve">Vitis vinifera subsp vinifera cv. Ahmar</t>
  </si>
  <si>
    <t xml:space="preserve">Station de Recherchedu Comité Nord &amp; GNIPTIT</t>
  </si>
  <si>
    <t xml:space="preserve">Vitis vinifera subsp vinifera cv. Ahmed</t>
  </si>
  <si>
    <t xml:space="preserve">Station Expérimentale Agronomique de Boufarik</t>
  </si>
  <si>
    <t xml:space="preserve">Vitis vinifera subsp vinifera cv. Ahmeh sal apyrène</t>
  </si>
  <si>
    <t xml:space="preserve">Station expérimentale de Oeiras Portugal</t>
  </si>
  <si>
    <t xml:space="preserve">Vitis vinifera subsp vinifera cv. Ahmeh Sal 9</t>
  </si>
  <si>
    <t xml:space="preserve">Station Régionale Horticole de Sefrou</t>
  </si>
  <si>
    <t xml:space="preserve">Vitis vinifera subsp vinifera cv. Ahmeur bou Ahmeur</t>
  </si>
  <si>
    <t xml:space="preserve">Statistique &amp; Genome</t>
  </si>
  <si>
    <t xml:space="preserve">Vitis vinifera subsp vinifera cv. Ahumat</t>
  </si>
  <si>
    <t xml:space="preserve">Statistique &amp; Génome</t>
  </si>
  <si>
    <t xml:space="preserve">Vitis vinifera subsp vinifera cv. Aïbatly</t>
  </si>
  <si>
    <t xml:space="preserve">Statiunea de Cercetare Dezvoltare Agricola Albota</t>
  </si>
  <si>
    <t xml:space="preserve">Vitis vinifera subsp vinifera cv. Aïda = Pirovano 233</t>
  </si>
  <si>
    <t xml:space="preserve">Ste Coopérative Agricole du Nord-Est de la Brie</t>
  </si>
  <si>
    <t xml:space="preserve">Vitis vinifera subsp vinifera cv. Aïdani mavro</t>
  </si>
  <si>
    <t xml:space="preserve">Stellenbosch University</t>
  </si>
  <si>
    <t xml:space="preserve">Vitis vinifera subsp vinifera cv. Aïn Begra</t>
  </si>
  <si>
    <t xml:space="preserve">Structure et Metabolisme des Plantes</t>
  </si>
  <si>
    <t xml:space="preserve">Vitis vinifera subsp vinifera cv. Aïn el Bouma</t>
  </si>
  <si>
    <t xml:space="preserve">Subtropical Horticultural Research Unit, National Germplasm Repository - Miami, USDA</t>
  </si>
  <si>
    <t xml:space="preserve">Vitis vinifera subsp vinifera cv. Aïn Kelba</t>
  </si>
  <si>
    <t xml:space="preserve">Suceava Genebank</t>
  </si>
  <si>
    <t xml:space="preserve">Vitis vinifera subsp vinifera cv. Airen</t>
  </si>
  <si>
    <t xml:space="preserve">Summerfield Nursery Co.</t>
  </si>
  <si>
    <t xml:space="preserve">Vitis vinifera subsp vinifera cv. Ak chekerek</t>
  </si>
  <si>
    <t xml:space="preserve">Sun World International - Bakersfield, CA - USA</t>
  </si>
  <si>
    <t xml:space="preserve">Vitis vinifera subsp vinifera cv. Ak ouzioum tagapskii</t>
  </si>
  <si>
    <t xml:space="preserve">Sunshine Nurseries</t>
  </si>
  <si>
    <t xml:space="preserve">Vitis vinifera subsp vinifera cv. Akiki</t>
  </si>
  <si>
    <t xml:space="preserve">Svalof Weibull AB Cereal Breeding Department</t>
  </si>
  <si>
    <t xml:space="preserve">Vitis vinifera subsp vinifera cv. Aklyk jaune</t>
  </si>
  <si>
    <t xml:space="preserve">SW Seed Hadmersleben GmbH</t>
  </si>
  <si>
    <t xml:space="preserve">Vitis vinifera subsp vinifera cv. Akominato</t>
  </si>
  <si>
    <t xml:space="preserve">Swedish University of Agricultural Sciences - Department of Plant Breeding Research</t>
  </si>
  <si>
    <t xml:space="preserve">Vitis vinifera subsp vinifera cv. Alabar noir</t>
  </si>
  <si>
    <t xml:space="preserve">Swiss Institute of Bioinformatics</t>
  </si>
  <si>
    <t xml:space="preserve">Vitis vinifera subsp vinifera cv. Alanttermö</t>
  </si>
  <si>
    <t xml:space="preserve">Syndicat de Producteurs de Marron de Charentes</t>
  </si>
  <si>
    <t xml:space="preserve">Vitis vinifera subsp vinifera cv. Alb rominesc</t>
  </si>
  <si>
    <t xml:space="preserve">Syndicat Général des Vignerons Réunis des Côtes-du-Rhône</t>
  </si>
  <si>
    <t xml:space="preserve">Vitis vinifera subsp vinifera cv. Alba aganin isioum</t>
  </si>
  <si>
    <t xml:space="preserve">Syngenta</t>
  </si>
  <si>
    <t xml:space="preserve">Vitis vinifera subsp vinifera cv. Alba imputotato</t>
  </si>
  <si>
    <t xml:space="preserve">Syngenta Seeds Ltd</t>
  </si>
  <si>
    <t xml:space="preserve">Vitis vinifera subsp vinifera cv. Alba magna = Pirovano 283</t>
  </si>
  <si>
    <t xml:space="preserve">Syngenta Seeds S.A.</t>
  </si>
  <si>
    <t xml:space="preserve">Vitis vinifera subsp vinifera cv. Albalonga = Würzburg B 51-2-1</t>
  </si>
  <si>
    <t xml:space="preserve">Syngenta Seeds S.A.S.</t>
  </si>
  <si>
    <t xml:space="preserve">Vitis vinifera subsp vinifera cv. Albana</t>
  </si>
  <si>
    <t xml:space="preserve">Takii recherche France</t>
  </si>
  <si>
    <t xml:space="preserve">Vitis vinifera subsp vinifera cv. Albanello</t>
  </si>
  <si>
    <t xml:space="preserve">Technisem</t>
  </si>
  <si>
    <t xml:space="preserve">Vitis vinifera subsp vinifera cv. Albaranzeuli bianco</t>
  </si>
  <si>
    <t xml:space="preserve">Technology Department</t>
  </si>
  <si>
    <t xml:space="preserve">Vitis vinifera subsp vinifera cv. Albarola</t>
  </si>
  <si>
    <t xml:space="preserve">Terr'Loire</t>
  </si>
  <si>
    <t xml:space="preserve">Vitis vinifera subsp vinifera cv. Albert Dientz</t>
  </si>
  <si>
    <t xml:space="preserve">Texas Agricultural Experiment Station, Texas A &amp; M University</t>
  </si>
  <si>
    <t xml:space="preserve">Vitis vinifera subsp vinifera cv. Albillo</t>
  </si>
  <si>
    <t xml:space="preserve">TEZIER S.A.</t>
  </si>
  <si>
    <t xml:space="preserve">Vitis vinifera subsp vinifera cv. Albino de Sousa</t>
  </si>
  <si>
    <t xml:space="preserve">The Agricultural Research Council - Grain Crops Institute</t>
  </si>
  <si>
    <t xml:space="preserve">Vitis vinifera subsp vinifera cv. Albourlah</t>
  </si>
  <si>
    <t xml:space="preserve">The Arabidopsis Information Resource</t>
  </si>
  <si>
    <t xml:space="preserve">Vitis vinifera subsp vinifera cv. Aléatico</t>
  </si>
  <si>
    <t xml:space="preserve">The Biotechnology Center</t>
  </si>
  <si>
    <t xml:space="preserve">Vitis vinifera subsp vinifera cv. Aledo</t>
  </si>
  <si>
    <t xml:space="preserve">The Citrus Nursery</t>
  </si>
  <si>
    <t xml:space="preserve">Vitis vinifera subsp vinifera cv. Alenky</t>
  </si>
  <si>
    <t xml:space="preserve">The First Laboratory for Plant Gene Research</t>
  </si>
  <si>
    <t xml:space="preserve">Vitis vinifera subsp vinifera cv. Alepou</t>
  </si>
  <si>
    <t xml:space="preserve">The Genome Analysis Centre</t>
  </si>
  <si>
    <t xml:space="preserve">Vitis vinifera subsp vinifera cv. Alexandroouli</t>
  </si>
  <si>
    <t xml:space="preserve">The Key Laboratory of Gene Engineering of Ministry ofEducation</t>
  </si>
  <si>
    <t xml:space="preserve">Vitis vinifera subsp vinifera cv. Alfrocheiro preto</t>
  </si>
  <si>
    <t xml:space="preserve">The Molecular Breeding Lab of Wheat Research Center - Henan Academy of Agricultural Sciences</t>
  </si>
  <si>
    <t xml:space="preserve">Vitis vinifera subsp vinifera cv. Algara</t>
  </si>
  <si>
    <t xml:space="preserve">The Rockefeller Foundation</t>
  </si>
  <si>
    <t xml:space="preserve">Vitis vinifera subsp vinifera cv. Alia boka</t>
  </si>
  <si>
    <t xml:space="preserve">The V.M. Remeslo Myronivka Institute for Wheat</t>
  </si>
  <si>
    <t xml:space="preserve">Vitis vinifera subsp vinifera cv. Alicante anglais blanc</t>
  </si>
  <si>
    <t xml:space="preserve">Tintori Nursery</t>
  </si>
  <si>
    <t xml:space="preserve">Vitis vinifera subsp vinifera cv. Alicante Bouschet érigé</t>
  </si>
  <si>
    <t xml:space="preserve">Top Semence</t>
  </si>
  <si>
    <t xml:space="preserve">Vitis vinifera subsp vinifera cv. Alicante Bouschet extra fertile</t>
  </si>
  <si>
    <t xml:space="preserve">Torbert Rocheford</t>
  </si>
  <si>
    <t xml:space="preserve">Vitis vinifera subsp vinifera cv. Alicante Bouschet n°1</t>
  </si>
  <si>
    <t xml:space="preserve">Toumelin (don't exist anymore)</t>
  </si>
  <si>
    <t xml:space="preserve">Vitis vinifera subsp vinifera cv. Alicante Bouschet n°2</t>
  </si>
  <si>
    <t xml:space="preserve">Tourneur Grandes Cultures Obtentions</t>
  </si>
  <si>
    <t xml:space="preserve">Vitis vinifera subsp vinifera cv. Alicante Bouschet n°7</t>
  </si>
  <si>
    <t xml:space="preserve">Trait and  Technology Development,  Agronomic Traits</t>
  </si>
  <si>
    <t xml:space="preserve">Vitis vinifera subsp vinifera cv. Alicante Bouschet n°8</t>
  </si>
  <si>
    <t xml:space="preserve">Trait and  Technology Development,  Food and  Feed Research</t>
  </si>
  <si>
    <t xml:space="preserve">Vitis vinifera subsp vinifera cv. Alicante Bouschet précoce (ou n°5)</t>
  </si>
  <si>
    <t xml:space="preserve">Transition Zone Agricultural Research Institute</t>
  </si>
  <si>
    <t xml:space="preserve">Vitis vinifera subsp vinifera cv. Alicante Bouschet tardif (ou n°6)</t>
  </si>
  <si>
    <t xml:space="preserve">TRANSPORT DES ASSIMILATS</t>
  </si>
  <si>
    <t xml:space="preserve">Vitis vinifera subsp vinifera cv. Alicante Bouschet x Piquepoul gris</t>
  </si>
  <si>
    <t xml:space="preserve">Trégor Sélection</t>
  </si>
  <si>
    <t xml:space="preserve">Vitis vinifera subsp vinifera cv. Alicante Bouschet x Piquepoul n°12</t>
  </si>
  <si>
    <t xml:space="preserve">Tribhuvan University</t>
  </si>
  <si>
    <t xml:space="preserve">Vitis vinifera subsp vinifera cv. Alicante Henri Bouschet</t>
  </si>
  <si>
    <t xml:space="preserve">Tropical Agricultural Research Station, Clonal Repository USDA/ARS</t>
  </si>
  <si>
    <t xml:space="preserve">Vitis vinifera subsp vinifera cv. Alicante rosa</t>
  </si>
  <si>
    <t xml:space="preserve">Tropical Crops Experimental Station</t>
  </si>
  <si>
    <t xml:space="preserve">Vitis vinifera subsp vinifera cv. Aligoté</t>
  </si>
  <si>
    <t xml:space="preserve">Truffaut</t>
  </si>
  <si>
    <t xml:space="preserve">Vitis vinifera subsp vinifera cv. Alii tierskii</t>
  </si>
  <si>
    <t xml:space="preserve">Tsukuba Life Science Center</t>
  </si>
  <si>
    <t xml:space="preserve">Vitis vinifera subsp vinifera cv. Alimchak</t>
  </si>
  <si>
    <t xml:space="preserve">T&amp;TD,  Agronomic Traits,  Yield Stability</t>
  </si>
  <si>
    <t xml:space="preserve">Vitis vinifera subsp vinifera cv. Almafre</t>
  </si>
  <si>
    <t xml:space="preserve">Tulun State Plant Breeding Station</t>
  </si>
  <si>
    <t xml:space="preserve">Vitis vinifera subsp vinifera cv. Alnwick seedling</t>
  </si>
  <si>
    <t xml:space="preserve">Turkmen Academy of Agricultural Sciences</t>
  </si>
  <si>
    <t xml:space="preserve">Vitis vinifera subsp vinifera cv. Alphonse Lavallée</t>
  </si>
  <si>
    <t xml:space="preserve">Twyford Plant Laborences (NPBGR), North Carolina State University</t>
  </si>
  <si>
    <t xml:space="preserve">Vitis vinifera subsp vinifera cv. Altesse</t>
  </si>
  <si>
    <t xml:space="preserve">Tystofte-Forsoggstation</t>
  </si>
  <si>
    <t xml:space="preserve">Vitis vinifera subsp vinifera cv. Alva</t>
  </si>
  <si>
    <t xml:space="preserve">UAGPF</t>
  </si>
  <si>
    <t xml:space="preserve">Vitis vinifera subsp vinifera cv. Alval = INRA 1552-24</t>
  </si>
  <si>
    <t xml:space="preserve">UCOPAC - Verneuil - Recherches</t>
  </si>
  <si>
    <t xml:space="preserve">Vitis vinifera subsp vinifera cv. Alvarelhao</t>
  </si>
  <si>
    <t xml:space="preserve">UE arboricole, INRA-Toulenne et INRA-Bourran</t>
  </si>
  <si>
    <t xml:space="preserve">Vitis vinifera subsp vinifera cv. Alvarinho</t>
  </si>
  <si>
    <t xml:space="preserve">UE Diascope, INRA-Montpellier</t>
  </si>
  <si>
    <t xml:space="preserve">Vitis vinifera subsp vinifera cv. Alvina = INRA 2121-61</t>
  </si>
  <si>
    <t xml:space="preserve">UE Maïs, INRA-Saint-Martin-de-Hinx</t>
  </si>
  <si>
    <t xml:space="preserve">Vitis vinifera subsp vinifera cv. Alwan</t>
  </si>
  <si>
    <t xml:space="preserve">Vitis vinifera subsp vinifera cv. Amaral</t>
  </si>
  <si>
    <t xml:space="preserve">UIPMSV</t>
  </si>
  <si>
    <t xml:space="preserve">Vitis vinifera subsp vinifera cv. Amaral branco</t>
  </si>
  <si>
    <t xml:space="preserve">ULICE</t>
  </si>
  <si>
    <t xml:space="preserve">Vitis vinifera subsp vinifera cv. Ambary</t>
  </si>
  <si>
    <t xml:space="preserve">Umea Plant Science Center</t>
  </si>
  <si>
    <t xml:space="preserve">Vitis vinifera subsp vinifera cv. Amellal</t>
  </si>
  <si>
    <t xml:space="preserve">Umea Plant Science Center, Department of Plant Physiology</t>
  </si>
  <si>
    <t xml:space="preserve">Vitis vinifera subsp vinifera cv. Amessasse</t>
  </si>
  <si>
    <t xml:space="preserve">UMR AGAP Amélioration Génétique et Adaptation des Plantes méditerranéennes et Tropicales</t>
  </si>
  <si>
    <t xml:space="preserve">Vitis vinifera subsp vinifera cv. Amfioni</t>
  </si>
  <si>
    <t xml:space="preserve">UMR Amélioration des Plantes et Biotechnologies Végétales, INRA-Rennes</t>
  </si>
  <si>
    <t xml:space="preserve">Vitis vinifera subsp vinifera cv. Amigne</t>
  </si>
  <si>
    <t xml:space="preserve">Vitis vinifera subsp vinifera cv. Amokrane</t>
  </si>
  <si>
    <t xml:space="preserve">UMR APBV</t>
  </si>
  <si>
    <t xml:space="preserve">Vitis vinifera subsp vinifera cv. Ampelakiotico galano</t>
  </si>
  <si>
    <t xml:space="preserve">UMR ASP 1095</t>
  </si>
  <si>
    <t xml:space="preserve">Vitis vinifera subsp vinifera cv. Ancellota</t>
  </si>
  <si>
    <t xml:space="preserve">UMR ASP 1095 (Amelioration et Sante des Plantes)</t>
  </si>
  <si>
    <t xml:space="preserve">Vitis vinifera subsp vinifera cv. Ancorat</t>
  </si>
  <si>
    <t xml:space="preserve">UMR BiO3P</t>
  </si>
  <si>
    <t xml:space="preserve">Vitis vinifera subsp vinifera cv. Aneb ben Koreli</t>
  </si>
  <si>
    <t xml:space="preserve">UMR CNRS/INRA 215</t>
  </si>
  <si>
    <t xml:space="preserve">Vitis vinifera subsp vinifera cv. Aneb bou Bezzoul</t>
  </si>
  <si>
    <t xml:space="preserve">UMR DAP 1098</t>
  </si>
  <si>
    <t xml:space="preserve">Vitis vinifera subsp vinifera cv. Aneb el Amar</t>
  </si>
  <si>
    <t xml:space="preserve">UMR de Genetique vegetale</t>
  </si>
  <si>
    <t xml:space="preserve">Vitis vinifera subsp vinifera cv. Angelo Longo = Pirovano 101</t>
  </si>
  <si>
    <t xml:space="preserve">UMR de Genetique Vegetale du Moulon</t>
  </si>
  <si>
    <t xml:space="preserve">Vitis vinifera subsp vinifera cv. Angelo Pirovano = Pirovano 2</t>
  </si>
  <si>
    <t xml:space="preserve">UMR de Ginitique Vigitale</t>
  </si>
  <si>
    <t xml:space="preserve">Vitis vinifera subsp vinifera cv. Angiola</t>
  </si>
  <si>
    <t xml:space="preserve">Vitis vinifera subsp vinifera cv. Angulato</t>
  </si>
  <si>
    <t xml:space="preserve">UMR DiaPC</t>
  </si>
  <si>
    <t xml:space="preserve">Vitis vinifera subsp vinifera cv. Annamaria</t>
  </si>
  <si>
    <t xml:space="preserve">UMR Diversité et Adaptation des Plantes Cultivées, INRA-Montpellier</t>
  </si>
  <si>
    <t xml:space="preserve">Vitis vinifera subsp vinifera cv. Antão vaz</t>
  </si>
  <si>
    <t xml:space="preserve">UMR Diversite et Genomes des Plantes Cultivees</t>
  </si>
  <si>
    <t xml:space="preserve">Vitis vinifera subsp vinifera cv. Aouillat</t>
  </si>
  <si>
    <t xml:space="preserve">Vitis vinifera subsp vinifera cv. Appley Towers</t>
  </si>
  <si>
    <t xml:space="preserve">Vitis vinifera subsp vinifera cv. Aprofeher</t>
  </si>
  <si>
    <t xml:space="preserve">Vitis vinifera subsp vinifera cv. Aptiche aga</t>
  </si>
  <si>
    <t xml:space="preserve">UMR Génétique et Horticulture GenHort, INRA-Angers</t>
  </si>
  <si>
    <t xml:space="preserve">Vitis vinifera subsp vinifera cv. Apyrène de Roussé</t>
  </si>
  <si>
    <t xml:space="preserve">UMR Génétique Végétale, INRA-Moulon</t>
  </si>
  <si>
    <t xml:space="preserve">Vitis vinifera subsp vinifera cv. Aragatzi</t>
  </si>
  <si>
    <t xml:space="preserve">UMR Génomique Végétale, INRA-Evry</t>
  </si>
  <si>
    <t xml:space="preserve">Vitis vinifera subsp vinifera cv. Araklinos</t>
  </si>
  <si>
    <t xml:space="preserve">UMR IaM - 1136</t>
  </si>
  <si>
    <t xml:space="preserve">Vitis vinifera subsp vinifera cv. Aramon</t>
  </si>
  <si>
    <t xml:space="preserve">UMR INRA 1088 Plante-Microbe-Environment</t>
  </si>
  <si>
    <t xml:space="preserve">Vitis vinifera subsp vinifera cv. Aramon blanc</t>
  </si>
  <si>
    <t xml:space="preserve">UMR INRA 1088/CNRS 5184/U. Bourgogne PME,  Inra</t>
  </si>
  <si>
    <t xml:space="preserve">Vitis vinifera subsp vinifera cv. Aramon blanc de la Calmette</t>
  </si>
  <si>
    <t xml:space="preserve">UMR INRA 1165 - CNRS 8114 - UEVE</t>
  </si>
  <si>
    <t xml:space="preserve">Vitis vinifera subsp vinifera cv. Aramon Bouschet n°1</t>
  </si>
  <si>
    <t xml:space="preserve">UMR INRA 1165 CNRS 8114 - UEVE</t>
  </si>
  <si>
    <t xml:space="preserve">Vitis vinifera subsp vinifera cv. Aramon Bouschet n°3</t>
  </si>
  <si>
    <t xml:space="preserve">UMR INRA-Agrocampus</t>
  </si>
  <si>
    <t xml:space="preserve">Vitis vinifera subsp vinifera cv. Aramon Bouschet n°5</t>
  </si>
  <si>
    <t xml:space="preserve">UMR INRA-ENSAR</t>
  </si>
  <si>
    <t xml:space="preserve">Vitis vinifera subsp vinifera cv. Aramon gris</t>
  </si>
  <si>
    <t xml:space="preserve">UMR INRA-INSA BF2I</t>
  </si>
  <si>
    <t xml:space="preserve">Vitis vinifera subsp vinifera cv. Aramon teinturier Bouschet</t>
  </si>
  <si>
    <t xml:space="preserve">UMR INRA-UBP Amilioration &amp; Santi des Plantes</t>
  </si>
  <si>
    <t xml:space="preserve">Vitis vinifera subsp vinifera cv. Aranel = INRA 1816-106</t>
  </si>
  <si>
    <t xml:space="preserve">UMR INRA-UHP 1137</t>
  </si>
  <si>
    <t xml:space="preserve">Vitis vinifera subsp vinifera cv. Aranyka sarga</t>
  </si>
  <si>
    <t xml:space="preserve">UMR Institut de Génétique, Environnement et Protection des Plantes, INRA-Rennes</t>
  </si>
  <si>
    <t xml:space="preserve">Vitis vinifera subsp vinifera cv. Ararati</t>
  </si>
  <si>
    <t xml:space="preserve">Vitis vinifera subsp vinifera cv. Araxeni tchernii</t>
  </si>
  <si>
    <t xml:space="preserve">UMR Institut de Génétique, Environnement et Protection des Plantes, INRA-Rennes, Site de Plougoulm</t>
  </si>
  <si>
    <t xml:space="preserve">Vitis vinifera subsp vinifera cv. Arbane</t>
  </si>
  <si>
    <t xml:space="preserve">UMR Peuplement Végétaux et Bioagresseurs en Milieu Tropical, CIRAD-Réunion</t>
  </si>
  <si>
    <t xml:space="preserve">Vitis vinifera subsp vinifera cv. Arbia</t>
  </si>
  <si>
    <t xml:space="preserve">Vitis vinifera subsp vinifera cv. Arbois rose</t>
  </si>
  <si>
    <t xml:space="preserve">UMR SPO</t>
  </si>
  <si>
    <t xml:space="preserve">Vitis vinifera subsp vinifera cv. Ardona = INRA 605-8</t>
  </si>
  <si>
    <t xml:space="preserve">UMR Stress Abiotiques et Différenciation des Végétaux Cultivés</t>
  </si>
  <si>
    <t xml:space="preserve">Vitis vinifera subsp vinifera cv. Ardonnet</t>
  </si>
  <si>
    <t xml:space="preserve">UMR UMR INRA 1165 - CNRS 8114 - UEVE</t>
  </si>
  <si>
    <t xml:space="preserve">Vitis vinifera subsp vinifera cv. Ardounet noir</t>
  </si>
  <si>
    <t xml:space="preserve">UMR UP-IRD-CNRS 5096</t>
  </si>
  <si>
    <t xml:space="preserve">Vitis vinifera subsp vinifera cv. Areni tchernii</t>
  </si>
  <si>
    <t xml:space="preserve">UMR USTL-INRA 1281 - Stress abiotique et difirenciation des vigitaux cultivis (SADV)</t>
  </si>
  <si>
    <t xml:space="preserve">Vitis vinifera subsp vinifera cv. Argant</t>
  </si>
  <si>
    <t xml:space="preserve">UMR 1095 INRA-UBP Amélioration &amp; Santé des Plantes</t>
  </si>
  <si>
    <t xml:space="preserve">Vitis vinifera subsp vinifera cv. Arinarnoa</t>
  </si>
  <si>
    <t xml:space="preserve">UMR 1095 INRA/UBP GDEC</t>
  </si>
  <si>
    <t xml:space="preserve">Vitis vinifera subsp vinifera cv. Ariño</t>
  </si>
  <si>
    <t xml:space="preserve">UMR 1095 INRA-UBP Génétique, Diversité et Ecophysiologie des Céréales</t>
  </si>
  <si>
    <t xml:space="preserve">Vitis vinifera subsp vinifera cv. Arinto de Bucelas</t>
  </si>
  <si>
    <t xml:space="preserve">UMR 1095 INRA-UBP Ginitique, Diversiti et Ecophysiologie des Ciriales</t>
  </si>
  <si>
    <t xml:space="preserve">Vitis vinifera subsp vinifera cv. Arinto du Dâo</t>
  </si>
  <si>
    <t xml:space="preserve">UMR 1096 / PIA</t>
  </si>
  <si>
    <t xml:space="preserve">Vitis vinifera subsp vinifera cv. Arizul</t>
  </si>
  <si>
    <t xml:space="preserve">UMR 1096 /PIA</t>
  </si>
  <si>
    <t xml:space="preserve">Vitis vinifera subsp vinifera cv. Armas</t>
  </si>
  <si>
    <t xml:space="preserve">UMR 1097 Vigne</t>
  </si>
  <si>
    <t xml:space="preserve">Vitis vinifera subsp vinifera cv. Armenia</t>
  </si>
  <si>
    <t xml:space="preserve">UMR 1136</t>
  </si>
  <si>
    <t xml:space="preserve">Vitis vinifera subsp vinifera cv. Arna guirna</t>
  </si>
  <si>
    <t xml:space="preserve">UMR 118 INRA-AgroCampus Rennes</t>
  </si>
  <si>
    <t xml:space="preserve">Vitis vinifera subsp vinifera cv. Arneis</t>
  </si>
  <si>
    <t xml:space="preserve">UMR 12 87 EGFV</t>
  </si>
  <si>
    <t xml:space="preserve">Vitis vinifera subsp vinifera cv. Aromatica = Pirovano 393</t>
  </si>
  <si>
    <t xml:space="preserve">UMR 320 Genetique Vegetale</t>
  </si>
  <si>
    <t xml:space="preserve">Vitis vinifera subsp vinifera cv. Aromriesling</t>
  </si>
  <si>
    <t xml:space="preserve">UMR 5004 laboratoire de physiologie et biologie moleculaire des plantes</t>
  </si>
  <si>
    <t xml:space="preserve">Vitis vinifera subsp vinifera cv. Arpad = Evêque Prohaszka</t>
  </si>
  <si>
    <t xml:space="preserve">UMR 5546 Pole de biotechnologies vegetales</t>
  </si>
  <si>
    <t xml:space="preserve">Vitis vinifera subsp vinifera cv. Arriloba</t>
  </si>
  <si>
    <t xml:space="preserve">UMR 619 - Equipe Biologie de la Vigne</t>
  </si>
  <si>
    <t xml:space="preserve">Vitis vinifera subsp vinifera cv. Arrouya</t>
  </si>
  <si>
    <t xml:space="preserve">UMR 8618 - Laboratoire Structure et Metabolisme des Plantes</t>
  </si>
  <si>
    <t xml:space="preserve">Vitis vinifera subsp vinifera cv. Arrufiac</t>
  </si>
  <si>
    <t xml:space="preserve">UMR-DAP</t>
  </si>
  <si>
    <t xml:space="preserve">Vitis vinifera subsp vinifera cv. Arturo Marescalchi = Pirovano 318</t>
  </si>
  <si>
    <t xml:space="preserve">UMR05 CNRS/INRA</t>
  </si>
  <si>
    <t xml:space="preserve">Vitis vinifera subsp vinifera cv. Arvesiniadu</t>
  </si>
  <si>
    <t xml:space="preserve">UMR1097 Vigne</t>
  </si>
  <si>
    <t xml:space="preserve">Vitis vinifera subsp vinifera cv. Arvignon</t>
  </si>
  <si>
    <t xml:space="preserve">UMR118 Amelioration des plantes</t>
  </si>
  <si>
    <t xml:space="preserve">Vitis vinifera subsp vinifera cv. Arvine</t>
  </si>
  <si>
    <t xml:space="preserve">UMR518 AgroParisTech/INRA</t>
  </si>
  <si>
    <t xml:space="preserve">Vitis vinifera subsp vinifera cv. Ascott Citronelle</t>
  </si>
  <si>
    <t xml:space="preserve">UMR759 Ecophysiologie des plantes sous stress environnementaux</t>
  </si>
  <si>
    <t xml:space="preserve">Vitis vinifera subsp vinifera cv. Askari</t>
  </si>
  <si>
    <t xml:space="preserve">UMR8576 CNRS/UST Lille</t>
  </si>
  <si>
    <t xml:space="preserve">Vitis vinifera subsp vinifera cv. Askeri</t>
  </si>
  <si>
    <t xml:space="preserve">UNCAC Cooperative Agricole Cereales</t>
  </si>
  <si>
    <t xml:space="preserve">Vitis vinifera subsp vinifera cv. Askudi</t>
  </si>
  <si>
    <t xml:space="preserve">UNCAC La Brosse Montceaux</t>
  </si>
  <si>
    <t xml:space="preserve">Vitis vinifera subsp vinifera cv. Asma</t>
  </si>
  <si>
    <t xml:space="preserve">Unicopa Clause</t>
  </si>
  <si>
    <t xml:space="preserve">Vitis vinifera subsp vinifera cv. Asmi assouad</t>
  </si>
  <si>
    <t xml:space="preserve">Unidad de Recursos Geneticos Universidad Autonoma de Chapingo</t>
  </si>
  <si>
    <t xml:space="preserve">Vitis vinifera subsp vinifera cv. Asmi blanc</t>
  </si>
  <si>
    <t xml:space="preserve">Union des Producteurs de Plaimont</t>
  </si>
  <si>
    <t xml:space="preserve">Vitis vinifera subsp vinifera cv. Aspiran Bouschet</t>
  </si>
  <si>
    <t xml:space="preserve">Unisigma Gie de Recherche et de Selection</t>
  </si>
  <si>
    <t xml:space="preserve">Vitis vinifera subsp vinifera cv. Aspiran rouge foncé</t>
  </si>
  <si>
    <t xml:space="preserve">Unit of Forest improvement, Genetics and Physiology</t>
  </si>
  <si>
    <t xml:space="preserve">Vitis vinifera subsp vinifera cv. Asprinio</t>
  </si>
  <si>
    <t xml:space="preserve">UnitÃ© AmÃ©lioration, GÃ©nÃ©tique et Physiologie ForestiÃ?res</t>
  </si>
  <si>
    <t xml:space="preserve">Vitis vinifera subsp vinifera cv. Asprouda de Santorini</t>
  </si>
  <si>
    <t xml:space="preserve">UnitC) de Nutrition AzotC)e des Plantes</t>
  </si>
  <si>
    <t xml:space="preserve">Vitis vinifera subsp vinifera cv. Asprouda Zakinthou</t>
  </si>
  <si>
    <t xml:space="preserve">Unite Centrale de la Miniere, GEVES</t>
  </si>
  <si>
    <t xml:space="preserve">Vitis vinifera subsp vinifera cv. Assali al arous</t>
  </si>
  <si>
    <t xml:space="preserve">Unite d'amelioration des plantes</t>
  </si>
  <si>
    <t xml:space="preserve">Vitis vinifera subsp vinifera cv. Assario roxo</t>
  </si>
  <si>
    <t xml:space="preserve">Unite de Biochime et Biologie Moleculaire des Cereales</t>
  </si>
  <si>
    <t xml:space="preserve">Vitis vinifera subsp vinifera cv. Assario Tinto</t>
  </si>
  <si>
    <t xml:space="preserve">Unite de Biochimie et Biologie Moleculaire des Cereales</t>
  </si>
  <si>
    <t xml:space="preserve">Vitis vinifera subsp vinifera cv. Assario (1)</t>
  </si>
  <si>
    <t xml:space="preserve">Unite de Genetique dt d amelioration des plantes fourrageres</t>
  </si>
  <si>
    <t xml:space="preserve">Vitis vinifera subsp vinifera cv. Assario (2)</t>
  </si>
  <si>
    <t xml:space="preserve">Unite de Genetique et d'Amelioration des Fruits et Legumes</t>
  </si>
  <si>
    <t xml:space="preserve">Vitis vinifera subsp vinifera cv. Asseli</t>
  </si>
  <si>
    <t xml:space="preserve">Unite de Genetique et d'Amelioration des Plantes Fourrageres (UGAPF)</t>
  </si>
  <si>
    <t xml:space="preserve">Vitis vinifera subsp vinifera cv. Asserghin</t>
  </si>
  <si>
    <t xml:space="preserve">Unite de Recherche des Produits de la Vigne</t>
  </si>
  <si>
    <t xml:space="preserve">Vitis vinifera subsp vinifera cv. Assouad Abou khislé</t>
  </si>
  <si>
    <t xml:space="preserve">Unite de Recherche en Genetique et Amelioration des plantes</t>
  </si>
  <si>
    <t xml:space="preserve">Vitis vinifera subsp vinifera cv. Assouad afranji</t>
  </si>
  <si>
    <t xml:space="preserve">Unite de Recherche en Genomique vegetale</t>
  </si>
  <si>
    <t xml:space="preserve">Vitis vinifera subsp vinifera cv. Assouad anouni</t>
  </si>
  <si>
    <t xml:space="preserve">Unite de Recherche Genomique-Info</t>
  </si>
  <si>
    <t xml:space="preserve">Vitis vinifera subsp vinifera cv. Assouad karech</t>
  </si>
  <si>
    <t xml:space="preserve">Unite de recherche sur les legumineuses (URLEG)</t>
  </si>
  <si>
    <t xml:space="preserve">Vitis vinifera subsp vinifera cv. Assoued kere</t>
  </si>
  <si>
    <t xml:space="preserve">Unite de Recherches en Sante Vegetale</t>
  </si>
  <si>
    <t xml:space="preserve">Vitis vinifera subsp vinifera cv. Assoued zeme</t>
  </si>
  <si>
    <t xml:space="preserve">Unite de recherches Interactions Plantes Microorganismes et Sante Vegetale</t>
  </si>
  <si>
    <t xml:space="preserve">Vitis vinifera subsp vinifera cv. Assul kara</t>
  </si>
  <si>
    <t xml:space="preserve">Unité Expérimentale du Domaine de Pech Rouge, INRA-Montpellier - UMR-SPO</t>
  </si>
  <si>
    <t xml:space="preserve">Vitis vinifera subsp vinifera cv. Assyrtico</t>
  </si>
  <si>
    <t xml:space="preserve">Vitis vinifera subsp vinifera cv. Athiri</t>
  </si>
  <si>
    <t xml:space="preserve">Unite experimentale du Magneraud, GEVES</t>
  </si>
  <si>
    <t xml:space="preserve">Vitis vinifera subsp vinifera cv. Athiri lefko</t>
  </si>
  <si>
    <t xml:space="preserve">Vitis vinifera subsp vinifera cv. Atomic</t>
  </si>
  <si>
    <t xml:space="preserve">Unite Genetique et amelioration des plantes</t>
  </si>
  <si>
    <t xml:space="preserve">Vitis vinifera subsp vinifera cv. Atomic apyrène</t>
  </si>
  <si>
    <t xml:space="preserve">Unite Interactions Plantes-Microorganismes et Sante Vegetale</t>
  </si>
  <si>
    <t xml:space="preserve">Vitis vinifera subsp vinifera cv. Attiki</t>
  </si>
  <si>
    <t xml:space="preserve">Unité mixte de recherche Génétique et ecophysiologie des légumineuses (UMRLEG)</t>
  </si>
  <si>
    <t xml:space="preserve">Vitis vinifera subsp vinifera cv. Attila</t>
  </si>
  <si>
    <t xml:space="preserve">Unité mixte de recherche Génétique et écophysiologie des légumineuses (UMRLEG)</t>
  </si>
  <si>
    <t xml:space="preserve">Vitis vinifera subsp vinifera cv. Attilio Ragioneri = Pirovano 150</t>
  </si>
  <si>
    <t xml:space="preserve">Unité mixte de recherche Physiologie Moléculaire des Semences (UMR PMS)</t>
  </si>
  <si>
    <t xml:space="preserve">Vitis vinifera subsp vinifera cv. Aubin</t>
  </si>
  <si>
    <t xml:space="preserve">United State Department of Agriculture by Agricultural Research Service, Washington - USA - Fogle H.</t>
  </si>
  <si>
    <t xml:space="preserve">Vitis vinifera subsp vinifera cv. Aubin vert</t>
  </si>
  <si>
    <t xml:space="preserve">United States Department of Agriculture Georgie USA</t>
  </si>
  <si>
    <t xml:space="preserve">Vitis vinifera subsp vinifera cv. Aubun</t>
  </si>
  <si>
    <t xml:space="preserve">Univ. Calif. Citrus Exp. Sta.</t>
  </si>
  <si>
    <t xml:space="preserve">Vitis vinifera subsp vinifera cv. Audibert</t>
  </si>
  <si>
    <t xml:space="preserve">Universidad de la Republica Oriental del Uruguay</t>
  </si>
  <si>
    <t xml:space="preserve">Vitis vinifera subsp vinifera cv. Augster blau</t>
  </si>
  <si>
    <t xml:space="preserve">Universidad Nacional Autonoma de Honduras</t>
  </si>
  <si>
    <t xml:space="preserve">Vitis vinifera subsp vinifera cv. Augster weisser</t>
  </si>
  <si>
    <t xml:space="preserve">Universidad Nacional Hermilio Abad del Cusco, Centro K'Ayra</t>
  </si>
  <si>
    <t xml:space="preserve">Vitis vinifera subsp vinifera cv. Aurata = Pirovano 110</t>
  </si>
  <si>
    <t xml:space="preserve">Universidade Federal do Rio Grande do Rio Grande</t>
  </si>
  <si>
    <t xml:space="preserve">Vitis vinifera subsp vinifera cv. Aurora = Pirovano 100</t>
  </si>
  <si>
    <t xml:space="preserve">Universita di Catania</t>
  </si>
  <si>
    <t xml:space="preserve">Vitis vinifera subsp vinifera cv. Autumn black</t>
  </si>
  <si>
    <t xml:space="preserve">Universitaet Hohenheim</t>
  </si>
  <si>
    <t xml:space="preserve">Vitis vinifera subsp vinifera cv. Autumn seedless</t>
  </si>
  <si>
    <t xml:space="preserve">Universite Grenoble Biologie moleculaire et vegetale</t>
  </si>
  <si>
    <t xml:space="preserve">Vitis vinifera subsp vinifera cv. Auxerrois</t>
  </si>
  <si>
    <t xml:space="preserve">University California USA</t>
  </si>
  <si>
    <t xml:space="preserve">Vitis vinifera subsp vinifera cv. Avana</t>
  </si>
  <si>
    <t xml:space="preserve">University Florida USA</t>
  </si>
  <si>
    <t xml:space="preserve">Vitis vinifera subsp vinifera cv. Avarengo</t>
  </si>
  <si>
    <t xml:space="preserve">University of Arizona</t>
  </si>
  <si>
    <t xml:space="preserve">Vitis vinifera subsp vinifera cv. Avassirkhva</t>
  </si>
  <si>
    <t xml:space="preserve">University of California</t>
  </si>
  <si>
    <t xml:space="preserve">Vitis vinifera subsp vinifera cv. Avesso</t>
  </si>
  <si>
    <t xml:space="preserve">University of Illinois,  Urbana-Champaign</t>
  </si>
  <si>
    <t xml:space="preserve">Vitis vinifera subsp vinifera cv. Avgoulato</t>
  </si>
  <si>
    <t xml:space="preserve">University of Pretoria</t>
  </si>
  <si>
    <t xml:space="preserve">Vitis vinifera subsp vinifera cv. Azal branco</t>
  </si>
  <si>
    <t xml:space="preserve">University of Puerto Rico</t>
  </si>
  <si>
    <t xml:space="preserve">Vitis vinifera subsp vinifera cv. Azal tinto</t>
  </si>
  <si>
    <t xml:space="preserve">University of Saskatchewan</t>
  </si>
  <si>
    <t xml:space="preserve">Vitis vinifera subsp vinifera cv. Azizi el Jaïa</t>
  </si>
  <si>
    <t xml:space="preserve">University of Sydney Plant Breeding Institute</t>
  </si>
  <si>
    <t xml:space="preserve">Vitis vinifera subsp vinifera cv. Azougah</t>
  </si>
  <si>
    <t xml:space="preserve">University of Udayana</t>
  </si>
  <si>
    <t xml:space="preserve">Vitis vinifera subsp vinifera cv. B 3-1</t>
  </si>
  <si>
    <t xml:space="preserve">University of Wuhan, Hubei</t>
  </si>
  <si>
    <t xml:space="preserve">Vitis vinifera subsp vinifera cv. B 5-6</t>
  </si>
  <si>
    <t xml:space="preserve">UNKNOWN</t>
  </si>
  <si>
    <t xml:space="preserve">Vitis vinifera subsp vinifera cv. Babeasca gris</t>
  </si>
  <si>
    <t xml:space="preserve">Vitis vinifera subsp vinifera cv. Babeasca neagra</t>
  </si>
  <si>
    <t xml:space="preserve">UPS Pole de Biotechnologie Vegetale</t>
  </si>
  <si>
    <t xml:space="preserve">Vitis vinifera subsp vinifera cv. Babic</t>
  </si>
  <si>
    <t xml:space="preserve">Vitis vinifera subsp vinifera cv. Bacchus = Geilweilerhof 33-29-133</t>
  </si>
  <si>
    <t xml:space="preserve">UR EFV</t>
  </si>
  <si>
    <t xml:space="preserve">Vitis vinifera subsp vinifera cv. Bacchus Bidault</t>
  </si>
  <si>
    <t xml:space="preserve">Vitis vinifera subsp vinifera cv. Bachet</t>
  </si>
  <si>
    <t xml:space="preserve">UR GAFL</t>
  </si>
  <si>
    <t xml:space="preserve">Vitis vinifera subsp vinifera cv. Badacsonyi Somzölö</t>
  </si>
  <si>
    <t xml:space="preserve">Vitis vinifera subsp vinifera cv. Baga</t>
  </si>
  <si>
    <t xml:space="preserve">Vitis vinifera subsp vinifera cv. Baïan Schirei</t>
  </si>
  <si>
    <t xml:space="preserve">Vitis vinifera subsp vinifera cv. Bakarka</t>
  </si>
  <si>
    <t xml:space="preserve">URGV</t>
  </si>
  <si>
    <t xml:space="preserve">Vitis vinifera subsp vinifera cv. Bakator kek</t>
  </si>
  <si>
    <t xml:space="preserve">URGV,  CNRS / INRA</t>
  </si>
  <si>
    <t xml:space="preserve">Vitis vinifera subsp vinifera cv. Bakator piros</t>
  </si>
  <si>
    <t xml:space="preserve">URGV - Plant Genomics Research Unit</t>
  </si>
  <si>
    <t xml:space="preserve">Vitis vinifera subsp vinifera cv. Bakator tüdöszinu</t>
  </si>
  <si>
    <t xml:space="preserve">Vitis vinifera subsp vinifera cv. Bakouri</t>
  </si>
  <si>
    <t xml:space="preserve">URP3F</t>
  </si>
  <si>
    <t xml:space="preserve">Vitis vinifera subsp vinifera cv. Balafant</t>
  </si>
  <si>
    <t xml:space="preserve">UR121 RIZ</t>
  </si>
  <si>
    <t xml:space="preserve">Vitis vinifera subsp vinifera cv. Balaton kincse</t>
  </si>
  <si>
    <t xml:space="preserve">UR254 Genetique et amelioration des plantes</t>
  </si>
  <si>
    <t xml:space="preserve">Vitis vinifera subsp vinifera cv. Balbut bijeli</t>
  </si>
  <si>
    <t xml:space="preserve">U.S. Date and Citrus Station</t>
  </si>
  <si>
    <t xml:space="preserve">Vitis vinifera subsp vinifera cv. Balint</t>
  </si>
  <si>
    <t xml:space="preserve">US Department of Agriculture,  Agriculture Research Service, Pacific West Area,  Western Regional Research Center</t>
  </si>
  <si>
    <t xml:space="preserve">Vitis vinifera subsp vinifera cv. Balouti</t>
  </si>
  <si>
    <t xml:space="preserve">US Department of Agriculture,  Agriculture Research Service, Plant Science and  Entomology Unit</t>
  </si>
  <si>
    <t xml:space="preserve">Vitis vinifera subsp vinifera cv. Balouzme</t>
  </si>
  <si>
    <t xml:space="preserve">U.S. Horticultural Field Station</t>
  </si>
  <si>
    <t xml:space="preserve">Vitis vinifera subsp vinifera cv. Balsamina nera</t>
  </si>
  <si>
    <t xml:space="preserve">U.S Horticultural Research</t>
  </si>
  <si>
    <t xml:space="preserve">Vitis vinifera subsp vinifera cv. Balsamino blanc</t>
  </si>
  <si>
    <t xml:space="preserve">US. Horticultural Research Lab,  Ft. Pierce,  FL</t>
  </si>
  <si>
    <t xml:space="preserve">Vitis vinifera subsp vinifera cv. Balzac blanc</t>
  </si>
  <si>
    <t xml:space="preserve">US Horticultural Research Laboratory</t>
  </si>
  <si>
    <t xml:space="preserve">Vitis vinifera subsp vinifera cv. Banati Rizling</t>
  </si>
  <si>
    <t xml:space="preserve">US Horticulture Research Laboratory, USDA/ARS</t>
  </si>
  <si>
    <t xml:space="preserve">Vitis vinifera subsp vinifera cv. Baratcsuha kek</t>
  </si>
  <si>
    <t xml:space="preserve">USDA, ARS Agricultural Research Service</t>
  </si>
  <si>
    <t xml:space="preserve">Vitis vinifera subsp vinifera cv. Baratcsuha szürke</t>
  </si>
  <si>
    <t xml:space="preserve">USDA, ARS, National Small Grains Collection</t>
  </si>
  <si>
    <t xml:space="preserve">Vitis vinifera subsp vinifera cv. Barbableu = Pirovano 81</t>
  </si>
  <si>
    <t xml:space="preserve">USDA, ARS, Plant Genetic Resources Unit, Cornell University, New York State Agricultural Experiment Station</t>
  </si>
  <si>
    <t xml:space="preserve">Vitis vinifera subsp vinifera cv. Barbaroux</t>
  </si>
  <si>
    <t xml:space="preserve">USDA, ARS, Washington State University, Irrigation Agricultural Research and Extension Center</t>
  </si>
  <si>
    <t xml:space="preserve">Vitis vinifera subsp vinifera cv. Barbera</t>
  </si>
  <si>
    <t xml:space="preserve">USDA, ARS, Western Regional Plant Introduction Station, Washington State University</t>
  </si>
  <si>
    <t xml:space="preserve">Vitis vinifera subsp vinifera cv. Barbera bianca</t>
  </si>
  <si>
    <t xml:space="preserve">USDA ARS WRRC</t>
  </si>
  <si>
    <t xml:space="preserve">Vitis vinifera subsp vinifera cv. Barcello</t>
  </si>
  <si>
    <t xml:space="preserve">USDA Beltsville Agricultural research Centre</t>
  </si>
  <si>
    <t xml:space="preserve">Vitis vinifera subsp vinifera cv. Barducis</t>
  </si>
  <si>
    <t xml:space="preserve">USDA/ARS Children's Nutrition Research Center</t>
  </si>
  <si>
    <t xml:space="preserve">Vitis vinifera subsp vinifera cv. Baresana</t>
  </si>
  <si>
    <t xml:space="preserve">USDA-ARS-JWDSRC</t>
  </si>
  <si>
    <t xml:space="preserve">Vitis vinifera subsp vinifera cv. Barlinka</t>
  </si>
  <si>
    <t xml:space="preserve">U.S.Department of Agriculture</t>
  </si>
  <si>
    <t xml:space="preserve">Vitis vinifera subsp vinifera cv. Barone dell Aterno = Pirovano 184</t>
  </si>
  <si>
    <t xml:space="preserve">U.S.Department of Agriculture - Agricultural Research Service</t>
  </si>
  <si>
    <t xml:space="preserve">Vitis vinifera subsp vinifera cv. Baroque</t>
  </si>
  <si>
    <t xml:space="preserve">Ustimovskaya Experimental Station for Plant Cultivation</t>
  </si>
  <si>
    <t xml:space="preserve">Vitis vinifera subsp vinifera cv. Baroque rose</t>
  </si>
  <si>
    <t xml:space="preserve">Utah Agricultural Experiment Station, Utah State University</t>
  </si>
  <si>
    <t xml:space="preserve">Vitis vinifera subsp vinifera cv. Barraquou</t>
  </si>
  <si>
    <t xml:space="preserve">Van borren, Tchécoslovaquie</t>
  </si>
  <si>
    <t xml:space="preserve">Vitis vinifera subsp vinifera cv. Barsaglina</t>
  </si>
  <si>
    <t xml:space="preserve">Van der Have GmbH</t>
  </si>
  <si>
    <t xml:space="preserve">Vitis vinifera subsp vinifera cv. Baserri</t>
  </si>
  <si>
    <t xml:space="preserve">Veg Saatzucht Hadmersleben</t>
  </si>
  <si>
    <t xml:space="preserve">Vitis vinifera subsp vinifera cv. Basicata</t>
  </si>
  <si>
    <t xml:space="preserve">Vegetable breeding station PEKIN</t>
  </si>
  <si>
    <t xml:space="preserve">Vitis vinifera subsp vinifera cv. Basicata faux</t>
  </si>
  <si>
    <t xml:space="preserve">Verger expérimental de l'Yonne (89) - France</t>
  </si>
  <si>
    <t xml:space="preserve">Vitis vinifera subsp vinifera cv. Basile Logothetis = Pirovano 77</t>
  </si>
  <si>
    <t xml:space="preserve">Villa Thuret</t>
  </si>
  <si>
    <t xml:space="preserve">Vitis vinifera subsp vinifera cv. Basilicumtraube</t>
  </si>
  <si>
    <t xml:space="preserve">Ville de Menton</t>
  </si>
  <si>
    <t xml:space="preserve">Vitis vinifera subsp vinifera cv. Bastardinho</t>
  </si>
  <si>
    <t xml:space="preserve">Vilmorin</t>
  </si>
  <si>
    <t xml:space="preserve">Vitis vinifera subsp vinifera cv. Bastardo Magaratchskii</t>
  </si>
  <si>
    <t xml:space="preserve">Vilmorin S.A.</t>
  </si>
  <si>
    <t xml:space="preserve">Vitis vinifera subsp vinifera cv. Batiki</t>
  </si>
  <si>
    <t xml:space="preserve">Vilmorin-Andrieux</t>
  </si>
  <si>
    <t xml:space="preserve">Vitis vinifera subsp vinifera cv. Batoca blanc</t>
  </si>
  <si>
    <t xml:space="preserve">Virginia Agricultural Experiment Station, Virginia Tech</t>
  </si>
  <si>
    <t xml:space="preserve">Vitis vinifera subsp vinifera cv. Battraube</t>
  </si>
  <si>
    <t xml:space="preserve">Vnii Sorgo I Drugih Zernovyh Kul'tur</t>
  </si>
  <si>
    <t xml:space="preserve">Vitis vinifera subsp vinifera cv. Batuta neagra</t>
  </si>
  <si>
    <t xml:space="preserve">Volcani Research Center</t>
  </si>
  <si>
    <t xml:space="preserve">Vitis vinifera subsp vinifera cv. Baude</t>
  </si>
  <si>
    <t xml:space="preserve">Waite Agricultural Research Institute University of Adelaide</t>
  </si>
  <si>
    <t xml:space="preserve">Vitis vinifera subsp vinifera cv. Baxtiori</t>
  </si>
  <si>
    <t xml:space="preserve">Wakayama Fruit Tree Experiment Station</t>
  </si>
  <si>
    <t xml:space="preserve">Vitis vinifera subsp vinifera cv. Bayad</t>
  </si>
  <si>
    <t xml:space="preserve">Washington State University Research Foundation - Pullman, WA - USA - Toyama TK</t>
  </si>
  <si>
    <t xml:space="preserve">Vitis vinifera subsp vinifera cv. Bayadi</t>
  </si>
  <si>
    <t xml:space="preserve">Washington State University Research Foundation, Pullman, WA - USA + Cot International, Generac - France</t>
  </si>
  <si>
    <t xml:space="preserve">Vitis vinifera subsp vinifera cv. Bayadi de Syrie</t>
  </si>
  <si>
    <t xml:space="preserve">Weizman Institute of Science</t>
  </si>
  <si>
    <t xml:space="preserve">Vitis vinifera subsp vinifera cv. Bayadi du Liban</t>
  </si>
  <si>
    <t xml:space="preserve">Western Australian Department of Agriculture</t>
  </si>
  <si>
    <t xml:space="preserve">Vitis vinifera subsp vinifera cv. BB 575-49 SRLH</t>
  </si>
  <si>
    <t xml:space="preserve">Wet-lowlands Islands Research Programme, Keravat</t>
  </si>
  <si>
    <t xml:space="preserve">Vitis vinifera subsp vinifera cv. Beala debela</t>
  </si>
  <si>
    <t xml:space="preserve">Wheat National Research Center</t>
  </si>
  <si>
    <t xml:space="preserve">Vitis vinifera subsp vinifera cv. Beaunoir</t>
  </si>
  <si>
    <t xml:space="preserve">Wheat Research Institute Ilam Research Centre</t>
  </si>
  <si>
    <t xml:space="preserve">Vitis vinifera subsp vinifera cv. Beauty seedless</t>
  </si>
  <si>
    <t xml:space="preserve">Wiersum Plant Breeding Station</t>
  </si>
  <si>
    <t xml:space="preserve">Vitis vinifera subsp vinifera cv. Béclan</t>
  </si>
  <si>
    <t xml:space="preserve">William James Farrer - Breeder</t>
  </si>
  <si>
    <t xml:space="preserve">Vitis vinifera subsp vinifera cv. Beid el Hamman</t>
  </si>
  <si>
    <t xml:space="preserve">Willits &amp; Newcomb Nurseries Co. Inc</t>
  </si>
  <si>
    <t xml:space="preserve">Vitis vinifera subsp vinifera cv. Beitamouni</t>
  </si>
  <si>
    <t xml:space="preserve">Winnipeg Research Station Agriculture Canada</t>
  </si>
  <si>
    <t xml:space="preserve">Vitis vinifera subsp vinifera cv. Belair</t>
  </si>
  <si>
    <t xml:space="preserve">Wisconsin Agricultural Experiment Station, University of Wisconsin</t>
  </si>
  <si>
    <t xml:space="preserve">Vitis vinifera subsp vinifera cv. Beldi x Ugni blanc</t>
  </si>
  <si>
    <t xml:space="preserve">World Seeds Inc.</t>
  </si>
  <si>
    <t xml:space="preserve">Vitis vinifera subsp vinifera cv. Beldi x Ugni blanc 36 L 4</t>
  </si>
  <si>
    <t xml:space="preserve">Yossef Ben-dor, Perot Oemashtalot Ltd. - Hama'ala - Israel</t>
  </si>
  <si>
    <t xml:space="preserve">Vitis vinifera subsp vinifera cv. Belle de Cegled</t>
  </si>
  <si>
    <t xml:space="preserve">Zaiger Floid, Modesto - CA - USA</t>
  </si>
  <si>
    <t xml:space="preserve">Vitis vinifera subsp vinifera cv. Bellevue</t>
  </si>
  <si>
    <t xml:space="preserve">Zelder B.V.</t>
  </si>
  <si>
    <t xml:space="preserve">Vitis vinifera subsp vinifera cv. Bellino</t>
  </si>
  <si>
    <t xml:space="preserve">Zeneca Seeds UK Limited - Plant Breeding and Research Centre</t>
  </si>
  <si>
    <t xml:space="preserve">Vitis vinifera subsp vinifera cv. Bellone</t>
  </si>
  <si>
    <t xml:space="preserve">Zeneca Wheat Improvement Centre,  Norwich Research Park</t>
  </si>
  <si>
    <t xml:space="preserve">Vitis vinifera subsp vinifera cv. Belz el Ansa</t>
  </si>
  <si>
    <t xml:space="preserve">Zhejiang University</t>
  </si>
  <si>
    <t xml:space="preserve">Vitis vinifera subsp vinifera cv. Bem tabornok = Général Bem</t>
  </si>
  <si>
    <t xml:space="preserve">Zjednocz. Hodowli Roslin i Nasiennictwa</t>
  </si>
  <si>
    <t xml:space="preserve">Vitis vinifera subsp vinifera cv. Ben Suilah</t>
  </si>
  <si>
    <t xml:space="preserve">ZMBP - Center for Molecular Biology of Plants</t>
  </si>
  <si>
    <t xml:space="preserve">Vitis vinifera subsp vinifera cv. Beneti noir</t>
  </si>
  <si>
    <t xml:space="preserve">Vitis vinifera subsp vinifera cv. Benicarlo</t>
  </si>
  <si>
    <t xml:space="preserve">Vitis vinifera subsp vinifera cv. Beogradska rana</t>
  </si>
  <si>
    <t xml:space="preserve">Vitis vinifera subsp vinifera cv. Béquignol</t>
  </si>
  <si>
    <t xml:space="preserve">Vitis vinifera subsp vinifera cv. Béquignol blanc</t>
  </si>
  <si>
    <t xml:space="preserve">Vitis vinifera subsp vinifera cv. Béquignol gris</t>
  </si>
  <si>
    <t xml:space="preserve">Vitis vinifera subsp vinifera cv. Beran</t>
  </si>
  <si>
    <t xml:space="preserve">Vitis vinifera subsp vinifera cv. Berbecel</t>
  </si>
  <si>
    <t xml:space="preserve">Vitis vinifera subsp vinifera cv. Berdomenel</t>
  </si>
  <si>
    <t xml:space="preserve">Vitis vinifera subsp vinifera cv. Beregi rozsas</t>
  </si>
  <si>
    <t xml:space="preserve">Vitis vinifera subsp vinifera cv. Beregi rozsas faux</t>
  </si>
  <si>
    <t xml:space="preserve">Vitis vinifera subsp vinifera cv. Bermestia bianca</t>
  </si>
  <si>
    <t xml:space="preserve">Vitis vinifera subsp vinifera cv. Bervedino</t>
  </si>
  <si>
    <t xml:space="preserve">Vitis vinifera subsp vinifera cv. Besgano nero</t>
  </si>
  <si>
    <t xml:space="preserve">Vitis vinifera subsp vinifera cv. Best's 22</t>
  </si>
  <si>
    <t xml:space="preserve">Vitis vinifera subsp vinifera cv. Bettlertraube</t>
  </si>
  <si>
    <t xml:space="preserve">Vitis vinifera subsp vinifera cv. Beylerce</t>
  </si>
  <si>
    <t xml:space="preserve">Vitis vinifera subsp vinifera cv. Bezoul el Aouda</t>
  </si>
  <si>
    <t xml:space="preserve">Vitis vinifera subsp vinifera cv. Bezoul el Kedima</t>
  </si>
  <si>
    <t xml:space="preserve">Vitis vinifera subsp vinifera cv. Bezoul el Kelba</t>
  </si>
  <si>
    <t xml:space="preserve">Vitis vinifera subsp vinifera cv. Bezoul el Khadem</t>
  </si>
  <si>
    <t xml:space="preserve">Vitis vinifera subsp vinifera cv. Bia blanc</t>
  </si>
  <si>
    <t xml:space="preserve">Vitis vinifera subsp vinifera cv. Biancame</t>
  </si>
  <si>
    <t xml:space="preserve">Vitis vinifera subsp vinifera cv. Biancazza</t>
  </si>
  <si>
    <t xml:space="preserve">Vitis vinifera subsp vinifera cv. Bianchetta genovese</t>
  </si>
  <si>
    <t xml:space="preserve">Vitis vinifera subsp vinifera cv. Bianchetta trevigiana</t>
  </si>
  <si>
    <t xml:space="preserve">Vitis vinifera subsp vinifera cv. Bianco d'Alessano</t>
  </si>
  <si>
    <t xml:space="preserve">Vitis vinifera subsp vinifera cv. Biancolella</t>
  </si>
  <si>
    <t xml:space="preserve">Vitis vinifera subsp vinifera cv. Biancone</t>
  </si>
  <si>
    <t xml:space="preserve">Vitis vinifera subsp vinifera cv. Biancu Gentile</t>
  </si>
  <si>
    <t xml:space="preserve">Vitis vinifera subsp vinifera cv. Bicane</t>
  </si>
  <si>
    <t xml:space="preserve">Vitis vinifera subsp vinifera cv. Bichtii</t>
  </si>
  <si>
    <t xml:space="preserve">Vitis vinifera subsp vinifera cv. Biczo balint emleke</t>
  </si>
  <si>
    <t xml:space="preserve">Vitis vinifera subsp vinifera cv. Biczö egon</t>
  </si>
  <si>
    <t xml:space="preserve">Vitis vinifera subsp vinifera cv. Bidaneh ghelmez</t>
  </si>
  <si>
    <t xml:space="preserve">Vitis vinifera subsp vinifera cv. Bien donné</t>
  </si>
  <si>
    <t xml:space="preserve">Vitis vinifera subsp vinifera cv. Big Perlon</t>
  </si>
  <si>
    <t xml:space="preserve">Vitis vinifera subsp vinifera cv. Bigasse</t>
  </si>
  <si>
    <t xml:space="preserve">Vitis vinifera subsp vinifera cv. Binisalem</t>
  </si>
  <si>
    <t xml:space="preserve">Vitis vinifera subsp vinifera cv. Black Alicante</t>
  </si>
  <si>
    <t xml:space="preserve">Vitis vinifera subsp vinifera cv. Black monukka</t>
  </si>
  <si>
    <t xml:space="preserve">Vitis vinifera subsp vinifera cv. Black Morocco</t>
  </si>
  <si>
    <t xml:space="preserve">Vitis vinifera subsp vinifera cv. Black Pearl Corrin</t>
  </si>
  <si>
    <t xml:space="preserve">Vitis vinifera subsp vinifera cv. Black Prince</t>
  </si>
  <si>
    <t xml:space="preserve">Vitis vinifera subsp vinifera cv. Black Rose = H 3-47</t>
  </si>
  <si>
    <t xml:space="preserve">Vitis vinifera subsp vinifera cv. Blanc Auba</t>
  </si>
  <si>
    <t xml:space="preserve">Vitis vinifera subsp vinifera cv. Blanc Cardon</t>
  </si>
  <si>
    <t xml:space="preserve">Vitis vinifera subsp vinifera cv. Blanc d'ambre</t>
  </si>
  <si>
    <t xml:space="preserve">Vitis vinifera subsp vinifera cv. Blanc Dame</t>
  </si>
  <si>
    <t xml:space="preserve">Vitis vinifera subsp vinifera cv. Blanc d'Automne</t>
  </si>
  <si>
    <t xml:space="preserve">Vitis vinifera subsp vinifera cv. Blanc de Creüe</t>
  </si>
  <si>
    <t xml:space="preserve">Vitis vinifera subsp vinifera cv. Blanc de Dellys</t>
  </si>
  <si>
    <t xml:space="preserve">Vitis vinifera subsp vinifera cv. Blanc de Dellys x Rhodites</t>
  </si>
  <si>
    <t xml:space="preserve">Vitis vinifera subsp vinifera cv. Blanc de Morgex</t>
  </si>
  <si>
    <t xml:space="preserve">Vitis vinifera subsp vinifera cv. Blanc de Rhafsaï</t>
  </si>
  <si>
    <t xml:space="preserve">Vitis vinifera subsp vinifera cv. Blanc Marquis</t>
  </si>
  <si>
    <t xml:space="preserve">Vitis vinifera subsp vinifera cv. Blanc Neyroud</t>
  </si>
  <si>
    <t xml:space="preserve">Vitis vinifera subsp vinifera cv. Blanc vert</t>
  </si>
  <si>
    <t xml:space="preserve">Vitis vinifera subsp vinifera cv. Blanca Gordal</t>
  </si>
  <si>
    <t xml:space="preserve">Vitis vinifera subsp vinifera cv. Blanca Superior para parral</t>
  </si>
  <si>
    <t xml:space="preserve">Vitis vinifera subsp vinifera cv. Blanca temprana Almeria</t>
  </si>
  <si>
    <t xml:space="preserve">Vitis vinifera subsp vinifera cv. Blancard</t>
  </si>
  <si>
    <t xml:space="preserve">Vitis vinifera subsp vinifera cv. Blanchier</t>
  </si>
  <si>
    <t xml:space="preserve">Vitis vinifera subsp vinifera cv. Blancorna</t>
  </si>
  <si>
    <t xml:space="preserve">Vitis vinifera subsp vinifera cv. Blank blauer</t>
  </si>
  <si>
    <t xml:space="preserve">Vitis vinifera subsp vinifera cv. Blanqueiron</t>
  </si>
  <si>
    <t xml:space="preserve">Vitis vinifera subsp vinifera cv. Blatina crna</t>
  </si>
  <si>
    <t xml:space="preserve">Vitis vinifera subsp vinifera cv. Blauburger</t>
  </si>
  <si>
    <t xml:space="preserve">Vitis vinifera subsp vinifera cv. Blauer Muskateller</t>
  </si>
  <si>
    <t xml:space="preserve">Vitis vinifera subsp vinifera cv. Blush seedless</t>
  </si>
  <si>
    <t xml:space="preserve">Vitis vinifera subsp vinifera cv. Boal cachudo</t>
  </si>
  <si>
    <t xml:space="preserve">Vitis vinifera subsp vinifera cv. Boal de Alicante Moscatel</t>
  </si>
  <si>
    <t xml:space="preserve">Vitis vinifera subsp vinifera cv. Boal de Madère</t>
  </si>
  <si>
    <t xml:space="preserve">Vitis vinifera subsp vinifera cv. Boal de Natura</t>
  </si>
  <si>
    <t xml:space="preserve">Vitis vinifera subsp vinifera cv. Boal molle</t>
  </si>
  <si>
    <t xml:space="preserve">Vitis vinifera subsp vinifera cv. Boal rosado</t>
  </si>
  <si>
    <t xml:space="preserve">Vitis vinifera subsp vinifera cv. Bobal</t>
  </si>
  <si>
    <t xml:space="preserve">Vitis vinifera subsp vinifera cv. Bocalilla</t>
  </si>
  <si>
    <t xml:space="preserve">Vitis vinifera subsp vinifera cv. Bogaz kere</t>
  </si>
  <si>
    <t xml:space="preserve">Vitis vinifera subsp vinifera cv. Bogdanusa</t>
  </si>
  <si>
    <t xml:space="preserve">Vitis vinifera subsp vinifera cv. Bogdanyi dinka</t>
  </si>
  <si>
    <t xml:space="preserve">Vitis vinifera subsp vinifera cv. Bogni 17 B</t>
  </si>
  <si>
    <t xml:space="preserve">Vitis vinifera subsp vinifera cv. Bogni 8</t>
  </si>
  <si>
    <t xml:space="preserve">Vitis vinifera subsp vinifera cv. Bombino bianco</t>
  </si>
  <si>
    <t xml:space="preserve">Vitis vinifera subsp vinifera cv. Bombino nero</t>
  </si>
  <si>
    <t xml:space="preserve">Vitis vinifera subsp vinifera cv. Bon blanc de Frangy</t>
  </si>
  <si>
    <t xml:space="preserve">Vitis vinifera subsp vinifera cv. Bonamico</t>
  </si>
  <si>
    <t xml:space="preserve">Vitis vinifera subsp vinifera cv. Bonarda piemontese</t>
  </si>
  <si>
    <t xml:space="preserve">Vitis vinifera subsp vinifera cv. Bonheur</t>
  </si>
  <si>
    <t xml:space="preserve">Vitis vinifera subsp vinifera cv. Bonne Vituaigne</t>
  </si>
  <si>
    <t xml:space="preserve">Vitis vinifera subsp vinifera cv. Bonnet de retord</t>
  </si>
  <si>
    <t xml:space="preserve">Vitis vinifera subsp vinifera cv. Bonnita</t>
  </si>
  <si>
    <t xml:space="preserve">Vitis vinifera subsp vinifera cv. Borba blanca</t>
  </si>
  <si>
    <t xml:space="preserve">Vitis vinifera subsp vinifera cv. Boriska</t>
  </si>
  <si>
    <t xml:space="preserve">Vitis vinifera subsp vinifera cv. Borraçal</t>
  </si>
  <si>
    <t xml:space="preserve">Vitis vinifera subsp vinifera cv. Borrado das moscas</t>
  </si>
  <si>
    <t xml:space="preserve">Vitis vinifera subsp vinifera cv. Bosco</t>
  </si>
  <si>
    <t xml:space="preserve">Vitis vinifera subsp vinifera cv. Boskokwi</t>
  </si>
  <si>
    <t xml:space="preserve">Vitis vinifera subsp vinifera cv. Botun</t>
  </si>
  <si>
    <t xml:space="preserve">Vitis vinifera subsp vinifera cv. Bou Khanzir blanc</t>
  </si>
  <si>
    <t xml:space="preserve">Vitis vinifera subsp vinifera cv. Bou Khanzir noir</t>
  </si>
  <si>
    <t xml:space="preserve">Vitis vinifera subsp vinifera cv. Bou Qsob faux</t>
  </si>
  <si>
    <t xml:space="preserve">Vitis vinifera subsp vinifera cv. Bou Rouguia</t>
  </si>
  <si>
    <t xml:space="preserve">Vitis vinifera subsp vinifera cv. Bouaki nor</t>
  </si>
  <si>
    <t xml:space="preserve">Vitis vinifera subsp vinifera cv. Bouaki tach</t>
  </si>
  <si>
    <t xml:space="preserve">Vitis vinifera subsp vinifera cv. Bouchalès</t>
  </si>
  <si>
    <t xml:space="preserve">Vitis vinifera subsp vinifera cv. Bouchereau</t>
  </si>
  <si>
    <t xml:space="preserve">Vitis vinifera subsp vinifera cv. Bouchouka</t>
  </si>
  <si>
    <t xml:space="preserve">Vitis vinifera subsp vinifera cv. Boudechouri tcherny</t>
  </si>
  <si>
    <t xml:space="preserve">Vitis vinifera subsp vinifera cv. Bouillan</t>
  </si>
  <si>
    <t xml:space="preserve">Vitis vinifera subsp vinifera cv. Bouillenc noir</t>
  </si>
  <si>
    <t xml:space="preserve">Vitis vinifera subsp vinifera cv. Bouillet</t>
  </si>
  <si>
    <t xml:space="preserve">Vitis vinifera subsp vinifera cv. Boulanoui</t>
  </si>
  <si>
    <t xml:space="preserve">Vitis vinifera subsp vinifera cv. Bouquet riesling</t>
  </si>
  <si>
    <t xml:space="preserve">Vitis vinifera subsp vinifera cv. Bouquet Sylvaner</t>
  </si>
  <si>
    <t xml:space="preserve">Vitis vinifera subsp vinifera cv. Bouquettraube</t>
  </si>
  <si>
    <t xml:space="preserve">Vitis vinifera subsp vinifera cv. Bourboulenc</t>
  </si>
  <si>
    <t xml:space="preserve">Vitis vinifera subsp vinifera cv. Bourdier 2-04-58</t>
  </si>
  <si>
    <t xml:space="preserve">Vitis vinifera subsp vinifera cv. Bourrisquou</t>
  </si>
  <si>
    <t xml:space="preserve">Vitis vinifera subsp vinifera cv. Bouteillan noir</t>
  </si>
  <si>
    <t xml:space="preserve">Vitis vinifera subsp vinifera cv. Bouvierrebe</t>
  </si>
  <si>
    <t xml:space="preserve">Vitis vinifera subsp vinifera cv. Bouzouga</t>
  </si>
  <si>
    <t xml:space="preserve">Vitis vinifera subsp vinifera cv. Bovale grande = Bovale di Spagna</t>
  </si>
  <si>
    <t xml:space="preserve">Vitis vinifera subsp vinifera cv. Bracciola nera</t>
  </si>
  <si>
    <t xml:space="preserve">Vitis vinifera subsp vinifera cv. Brachet</t>
  </si>
  <si>
    <t xml:space="preserve">Vitis vinifera subsp vinifera cv. Brachet 2</t>
  </si>
  <si>
    <t xml:space="preserve">Vitis vinifera subsp vinifera cv. Brachetto</t>
  </si>
  <si>
    <t xml:space="preserve">Vitis vinifera subsp vinifera cv. Braghina</t>
  </si>
  <si>
    <t xml:space="preserve">Vitis vinifera subsp vinifera cv. Bratkovina</t>
  </si>
  <si>
    <t xml:space="preserve">Vitis vinifera subsp vinifera cv. Bronnerstraube</t>
  </si>
  <si>
    <t xml:space="preserve">Vitis vinifera subsp vinifera cv. Broumest</t>
  </si>
  <si>
    <t xml:space="preserve">Vitis vinifera subsp vinifera cv. Brun argenté</t>
  </si>
  <si>
    <t xml:space="preserve">Vitis vinifera subsp vinifera cv. Brun Fourca</t>
  </si>
  <si>
    <t xml:space="preserve">Vitis vinifera subsp vinifera cv. Bruni 1 Sélection clonale</t>
  </si>
  <si>
    <t xml:space="preserve">Vitis vinifera subsp vinifera cv. Bruni 100</t>
  </si>
  <si>
    <t xml:space="preserve">Vitis vinifera subsp vinifera cv. Bruni 102</t>
  </si>
  <si>
    <t xml:space="preserve">Vitis vinifera subsp vinifera cv. Bruni 116</t>
  </si>
  <si>
    <t xml:space="preserve">Vitis vinifera subsp vinifera cv. Bruni 12</t>
  </si>
  <si>
    <t xml:space="preserve">Vitis vinifera subsp vinifera cv. Bruni 125</t>
  </si>
  <si>
    <t xml:space="preserve">Vitis vinifera subsp vinifera cv. Bruni 14</t>
  </si>
  <si>
    <t xml:space="preserve">Vitis vinifera subsp vinifera cv. Bruni 147</t>
  </si>
  <si>
    <t xml:space="preserve">Vitis vinifera subsp vinifera cv. Bruni 15</t>
  </si>
  <si>
    <t xml:space="preserve">Vitis vinifera subsp vinifera cv. Bruni 154</t>
  </si>
  <si>
    <t xml:space="preserve">Vitis vinifera subsp vinifera cv. Bruni 18 (hybride)</t>
  </si>
  <si>
    <t xml:space="preserve">Vitis vinifera subsp vinifera cv. Bruni 317</t>
  </si>
  <si>
    <t xml:space="preserve">Vitis vinifera subsp vinifera cv. Bruni 33</t>
  </si>
  <si>
    <t xml:space="preserve">Vitis vinifera subsp vinifera cv. Bruni 36</t>
  </si>
  <si>
    <t xml:space="preserve">Vitis vinifera subsp vinifera cv. Bruni 360</t>
  </si>
  <si>
    <t xml:space="preserve">Vitis vinifera subsp vinifera cv. Bruni 381</t>
  </si>
  <si>
    <t xml:space="preserve">Vitis vinifera subsp vinifera cv. Bruni 4</t>
  </si>
  <si>
    <t xml:space="preserve">Vitis vinifera subsp vinifera cv. Bruni 41</t>
  </si>
  <si>
    <t xml:space="preserve">Vitis vinifera subsp vinifera cv. Bruni 415</t>
  </si>
  <si>
    <t xml:space="preserve">Vitis vinifera subsp vinifera cv. Bruni 429</t>
  </si>
  <si>
    <t xml:space="preserve">Vitis vinifera subsp vinifera cv. Bruni 45</t>
  </si>
  <si>
    <t xml:space="preserve">Vitis vinifera subsp vinifera cv. Bruni 54</t>
  </si>
  <si>
    <t xml:space="preserve">Vitis vinifera subsp vinifera cv. Bruni 65</t>
  </si>
  <si>
    <t xml:space="preserve">Vitis vinifera subsp vinifera cv. Bruni 74</t>
  </si>
  <si>
    <t xml:space="preserve">Vitis vinifera subsp vinifera cv. Bruni 75</t>
  </si>
  <si>
    <t xml:space="preserve">Vitis vinifera subsp vinifera cv. Bruni 90</t>
  </si>
  <si>
    <t xml:space="preserve">Vitis vinifera subsp vinifera cv. Brunq noir</t>
  </si>
  <si>
    <t xml:space="preserve">Vitis vinifera subsp vinifera cv. Brustiano</t>
  </si>
  <si>
    <t xml:space="preserve">Vitis vinifera subsp vinifera cv. Brustiano faux</t>
  </si>
  <si>
    <t xml:space="preserve">Vitis vinifera subsp vinifera cv. Buckland sweet water</t>
  </si>
  <si>
    <t xml:space="preserve">Vitis vinifera subsp vinifera cv. Budai Szagos</t>
  </si>
  <si>
    <t xml:space="preserve">Vitis vinifera subsp vinifera cv. Budai zöld</t>
  </si>
  <si>
    <t xml:space="preserve">Vitis vinifera subsp vinifera cv. Burgrave de Hongrie</t>
  </si>
  <si>
    <t xml:space="preserve">Vitis vinifera subsp vinifera cv. Cabasma alba</t>
  </si>
  <si>
    <t xml:space="preserve">Vitis vinifera subsp vinifera cv. Cabernet franc</t>
  </si>
  <si>
    <t xml:space="preserve">Vitis vinifera subsp vinifera cv. Cabernet Lion</t>
  </si>
  <si>
    <t xml:space="preserve">Vitis vinifera subsp vinifera cv. Cabernet-Malbec n°1</t>
  </si>
  <si>
    <t xml:space="preserve">Vitis vinifera subsp vinifera cv. Cabernet-Malbec n°2</t>
  </si>
  <si>
    <t xml:space="preserve">Vitis vinifera subsp vinifera cv. Cabernet-Malbec n°4</t>
  </si>
  <si>
    <t xml:space="preserve">Vitis vinifera subsp vinifera cv. Cabernet-Sauvignon</t>
  </si>
  <si>
    <t xml:space="preserve">Vitis vinifera subsp vinifera cv. Cacaboué</t>
  </si>
  <si>
    <t xml:space="preserve">Vitis vinifera subsp vinifera cv. Caddiu</t>
  </si>
  <si>
    <t xml:space="preserve">Vitis vinifera subsp vinifera cv. Cainho branco</t>
  </si>
  <si>
    <t xml:space="preserve">Vitis vinifera subsp vinifera cv. Caiño longo</t>
  </si>
  <si>
    <t xml:space="preserve">Vitis vinifera subsp vinifera cv. Calabre</t>
  </si>
  <si>
    <t xml:space="preserve">Vitis vinifera subsp vinifera cv. Calabrese</t>
  </si>
  <si>
    <t xml:space="preserve">Vitis vinifera subsp vinifera cv. Caladoc = INRA 1510-104</t>
  </si>
  <si>
    <t xml:space="preserve">Vitis vinifera subsp vinifera cv. Calitor</t>
  </si>
  <si>
    <t xml:space="preserve">Vitis vinifera subsp vinifera cv. Calitor blanc</t>
  </si>
  <si>
    <t xml:space="preserve">Vitis vinifera subsp vinifera cv. Calitor gris</t>
  </si>
  <si>
    <t xml:space="preserve">Vitis vinifera subsp vinifera cv. Callet</t>
  </si>
  <si>
    <t xml:space="preserve">Vitis vinifera subsp vinifera cv. Calmeria = C11-31-5</t>
  </si>
  <si>
    <t xml:space="preserve">Vitis vinifera subsp vinifera cv. Caloria</t>
  </si>
  <si>
    <t xml:space="preserve">Vitis vinifera subsp vinifera cv. Calzin</t>
  </si>
  <si>
    <t xml:space="preserve">Vitis vinifera subsp vinifera cv. Camaralet de Lasseube</t>
  </si>
  <si>
    <t xml:space="preserve">Vitis vinifera subsp vinifera cv. Camaraou blanc</t>
  </si>
  <si>
    <t xml:space="preserve">Vitis vinifera subsp vinifera cv. Camaraou noir</t>
  </si>
  <si>
    <t xml:space="preserve">Vitis vinifera subsp vinifera cv. Canaiolo</t>
  </si>
  <si>
    <t xml:space="preserve">Vitis vinifera subsp vinifera cv. Canari</t>
  </si>
  <si>
    <t xml:space="preserve">Vitis vinifera subsp vinifera cv. Canina nera</t>
  </si>
  <si>
    <t xml:space="preserve">Vitis vinifera subsp vinifera cv. Canner seedless</t>
  </si>
  <si>
    <t xml:space="preserve">Vitis vinifera subsp vinifera cv. Cannon Hall</t>
  </si>
  <si>
    <t xml:space="preserve">Vitis vinifera subsp vinifera cv. Cannon Hall faux</t>
  </si>
  <si>
    <t xml:space="preserve">Vitis vinifera subsp vinifera cv. Cañocazo</t>
  </si>
  <si>
    <t xml:space="preserve">Vitis vinifera subsp vinifera cv. Cañorroyo</t>
  </si>
  <si>
    <t xml:space="preserve">Vitis vinifera subsp vinifera cv. Cape currant</t>
  </si>
  <si>
    <t xml:space="preserve">Vitis vinifera subsp vinifera cv. Caralicante</t>
  </si>
  <si>
    <t xml:space="preserve">Vitis vinifera subsp vinifera cv. Carcaces</t>
  </si>
  <si>
    <t xml:space="preserve">Vitis vinifera subsp vinifera cv. Carcajolo</t>
  </si>
  <si>
    <t xml:space="preserve">Vitis vinifera subsp vinifera cv. Carcajolo blanc</t>
  </si>
  <si>
    <t xml:space="preserve">Vitis vinifera subsp vinifera cv. Cardinal = G 10-30</t>
  </si>
  <si>
    <t xml:space="preserve">Vitis vinifera subsp vinifera cv. Carignan</t>
  </si>
  <si>
    <t xml:space="preserve">Vitis vinifera subsp vinifera cv. Carignan blanc</t>
  </si>
  <si>
    <t xml:space="preserve">Vitis vinifera subsp vinifera cv. Carignan Bouschet</t>
  </si>
  <si>
    <t xml:space="preserve">Vitis vinifera subsp vinifera cv. Carignan gris</t>
  </si>
  <si>
    <t xml:space="preserve">Vitis vinifera subsp vinifera cv. Carla = INRA 1650-10</t>
  </si>
  <si>
    <t xml:space="preserve">Vitis vinifera subsp vinifera cv. Carmenère</t>
  </si>
  <si>
    <t xml:space="preserve">Vitis vinifera subsp vinifera cv. Carminoir</t>
  </si>
  <si>
    <t xml:space="preserve">Vitis vinifera subsp vinifera cv. Carnelian</t>
  </si>
  <si>
    <t xml:space="preserve">Vitis vinifera subsp vinifera cv. Carrega somera</t>
  </si>
  <si>
    <t xml:space="preserve">Vitis vinifera subsp vinifera cv. Carricante</t>
  </si>
  <si>
    <t xml:space="preserve">Vitis vinifera subsp vinifera cv. Cartuja blanca</t>
  </si>
  <si>
    <t xml:space="preserve">Vitis vinifera subsp vinifera cv. Castellano morado</t>
  </si>
  <si>
    <t xml:space="preserve">Vitis vinifera subsp vinifera cv. Castets</t>
  </si>
  <si>
    <t xml:space="preserve">Vitis vinifera subsp vinifera cv. Castiglione</t>
  </si>
  <si>
    <t xml:space="preserve">Vitis vinifera subsp vinifera cv. Catalanesca</t>
  </si>
  <si>
    <t xml:space="preserve">Vitis vinifera subsp vinifera cv. Catanese nero</t>
  </si>
  <si>
    <t xml:space="preserve">Vitis vinifera subsp vinifera cv. Catarratto bianco comune</t>
  </si>
  <si>
    <t xml:space="preserve">Vitis vinifera subsp vinifera cv. Catarratto bianco lucido</t>
  </si>
  <si>
    <t xml:space="preserve">Vitis vinifera subsp vinifera cv. Catarratto nero</t>
  </si>
  <si>
    <t xml:space="preserve">Vitis vinifera subsp vinifera cv. Centennial seedless</t>
  </si>
  <si>
    <t xml:space="preserve">Vitis vinifera subsp vinifera cv. Centorotolli</t>
  </si>
  <si>
    <t xml:space="preserve">Vitis vinifera subsp vinifera cv. Cep rouge</t>
  </si>
  <si>
    <t xml:space="preserve">Vitis vinifera subsp vinifera cv. Cercial du Dão</t>
  </si>
  <si>
    <t xml:space="preserve">Vitis vinifera subsp vinifera cv. Cereza</t>
  </si>
  <si>
    <t xml:space="preserve">Vitis vinifera subsp vinifera cv. Cesanese comune</t>
  </si>
  <si>
    <t xml:space="preserve">Vitis vinifera subsp vinifera cv. César</t>
  </si>
  <si>
    <t xml:space="preserve">Vitis vinifera subsp vinifera cv. Chaani biely</t>
  </si>
  <si>
    <t xml:space="preserve">Vitis vinifera subsp vinifera cv. Chaani tchernii</t>
  </si>
  <si>
    <t xml:space="preserve">Vitis vinifera subsp vinifera cv. Chahnani</t>
  </si>
  <si>
    <t xml:space="preserve">Vitis vinifera subsp vinifera cv. Chaillaud</t>
  </si>
  <si>
    <t xml:space="preserve">Vitis vinifera subsp vinifera cv. Chakar angour de Tachkent</t>
  </si>
  <si>
    <t xml:space="preserve">Vitis vinifera subsp vinifera cv. Chalosse noire</t>
  </si>
  <si>
    <t xml:space="preserve">Vitis vinifera subsp vinifera cv. Chalosse noire = Négret castrais</t>
  </si>
  <si>
    <t xml:space="preserve">Vitis vinifera subsp vinifera cv. Chami</t>
  </si>
  <si>
    <t xml:space="preserve">Vitis vinifera subsp vinifera cv. Chany gris</t>
  </si>
  <si>
    <t xml:space="preserve">Vitis vinifera subsp vinifera cv. Chaouch blanc</t>
  </si>
  <si>
    <t xml:space="preserve">Vitis vinifera subsp vinifera cv. Chaouch rose</t>
  </si>
  <si>
    <t xml:space="preserve">Vitis vinifera subsp vinifera cv. Chaptal</t>
  </si>
  <si>
    <t xml:space="preserve">Vitis vinifera subsp vinifera cv. Chardonnay</t>
  </si>
  <si>
    <t xml:space="preserve">Vitis vinifera subsp vinifera cv. Chardonnay musqué</t>
  </si>
  <si>
    <t xml:space="preserve">Vitis vinifera subsp vinifera cv. Chardonnay rose</t>
  </si>
  <si>
    <t xml:space="preserve">Vitis vinifera subsp vinifera cv. Charmont</t>
  </si>
  <si>
    <t xml:space="preserve">Vitis vinifera subsp vinifera cv. Chasan = INRA 1527-78</t>
  </si>
  <si>
    <t xml:space="preserve">Vitis vinifera subsp vinifera cv. Chasselas</t>
  </si>
  <si>
    <t xml:space="preserve">Vitis vinifera subsp vinifera cv. Chasselas apyrène</t>
  </si>
  <si>
    <t xml:space="preserve">Vitis vinifera subsp vinifera cv. Chasselas des Bouches du Rhône</t>
  </si>
  <si>
    <t xml:space="preserve">Vitis vinifera subsp vinifera cv. Chasselas Duhamel</t>
  </si>
  <si>
    <t xml:space="preserve">Vitis vinifera subsp vinifera cv. Chasselas Impérial Oberlin</t>
  </si>
  <si>
    <t xml:space="preserve">Vitis vinifera subsp vinifera cv. Chasselas lacinifolié</t>
  </si>
  <si>
    <t xml:space="preserve">Vitis vinifera subsp vinifera cv. Chasselas Michel Tompa</t>
  </si>
  <si>
    <t xml:space="preserve">Vitis vinifera subsp vinifera cv. Chasselas musqué</t>
  </si>
  <si>
    <t xml:space="preserve">Vitis vinifera subsp vinifera cv. Chasselas noir</t>
  </si>
  <si>
    <t xml:space="preserve">Vitis vinifera subsp vinifera cv. Chasselas rose</t>
  </si>
  <si>
    <t xml:space="preserve">Vitis vinifera subsp vinifera cv. Chasselas rose royal</t>
  </si>
  <si>
    <t xml:space="preserve">Vitis vinifera subsp vinifera cv. Chasselas rouge</t>
  </si>
  <si>
    <t xml:space="preserve">Vitis vinifera subsp vinifera cv. Chasselas tétraploïde</t>
  </si>
  <si>
    <t xml:space="preserve">Vitis vinifera subsp vinifera cv. Chasselas violet</t>
  </si>
  <si>
    <t xml:space="preserve">Vitis vinifera subsp vinifera cv. Chatus</t>
  </si>
  <si>
    <t xml:space="preserve">Vitis vinifera subsp vinifera cv. Chenanson = INRA 1509-149</t>
  </si>
  <si>
    <t xml:space="preserve">Vitis vinifera subsp vinifera cv. Chenin</t>
  </si>
  <si>
    <t xml:space="preserve">Vitis vinifera subsp vinifera cv. Chichaud</t>
  </si>
  <si>
    <t xml:space="preserve">Vitis vinifera subsp vinifera cv. Chikki</t>
  </si>
  <si>
    <t xml:space="preserve">Vitis vinifera subsp vinifera cv. Chirai</t>
  </si>
  <si>
    <t xml:space="preserve">Vitis vinifera subsp vinifera cv. Chiroka Melnichka = Melnik</t>
  </si>
  <si>
    <t xml:space="preserve">Vitis vinifera subsp vinifera cv. Chirvan chakhi</t>
  </si>
  <si>
    <t xml:space="preserve">Vitis vinifera subsp vinifera cv. Chouchillon</t>
  </si>
  <si>
    <t xml:space="preserve">Vitis vinifera subsp vinifera cv. Christmas rose</t>
  </si>
  <si>
    <t xml:space="preserve">Vitis vinifera subsp vinifera cv. Chtour angour</t>
  </si>
  <si>
    <t xml:space="preserve">Vitis vinifera subsp vinifera cv. Ciclopica = Pirovano 60</t>
  </si>
  <si>
    <t xml:space="preserve">Vitis vinifera subsp vinifera cv. Ciganyszölö</t>
  </si>
  <si>
    <t xml:space="preserve">Vitis vinifera subsp vinifera cv. Ciliegiolo</t>
  </si>
  <si>
    <t xml:space="preserve">Vitis vinifera subsp vinifera cv. Cinsaut</t>
  </si>
  <si>
    <t xml:space="preserve">Vitis vinifera subsp vinifera cv. Cinsaut Bouschet</t>
  </si>
  <si>
    <t xml:space="preserve">Vitis vinifera subsp vinifera cv. Cioinic</t>
  </si>
  <si>
    <t xml:space="preserve">Vitis vinifera subsp vinifera cv. Circé</t>
  </si>
  <si>
    <t xml:space="preserve">Vitis vinifera subsp vinifera cv. Citana</t>
  </si>
  <si>
    <t xml:space="preserve">Vitis vinifera subsp vinifera cv. Citronelle</t>
  </si>
  <si>
    <t xml:space="preserve">Vitis vinifera subsp vinifera cv. Citronelle x Aramon</t>
  </si>
  <si>
    <t xml:space="preserve">Vitis vinifera subsp vinifera cv. Clairette</t>
  </si>
  <si>
    <t xml:space="preserve">Vitis vinifera subsp vinifera cv. Clairette Mazel</t>
  </si>
  <si>
    <t xml:space="preserve">Vitis vinifera subsp vinifera cv. Clairette rose</t>
  </si>
  <si>
    <t xml:space="preserve">Vitis vinifera subsp vinifera cv. Clairette x Beldi 36 L 2</t>
  </si>
  <si>
    <t xml:space="preserve">Vitis vinifera subsp vinifera cv. Clarin = INRA 573-11</t>
  </si>
  <si>
    <t xml:space="preserve">Vitis vinifera subsp vinifera cv. Claverie</t>
  </si>
  <si>
    <t xml:space="preserve">Vitis vinifera subsp vinifera cv. Claverie coulard</t>
  </si>
  <si>
    <t xml:space="preserve">Vitis vinifera subsp vinifera cv. Clotilde Prosperi = Prosperi 190</t>
  </si>
  <si>
    <t xml:space="preserve">Vitis vinifera subsp vinifera cv. Coada vulpii</t>
  </si>
  <si>
    <t xml:space="preserve">Vitis vinifera subsp vinifera cv. Coarna alba</t>
  </si>
  <si>
    <t xml:space="preserve">Vitis vinifera subsp vinifera cv. Coarna neagra</t>
  </si>
  <si>
    <t xml:space="preserve">Vitis vinifera subsp vinifera cv. Coarna rosie</t>
  </si>
  <si>
    <t xml:space="preserve">Vitis vinifera subsp vinifera cv. Cococciola</t>
  </si>
  <si>
    <t xml:space="preserve">Vitis vinifera subsp vinifera cv. Coda di volpe bianca</t>
  </si>
  <si>
    <t xml:space="preserve">Vitis vinifera subsp vinifera cv. Codega</t>
  </si>
  <si>
    <t xml:space="preserve">Vitis vinifera subsp vinifera cv. Codivarta</t>
  </si>
  <si>
    <t xml:space="preserve">Vitis vinifera subsp vinifera cv. Colman blanc</t>
  </si>
  <si>
    <t xml:space="preserve">Vitis vinifera subsp vinifera cv. Colombana nera</t>
  </si>
  <si>
    <t xml:space="preserve">Vitis vinifera subsp vinifera cv. Colombard</t>
  </si>
  <si>
    <t xml:space="preserve">Vitis vinifera subsp vinifera cv. Colombaud = Bouteillan blanc</t>
  </si>
  <si>
    <t xml:space="preserve">Vitis vinifera subsp vinifera cv. Colorino</t>
  </si>
  <si>
    <t xml:space="preserve">Vitis vinifera subsp vinifera cv. Completer</t>
  </si>
  <si>
    <t xml:space="preserve">Vitis vinifera subsp vinifera cv. Conca d'ora = Paulsen 152</t>
  </si>
  <si>
    <t xml:space="preserve">Vitis vinifera subsp vinifera cv. Conegliano 120</t>
  </si>
  <si>
    <t xml:space="preserve">Vitis vinifera subsp vinifera cv. Conegliano 199</t>
  </si>
  <si>
    <t xml:space="preserve">Vitis vinifera subsp vinifera cv. Conegliano 213</t>
  </si>
  <si>
    <t xml:space="preserve">Vitis vinifera subsp vinifera cv. Conegliano 218</t>
  </si>
  <si>
    <t xml:space="preserve">Vitis vinifera subsp vinifera cv. Constantinescu-Negreanu 2/13/8 (Victoria)</t>
  </si>
  <si>
    <t xml:space="preserve">Vitis vinifera subsp vinifera cv. Conte rosso = Pirovano 73</t>
  </si>
  <si>
    <t xml:space="preserve">Vitis vinifera subsp vinifera cv. Corbeau</t>
  </si>
  <si>
    <t xml:space="preserve">Vitis vinifera subsp vinifera cv. Corbina vicentina</t>
  </si>
  <si>
    <t xml:space="preserve">Vitis vinifera subsp vinifera cv. Corfiatis</t>
  </si>
  <si>
    <t xml:space="preserve">Vitis vinifera subsp vinifera cv. Corinthe blanc</t>
  </si>
  <si>
    <t xml:space="preserve">Vitis vinifera subsp vinifera cv. Corinthe noir</t>
  </si>
  <si>
    <t xml:space="preserve">Vitis vinifera subsp vinifera cv. Corinto bianco</t>
  </si>
  <si>
    <t xml:space="preserve">Vitis vinifera subsp vinifera cv. Corneille</t>
  </si>
  <si>
    <t xml:space="preserve">Vitis vinifera subsp vinifera cv. Cornet</t>
  </si>
  <si>
    <t xml:space="preserve">Vitis vinifera subsp vinifera cv. Cornichon violet</t>
  </si>
  <si>
    <t xml:space="preserve">Vitis vinifera subsp vinifera cv. Cornichon violet = Rosa menna di vacca</t>
  </si>
  <si>
    <t xml:space="preserve">Vitis vinifera subsp vinifera cv. Cornifesto</t>
  </si>
  <si>
    <t xml:space="preserve">Vitis vinifera subsp vinifera cv. Corniola bianca di Milazzo</t>
  </si>
  <si>
    <t xml:space="preserve">Vitis vinifera subsp vinifera cv. Corniola nera</t>
  </si>
  <si>
    <t xml:space="preserve">Vitis vinifera subsp vinifera cv. Corrin Seedless</t>
  </si>
  <si>
    <t xml:space="preserve">Vitis vinifera subsp vinifera cv. Cortese</t>
  </si>
  <si>
    <t xml:space="preserve">Vitis vinifera subsp vinifera cv. Corvina veronese</t>
  </si>
  <si>
    <t xml:space="preserve">Vitis vinifera subsp vinifera cv. Cot</t>
  </si>
  <si>
    <t xml:space="preserve">Vitis vinifera subsp vinifera cv. Cot de Chéragas</t>
  </si>
  <si>
    <t xml:space="preserve">Vitis vinifera subsp vinifera cv. Counoise</t>
  </si>
  <si>
    <t xml:space="preserve">Vitis vinifera subsp vinifera cv. Courbès</t>
  </si>
  <si>
    <t xml:space="preserve">Vitis vinifera subsp vinifera cv. Courbu</t>
  </si>
  <si>
    <t xml:space="preserve">Vitis vinifera subsp vinifera cv. Courbu noir</t>
  </si>
  <si>
    <t xml:space="preserve">Vitis vinifera subsp vinifera cv. Courtoisie</t>
  </si>
  <si>
    <t xml:space="preserve">Vitis vinifera subsp vinifera cv. Coutinho 6</t>
  </si>
  <si>
    <t xml:space="preserve">Vitis vinifera subsp vinifera cv. Crassostaphyllo</t>
  </si>
  <si>
    <t xml:space="preserve">Vitis vinifera subsp vinifera cv. Crimposie</t>
  </si>
  <si>
    <t xml:space="preserve">Vitis vinifera subsp vinifera cv. Crimson seedless</t>
  </si>
  <si>
    <t xml:space="preserve">Vitis vinifera subsp vinifera cv. Criolla chica 2</t>
  </si>
  <si>
    <t xml:space="preserve">Vitis vinifera subsp vinifera cv. Criolla mediana 2</t>
  </si>
  <si>
    <t xml:space="preserve">Vitis vinifera subsp vinifera cv. Criolla San Juanina</t>
  </si>
  <si>
    <t xml:space="preserve">Vitis vinifera subsp vinifera cv. Crista couleur d'ambre</t>
  </si>
  <si>
    <t xml:space="preserve">Vitis vinifera subsp vinifera cv. Croatina</t>
  </si>
  <si>
    <t xml:space="preserve">Vitis vinifera subsp vinifera cv. Croetto</t>
  </si>
  <si>
    <t xml:space="preserve">Vitis vinifera subsp vinifera cv. Crouchen</t>
  </si>
  <si>
    <t xml:space="preserve">Vitis vinifera subsp vinifera cv. Cruciulita</t>
  </si>
  <si>
    <t xml:space="preserve">Vitis vinifera subsp vinifera cv. Crujidera</t>
  </si>
  <si>
    <t xml:space="preserve">Vitis vinifera subsp vinifera cv. Crujillon</t>
  </si>
  <si>
    <t xml:space="preserve">Vitis vinifera subsp vinifera cv. Crvena slaubanic</t>
  </si>
  <si>
    <t xml:space="preserve">Vitis vinifera subsp vinifera cv. Crystal (Afrique du Sud)</t>
  </si>
  <si>
    <t xml:space="preserve">Vitis vinifera subsp vinifera cv. Crystal (Etats-Unis)</t>
  </si>
  <si>
    <t xml:space="preserve">Vitis vinifera subsp vinifera cv. Csoka szöllö</t>
  </si>
  <si>
    <t xml:space="preserve">Vitis vinifera subsp vinifera cv. Csomorika</t>
  </si>
  <si>
    <t xml:space="preserve">Vitis vinifera subsp vinifera cv. Cualtaccio</t>
  </si>
  <si>
    <t xml:space="preserve">Vitis vinifera subsp vinifera cv. Curisti</t>
  </si>
  <si>
    <t xml:space="preserve">Vitis vinifera subsp vinifera cv. Cyperntraube</t>
  </si>
  <si>
    <t xml:space="preserve">Vitis vinifera subsp vinifera cv. Dabouki</t>
  </si>
  <si>
    <t xml:space="preserve">Vitis vinifera subsp vinifera cv. Dalmasso III-33</t>
  </si>
  <si>
    <t xml:space="preserve">Vitis vinifera subsp vinifera cv. Dalmasso IX-1</t>
  </si>
  <si>
    <t xml:space="preserve">Vitis vinifera subsp vinifera cv. Dalmasso VIII-5</t>
  </si>
  <si>
    <t xml:space="preserve">Vitis vinifera subsp vinifera cv. Dalmasso VII-9</t>
  </si>
  <si>
    <t xml:space="preserve">Vitis vinifera subsp vinifera cv. Dalmasso VI-17</t>
  </si>
  <si>
    <t xml:space="preserve">Vitis vinifera subsp vinifera cv. Dalmasso VI-24</t>
  </si>
  <si>
    <t xml:space="preserve">Vitis vinifera subsp vinifera cv. Dalmasso VI-6</t>
  </si>
  <si>
    <t xml:space="preserve">Vitis vinifera subsp vinifera cv. Dalmasso XI-20</t>
  </si>
  <si>
    <t xml:space="preserve">Vitis vinifera subsp vinifera cv. Dalmasso XI-8</t>
  </si>
  <si>
    <t xml:space="preserve">Vitis vinifera subsp vinifera cv. Dalmasso XVIII-1</t>
  </si>
  <si>
    <t xml:space="preserve">Vitis vinifera subsp vinifera cv. Damas rouge</t>
  </si>
  <si>
    <t xml:space="preserve">Vitis vinifera subsp vinifera cv. Dameret</t>
  </si>
  <si>
    <t xml:space="preserve">Vitis vinifera subsp vinifera cv. Dameron</t>
  </si>
  <si>
    <t xml:space="preserve">Vitis vinifera subsp vinifera cv. Danam = INRA 1551-6</t>
  </si>
  <si>
    <t xml:space="preserve">Vitis vinifera subsp vinifera cv. Danlas = INRA 1548-20</t>
  </si>
  <si>
    <t xml:space="preserve">Vitis vinifera subsp vinifera cv. Danugue</t>
  </si>
  <si>
    <t xml:space="preserve">Vitis vinifera subsp vinifera cv. Danuta = INRA 1992-3</t>
  </si>
  <si>
    <t xml:space="preserve">Vitis vinifera subsp vinifera cv. Daphni</t>
  </si>
  <si>
    <t xml:space="preserve">Vitis vinifera subsp vinifera cv. Daranyi Ignac</t>
  </si>
  <si>
    <t xml:space="preserve">Vitis vinifera subsp vinifera cv. Darkaïa</t>
  </si>
  <si>
    <t xml:space="preserve">Vitis vinifera subsp vinifera cv. Dastatchine</t>
  </si>
  <si>
    <t xml:space="preserve">Vitis vinifera subsp vinifera cv. Datal = INRA 753-54</t>
  </si>
  <si>
    <t xml:space="preserve">Vitis vinifera subsp vinifera cv. Dattier de Beyrouth</t>
  </si>
  <si>
    <t xml:space="preserve">Vitis vinifera subsp vinifera cv. Dattier noir</t>
  </si>
  <si>
    <t xml:space="preserve">Vitis vinifera subsp vinifera cv. Dauphine</t>
  </si>
  <si>
    <t xml:space="preserve">Vitis vinifera subsp vinifera cv. David = Pirovano 109</t>
  </si>
  <si>
    <t xml:space="preserve">Vitis vinifera subsp vinifera cv. Dawn seedless</t>
  </si>
  <si>
    <t xml:space="preserve">Vitis vinifera subsp vinifera cv. De Hengril</t>
  </si>
  <si>
    <t xml:space="preserve">Vitis vinifera subsp vinifera cv. Debina</t>
  </si>
  <si>
    <t xml:space="preserve">Vitis vinifera subsp vinifera cv. Dedo de dama</t>
  </si>
  <si>
    <t xml:space="preserve">Vitis vinifera subsp vinifera cv. Delhro = JA148-59 SRLH</t>
  </si>
  <si>
    <t xml:space="preserve">Vitis vinifera subsp vinifera cv. Delight</t>
  </si>
  <si>
    <t xml:space="preserve">Vitis vinifera subsp vinifera cv. Delizia di Vaprio = Pirovano 46 a</t>
  </si>
  <si>
    <t xml:space="preserve">Vitis vinifera subsp vinifera cv. Delizia gialla = Pirovano 266</t>
  </si>
  <si>
    <t xml:space="preserve">Vitis vinifera subsp vinifera cv. Demir kara</t>
  </si>
  <si>
    <t xml:space="preserve">Vitis vinifera subsp vinifera cv. Derani</t>
  </si>
  <si>
    <t xml:space="preserve">Vitis vinifera subsp vinifera cv. Dermatas</t>
  </si>
  <si>
    <t xml:space="preserve">Vitis vinifera subsp vinifera cv. Diagalves</t>
  </si>
  <si>
    <t xml:space="preserve">Vitis vinifera subsp vinifera cv. Diamante nero = Pirovano 87</t>
  </si>
  <si>
    <t xml:space="preserve">Vitis vinifera subsp vinifera cv. Diamanttraube</t>
  </si>
  <si>
    <t xml:space="preserve">Vitis vinifera subsp vinifera cv. Diana</t>
  </si>
  <si>
    <t xml:space="preserve">Vitis vinifera subsp vinifera cv. Dimiat</t>
  </si>
  <si>
    <t xml:space="preserve">Vitis vinifera subsp vinifera cv. Diminitis</t>
  </si>
  <si>
    <t xml:space="preserve">Vitis vinifera subsp vinifera cv. Dimrit</t>
  </si>
  <si>
    <t xml:space="preserve">Vitis vinifera subsp vinifera cv. Dinka feher</t>
  </si>
  <si>
    <t xml:space="preserve">Vitis vinifera subsp vinifera cv. Dinka vörös</t>
  </si>
  <si>
    <t xml:space="preserve">Vitis vinifera subsp vinifera cv. Dinka zöld</t>
  </si>
  <si>
    <t xml:space="preserve">Vitis vinifera subsp vinifera cv. Diolinoir</t>
  </si>
  <si>
    <t xml:space="preserve">Vitis vinifera subsp vinifera cv. Directeur Tisserand</t>
  </si>
  <si>
    <t xml:space="preserve">Vitis vinifera subsp vinifera cv. Divromo</t>
  </si>
  <si>
    <t xml:space="preserve">Vitis vinifera subsp vinifera cv. Djandjal kara</t>
  </si>
  <si>
    <t xml:space="preserve">Vitis vinifera subsp vinifera cv. Djoura ousum</t>
  </si>
  <si>
    <t xml:space="preserve">Vitis vinifera subsp vinifera cv. Dlinnokhvosty</t>
  </si>
  <si>
    <t xml:space="preserve">Vitis vinifera subsp vinifera cv. Dobricic</t>
  </si>
  <si>
    <t xml:space="preserve">Vitis vinifera subsp vinifera cv. Doçal grande</t>
  </si>
  <si>
    <t xml:space="preserve">Vitis vinifera subsp vinifera cv. Dokay</t>
  </si>
  <si>
    <t xml:space="preserve">Vitis vinifera subsp vinifera cv. Dolcetto</t>
  </si>
  <si>
    <t xml:space="preserve">Vitis vinifera subsp vinifera cv. Dolosata</t>
  </si>
  <si>
    <t xml:space="preserve">Vitis vinifera subsp vinifera cv. Dominga</t>
  </si>
  <si>
    <t xml:space="preserve">Vitis vinifera subsp vinifera cv. Domvrena aspri</t>
  </si>
  <si>
    <t xml:space="preserve">Vitis vinifera subsp vinifera cv. Domvrena mavri</t>
  </si>
  <si>
    <t xml:space="preserve">Vitis vinifera subsp vinifera cv. Don Bueno</t>
  </si>
  <si>
    <t xml:space="preserve">Vitis vinifera subsp vinifera cv. Don Mariano</t>
  </si>
  <si>
    <t xml:space="preserve">Vitis vinifera subsp vinifera cv. Dona branca</t>
  </si>
  <si>
    <t xml:space="preserve">Vitis vinifera subsp vinifera cv. Dona Maria = Leao Ferreira da Almeida 31-54-41</t>
  </si>
  <si>
    <t xml:space="preserve">Vitis vinifera subsp vinifera cv. Dongine</t>
  </si>
  <si>
    <t xml:space="preserve">Vitis vinifera subsp vinifera cv. Donzelinho</t>
  </si>
  <si>
    <t xml:space="preserve">Vitis vinifera subsp vinifera cv. Donzelinho do Castelo</t>
  </si>
  <si>
    <t xml:space="preserve">Vitis vinifera subsp vinifera cv. Doradilla</t>
  </si>
  <si>
    <t xml:space="preserve">Vitis vinifera subsp vinifera cv. Doral</t>
  </si>
  <si>
    <t xml:space="preserve">Vitis vinifera subsp vinifera cv. Dorona di Venezia</t>
  </si>
  <si>
    <t xml:space="preserve">Vitis vinifera subsp vinifera cv. Douradinha</t>
  </si>
  <si>
    <t xml:space="preserve">Vitis vinifera subsp vinifera cv. Doux d'Henry</t>
  </si>
  <si>
    <t xml:space="preserve">Vitis vinifera subsp vinifera cv. Dronkane</t>
  </si>
  <si>
    <t xml:space="preserve">Vitis vinifera subsp vinifera cv. Duc d'Anjou</t>
  </si>
  <si>
    <t xml:space="preserve">Vitis vinifera subsp vinifera cv. Duc de Magenta</t>
  </si>
  <si>
    <t xml:space="preserve">Vitis vinifera subsp vinifera cv. Duchess of Buccleugh</t>
  </si>
  <si>
    <t xml:space="preserve">Vitis vinifera subsp vinifera cv. Duras</t>
  </si>
  <si>
    <t xml:space="preserve">Vitis vinifera subsp vinifera cv. Durella</t>
  </si>
  <si>
    <t xml:space="preserve">Vitis vinifera subsp vinifera cv. Dureza</t>
  </si>
  <si>
    <t xml:space="preserve">Vitis vinifera subsp vinifera cv. Durif</t>
  </si>
  <si>
    <t xml:space="preserve">Vitis vinifera subsp vinifera cv. Early Cardinal</t>
  </si>
  <si>
    <t xml:space="preserve">Vitis vinifera subsp vinifera cv. Early Muscat</t>
  </si>
  <si>
    <t xml:space="preserve">Vitis vinifera subsp vinifera cv. Ederena</t>
  </si>
  <si>
    <t xml:space="preserve">Vitis vinifera subsp vinifera cv. Egiodola</t>
  </si>
  <si>
    <t xml:space="preserve">Vitis vinifera subsp vinifera cv. Ehrenfelser = Gm 9-93</t>
  </si>
  <si>
    <t xml:space="preserve">Vitis vinifera subsp vinifera cv. Einuni</t>
  </si>
  <si>
    <t xml:space="preserve">Vitis vinifera subsp vinifera cv. Ekigaïna</t>
  </si>
  <si>
    <t xml:space="preserve">Vitis vinifera subsp vinifera cv. Ekim kara</t>
  </si>
  <si>
    <t xml:space="preserve">Vitis vinifera subsp vinifera cv. El Biod</t>
  </si>
  <si>
    <t xml:space="preserve">Vitis vinifera subsp vinifera cv. El Farryali</t>
  </si>
  <si>
    <t xml:space="preserve">Vitis vinifera subsp vinifera cv. El Gouz</t>
  </si>
  <si>
    <t xml:space="preserve">Vitis vinifera subsp vinifera cv. Elbling</t>
  </si>
  <si>
    <t xml:space="preserve">Vitis vinifera subsp vinifera cv. Elbling blau</t>
  </si>
  <si>
    <t xml:space="preserve">Vitis vinifera subsp vinifera cv. Elbling rose</t>
  </si>
  <si>
    <t xml:space="preserve">Vitis vinifera subsp vinifera cv. Elbling rot</t>
  </si>
  <si>
    <t xml:space="preserve">Vitis vinifera subsp vinifera cv. Elizabeth Krasnay</t>
  </si>
  <si>
    <t xml:space="preserve">Vitis vinifera subsp vinifera cv. Emerald Riesling</t>
  </si>
  <si>
    <t xml:space="preserve">Vitis vinifera subsp vinifera cv. Emerald seedless</t>
  </si>
  <si>
    <t xml:space="preserve">Vitis vinifera subsp vinifera cv. Emilia = Dalmasso VI-3</t>
  </si>
  <si>
    <t xml:space="preserve">Vitis vinifera subsp vinifera cv. Emperor</t>
  </si>
  <si>
    <t xml:space="preserve">Vitis vinifera subsp vinifera cv. Emperor seedless</t>
  </si>
  <si>
    <t xml:space="preserve">Vitis vinifera subsp vinifera cv. Empibotte</t>
  </si>
  <si>
    <t xml:space="preserve">Vitis vinifera subsp vinifera cv. En Kövidinkam</t>
  </si>
  <si>
    <t xml:space="preserve">Vitis vinifera subsp vinifera cv. Encruzado</t>
  </si>
  <si>
    <t xml:space="preserve">Vitis vinifera subsp vinifera cv. Enfariné</t>
  </si>
  <si>
    <t xml:space="preserve">Vitis vinifera subsp vinifera cv. Enfariné gris</t>
  </si>
  <si>
    <t xml:space="preserve">Vitis vinifera subsp vinifera cv. Epero de Gall</t>
  </si>
  <si>
    <t xml:space="preserve">Vitis vinifera subsp vinifera cv. Epinou</t>
  </si>
  <si>
    <t xml:space="preserve">Vitis vinifera subsp vinifera cv. Erbaluce</t>
  </si>
  <si>
    <t xml:space="preserve">Vitis vinifera subsp vinifera cv. Erdeifeher</t>
  </si>
  <si>
    <t xml:space="preserve">Vitis vinifera subsp vinifera cv. Espadeiro branco</t>
  </si>
  <si>
    <t xml:space="preserve">Vitis vinifera subsp vinifera cv. Espadeiro tinto</t>
  </si>
  <si>
    <t xml:space="preserve">Vitis vinifera subsp vinifera cv. Estaca saoumo</t>
  </si>
  <si>
    <t xml:space="preserve">Vitis vinifera subsp vinifera cv. Etraire de la Dui</t>
  </si>
  <si>
    <t xml:space="preserve">Vitis vinifera subsp vinifera cv. Exalta</t>
  </si>
  <si>
    <t xml:space="preserve">Vitis vinifera subsp vinifera cv. Exbrayat</t>
  </si>
  <si>
    <t xml:space="preserve">Vitis vinifera subsp vinifera cv. Exotic</t>
  </si>
  <si>
    <t xml:space="preserve">Vitis vinifera subsp vinifera cv. Ezereves Magyarorszag Emleke</t>
  </si>
  <si>
    <t xml:space="preserve">Vitis vinifera subsp vinifera cv. Ezerjo</t>
  </si>
  <si>
    <t xml:space="preserve">Vitis vinifera subsp vinifera cv. F. Lantini = Pirovano 263</t>
  </si>
  <si>
    <t xml:space="preserve">Vitis vinifera subsp vinifera cv. F 10-79</t>
  </si>
  <si>
    <t xml:space="preserve">Vitis vinifera subsp vinifera cv. Faberrebe = Alzey 10375</t>
  </si>
  <si>
    <t xml:space="preserve">Vitis vinifera subsp vinifera cv. Faddy zsiga dinka</t>
  </si>
  <si>
    <t xml:space="preserve">Vitis vinifera subsp vinifera cv. Fakhri</t>
  </si>
  <si>
    <t xml:space="preserve">Vitis vinifera subsp vinifera cv. Falanghina</t>
  </si>
  <si>
    <t xml:space="preserve">Vitis vinifera subsp vinifera cv. Fantasy seedless</t>
  </si>
  <si>
    <t xml:space="preserve">Vitis vinifera subsp vinifera cv. Farana noir</t>
  </si>
  <si>
    <t xml:space="preserve">Vitis vinifera subsp vinifera cv. Farbfränkisch</t>
  </si>
  <si>
    <t xml:space="preserve">Vitis vinifera subsp vinifera cv. Fatima</t>
  </si>
  <si>
    <t xml:space="preserve">Vitis vinifera subsp vinifera cv. Fatma</t>
  </si>
  <si>
    <t xml:space="preserve">Vitis vinifera subsp vinifera cv. Faux Courbu noir</t>
  </si>
  <si>
    <t xml:space="preserve">Vitis vinifera subsp vinifera cv. Faux Mauzac blanc</t>
  </si>
  <si>
    <t xml:space="preserve">Vitis vinifera subsp vinifera cv. Fayoumi</t>
  </si>
  <si>
    <t xml:space="preserve">Vitis vinifera subsp vinifera cv. Feher Kövidinka</t>
  </si>
  <si>
    <t xml:space="preserve">Vitis vinifera subsp vinifera cv. Feinriesling</t>
  </si>
  <si>
    <t xml:space="preserve">Vitis vinifera subsp vinifera cv. Fer</t>
  </si>
  <si>
    <t xml:space="preserve">Vitis vinifera subsp vinifera cv. Ferlé de Pegões = Leao Ferreira da Almeida 17-48-1</t>
  </si>
  <si>
    <t xml:space="preserve">Vitis vinifera subsp vinifera cv. Ferlé 76 = Leao Ferreira da Almeida 34-49-76</t>
  </si>
  <si>
    <t xml:space="preserve">Vitis vinifera subsp vinifera cv. Fernand rose</t>
  </si>
  <si>
    <t xml:space="preserve">Vitis vinifera subsp vinifera cv. Fernao Pires</t>
  </si>
  <si>
    <t xml:space="preserve">Vitis vinifera subsp vinifera cv. Ferral</t>
  </si>
  <si>
    <t xml:space="preserve">Vitis vinifera subsp vinifera cv. Ferral tamara</t>
  </si>
  <si>
    <t xml:space="preserve">Vitis vinifera subsp vinifera cv. Feteasca neagra</t>
  </si>
  <si>
    <t xml:space="preserve">Vitis vinifera subsp vinifera cv. Feteasca regala</t>
  </si>
  <si>
    <t xml:space="preserve">Vitis vinifera subsp vinifera cv. Feunate</t>
  </si>
  <si>
    <t xml:space="preserve">Vitis vinifera subsp vinifera cv. Fiano</t>
  </si>
  <si>
    <t xml:space="preserve">Vitis vinifera subsp vinifera cv. Fiesta</t>
  </si>
  <si>
    <t xml:space="preserve">Vitis vinifera subsp vinifera cv. Findling = Kimmig KP 1</t>
  </si>
  <si>
    <t xml:space="preserve">Vitis vinifera subsp vinifera cv. Fintendo</t>
  </si>
  <si>
    <t xml:space="preserve">Vitis vinifera subsp vinifera cv. Firnriesling</t>
  </si>
  <si>
    <t xml:space="preserve">Vitis vinifera subsp vinifera cv. Fitzrebe</t>
  </si>
  <si>
    <t xml:space="preserve">Vitis vinifera subsp vinifera cv. Flame seedless</t>
  </si>
  <si>
    <t xml:space="preserve">Vitis vinifera subsp vinifera cv. Flaming rose</t>
  </si>
  <si>
    <t xml:space="preserve">Vitis vinifera subsp vinifera cv. Fleur de Kecskemet</t>
  </si>
  <si>
    <t xml:space="preserve">Vitis vinifera subsp vinifera cv. Flora</t>
  </si>
  <si>
    <t xml:space="preserve">Vitis vinifera subsp vinifera cv. Focca</t>
  </si>
  <si>
    <t xml:space="preserve">Vitis vinifera subsp vinifera cv. Fogarina</t>
  </si>
  <si>
    <t xml:space="preserve">Vitis vinifera subsp vinifera cv. Foglia tonda</t>
  </si>
  <si>
    <t xml:space="preserve">Vitis vinifera subsp vinifera cv. Fogoneu</t>
  </si>
  <si>
    <t xml:space="preserve">Vitis vinifera subsp vinifera cv. Folignan</t>
  </si>
  <si>
    <t xml:space="preserve">Vitis vinifera subsp vinifera cv. Folle blanche</t>
  </si>
  <si>
    <t xml:space="preserve">Vitis vinifera subsp vinifera cv. Folle blanche du Minervois</t>
  </si>
  <si>
    <t xml:space="preserve">Vitis vinifera subsp vinifera cv. Fondo de Orza</t>
  </si>
  <si>
    <t xml:space="preserve">Vitis vinifera subsp vinifera cv. Forastera</t>
  </si>
  <si>
    <t xml:space="preserve">Vitis vinifera subsp vinifera cv. Forastera (Iles Canaries)</t>
  </si>
  <si>
    <t xml:space="preserve">Vitis vinifera subsp vinifera cv. Forcalla</t>
  </si>
  <si>
    <t xml:space="preserve">Vitis vinifera subsp vinifera cv. Forcellina</t>
  </si>
  <si>
    <t xml:space="preserve">Vitis vinifera subsp vinifera cv. Formosa = Pirovano 245</t>
  </si>
  <si>
    <t xml:space="preserve">Vitis vinifera subsp vinifera cv. Fortana</t>
  </si>
  <si>
    <t xml:space="preserve">Vitis vinifera subsp vinifera cv. Foster's white seedling</t>
  </si>
  <si>
    <t xml:space="preserve">Vitis vinifera subsp vinifera cv. Fotcha</t>
  </si>
  <si>
    <t xml:space="preserve">Vitis vinifera subsp vinifera cv. Franc noir de la Haute-Saône</t>
  </si>
  <si>
    <t xml:space="preserve">Vitis vinifera subsp vinifera cv. Francavidda</t>
  </si>
  <si>
    <t xml:space="preserve">Vitis vinifera subsp vinifera cv. François Ier</t>
  </si>
  <si>
    <t xml:space="preserve">Vitis vinifera subsp vinifera cv. François noir</t>
  </si>
  <si>
    <t xml:space="preserve">Vitis vinifera subsp vinifera cv. Francuse</t>
  </si>
  <si>
    <t xml:space="preserve">Vitis vinifera subsp vinifera cv. Frankamon</t>
  </si>
  <si>
    <t xml:space="preserve">Vitis vinifera subsp vinifera cv. Frankenthal</t>
  </si>
  <si>
    <t xml:space="preserve">Vitis vinifera subsp vinifera cv. Frankenthal rose foncé</t>
  </si>
  <si>
    <t xml:space="preserve">Vitis vinifera subsp vinifera cv. Frankenthal rouge foncé</t>
  </si>
  <si>
    <t xml:space="preserve">Vitis vinifera subsp vinifera cv. Frappato di Vittoria</t>
  </si>
  <si>
    <t xml:space="preserve">Vitis vinifera subsp vinifera cv. Fredericton</t>
  </si>
  <si>
    <t xml:space="preserve">Vitis vinifera subsp vinifera cv. Freisa</t>
  </si>
  <si>
    <t xml:space="preserve">Vitis vinifera subsp vinifera cv. Freisamer</t>
  </si>
  <si>
    <t xml:space="preserve">Vitis vinifera subsp vinifera cv. Frühgipfler I</t>
  </si>
  <si>
    <t xml:space="preserve">Vitis vinifera subsp vinifera cv. Frühmuscat Oberlin</t>
  </si>
  <si>
    <t xml:space="preserve">Vitis vinifera subsp vinifera cv. Frühriesling</t>
  </si>
  <si>
    <t xml:space="preserve">Vitis vinifera subsp vinifera cv. Fruttuosa = Pirovano 27</t>
  </si>
  <si>
    <t xml:space="preserve">Vitis vinifera subsp vinifera cv. Fuella nera</t>
  </si>
  <si>
    <t xml:space="preserve">Vitis vinifera subsp vinifera cv. Fulgens = Pirovano 347</t>
  </si>
  <si>
    <t xml:space="preserve">Vitis vinifera subsp vinifera cv. Fumin</t>
  </si>
  <si>
    <t xml:space="preserve">Vitis vinifera subsp vinifera cv. Furjmony feher</t>
  </si>
  <si>
    <t xml:space="preserve">Vitis vinifera subsp vinifera cv. Furmint</t>
  </si>
  <si>
    <t xml:space="preserve">Vitis vinifera subsp vinifera cv. Furmint piros</t>
  </si>
  <si>
    <t xml:space="preserve">Vitis vinifera subsp vinifera cv. Furmint valtözö</t>
  </si>
  <si>
    <t xml:space="preserve">Vitis vinifera subsp vinifera cv. Fürstentraube</t>
  </si>
  <si>
    <t xml:space="preserve">Vitis vinifera subsp vinifera cv. Fusca = Pirovano 142</t>
  </si>
  <si>
    <t xml:space="preserve">Vitis vinifera subsp vinifera cv. G. Molon = Pirovano 102</t>
  </si>
  <si>
    <t xml:space="preserve">Vitis vinifera subsp vinifera cv. G 367-49 SRLH</t>
  </si>
  <si>
    <t xml:space="preserve">Vitis vinifera subsp vinifera cv. Gaglioppo</t>
  </si>
  <si>
    <t xml:space="preserve">Vitis vinifera subsp vinifera cv. Gaïdouria</t>
  </si>
  <si>
    <t xml:space="preserve">Vitis vinifera subsp vinifera cv. Galbena de Odobesti</t>
  </si>
  <si>
    <t xml:space="preserve">Vitis vinifera subsp vinifera cv. Galbena uriasa</t>
  </si>
  <si>
    <t xml:space="preserve">Vitis vinifera subsp vinifera cv. Galbena verde</t>
  </si>
  <si>
    <t xml:space="preserve">Vitis vinifera subsp vinifera cv. Galego de Montemor</t>
  </si>
  <si>
    <t xml:space="preserve">Vitis vinifera subsp vinifera cv. Galego dourado</t>
  </si>
  <si>
    <t xml:space="preserve">Vitis vinifera subsp vinifera cv. Galotta</t>
  </si>
  <si>
    <t xml:space="preserve">Vitis vinifera subsp vinifera cv. Galvani = Pirovano 86</t>
  </si>
  <si>
    <t xml:space="preserve">Vitis vinifera subsp vinifera cv. Gamarelha branca</t>
  </si>
  <si>
    <t xml:space="preserve">Vitis vinifera subsp vinifera cv. Gamaret</t>
  </si>
  <si>
    <t xml:space="preserve">Vitis vinifera subsp vinifera cv. Gamay</t>
  </si>
  <si>
    <t xml:space="preserve">Vitis vinifera subsp vinifera cv. Gamay à fleurs doubles</t>
  </si>
  <si>
    <t xml:space="preserve">Vitis vinifera subsp vinifera cv. Gamay blanc Gloriod</t>
  </si>
  <si>
    <t xml:space="preserve">Vitis vinifera subsp vinifera cv. Gamay Castille</t>
  </si>
  <si>
    <t xml:space="preserve">Vitis vinifera subsp vinifera cv. Gamay Castille mutation blanche</t>
  </si>
  <si>
    <t xml:space="preserve">Vitis vinifera subsp vinifera cv. Gamay de Bouze</t>
  </si>
  <si>
    <t xml:space="preserve">Vitis vinifera subsp vinifera cv. Gamay de Chaudenay</t>
  </si>
  <si>
    <t xml:space="preserve">Vitis vinifera subsp vinifera cv. Gamay Fréaux</t>
  </si>
  <si>
    <t xml:space="preserve">Vitis vinifera subsp vinifera cv. Gamay gris</t>
  </si>
  <si>
    <t xml:space="preserve">Vitis vinifera subsp vinifera cv. Gamay mourot</t>
  </si>
  <si>
    <t xml:space="preserve">Vitis vinifera subsp vinifera cv. Gamay précoce noir</t>
  </si>
  <si>
    <t xml:space="preserve">Vitis vinifera subsp vinifera cv. Gamza de Varna</t>
  </si>
  <si>
    <t xml:space="preserve">Vitis vinifera subsp vinifera cv. Ganson = INRA 1509-73</t>
  </si>
  <si>
    <t xml:space="preserve">Vitis vinifera subsp vinifera cv. Gantziandan</t>
  </si>
  <si>
    <t xml:space="preserve">Vitis vinifera subsp vinifera cv. Garandmak</t>
  </si>
  <si>
    <t xml:space="preserve">Vitis vinifera subsp vinifera cv. Garganega</t>
  </si>
  <si>
    <t xml:space="preserve">Vitis vinifera subsp vinifera cv. Garrido fino</t>
  </si>
  <si>
    <t xml:space="preserve">Vitis vinifera subsp vinifera cv. Garrido macho</t>
  </si>
  <si>
    <t xml:space="preserve">Vitis vinifera subsp vinifera cv. Gascon</t>
  </si>
  <si>
    <t xml:space="preserve">Vitis vinifera subsp vinifera cv. Gateta</t>
  </si>
  <si>
    <t xml:space="preserve">Vitis vinifera subsp vinifera cv. Gegic</t>
  </si>
  <si>
    <t xml:space="preserve">Vitis vinifera subsp vinifera cv. Gelbholzer blau</t>
  </si>
  <si>
    <t xml:space="preserve">Vitis vinifera subsp vinifera cv. Gemre</t>
  </si>
  <si>
    <t xml:space="preserve">Vitis vinifera subsp vinifera cv. Général de la Marmora</t>
  </si>
  <si>
    <t xml:space="preserve">Vitis vinifera subsp vinifera cv. Général de la Marmora faux</t>
  </si>
  <si>
    <t xml:space="preserve">Vitis vinifera subsp vinifera cv. Genk Uzum</t>
  </si>
  <si>
    <t xml:space="preserve">Vitis vinifera subsp vinifera cv. Genouillet</t>
  </si>
  <si>
    <t xml:space="preserve">Vitis vinifera subsp vinifera cv. Genovèse</t>
  </si>
  <si>
    <t xml:space="preserve">Vitis vinifera subsp vinifera cv. Gewürztraminer</t>
  </si>
  <si>
    <t xml:space="preserve">Vitis vinifera subsp vinifera cv. Gheméra</t>
  </si>
  <si>
    <t xml:space="preserve">Vitis vinifera subsp vinifera cv. Ghiouroukiko</t>
  </si>
  <si>
    <t xml:space="preserve">Vitis vinifera subsp vinifera cv. Gholadon</t>
  </si>
  <si>
    <t xml:space="preserve">Vitis vinifera subsp vinifera cv. Gibert</t>
  </si>
  <si>
    <t xml:space="preserve">Vitis vinifera subsp vinifera cv. Gibi</t>
  </si>
  <si>
    <t xml:space="preserve">Vitis vinifera subsp vinifera cv. Gierniolat</t>
  </si>
  <si>
    <t xml:space="preserve">Vitis vinifera subsp vinifera cv. Gildé</t>
  </si>
  <si>
    <t xml:space="preserve">Vitis vinifera subsp vinifera cv. Giro</t>
  </si>
  <si>
    <t xml:space="preserve">Vitis vinifera subsp vinifera cv. Giro (Iles Baléares)</t>
  </si>
  <si>
    <t xml:space="preserve">Vitis vinifera subsp vinifera cv. Glacière</t>
  </si>
  <si>
    <t xml:space="preserve">Vitis vinifera subsp vinifera cv. Gloria Hungariae</t>
  </si>
  <si>
    <t xml:space="preserve">Vitis vinifera subsp vinifera cv. Glycostaphyllo</t>
  </si>
  <si>
    <t xml:space="preserve">Vitis vinifera subsp vinifera cv. Goher</t>
  </si>
  <si>
    <t xml:space="preserve">Vitis vinifera subsp vinifera cv. Goher Piros</t>
  </si>
  <si>
    <t xml:space="preserve">Vitis vinifera subsp vinifera cv. Goher valtözö</t>
  </si>
  <si>
    <t xml:space="preserve">Vitis vinifera subsp vinifera cv. Gold</t>
  </si>
  <si>
    <t xml:space="preserve">Vitis vinifera subsp vinifera cv. Golden champion = Mill Hill Hamburg</t>
  </si>
  <si>
    <t xml:space="preserve">Vitis vinifera subsp vinifera cv. Golden Queen</t>
  </si>
  <si>
    <t xml:space="preserve">Vitis vinifera subsp vinifera cv. Goldriesling B</t>
  </si>
  <si>
    <t xml:space="preserve">Vitis vinifera subsp vinifera cv. Gora Chirine</t>
  </si>
  <si>
    <t xml:space="preserve">Vitis vinifera subsp vinifera cv. Gora Chirine rose</t>
  </si>
  <si>
    <t xml:space="preserve">Vitis vinifera subsp vinifera cv. Gordan</t>
  </si>
  <si>
    <t xml:space="preserve">Vitis vinifera subsp vinifera cv. Gordin</t>
  </si>
  <si>
    <t xml:space="preserve">Vitis vinifera subsp vinifera cv. Gordin gurguiat</t>
  </si>
  <si>
    <t xml:space="preserve">Vitis vinifera subsp vinifera cv. Gorgollosa</t>
  </si>
  <si>
    <t xml:space="preserve">Vitis vinifera subsp vinifera cv. Goron</t>
  </si>
  <si>
    <t xml:space="preserve">Vitis vinifera subsp vinifera cv. Gouais blanc</t>
  </si>
  <si>
    <t xml:space="preserve">Vitis vinifera subsp vinifera cv. Gouget</t>
  </si>
  <si>
    <t xml:space="preserve">Vitis vinifera subsp vinifera cv. Gounaïa</t>
  </si>
  <si>
    <t xml:space="preserve">Vitis vinifera subsp vinifera cv. Goustoulidi</t>
  </si>
  <si>
    <t xml:space="preserve">Vitis vinifera subsp vinifera cv. Goyura</t>
  </si>
  <si>
    <t xml:space="preserve">Vitis vinifera subsp vinifera cv. Gradiska</t>
  </si>
  <si>
    <t xml:space="preserve">Vitis vinifera subsp vinifera cv. Graisse</t>
  </si>
  <si>
    <t xml:space="preserve">Vitis vinifera subsp vinifera cv. Gramon = INRA 1740-774</t>
  </si>
  <si>
    <t xml:space="preserve">Vitis vinifera subsp vinifera cv. Grand Noir de la Calmette</t>
  </si>
  <si>
    <t xml:space="preserve">Vitis vinifera subsp vinifera cv. Granoir</t>
  </si>
  <si>
    <t xml:space="preserve">Vitis vinifera subsp vinifera cv. Grappenoux</t>
  </si>
  <si>
    <t xml:space="preserve">Vitis vinifera subsp vinifera cv. Grasa de Cotnari</t>
  </si>
  <si>
    <t xml:space="preserve">Vitis vinifera subsp vinifera cv. Grassen</t>
  </si>
  <si>
    <t xml:space="preserve">Vitis vinifera subsp vinifera cv. Grec blanc</t>
  </si>
  <si>
    <t xml:space="preserve">Vitis vinifera subsp vinifera cv. Grec rouge</t>
  </si>
  <si>
    <t xml:space="preserve">Vitis vinifera subsp vinifera cv. Grecanico</t>
  </si>
  <si>
    <t xml:space="preserve">Vitis vinifera subsp vinifera cv. Grechetto</t>
  </si>
  <si>
    <t xml:space="preserve">Vitis vinifera subsp vinifera cv. Greco bianco</t>
  </si>
  <si>
    <t xml:space="preserve">Vitis vinifera subsp vinifera cv. Greco bianco di tufo</t>
  </si>
  <si>
    <t xml:space="preserve">Vitis vinifera subsp vinifera cv. Greco nero</t>
  </si>
  <si>
    <t xml:space="preserve">Vitis vinifera subsp vinifera cv. Grenache</t>
  </si>
  <si>
    <t xml:space="preserve">Vitis vinifera subsp vinifera cv. Grenache blanc</t>
  </si>
  <si>
    <t xml:space="preserve">Vitis vinifera subsp vinifera cv. Grenache gris</t>
  </si>
  <si>
    <t xml:space="preserve">Vitis vinifera subsp vinifera cv. Grenache noir femelle</t>
  </si>
  <si>
    <t xml:space="preserve">Vitis vinifera subsp vinifera cv. Grignolino</t>
  </si>
  <si>
    <t xml:space="preserve">Vitis vinifera subsp vinifera cv. Grillo</t>
  </si>
  <si>
    <t xml:space="preserve">Vitis vinifera subsp vinifera cv. Gringet</t>
  </si>
  <si>
    <t xml:space="preserve">Vitis vinifera subsp vinifera cv. Grk</t>
  </si>
  <si>
    <t xml:space="preserve">Vitis vinifera subsp vinifera cv. Grolleau</t>
  </si>
  <si>
    <t xml:space="preserve">Vitis vinifera subsp vinifera cv. Grolleau blanc</t>
  </si>
  <si>
    <t xml:space="preserve">Vitis vinifera subsp vinifera cv. Grolleau gris</t>
  </si>
  <si>
    <t xml:space="preserve">Vitis vinifera subsp vinifera cv. Gropello di San Stefano</t>
  </si>
  <si>
    <t xml:space="preserve">Vitis vinifera subsp vinifera cv. Gropello gentile</t>
  </si>
  <si>
    <t xml:space="preserve">Vitis vinifera subsp vinifera cv. Gros Bec</t>
  </si>
  <si>
    <t xml:space="preserve">Vitis vinifera subsp vinifera cv. Gros Blanc</t>
  </si>
  <si>
    <t xml:space="preserve">Vitis vinifera subsp vinifera cv. Gros Bourgogne</t>
  </si>
  <si>
    <t xml:space="preserve">Vitis vinifera subsp vinifera cv. Gros Bouschet</t>
  </si>
  <si>
    <t xml:space="preserve">Vitis vinifera subsp vinifera cv. Gros Cabernet</t>
  </si>
  <si>
    <t xml:space="preserve">Vitis vinifera subsp vinifera cv. Gros Colman</t>
  </si>
  <si>
    <t xml:space="preserve">Vitis vinifera subsp vinifera cv. Gros Manseng</t>
  </si>
  <si>
    <t xml:space="preserve">Vitis vinifera subsp vinifera cv. Gros Manseng de Lucq</t>
  </si>
  <si>
    <t xml:space="preserve">Vitis vinifera subsp vinifera cv. Gros Manseng Meunier</t>
  </si>
  <si>
    <t xml:space="preserve">Vitis vinifera subsp vinifera cv. Gros Mansois</t>
  </si>
  <si>
    <t xml:space="preserve">Vitis vinifera subsp vinifera cv. Gros Maroc</t>
  </si>
  <si>
    <t xml:space="preserve">Vitis vinifera subsp vinifera cv. Gros noir des Beni Abès</t>
  </si>
  <si>
    <t xml:space="preserve">Vitis vinifera subsp vinifera cv. Gros Péjac</t>
  </si>
  <si>
    <t xml:space="preserve">Vitis vinifera subsp vinifera cv. Gros Verdot</t>
  </si>
  <si>
    <t xml:space="preserve">Vitis vinifera subsp vinifera cv. Gros Vert</t>
  </si>
  <si>
    <t xml:space="preserve">Vitis vinifera subsp vinifera cv. Gros Vert noir</t>
  </si>
  <si>
    <t xml:space="preserve">Vitis vinifera subsp vinifera cv. Grosse Jacquère</t>
  </si>
  <si>
    <t xml:space="preserve">Vitis vinifera subsp vinifera cv. Grosse Roussette</t>
  </si>
  <si>
    <t xml:space="preserve">Vitis vinifera subsp vinifera cv. Guadurea</t>
  </si>
  <si>
    <t xml:space="preserve">Vitis vinifera subsp vinifera cv. Gualarido</t>
  </si>
  <si>
    <t xml:space="preserve">Vitis vinifera subsp vinifera cv. Guarnaccia</t>
  </si>
  <si>
    <t xml:space="preserve">Vitis vinifera subsp vinifera cv. Gueuche blanc</t>
  </si>
  <si>
    <t xml:space="preserve">Vitis vinifera subsp vinifera cv. Gueuche noir</t>
  </si>
  <si>
    <t xml:space="preserve">Vitis vinifera subsp vinifera cv. Guignard de Saintours</t>
  </si>
  <si>
    <t xml:space="preserve">Vitis vinifera subsp vinifera cv. Guillany Imre</t>
  </si>
  <si>
    <t xml:space="preserve">Vitis vinifera subsp vinifera cv. Guillemot</t>
  </si>
  <si>
    <t xml:space="preserve">Vitis vinifera subsp vinifera cv. Guiouliabi dagestanskii</t>
  </si>
  <si>
    <t xml:space="preserve">Vitis vinifera subsp vinifera cv. Gustavne Szauter</t>
  </si>
  <si>
    <t xml:space="preserve">Vitis vinifera subsp vinifera cv. Gyöngy feher</t>
  </si>
  <si>
    <t xml:space="preserve">Vitis vinifera subsp vinifera cv. Gyöngy szölö</t>
  </si>
  <si>
    <t xml:space="preserve">Vitis vinifera subsp vinifera cv. Hadari</t>
  </si>
  <si>
    <t xml:space="preserve">Vitis vinifera subsp vinifera cv. Hagi ali negru</t>
  </si>
  <si>
    <t xml:space="preserve">Vitis vinifera subsp vinifera cv. Halholyag</t>
  </si>
  <si>
    <t xml:space="preserve">Vitis vinifera subsp vinifera cv. Hammami</t>
  </si>
  <si>
    <t xml:space="preserve">Vitis vinifera subsp vinifera cv. Hamvas</t>
  </si>
  <si>
    <t xml:space="preserve">Vitis vinifera subsp vinifera cv. Hängling blau</t>
  </si>
  <si>
    <t xml:space="preserve">Vitis vinifera subsp vinifera cv. Hansen rot</t>
  </si>
  <si>
    <t xml:space="preserve">Vitis vinifera subsp vinifera cv. Harslevelu</t>
  </si>
  <si>
    <t xml:space="preserve">Vitis vinifera subsp vinifera cv. Hasan dede</t>
  </si>
  <si>
    <t xml:space="preserve">Vitis vinifera subsp vinifera cv. Hebron blanc</t>
  </si>
  <si>
    <t xml:space="preserve">Vitis vinifera subsp vinifera cv. Hegedüs Sandor</t>
  </si>
  <si>
    <t xml:space="preserve">Vitis vinifera subsp vinifera cv. Hegoa</t>
  </si>
  <si>
    <t xml:space="preserve">Vitis vinifera subsp vinifera cv. Helfensteiner = We S 5332</t>
  </si>
  <si>
    <t xml:space="preserve">Vitis vinifera subsp vinifera cv. Henab</t>
  </si>
  <si>
    <t xml:space="preserve">Vitis vinifera subsp vinifera cv. Henab turki faux</t>
  </si>
  <si>
    <t xml:space="preserve">Vitis vinifera subsp vinifera cv. Heptakilo</t>
  </si>
  <si>
    <t xml:space="preserve">Vitis vinifera subsp vinifera cv. Heroldrebe = We S 130</t>
  </si>
  <si>
    <t xml:space="preserve">Vitis vinifera subsp vinifera cv. Heunisch blanc</t>
  </si>
  <si>
    <t xml:space="preserve">Vitis vinifera subsp vinifera cv. Heunisch noir</t>
  </si>
  <si>
    <t xml:space="preserve">Vitis vinifera subsp vinifera cv. Heunisch rose</t>
  </si>
  <si>
    <t xml:space="preserve">Vitis vinifera subsp vinifera cv. Hibou blanc</t>
  </si>
  <si>
    <t xml:space="preserve">Vitis vinifera subsp vinifera cv. Hibou noir</t>
  </si>
  <si>
    <t xml:space="preserve">Vitis vinifera subsp vinifera cv. Himoniatiko</t>
  </si>
  <si>
    <t xml:space="preserve">Vitis vinifera subsp vinifera cv. Honigler</t>
  </si>
  <si>
    <t xml:space="preserve">Vitis vinifera subsp vinifera cv. Horoz karasi</t>
  </si>
  <si>
    <t xml:space="preserve">Vitis vinifera subsp vinifera cv. Hosszunyelu</t>
  </si>
  <si>
    <t xml:space="preserve">Vitis vinifera subsp vinifera cv. Humagne blanche</t>
  </si>
  <si>
    <t xml:space="preserve">Vitis vinifera subsp vinifera cv. Humagne rouge</t>
  </si>
  <si>
    <t xml:space="preserve">Vitis vinifera subsp vinifera cv. Hunisa</t>
  </si>
  <si>
    <t xml:space="preserve">Vitis vinifera subsp vinifera cv. Hunyadi = Horty Miklosné</t>
  </si>
  <si>
    <t xml:space="preserve">Vitis vinifera subsp vinifera cv. Husseini (Afghanistan)</t>
  </si>
  <si>
    <t xml:space="preserve">Vitis vinifera subsp vinifera cv. Husseini (Etats-Unis)</t>
  </si>
  <si>
    <t xml:space="preserve">Vitis vinifera subsp vinifera cv. Huxelrebe = Alzey 3962</t>
  </si>
  <si>
    <t xml:space="preserve">Vitis vinifera subsp vinifera cv. Icod de los Vinos</t>
  </si>
  <si>
    <t xml:space="preserve">Vitis vinifera subsp vinifera cv. Ida</t>
  </si>
  <si>
    <t xml:space="preserve">Vitis vinifera subsp vinifera cv. Igherziz</t>
  </si>
  <si>
    <t xml:space="preserve">Vitis vinifera subsp vinifera cv. Ignea = Pirovano 185</t>
  </si>
  <si>
    <t xml:space="preserve">Vitis vinifera subsp vinifera cv. ¿illade du 1er Août</t>
  </si>
  <si>
    <t xml:space="preserve">Vitis vinifera subsp vinifera cv. Imperatriz</t>
  </si>
  <si>
    <t xml:space="preserve">Vitis vinifera subsp vinifera cv. Impero = Pirovano 264</t>
  </si>
  <si>
    <t xml:space="preserve">Vitis vinifera subsp vinifera cv. Impigno</t>
  </si>
  <si>
    <t xml:space="preserve">Vitis vinifera subsp vinifera cv. Inab el Mir</t>
  </si>
  <si>
    <t xml:space="preserve">Vitis vinifera subsp vinifera cv. Inconnu blanc</t>
  </si>
  <si>
    <t xml:space="preserve">Vitis vinifera subsp vinifera cv. Inconnu blanc de Jongieux</t>
  </si>
  <si>
    <t xml:space="preserve">Vitis vinifera subsp vinifera cv. Inconnu noir</t>
  </si>
  <si>
    <t xml:space="preserve">Vitis vinifera subsp vinifera cv. Ingram's Hardy Prolific</t>
  </si>
  <si>
    <t xml:space="preserve">Vitis vinifera subsp vinifera cv. Inzolia</t>
  </si>
  <si>
    <t xml:space="preserve">Vitis vinifera subsp vinifera cv. Irki</t>
  </si>
  <si>
    <t xml:space="preserve">Vitis vinifera subsp vinifera cv. Irsay Oliver</t>
  </si>
  <si>
    <t xml:space="preserve">Vitis vinifera subsp vinifera cv. Isa = INRA 2012-55</t>
  </si>
  <si>
    <t xml:space="preserve">Vitis vinifera subsp vinifera cv. Ispisari</t>
  </si>
  <si>
    <t xml:space="preserve">Vitis vinifera subsp vinifera cv. Italia = Pirovano 65</t>
  </si>
  <si>
    <t xml:space="preserve">Vitis vinifera subsp vinifera cv. Italia rubi</t>
  </si>
  <si>
    <t xml:space="preserve">Vitis vinifera subsp vinifera cv. Itchkimar biely</t>
  </si>
  <si>
    <t xml:space="preserve">Vitis vinifera subsp vinifera cv. Ithaki</t>
  </si>
  <si>
    <t xml:space="preserve">Vitis vinifera subsp vinifera cv. Itshkimar</t>
  </si>
  <si>
    <t xml:space="preserve">Vitis vinifera subsp vinifera cv. Ivan</t>
  </si>
  <si>
    <t xml:space="preserve">Vitis vinifera subsp vinifera cv. Izsaki sarfeher</t>
  </si>
  <si>
    <t xml:space="preserve">Vitis vinifera subsp vinifera cv. Jacquère</t>
  </si>
  <si>
    <t xml:space="preserve">Vitis vinifera subsp vinifera cv. Jacquère noire faux</t>
  </si>
  <si>
    <t xml:space="preserve">Vitis vinifera subsp vinifera cv. Jaen</t>
  </si>
  <si>
    <t xml:space="preserve">Vitis vinifera subsp vinifera cv. Jaen negro</t>
  </si>
  <si>
    <t xml:space="preserve">Vitis vinifera subsp vinifera cv. Jaen noir</t>
  </si>
  <si>
    <t xml:space="preserve">Vitis vinifera subsp vinifera cv. Jahafi</t>
  </si>
  <si>
    <t xml:space="preserve">Vitis vinifera subsp vinifera cv. Jampal</t>
  </si>
  <si>
    <t xml:space="preserve">Vitis vinifera subsp vinifera cv. Jaoumet</t>
  </si>
  <si>
    <t xml:space="preserve">Vitis vinifera subsp vinifera cv. Jardovany</t>
  </si>
  <si>
    <t xml:space="preserve">Vitis vinifera subsp vinifera cv. Jardovany fekete</t>
  </si>
  <si>
    <t xml:space="preserve">Vitis vinifera subsp vinifera cv. Jaumin</t>
  </si>
  <si>
    <t xml:space="preserve">Vitis vinifera subsp vinifera cv. Javor gross</t>
  </si>
  <si>
    <t xml:space="preserve">Vitis vinifera subsp vinifera cv. Jean Bernath</t>
  </si>
  <si>
    <t xml:space="preserve">Vitis vinifera subsp vinifera cv. Jean Macé</t>
  </si>
  <si>
    <t xml:space="preserve">Vitis vinifera subsp vinifera cv. Jeludovii</t>
  </si>
  <si>
    <t xml:space="preserve">Vitis vinifera subsp vinifera cv. Jerez fina</t>
  </si>
  <si>
    <t xml:space="preserve">Vitis vinifera subsp vinifera cv. Jérusalem bleu</t>
  </si>
  <si>
    <t xml:space="preserve">Vitis vinifera subsp vinifera cv. Jijona</t>
  </si>
  <si>
    <t xml:space="preserve">Vitis vinifera subsp vinifera cv. Jo rizling</t>
  </si>
  <si>
    <t xml:space="preserve">Vitis vinifera subsp vinifera cv. Joamenco</t>
  </si>
  <si>
    <t xml:space="preserve">Vitis vinifera subsp vinifera cv. João Domingos</t>
  </si>
  <si>
    <t xml:space="preserve">Vitis vinifera subsp vinifera cv. Joubertin</t>
  </si>
  <si>
    <t xml:space="preserve">Vitis vinifera subsp vinifera cv. Joumalak biely</t>
  </si>
  <si>
    <t xml:space="preserve">Vitis vinifera subsp vinifera cv. Jubilé (Bulgarie)</t>
  </si>
  <si>
    <t xml:space="preserve">Vitis vinifera subsp vinifera cv. Juhfark</t>
  </si>
  <si>
    <t xml:space="preserve">Vitis vinifera subsp vinifera cv. Julius Caesar</t>
  </si>
  <si>
    <t xml:space="preserve">Vitis vinifera subsp vinifera cv. July Muscat</t>
  </si>
  <si>
    <t xml:space="preserve">Vitis vinifera subsp vinifera cv. Jurançon blanc</t>
  </si>
  <si>
    <t xml:space="preserve">Vitis vinifera subsp vinifera cv. Jurançon noir</t>
  </si>
  <si>
    <t xml:space="preserve">Vitis vinifera subsp vinifera cv. Kabyle noir</t>
  </si>
  <si>
    <t xml:space="preserve">Vitis vinifera subsp vinifera cv. Kadarka</t>
  </si>
  <si>
    <t xml:space="preserve">Vitis vinifera subsp vinifera cv. Kadarka Szürke</t>
  </si>
  <si>
    <t xml:space="preserve">Vitis vinifera subsp vinifera cv. Kadarka Török</t>
  </si>
  <si>
    <t xml:space="preserve">Vitis vinifera subsp vinifera cv. Kadarun</t>
  </si>
  <si>
    <t xml:space="preserve">Vitis vinifera subsp vinifera cv. Kaisermuskat</t>
  </si>
  <si>
    <t xml:space="preserve">Vitis vinifera subsp vinifera cv. Kakkete</t>
  </si>
  <si>
    <t xml:space="preserve">Vitis vinifera subsp vinifera cv. Kakourdess blanc</t>
  </si>
  <si>
    <t xml:space="preserve">Vitis vinifera subsp vinifera cv. Kalecik siyahi</t>
  </si>
  <si>
    <t xml:space="preserve">Vitis vinifera subsp vinifera cv. Kalili</t>
  </si>
  <si>
    <t xml:space="preserve">Vitis vinifera subsp vinifera cv. Kalina</t>
  </si>
  <si>
    <t xml:space="preserve">Vitis vinifera subsp vinifera cv. Kandahar</t>
  </si>
  <si>
    <t xml:space="preserve">Vitis vinifera subsp vinifera cv. Kandari</t>
  </si>
  <si>
    <t xml:space="preserve">Vitis vinifera subsp vinifera cv. Kanigl grün</t>
  </si>
  <si>
    <t xml:space="preserve">Vitis vinifera subsp vinifera cv. Kanzler = Alzey 3983</t>
  </si>
  <si>
    <t xml:space="preserve">Vitis vinifera subsp vinifera cv. Kaouchansky</t>
  </si>
  <si>
    <t xml:space="preserve">Vitis vinifera subsp vinifera cv. Kara kaltak</t>
  </si>
  <si>
    <t xml:space="preserve">Vitis vinifera subsp vinifera cv. Kara ouzume Aschkhabadsky</t>
  </si>
  <si>
    <t xml:space="preserve">Vitis vinifera subsp vinifera cv. Kara Palvan</t>
  </si>
  <si>
    <t xml:space="preserve">Vitis vinifera subsp vinifera cv. Kara papigi</t>
  </si>
  <si>
    <t xml:space="preserve">Vitis vinifera subsp vinifera cv. Karabraimis</t>
  </si>
  <si>
    <t xml:space="preserve">Vitis vinifera subsp vinifera cv. Karasakiz</t>
  </si>
  <si>
    <t xml:space="preserve">Vitis vinifera subsp vinifera cv. Karitsiotis</t>
  </si>
  <si>
    <t xml:space="preserve">Vitis vinifera subsp vinifera cv. Karmir Kakhani</t>
  </si>
  <si>
    <t xml:space="preserve">Vitis vinifera subsp vinifera cv. Karolowska</t>
  </si>
  <si>
    <t xml:space="preserve">Vitis vinifera subsp vinifera cv. Karroo belle</t>
  </si>
  <si>
    <t xml:space="preserve">Vitis vinifera subsp vinifera cv. Karydato</t>
  </si>
  <si>
    <t xml:space="preserve">Vitis vinifera subsp vinifera cv. Karystino</t>
  </si>
  <si>
    <t xml:space="preserve">Vitis vinifera subsp vinifera cv. Kasoufi de la Bekaa</t>
  </si>
  <si>
    <t xml:space="preserve">Vitis vinifera subsp vinifera cv. Kasoufi enta</t>
  </si>
  <si>
    <t xml:space="preserve">Vitis vinifera subsp vinifera cv. Kassoufi</t>
  </si>
  <si>
    <t xml:space="preserve">Vitis vinifera subsp vinifera cv. Kata</t>
  </si>
  <si>
    <t xml:space="preserve">Vitis vinifera subsp vinifera cv. Katsacoulias</t>
  </si>
  <si>
    <t xml:space="preserve">Vitis vinifera subsp vinifera cv. Katta kourgan</t>
  </si>
  <si>
    <t xml:space="preserve">Vitis vinifera subsp vinifera cv. Kauka blau</t>
  </si>
  <si>
    <t xml:space="preserve">Vitis vinifera subsp vinifera cv. Kaytagi rose</t>
  </si>
  <si>
    <t xml:space="preserve">Vitis vinifera subsp vinifera cv. Kechmisch aly violet</t>
  </si>
  <si>
    <t xml:space="preserve">Vitis vinifera subsp vinifera cv. Kecskecsecsu kek</t>
  </si>
  <si>
    <t xml:space="preserve">Vitis vinifera subsp vinifera cv. Kecskecsecsu roszas piros</t>
  </si>
  <si>
    <t xml:space="preserve">Vitis vinifera subsp vinifera cv. Kecskemet kincse</t>
  </si>
  <si>
    <t xml:space="preserve">Vitis vinifera subsp vinifera cv. Kecskemet Szepe</t>
  </si>
  <si>
    <t xml:space="preserve">Vitis vinifera subsp vinifera cv. Kecskemeti izes</t>
  </si>
  <si>
    <t xml:space="preserve">Vitis vinifera subsp vinifera cv. Kecskemeti rizling</t>
  </si>
  <si>
    <t xml:space="preserve">Vitis vinifera subsp vinifera cv. Kefessia</t>
  </si>
  <si>
    <t xml:space="preserve">Vitis vinifera subsp vinifera cv. Kekhlibar</t>
  </si>
  <si>
    <t xml:space="preserve">Vitis vinifera subsp vinifera cv. Keknyelü</t>
  </si>
  <si>
    <t xml:space="preserve">Vitis vinifera subsp vinifera cv. Kerner = We S 25-30</t>
  </si>
  <si>
    <t xml:space="preserve">Vitis vinifera subsp vinifera cv. Keropodia</t>
  </si>
  <si>
    <t xml:space="preserve">Vitis vinifera subsp vinifera cv. Khalili Piskakes</t>
  </si>
  <si>
    <t xml:space="preserve">Vitis vinifera subsp vinifera cv. Khalili tcherni</t>
  </si>
  <si>
    <t xml:space="preserve">Vitis vinifera subsp vinifera cv. Khalt</t>
  </si>
  <si>
    <t xml:space="preserve">Vitis vinifera subsp vinifera cv. Khatmi</t>
  </si>
  <si>
    <t xml:space="preserve">Vitis vinifera subsp vinifera cv. Khikhvi</t>
  </si>
  <si>
    <t xml:space="preserve">Vitis vinifera subsp vinifera cv. Khindogny</t>
  </si>
  <si>
    <t xml:space="preserve">Vitis vinifera subsp vinifera cv. Khoussaïné blanc</t>
  </si>
  <si>
    <t xml:space="preserve">Vitis vinifera subsp vinifera cv. Kibraiski</t>
  </si>
  <si>
    <t xml:space="preserve">Vitis vinifera subsp vinifera cv. Kichmich chichraou</t>
  </si>
  <si>
    <t xml:space="preserve">Vitis vinifera subsp vinifera cv. Kichmich rond</t>
  </si>
  <si>
    <t xml:space="preserve">Vitis vinifera subsp vinifera cv. Kincsem</t>
  </si>
  <si>
    <t xml:space="preserve">Vitis vinifera subsp vinifera cv. Kizil</t>
  </si>
  <si>
    <t xml:space="preserve">Vitis vinifera subsp vinifera cv. Kizil sapak</t>
  </si>
  <si>
    <t xml:space="preserve">Vitis vinifera subsp vinifera cv. Knipperlé</t>
  </si>
  <si>
    <t xml:space="preserve">Vitis vinifera subsp vinifera cv. Kocsis Irma</t>
  </si>
  <si>
    <t xml:space="preserve">Vitis vinifera subsp vinifera cv. Kocsis Pal szilvanija</t>
  </si>
  <si>
    <t xml:space="preserve">Vitis vinifera subsp vinifera cv. Kocsis Sandor</t>
  </si>
  <si>
    <t xml:space="preserve">Vitis vinifera subsp vinifera cv. Kokkinellia</t>
  </si>
  <si>
    <t xml:space="preserve">Vitis vinifera subsp vinifera cv. Kokkinostaphylo</t>
  </si>
  <si>
    <t xml:space="preserve">Vitis vinifera subsp vinifera cv. Kokour bely</t>
  </si>
  <si>
    <t xml:space="preserve">Vitis vinifera subsp vinifera cv. Kolliniatico</t>
  </si>
  <si>
    <t xml:space="preserve">Vitis vinifera subsp vinifera cv. Kölner blau</t>
  </si>
  <si>
    <t xml:space="preserve">Vitis vinifera subsp vinifera cv. Kolokythas avgoulatos</t>
  </si>
  <si>
    <t xml:space="preserve">Vitis vinifera subsp vinifera cv. Kolontar</t>
  </si>
  <si>
    <t xml:space="preserve">Vitis vinifera subsp vinifera cv. Königstraube</t>
  </si>
  <si>
    <t xml:space="preserve">Vitis vinifera subsp vinifera cv. Kontocladi</t>
  </si>
  <si>
    <t xml:space="preserve">Vitis vinifera subsp vinifera cv. Korai Olasz</t>
  </si>
  <si>
    <t xml:space="preserve">Vitis vinifera subsp vinifera cv. Korithi à gros grains</t>
  </si>
  <si>
    <t xml:space="preserve">Vitis vinifera subsp vinifera cv. Korithi aspro</t>
  </si>
  <si>
    <t xml:space="preserve">Vitis vinifera subsp vinifera cv. Korithi mavro</t>
  </si>
  <si>
    <t xml:space="preserve">Vitis vinifera subsp vinifera cv. Koritsanos rouge</t>
  </si>
  <si>
    <t xml:space="preserve">Vitis vinifera subsp vinifera cv. Koshu noir faux</t>
  </si>
  <si>
    <t xml:space="preserve">Vitis vinifera subsp vinifera cv. Kossorotovsky</t>
  </si>
  <si>
    <t xml:space="preserve">Vitis vinifera subsp vinifera cv. Kotselina</t>
  </si>
  <si>
    <t xml:space="preserve">Vitis vinifera subsp vinifera cv. Kotsiphali</t>
  </si>
  <si>
    <t xml:space="preserve">Vitis vinifera subsp vinifera cv. Koudsi</t>
  </si>
  <si>
    <t xml:space="preserve">Vitis vinifera subsp vinifera cv. Kouldjinsky</t>
  </si>
  <si>
    <t xml:space="preserve">Vitis vinifera subsp vinifera cv. Koumari</t>
  </si>
  <si>
    <t xml:space="preserve">Vitis vinifera subsp vinifera cv. Kouroupitsa</t>
  </si>
  <si>
    <t xml:space="preserve">Vitis vinifera subsp vinifera cv. Koussan</t>
  </si>
  <si>
    <t xml:space="preserve">Vitis vinifera subsp vinifera cv. Kovacsi feher</t>
  </si>
  <si>
    <t xml:space="preserve">Vitis vinifera subsp vinifera cv. Kovalevka</t>
  </si>
  <si>
    <t xml:space="preserve">Vitis vinifera subsp vinifera cv. Kövidinka</t>
  </si>
  <si>
    <t xml:space="preserve">Vitis vinifera subsp vinifera cv. Koytsoumbeli aspro</t>
  </si>
  <si>
    <t xml:space="preserve">Vitis vinifera subsp vinifera cv. Koz ouzioum</t>
  </si>
  <si>
    <t xml:space="preserve">Vitis vinifera subsp vinifera cv. Kozanitis</t>
  </si>
  <si>
    <t xml:space="preserve">Vitis vinifera subsp vinifera cv. Kozma</t>
  </si>
  <si>
    <t xml:space="preserve">Vitis vinifera subsp vinifera cv. Kracher gelber</t>
  </si>
  <si>
    <t xml:space="preserve">Vitis vinifera subsp vinifera cv. Krakhouna</t>
  </si>
  <si>
    <t xml:space="preserve">Vitis vinifera subsp vinifera cv. Krasnostop zolotowskii</t>
  </si>
  <si>
    <t xml:space="preserve">Vitis vinifera subsp vinifera cv. Kravi tzitzi</t>
  </si>
  <si>
    <t xml:space="preserve">Vitis vinifera subsp vinifera cv. Krestovsky</t>
  </si>
  <si>
    <t xml:space="preserve">Vitis vinifera subsp vinifera cv. Kroustalli</t>
  </si>
  <si>
    <t xml:space="preserve">Vitis vinifera subsp vinifera cv. Kujundzusa</t>
  </si>
  <si>
    <t xml:space="preserve">Vitis vinifera subsp vinifera cv. Kurtelaska</t>
  </si>
  <si>
    <t xml:space="preserve">Vitis vinifera subsp vinifera cv. Kypreiko</t>
  </si>
  <si>
    <t xml:space="preserve">Vitis vinifera subsp vinifera cv. La Guitte</t>
  </si>
  <si>
    <t xml:space="preserve">Vitis vinifera subsp vinifera cv. La Rochelle</t>
  </si>
  <si>
    <t xml:space="preserve">Vitis vinifera subsp vinifera cv. Laadari</t>
  </si>
  <si>
    <t xml:space="preserve">Vitis vinifera subsp vinifera cv. Labrusco</t>
  </si>
  <si>
    <t xml:space="preserve">Vitis vinifera subsp vinifera cv. Lacrima di Maria</t>
  </si>
  <si>
    <t xml:space="preserve">Vitis vinifera subsp vinifera cv. Lacryma Christi</t>
  </si>
  <si>
    <t xml:space="preserve">Vitis vinifera subsp vinifera cv. Ladikino</t>
  </si>
  <si>
    <t xml:space="preserve">Vitis vinifera subsp vinifera cv. Lady Downe's seedling</t>
  </si>
  <si>
    <t xml:space="preserve">Vitis vinifera subsp vinifera cv. Lady Hastings</t>
  </si>
  <si>
    <t xml:space="preserve">Vitis vinifera subsp vinifera cv. Lafayette</t>
  </si>
  <si>
    <t xml:space="preserve">Vitis vinifera subsp vinifera cv. Lagauzère A</t>
  </si>
  <si>
    <t xml:space="preserve">Vitis vinifera subsp vinifera cv. Lagauzère B</t>
  </si>
  <si>
    <t xml:space="preserve">Vitis vinifera subsp vinifera cv. Lagauzère C</t>
  </si>
  <si>
    <t xml:space="preserve">Vitis vinifera subsp vinifera cv. Lagauzère E</t>
  </si>
  <si>
    <t xml:space="preserve">Vitis vinifera subsp vinifera cv. Lagauzère 19</t>
  </si>
  <si>
    <t xml:space="preserve">Vitis vinifera subsp vinifera cv. Lagauzère 20</t>
  </si>
  <si>
    <t xml:space="preserve">Vitis vinifera subsp vinifera cv. Lagauzère 21</t>
  </si>
  <si>
    <t xml:space="preserve">Vitis vinifera subsp vinifera cv. Lagorthi</t>
  </si>
  <si>
    <t xml:space="preserve">Vitis vinifera subsp vinifera cv. Lagrein</t>
  </si>
  <si>
    <t xml:space="preserve">Vitis vinifera subsp vinifera cv. Lahntraube</t>
  </si>
  <si>
    <t xml:space="preserve">Vitis vinifera subsp vinifera cv. Lahntraube (Institut Oberlin)</t>
  </si>
  <si>
    <t xml:space="preserve">Vitis vinifera subsp vinifera cv. Lallée</t>
  </si>
  <si>
    <t xml:space="preserve">Vitis vinifera subsp vinifera cv. Lambrusco à foglia frastigliata</t>
  </si>
  <si>
    <t xml:space="preserve">Vitis vinifera subsp vinifera cv. Lambrusco di Sorbara</t>
  </si>
  <si>
    <t xml:space="preserve">Vitis vinifera subsp vinifera cv. Lambrusco grasparossa</t>
  </si>
  <si>
    <t xml:space="preserve">Vitis vinifera subsp vinifera cv. Lambrusco Maestri</t>
  </si>
  <si>
    <t xml:space="preserve">Vitis vinifera subsp vinifera cv. Lambrusco Marani</t>
  </si>
  <si>
    <t xml:space="preserve">Vitis vinifera subsp vinifera cv. Lambrusco Monterico</t>
  </si>
  <si>
    <t xml:space="preserve">Vitis vinifera subsp vinifera cv. Lambrusco oliva</t>
  </si>
  <si>
    <t xml:space="preserve">Vitis vinifera subsp vinifera cv. Lambrusco salamino</t>
  </si>
  <si>
    <t xml:space="preserve">Vitis vinifera subsp vinifera cv. Lambrusco Viadanese</t>
  </si>
  <si>
    <t xml:space="preserve">Vitis vinifera subsp vinifera cv. Lambruscone</t>
  </si>
  <si>
    <t xml:space="preserve">Vitis vinifera subsp vinifera cv. Lambrusque A</t>
  </si>
  <si>
    <t xml:space="preserve">Vitis vinifera subsp vinifera cv. lambrusque C</t>
  </si>
  <si>
    <t xml:space="preserve">Vitis vinifera subsp vinifera cv. Lambrusque D</t>
  </si>
  <si>
    <t xml:space="preserve">Vitis vinifera subsp vinifera cv. Lambrusque E</t>
  </si>
  <si>
    <t xml:space="preserve">Vitis vinifera subsp vinifera cv. Lambrusque F</t>
  </si>
  <si>
    <t xml:space="preserve">Vitis vinifera subsp vinifera cv. Lambrusque I</t>
  </si>
  <si>
    <t xml:space="preserve">Vitis vinifera subsp vinifera cv. Lambrusque J</t>
  </si>
  <si>
    <t xml:space="preserve">Vitis vinifera subsp vinifera cv. Lambrusque spontanée coloniale</t>
  </si>
  <si>
    <t xml:space="preserve">Vitis vinifera subsp vinifera cv. Lambrusque subspontanée</t>
  </si>
  <si>
    <t xml:space="preserve">Vitis vinifera subsp vinifera cv. Lamparfahr de Vany</t>
  </si>
  <si>
    <t xml:space="preserve">Vitis vinifera subsp vinifera cv. Landroter</t>
  </si>
  <si>
    <t xml:space="preserve">Vitis vinifera subsp vinifera cv. Lanjaron claro</t>
  </si>
  <si>
    <t xml:space="preserve">Vitis vinifera subsp vinifera cv. Larião</t>
  </si>
  <si>
    <t xml:space="preserve">Vitis vinifera subsp vinifera cv. Lasina</t>
  </si>
  <si>
    <t xml:space="preserve">Vitis vinifera subsp vinifera cv. Laska</t>
  </si>
  <si>
    <t xml:space="preserve">Vitis vinifera subsp vinifera cv. Latina = Pirovano 711</t>
  </si>
  <si>
    <t xml:space="preserve">Vitis vinifera subsp vinifera cv. Lattuario nero</t>
  </si>
  <si>
    <t xml:space="preserve">Vitis vinifera subsp vinifera cv. Lauzet</t>
  </si>
  <si>
    <t xml:space="preserve">Vitis vinifera subsp vinifera cv. Leanyka</t>
  </si>
  <si>
    <t xml:space="preserve">Vitis vinifera subsp vinifera cv. Leao Ferreira da Almeida 10-48-24</t>
  </si>
  <si>
    <t xml:space="preserve">Vitis vinifera subsp vinifera cv. Leao Ferreira da Almeida 29-54-30</t>
  </si>
  <si>
    <t xml:space="preserve">Vitis vinifera subsp vinifera cv. Leao Ferreira da Almeida 29-54-7</t>
  </si>
  <si>
    <t xml:space="preserve">Vitis vinifera subsp vinifera cv. Leao Ferreira da Almeida 34-49-48</t>
  </si>
  <si>
    <t xml:space="preserve">Vitis vinifera subsp vinifera cv. Leao Ferreira da Almeida 34-49-50</t>
  </si>
  <si>
    <t xml:space="preserve">Vitis vinifera subsp vinifera cv. Leao Ferreira da Almeida 37-50-8</t>
  </si>
  <si>
    <t xml:space="preserve">Vitis vinifera subsp vinifera cv. Leao Ferreira da Almeida 4-49-44</t>
  </si>
  <si>
    <t xml:space="preserve">Vitis vinifera subsp vinifera cv. Leao Ferreira da Almeida 7-49-35</t>
  </si>
  <si>
    <t xml:space="preserve">Vitis vinifera subsp vinifera cv. Lefcas</t>
  </si>
  <si>
    <t xml:space="preserve">Vitis vinifera subsp vinifera cv. Len de l'El</t>
  </si>
  <si>
    <t xml:space="preserve">Vitis vinifera subsp vinifera cv. L'Enfant trouvé</t>
  </si>
  <si>
    <t xml:space="preserve">Vitis vinifera subsp vinifera cv. Léopold III</t>
  </si>
  <si>
    <t xml:space="preserve">Vitis vinifera subsp vinifera cv. Lercat</t>
  </si>
  <si>
    <t xml:space="preserve">Vitis vinifera subsp vinifera cv. Lesz meg hazam</t>
  </si>
  <si>
    <t xml:space="preserve">Vitis vinifera subsp vinifera cv. Lialmigui</t>
  </si>
  <si>
    <t xml:space="preserve">Vitis vinifera subsp vinifera cv. Liatico</t>
  </si>
  <si>
    <t xml:space="preserve">Vitis vinifera subsp vinifera cv. Lignage</t>
  </si>
  <si>
    <t xml:space="preserve">Vitis vinifera subsp vinifera cv. Lignan</t>
  </si>
  <si>
    <t xml:space="preserve">Vitis vinifera subsp vinifera cv. Liliorila</t>
  </si>
  <si>
    <t xml:space="preserve">Vitis vinifera subsp vinifera cv. Limberger</t>
  </si>
  <si>
    <t xml:space="preserve">Vitis vinifera subsp vinifera cv. Limniona</t>
  </si>
  <si>
    <t xml:space="preserve">Vitis vinifera subsp vinifera cv. Linné</t>
  </si>
  <si>
    <t xml:space="preserve">Vitis vinifera subsp vinifera cv. Listan</t>
  </si>
  <si>
    <t xml:space="preserve">Vitis vinifera subsp vinifera cv. Lisztes feher feketefaju</t>
  </si>
  <si>
    <t xml:space="preserve">Vitis vinifera subsp vinifera cv. Lisztes piros</t>
  </si>
  <si>
    <t xml:space="preserve">Vitis vinifera subsp vinifera cv. Littorio = Pirovano 90</t>
  </si>
  <si>
    <t xml:space="preserve">Vitis vinifera subsp vinifera cv. Lival = INRA 696-11</t>
  </si>
  <si>
    <t xml:space="preserve">Vitis vinifera subsp vinifera cv. Lkeny noir</t>
  </si>
  <si>
    <t xml:space="preserve">Vitis vinifera subsp vinifera cv. Lledoner pelut</t>
  </si>
  <si>
    <t xml:space="preserve">Vitis vinifera subsp vinifera cv. Lombardia = Pirovano 353</t>
  </si>
  <si>
    <t xml:space="preserve">Vitis vinifera subsp vinifera cv. Louali</t>
  </si>
  <si>
    <t xml:space="preserve">Vitis vinifera subsp vinifera cv. Loureiro</t>
  </si>
  <si>
    <t xml:space="preserve">Vitis vinifera subsp vinifera cv. Lucien Baltet</t>
  </si>
  <si>
    <t xml:space="preserve">Vitis vinifera subsp vinifera cv. Luigi Razza = Pirovano 365</t>
  </si>
  <si>
    <t xml:space="preserve">Vitis vinifera subsp vinifera cv. Luisa blanca</t>
  </si>
  <si>
    <t xml:space="preserve">Vitis vinifera subsp vinifera cv. Lumassina</t>
  </si>
  <si>
    <t xml:space="preserve">Vitis vinifera subsp vinifera cv. Luparello</t>
  </si>
  <si>
    <t xml:space="preserve">Vitis vinifera subsp vinifera cv. Lutea = Pirovano 167</t>
  </si>
  <si>
    <t xml:space="preserve">Vitis vinifera subsp vinifera cv. Maabouri</t>
  </si>
  <si>
    <t xml:space="preserve">Vitis vinifera subsp vinifera cv. Maça</t>
  </si>
  <si>
    <t xml:space="preserve">Vitis vinifera subsp vinifera cv. Macabeu</t>
  </si>
  <si>
    <t xml:space="preserve">Vitis vinifera subsp vinifera cv. Maceratino</t>
  </si>
  <si>
    <t xml:space="preserve">Vitis vinifera subsp vinifera cv. Mackensen</t>
  </si>
  <si>
    <t xml:space="preserve">Vitis vinifera subsp vinifera cv. Madeleine angevine</t>
  </si>
  <si>
    <t xml:space="preserve">Vitis vinifera subsp vinifera cv. Madeleine angevine Oberlin</t>
  </si>
  <si>
    <t xml:space="preserve">Vitis vinifera subsp vinifera cv. Madeleine Céline</t>
  </si>
  <si>
    <t xml:space="preserve">Vitis vinifera subsp vinifera cv. Madeleine de Clermont</t>
  </si>
  <si>
    <t xml:space="preserve">Vitis vinifera subsp vinifera cv. Madeleine royale</t>
  </si>
  <si>
    <t xml:space="preserve">Vitis vinifera subsp vinifera cv. Madeleine Salomon</t>
  </si>
  <si>
    <t xml:space="preserve">Vitis vinifera subsp vinifera cv. Madeleine Sämling 18</t>
  </si>
  <si>
    <t xml:space="preserve">Vitis vinifera subsp vinifera cv. Madeleine Sämling 22</t>
  </si>
  <si>
    <t xml:space="preserve">Vitis vinifera subsp vinifera cv. Madina = INRA 2004-9</t>
  </si>
  <si>
    <t xml:space="preserve">Vitis vinifera subsp vinifera cv. Magliocco</t>
  </si>
  <si>
    <t xml:space="preserve">Vitis vinifera subsp vinifera cv. Magyartraube</t>
  </si>
  <si>
    <t xml:space="preserve">Vitis vinifera subsp vinifera cv. Maingonat 50 L 2</t>
  </si>
  <si>
    <t xml:space="preserve">Vitis vinifera subsp vinifera cv. Maingonnat 11 L 13</t>
  </si>
  <si>
    <t xml:space="preserve">Vitis vinifera subsp vinifera cv. Maingonnat 12 L 11</t>
  </si>
  <si>
    <t xml:space="preserve">Vitis vinifera subsp vinifera cv. Maingonnat 14 L 23</t>
  </si>
  <si>
    <t xml:space="preserve">Vitis vinifera subsp vinifera cv. Maingonnat 16 L 4</t>
  </si>
  <si>
    <t xml:space="preserve">Vitis vinifera subsp vinifera cv. Maingonnat 17 L 24</t>
  </si>
  <si>
    <t xml:space="preserve">Vitis vinifera subsp vinifera cv. Maingonnat 19 L 25</t>
  </si>
  <si>
    <t xml:space="preserve">Vitis vinifera subsp vinifera cv. Maingonnat 20 L 12</t>
  </si>
  <si>
    <t xml:space="preserve">Vitis vinifera subsp vinifera cv. Maingonnat 20 L 22</t>
  </si>
  <si>
    <t xml:space="preserve">Vitis vinifera subsp vinifera cv. Maingonnat 25 L 5</t>
  </si>
  <si>
    <t xml:space="preserve">Vitis vinifera subsp vinifera cv. Maingonnat 27 L1</t>
  </si>
  <si>
    <t xml:space="preserve">Vitis vinifera subsp vinifera cv. Maingonnat 3 L 1</t>
  </si>
  <si>
    <t xml:space="preserve">Vitis vinifera subsp vinifera cv. Maingonnat 3 L 22</t>
  </si>
  <si>
    <t xml:space="preserve">Vitis vinifera subsp vinifera cv. Maingonnat 30 L 22</t>
  </si>
  <si>
    <t xml:space="preserve">Vitis vinifera subsp vinifera cv. Maingonnat 31 L 10</t>
  </si>
  <si>
    <t xml:space="preserve">Vitis vinifera subsp vinifera cv. Maingonnat 31 L 11</t>
  </si>
  <si>
    <t xml:space="preserve">Vitis vinifera subsp vinifera cv. Maingonnat 34 L 5</t>
  </si>
  <si>
    <t xml:space="preserve">Vitis vinifera subsp vinifera cv. Maingonnat 4 L 22</t>
  </si>
  <si>
    <t xml:space="preserve">Vitis vinifera subsp vinifera cv. Maingonnat 42 L 10</t>
  </si>
  <si>
    <t xml:space="preserve">Vitis vinifera subsp vinifera cv. Maingonnat 48 L 2</t>
  </si>
  <si>
    <t xml:space="preserve">Vitis vinifera subsp vinifera cv. Maingonnat 48 L 4</t>
  </si>
  <si>
    <t xml:space="preserve">Vitis vinifera subsp vinifera cv. Maingonnat 50 L 4</t>
  </si>
  <si>
    <t xml:space="preserve">Vitis vinifera subsp vinifera cv. Maingonnat 7 L 1</t>
  </si>
  <si>
    <t xml:space="preserve">Vitis vinifera subsp vinifera cv. Maingonnat 9 L 24</t>
  </si>
  <si>
    <t xml:space="preserve">Vitis vinifera subsp vinifera cv. Malaga II</t>
  </si>
  <si>
    <t xml:space="preserve">Vitis vinifera subsp vinifera cv. Malaga noir</t>
  </si>
  <si>
    <t xml:space="preserve">Vitis vinifera subsp vinifera cv. Maloukato</t>
  </si>
  <si>
    <t xml:space="preserve">Vitis vinifera subsp vinifera cv. Malpé (1)</t>
  </si>
  <si>
    <t xml:space="preserve">Vitis vinifera subsp vinifera cv. Malpé (2)</t>
  </si>
  <si>
    <t xml:space="preserve">Vitis vinifera subsp vinifera cv. Malvar</t>
  </si>
  <si>
    <t xml:space="preserve">Vitis vinifera subsp vinifera cv. Malvarisco</t>
  </si>
  <si>
    <t xml:space="preserve">Vitis vinifera subsp vinifera cv. Malvasia</t>
  </si>
  <si>
    <t xml:space="preserve">Vitis vinifera subsp vinifera cv. Malvasia del Chianti</t>
  </si>
  <si>
    <t xml:space="preserve">Vitis vinifera subsp vinifera cv. Malvasia del Lazio</t>
  </si>
  <si>
    <t xml:space="preserve">Vitis vinifera subsp vinifera cv. Malvasia di Candia</t>
  </si>
  <si>
    <t xml:space="preserve">Vitis vinifera subsp vinifera cv. Malvasia di Candia aromatica</t>
  </si>
  <si>
    <t xml:space="preserve">Vitis vinifera subsp vinifera cv. Malvasia di Casorzo</t>
  </si>
  <si>
    <t xml:space="preserve">Vitis vinifera subsp vinifera cv. Malvasia di Sardegna</t>
  </si>
  <si>
    <t xml:space="preserve">Vitis vinifera subsp vinifera cv. Malvasia di Schierano</t>
  </si>
  <si>
    <t xml:space="preserve">Vitis vinifera subsp vinifera cv. Malvasia fina</t>
  </si>
  <si>
    <t xml:space="preserve">Vitis vinifera subsp vinifera cv. Malvasia istriana</t>
  </si>
  <si>
    <t xml:space="preserve">Vitis vinifera subsp vinifera cv. Malvasia Moscatel Fonte grande</t>
  </si>
  <si>
    <t xml:space="preserve">Vitis vinifera subsp vinifera cv. Malvasia nera di Brindisi</t>
  </si>
  <si>
    <t xml:space="preserve">Vitis vinifera subsp vinifera cv. Malvasia nera di Lecce</t>
  </si>
  <si>
    <t xml:space="preserve">Vitis vinifera subsp vinifera cv. Malvasia rei</t>
  </si>
  <si>
    <t xml:space="preserve">Vitis vinifera subsp vinifera cv. Malvina</t>
  </si>
  <si>
    <t xml:space="preserve">Vitis vinifera subsp vinifera cv. Malvoisie de Sitges fausse</t>
  </si>
  <si>
    <t xml:space="preserve">Vitis vinifera subsp vinifera cv. Mamelon</t>
  </si>
  <si>
    <t xml:space="preserve">Vitis vinifera subsp vinifera cv. Mammolo</t>
  </si>
  <si>
    <t xml:space="preserve">Vitis vinifera subsp vinifera cv. Mancens</t>
  </si>
  <si>
    <t xml:space="preserve">Vitis vinifera subsp vinifera cv. Mancin</t>
  </si>
  <si>
    <t xml:space="preserve">Vitis vinifera subsp vinifera cv. Mandrègue</t>
  </si>
  <si>
    <t xml:space="preserve">Vitis vinifera subsp vinifera cv. Manseng noir</t>
  </si>
  <si>
    <t xml:space="preserve">Vitis vinifera subsp vinifera cv. Manseng vert</t>
  </si>
  <si>
    <t xml:space="preserve">Vitis vinifera subsp vinifera cv. Mansonnet</t>
  </si>
  <si>
    <t xml:space="preserve">Vitis vinifera subsp vinifera cv. Manteudo</t>
  </si>
  <si>
    <t xml:space="preserve">Vitis vinifera subsp vinifera cv. Mantheudo</t>
  </si>
  <si>
    <t xml:space="preserve">Vitis vinifera subsp vinifera cv. Mantilaria</t>
  </si>
  <si>
    <t xml:space="preserve">Vitis vinifera subsp vinifera cv. Mantuo de Pilas</t>
  </si>
  <si>
    <t xml:space="preserve">Vitis vinifera subsp vinifera cv. Manzoni 1-50</t>
  </si>
  <si>
    <t xml:space="preserve">Vitis vinifera subsp vinifera cv. Manzoni 2-15</t>
  </si>
  <si>
    <t xml:space="preserve">Vitis vinifera subsp vinifera cv. Manzoni 3-26</t>
  </si>
  <si>
    <t xml:space="preserve">Vitis vinifera subsp vinifera cv. Maratheftico</t>
  </si>
  <si>
    <t xml:space="preserve">Vitis vinifera subsp vinifera cv. Marawi</t>
  </si>
  <si>
    <t xml:space="preserve">Vitis vinifera subsp vinifera cv. Maréchal Bosquet</t>
  </si>
  <si>
    <t xml:space="preserve">Vitis vinifera subsp vinifera cv. Maréchal Gallieni</t>
  </si>
  <si>
    <t xml:space="preserve">Vitis vinifera subsp vinifera cv. Marengo = Pirovano 205</t>
  </si>
  <si>
    <t xml:space="preserve">Vitis vinifera subsp vinifera cv. Maria Pirovano = Pirovano 165</t>
  </si>
  <si>
    <t xml:space="preserve">Vitis vinifera subsp vinifera cv. Marienriesling</t>
  </si>
  <si>
    <t xml:space="preserve">Vitis vinifera subsp vinifera cv. Mariensteiner = Würzburg B 51-7-3</t>
  </si>
  <si>
    <t xml:space="preserve">Vitis vinifera subsp vinifera cv. Mario Mariani = Pirovano 276</t>
  </si>
  <si>
    <t xml:space="preserve">Vitis vinifera subsp vinifera cv. Marocain gris</t>
  </si>
  <si>
    <t xml:space="preserve">Vitis vinifera subsp vinifera cv. Marocain noir</t>
  </si>
  <si>
    <t xml:space="preserve">Vitis vinifera subsp vinifera cv. Maroo seedless</t>
  </si>
  <si>
    <t xml:space="preserve">Vitis vinifera subsp vinifera cv. Marouhé</t>
  </si>
  <si>
    <t xml:space="preserve">Vitis vinifera subsp vinifera cv. Marsanne</t>
  </si>
  <si>
    <t xml:space="preserve">Vitis vinifera subsp vinifera cv. Marsanne de Pays</t>
  </si>
  <si>
    <t xml:space="preserve">Vitis vinifera subsp vinifera cv. Marselan = INRA 1810-68</t>
  </si>
  <si>
    <t xml:space="preserve">Vitis vinifera subsp vinifera cv. Marsigliana nera</t>
  </si>
  <si>
    <t xml:space="preserve">Vitis vinifera subsp vinifera cv. Martien</t>
  </si>
  <si>
    <t xml:space="preserve">Vitis vinifera subsp vinifera cv. Marzemino</t>
  </si>
  <si>
    <t xml:space="preserve">Vitis vinifera subsp vinifera cv. Massecamp</t>
  </si>
  <si>
    <t xml:space="preserve">Vitis vinifera subsp vinifera cv. Mateu</t>
  </si>
  <si>
    <t xml:space="preserve">Vitis vinifera subsp vinifera cv. Mathiasz Janos Diadala muskotaly</t>
  </si>
  <si>
    <t xml:space="preserve">Vitis vinifera subsp vinifera cv. Mathiasz Janos Emleke</t>
  </si>
  <si>
    <t xml:space="preserve">Vitis vinifera subsp vinifera cv. Mathiasz Janosne</t>
  </si>
  <si>
    <t xml:space="preserve">Vitis vinifera subsp vinifera cv. Mathiasz Muskotaly = Revai tranonor</t>
  </si>
  <si>
    <t xml:space="preserve">Vitis vinifera subsp vinifera cv. Mathiasz 215 faux</t>
  </si>
  <si>
    <t xml:space="preserve">Vitis vinifera subsp vinifera cv. Maticha</t>
  </si>
  <si>
    <t xml:space="preserve">Vitis vinifera subsp vinifera cv. Matilde</t>
  </si>
  <si>
    <t xml:space="preserve">Vitis vinifera subsp vinifera cv. Matrassa</t>
  </si>
  <si>
    <t xml:space="preserve">Vitis vinifera subsp vinifera cv. Maturana</t>
  </si>
  <si>
    <t xml:space="preserve">Vitis vinifera subsp vinifera cv. Mauvaise Roussette</t>
  </si>
  <si>
    <t xml:space="preserve">Vitis vinifera subsp vinifera cv. Mauzac</t>
  </si>
  <si>
    <t xml:space="preserve">Vitis vinifera subsp vinifera cv. Mauzac noir</t>
  </si>
  <si>
    <t xml:space="preserve">Vitis vinifera subsp vinifera cv. Mauzac rose</t>
  </si>
  <si>
    <t xml:space="preserve">Vitis vinifera subsp vinifera cv. Mavro Kymis</t>
  </si>
  <si>
    <t xml:space="preserve">Vitis vinifera subsp vinifera cv. Mavrodaphni</t>
  </si>
  <si>
    <t xml:space="preserve">Vitis vinifera subsp vinifera cv. Mavrostypho</t>
  </si>
  <si>
    <t xml:space="preserve">Vitis vinifera subsp vinifera cv. Mavrotragano</t>
  </si>
  <si>
    <t xml:space="preserve">Vitis vinifera subsp vinifera cv. Mavroudi</t>
  </si>
  <si>
    <t xml:space="preserve">Vitis vinifera subsp vinifera cv. Mavrud</t>
  </si>
  <si>
    <t xml:space="preserve">Vitis vinifera subsp vinifera cv. Mavrud Varnenski</t>
  </si>
  <si>
    <t xml:space="preserve">Vitis vinifera subsp vinifera cv. Mayorquin</t>
  </si>
  <si>
    <t xml:space="preserve">Vitis vinifera subsp vinifera cv. Mazzari</t>
  </si>
  <si>
    <t xml:space="preserve">Vitis vinifera subsp vinifera cv. Mècle de Bourgoin</t>
  </si>
  <si>
    <t xml:space="preserve">Vitis vinifera subsp vinifera cv. Médoc noir</t>
  </si>
  <si>
    <t xml:space="preserve">Vitis vinifera subsp vinifera cv. Mehdik</t>
  </si>
  <si>
    <t xml:space="preserve">Vitis vinifera subsp vinifera cv. Mehlweiss</t>
  </si>
  <si>
    <t xml:space="preserve">Vitis vinifera subsp vinifera cv. Melbento</t>
  </si>
  <si>
    <t xml:space="preserve">Vitis vinifera subsp vinifera cv. Melon</t>
  </si>
  <si>
    <t xml:space="preserve">Vitis vinifera subsp vinifera cv. Melon noir</t>
  </si>
  <si>
    <t xml:space="preserve">Vitis vinifera subsp vinifera cv. Mencia</t>
  </si>
  <si>
    <t xml:space="preserve">Vitis vinifera subsp vinifera cv. Mendel = Pirovano 532</t>
  </si>
  <si>
    <t xml:space="preserve">Vitis vinifera subsp vinifera cv. Mérille</t>
  </si>
  <si>
    <t xml:space="preserve">Vitis vinifera subsp vinifera cv. Merlot</t>
  </si>
  <si>
    <t xml:space="preserve">Vitis vinifera subsp vinifera cv. Merlot blanc</t>
  </si>
  <si>
    <t xml:space="preserve">Vitis vinifera subsp vinifera cv. Merlot gris</t>
  </si>
  <si>
    <t xml:space="preserve">Vitis vinifera subsp vinifera cv. Merseguera</t>
  </si>
  <si>
    <t xml:space="preserve">Vitis vinifera subsp vinifera cv. Meslier noir</t>
  </si>
  <si>
    <t xml:space="preserve">Vitis vinifera subsp vinifera cv. Meslier Saint-François</t>
  </si>
  <si>
    <t xml:space="preserve">Vitis vinifera subsp vinifera cv. Métis Clerc</t>
  </si>
  <si>
    <t xml:space="preserve">Vitis vinifera subsp vinifera cv. Meunier</t>
  </si>
  <si>
    <t xml:space="preserve">Vitis vinifera subsp vinifera cv. Meunier Court Maillé</t>
  </si>
  <si>
    <t xml:space="preserve">Vitis vinifera subsp vinifera cv. Meunier tête de nègre</t>
  </si>
  <si>
    <t xml:space="preserve">Vitis vinifera subsp vinifera cv. Mezesfeher</t>
  </si>
  <si>
    <t xml:space="preserve">Vitis vinifera subsp vinifera cv. Mezesfekete</t>
  </si>
  <si>
    <t xml:space="preserve">Vitis vinifera subsp vinifera cv. Mezi</t>
  </si>
  <si>
    <t xml:space="preserve">Vitis vinifera subsp vinifera cv. Mgaloblichvili</t>
  </si>
  <si>
    <t xml:space="preserve">Vitis vinifera subsp vinifera cv. Michele Palieri = Palieri 5</t>
  </si>
  <si>
    <t xml:space="preserve">Vitis vinifera subsp vinifera cv. Miguel de Arco</t>
  </si>
  <si>
    <t xml:space="preserve">Vitis vinifera subsp vinifera cv. Mikveh 17</t>
  </si>
  <si>
    <t xml:space="preserve">Vitis vinifera subsp vinifera cv. Milgranet</t>
  </si>
  <si>
    <t xml:space="preserve">Vitis vinifera subsp vinifera cv. Milton</t>
  </si>
  <si>
    <t xml:space="preserve">Vitis vinifera subsp vinifera cv. Minnella bianca</t>
  </si>
  <si>
    <t xml:space="preserve">Vitis vinifera subsp vinifera cv. Mireille = Mi 108 C</t>
  </si>
  <si>
    <t xml:space="preserve">Vitis vinifera subsp vinifera cv. Mirifica = Pirovano 432</t>
  </si>
  <si>
    <t xml:space="preserve">Vitis vinifera subsp vinifera cv. Mirni</t>
  </si>
  <si>
    <t xml:space="preserve">Vitis vinifera subsp vinifera cv. Misguli kara</t>
  </si>
  <si>
    <t xml:space="preserve">Vitis vinifera subsp vinifera cv. Mishung</t>
  </si>
  <si>
    <t xml:space="preserve">Vitis vinifera subsp vinifera cv. Misket tcherven</t>
  </si>
  <si>
    <t xml:space="preserve">Vitis vinifera subsp vinifera cv. Misket vratchansky</t>
  </si>
  <si>
    <t xml:space="preserve">Vitis vinifera subsp vinifera cv. Mission</t>
  </si>
  <si>
    <t xml:space="preserve">Vitis vinifera subsp vinifera cv. Mistress Hall</t>
  </si>
  <si>
    <t xml:space="preserve">Vitis vinifera subsp vinifera cv. Mohzel</t>
  </si>
  <si>
    <t xml:space="preserve">Vitis vinifera subsp vinifera cv. Moldovanka</t>
  </si>
  <si>
    <t xml:space="preserve">Vitis vinifera subsp vinifera cv. Molette</t>
  </si>
  <si>
    <t xml:space="preserve">Vitis vinifera subsp vinifera cv. Molinara</t>
  </si>
  <si>
    <t xml:space="preserve">Vitis vinifera subsp vinifera cv. Molinera gorda</t>
  </si>
  <si>
    <t xml:space="preserve">Vitis vinifera subsp vinifera cv. Mollar</t>
  </si>
  <si>
    <t xml:space="preserve">Vitis vinifera subsp vinifera cv. Mollard</t>
  </si>
  <si>
    <t xml:space="preserve">Vitis vinifera subsp vinifera cv. Monaca</t>
  </si>
  <si>
    <t xml:space="preserve">Vitis vinifera subsp vinifera cv. Monbadon</t>
  </si>
  <si>
    <t xml:space="preserve">Vitis vinifera subsp vinifera cv. Mondeuse</t>
  </si>
  <si>
    <t xml:space="preserve">Vitis vinifera subsp vinifera cv. Mondeuse blanche</t>
  </si>
  <si>
    <t xml:space="preserve">Vitis vinifera subsp vinifera cv. Mondeuse du Piémont</t>
  </si>
  <si>
    <t xml:space="preserve">Vitis vinifera subsp vinifera cv. Mondeuse grise</t>
  </si>
  <si>
    <t xml:space="preserve">Vitis vinifera subsp vinifera cv. Monemvassia</t>
  </si>
  <si>
    <t xml:space="preserve">Vitis vinifera subsp vinifera cv. Monerac = INRA 1740-1142</t>
  </si>
  <si>
    <t xml:space="preserve">Vitis vinifera subsp vinifera cv. Monica</t>
  </si>
  <si>
    <t xml:space="preserve">Vitis vinifera subsp vinifera cv. Monique</t>
  </si>
  <si>
    <t xml:space="preserve">Vitis vinifera subsp vinifera cv. Monte d'oro = Pirovano 240</t>
  </si>
  <si>
    <t xml:space="preserve">Vitis vinifera subsp vinifera cv. Montepulciano</t>
  </si>
  <si>
    <t xml:space="preserve">Vitis vinifera subsp vinifera cv. Montils</t>
  </si>
  <si>
    <t xml:space="preserve">Vitis vinifera subsp vinifera cv. Montonico bianco</t>
  </si>
  <si>
    <t xml:space="preserve">Vitis vinifera subsp vinifera cv. Montu</t>
  </si>
  <si>
    <t xml:space="preserve">Vitis vinifera subsp vinifera cv. Montuonico</t>
  </si>
  <si>
    <t xml:space="preserve">Vitis vinifera subsp vinifera cv. Morenillo</t>
  </si>
  <si>
    <t xml:space="preserve">Vitis vinifera subsp vinifera cv. Moreto</t>
  </si>
  <si>
    <t xml:space="preserve">Vitis vinifera subsp vinifera cv. Moriot Muskat = Geilweilerhof I-28-30</t>
  </si>
  <si>
    <t xml:space="preserve">Vitis vinifera subsp vinifera cv. Morisca</t>
  </si>
  <si>
    <t xml:space="preserve">Vitis vinifera subsp vinifera cv. Morlin gris</t>
  </si>
  <si>
    <t xml:space="preserve">Vitis vinifera subsp vinifera cv. Mornen</t>
  </si>
  <si>
    <t xml:space="preserve">Vitis vinifera subsp vinifera cv. Morrastel</t>
  </si>
  <si>
    <t xml:space="preserve">Vitis vinifera subsp vinifera cv. Morrastel Bouschet à gros grains</t>
  </si>
  <si>
    <t xml:space="preserve">Vitis vinifera subsp vinifera cv. Moscatel de Camarate</t>
  </si>
  <si>
    <t xml:space="preserve">Vitis vinifera subsp vinifera cv. Moscatel de San Ildefonso</t>
  </si>
  <si>
    <t xml:space="preserve">Vitis vinifera subsp vinifera cv. Moscatel Dr Soares Franco</t>
  </si>
  <si>
    <t xml:space="preserve">Vitis vinifera subsp vinifera cv. Moscatel rosa = Leao Ferreira da Almeida 37-51-15</t>
  </si>
  <si>
    <t xml:space="preserve">Vitis vinifera subsp vinifera cv. Moscatel rosado</t>
  </si>
  <si>
    <t xml:space="preserve">Vitis vinifera subsp vinifera cv. Moscato Cerletti</t>
  </si>
  <si>
    <t xml:space="preserve">Vitis vinifera subsp vinifera cv. Moscato d'Adda</t>
  </si>
  <si>
    <t xml:space="preserve">Vitis vinifera subsp vinifera cv. Moscato giallo</t>
  </si>
  <si>
    <t xml:space="preserve">Vitis vinifera subsp vinifera cv. Moscato Tiammor = Pirovano 672</t>
  </si>
  <si>
    <t xml:space="preserve">Vitis vinifera subsp vinifera cv. Moschardina</t>
  </si>
  <si>
    <t xml:space="preserve">Vitis vinifera subsp vinifera cv. Moschopatata</t>
  </si>
  <si>
    <t xml:space="preserve">Vitis vinifera subsp vinifera cv. Mouchketny</t>
  </si>
  <si>
    <t xml:space="preserve">Vitis vinifera subsp vinifera cv. Moudjouretouli</t>
  </si>
  <si>
    <t xml:space="preserve">Vitis vinifera subsp vinifera cv. Mourisco branco</t>
  </si>
  <si>
    <t xml:space="preserve">Vitis vinifera subsp vinifera cv. Mourisco de Semente</t>
  </si>
  <si>
    <t xml:space="preserve">Vitis vinifera subsp vinifera cv. Mourisco du Minho</t>
  </si>
  <si>
    <t xml:space="preserve">Vitis vinifera subsp vinifera cv. Mourisco nacional</t>
  </si>
  <si>
    <t xml:space="preserve">Vitis vinifera subsp vinifera cv. Mourisco tinto</t>
  </si>
  <si>
    <t xml:space="preserve">Vitis vinifera subsp vinifera cv. Mourtaou</t>
  </si>
  <si>
    <t xml:space="preserve">Vitis vinifera subsp vinifera cv. Mourtès</t>
  </si>
  <si>
    <t xml:space="preserve">Vitis vinifera subsp vinifera cv. Mourvaison</t>
  </si>
  <si>
    <t xml:space="preserve">Vitis vinifera subsp vinifera cv. Mourvèdre</t>
  </si>
  <si>
    <t xml:space="preserve">Vitis vinifera subsp vinifera cv. Mourvèdre gris</t>
  </si>
  <si>
    <t xml:space="preserve">Vitis vinifera subsp vinifera cv. Mouscha</t>
  </si>
  <si>
    <t xml:space="preserve">Vitis vinifera subsp vinifera cv. Mouyssaguès</t>
  </si>
  <si>
    <t xml:space="preserve">Vitis vinifera subsp vinifera cv. Mskhali</t>
  </si>
  <si>
    <t xml:space="preserve">Vitis vinifera subsp vinifera cv. Mtzvané</t>
  </si>
  <si>
    <t xml:space="preserve">Vitis vinifera subsp vinifera cv. Mulata = Leao Ferreira da Almeida 11-48-49</t>
  </si>
  <si>
    <t xml:space="preserve">Vitis vinifera subsp vinifera cv. Müller-Thurgau</t>
  </si>
  <si>
    <t xml:space="preserve">Vitis vinifera subsp vinifera cv. Munkatsy Jozsef Muskotaly</t>
  </si>
  <si>
    <t xml:space="preserve">Vitis vinifera subsp vinifera cv. Muresconu = Morescono</t>
  </si>
  <si>
    <t xml:space="preserve">Vitis vinifera subsp vinifera cv. Mureto</t>
  </si>
  <si>
    <t xml:space="preserve">Vitis vinifera subsp vinifera cv. Murrâo</t>
  </si>
  <si>
    <t xml:space="preserve">Vitis vinifera subsp vinifera cv. Muscadelle</t>
  </si>
  <si>
    <t xml:space="preserve">Vitis vinifera subsp vinifera cv. Muscardin</t>
  </si>
  <si>
    <t xml:space="preserve">Vitis vinifera subsp vinifera cv. Muscat à petits grains blancs</t>
  </si>
  <si>
    <t xml:space="preserve">Vitis vinifera subsp vinifera cv. Muscat à petits grains roses</t>
  </si>
  <si>
    <t xml:space="preserve">Vitis vinifera subsp vinifera cv. Muscat à petits grains rouges</t>
  </si>
  <si>
    <t xml:space="preserve">Vitis vinifera subsp vinifera cv. Muscat bifère</t>
  </si>
  <si>
    <t xml:space="preserve">Vitis vinifera subsp vinifera cv. Muscat Bouschet</t>
  </si>
  <si>
    <t xml:space="preserve">Vitis vinifera subsp vinifera cv. Muscat cendré</t>
  </si>
  <si>
    <t xml:space="preserve">Vitis vinifera subsp vinifera cv. Muscat d'Alexandrie</t>
  </si>
  <si>
    <t xml:space="preserve">Vitis vinifera subsp vinifera cv. Muscat d'Alexandrie rouge</t>
  </si>
  <si>
    <t xml:space="preserve">Vitis vinifera subsp vinifera cv. Muscat de Hambourg</t>
  </si>
  <si>
    <t xml:space="preserve">Vitis vinifera subsp vinifera cv. Muscat de Pantelleria</t>
  </si>
  <si>
    <t xml:space="preserve">Vitis vinifera subsp vinifera cv. Muscat de Roussé</t>
  </si>
  <si>
    <t xml:space="preserve">Vitis vinifera subsp vinifera cv. Muscat de Sarbelle</t>
  </si>
  <si>
    <t xml:space="preserve">Vitis vinifera subsp vinifera cv. Muscat de Saumur</t>
  </si>
  <si>
    <t xml:space="preserve">Vitis vinifera subsp vinifera cv. Muscat de Terracina</t>
  </si>
  <si>
    <t xml:space="preserve">Vitis vinifera subsp vinifera cv. Muscat d'Eisenstadt</t>
  </si>
  <si>
    <t xml:space="preserve">Vitis vinifera subsp vinifera cv. Muscat d'Istamboul</t>
  </si>
  <si>
    <t xml:space="preserve">Vitis vinifera subsp vinifera cv. Muscat d'Ouzbekistan</t>
  </si>
  <si>
    <t xml:space="preserve">Vitis vinifera subsp vinifera cv. Muscat fleur d'oranger</t>
  </si>
  <si>
    <t xml:space="preserve">Vitis vinifera subsp vinifera cv. Muscat fleur d'oranger faux</t>
  </si>
  <si>
    <t xml:space="preserve">Vitis vinifera subsp vinifera cv. Muscat gris de la Calmette</t>
  </si>
  <si>
    <t xml:space="preserve">Vitis vinifera subsp vinifera cv. Muscat Laserelle</t>
  </si>
  <si>
    <t xml:space="preserve">Vitis vinifera subsp vinifera cv. Muscat Lierval</t>
  </si>
  <si>
    <t xml:space="preserve">Vitis vinifera subsp vinifera cv. Muscat Madresfield Court</t>
  </si>
  <si>
    <t xml:space="preserve">Vitis vinifera subsp vinifera cv. Muscat Mikveh</t>
  </si>
  <si>
    <t xml:space="preserve">Vitis vinifera subsp vinifera cv. Muscat Oberlin</t>
  </si>
  <si>
    <t xml:space="preserve">Vitis vinifera subsp vinifera cv. Muscat Ottonel</t>
  </si>
  <si>
    <t xml:space="preserve">Vitis vinifera subsp vinifera cv. Muscat Paulsen = Paulsen 122</t>
  </si>
  <si>
    <t xml:space="preserve">Vitis vinifera subsp vinifera cv. Muscat Pince's black</t>
  </si>
  <si>
    <t xml:space="preserve">Vitis vinifera subsp vinifera cv. Muscat rouge de Madère</t>
  </si>
  <si>
    <t xml:space="preserve">Vitis vinifera subsp vinifera cv. Muscat Saint-Laurent</t>
  </si>
  <si>
    <t xml:space="preserve">Vitis vinifera subsp vinifera cv. Muscat Salomon</t>
  </si>
  <si>
    <t xml:space="preserve">Vitis vinifera subsp vinifera cv. Muscat Vira</t>
  </si>
  <si>
    <t xml:space="preserve">Vitis vinifera subsp vinifera cv. Muscat Vörösmarty</t>
  </si>
  <si>
    <t xml:space="preserve">Vitis vinifera subsp vinifera cv. Muskat blume</t>
  </si>
  <si>
    <t xml:space="preserve">Vitis vinifera subsp vinifera cv. Muskat bouquet</t>
  </si>
  <si>
    <t xml:space="preserve">Vitis vinifera subsp vinifera cv. Müsküle</t>
  </si>
  <si>
    <t xml:space="preserve">Vitis vinifera subsp vinifera cv. Mustos feher</t>
  </si>
  <si>
    <t xml:space="preserve">Vitis vinifera subsp vinifera cv. Nagyfüger</t>
  </si>
  <si>
    <t xml:space="preserve">Vitis vinifera subsp vinifera cv. Naosé</t>
  </si>
  <si>
    <t xml:space="preserve">Vitis vinifera subsp vinifera cv. Narince</t>
  </si>
  <si>
    <t xml:space="preserve">Vitis vinifera subsp vinifera cv. Narma</t>
  </si>
  <si>
    <t xml:space="preserve">Vitis vinifera subsp vinifera cv. Nasco</t>
  </si>
  <si>
    <t xml:space="preserve">Vitis vinifera subsp vinifera cv. Nave</t>
  </si>
  <si>
    <t xml:space="preserve">Vitis vinifera subsp vinifera cv. Nebbiolo</t>
  </si>
  <si>
    <t xml:space="preserve">Vitis vinifera subsp vinifera cv. Nedelcsev magvatlana</t>
  </si>
  <si>
    <t xml:space="preserve">Vitis vinifera subsp vinifera cv. Nedeltchev VI-4</t>
  </si>
  <si>
    <t xml:space="preserve">Vitis vinifera subsp vinifera cv. Nedeltchev V-6</t>
  </si>
  <si>
    <t xml:space="preserve">Vitis vinifera subsp vinifera cv. Negra corriente</t>
  </si>
  <si>
    <t xml:space="preserve">Vitis vinifera subsp vinifera cv. Negra mole</t>
  </si>
  <si>
    <t xml:space="preserve">Vitis vinifera subsp vinifera cv. Negra rayada</t>
  </si>
  <si>
    <t xml:space="preserve">Vitis vinifera subsp vinifera cv. Negral</t>
  </si>
  <si>
    <t xml:space="preserve">Vitis vinifera subsp vinifera cv. Negrara trentina</t>
  </si>
  <si>
    <t xml:space="preserve">Vitis vinifera subsp vinifera cv. Negrara veronese</t>
  </si>
  <si>
    <t xml:space="preserve">Vitis vinifera subsp vinifera cv. Négret de Banhars</t>
  </si>
  <si>
    <t xml:space="preserve">Vitis vinifera subsp vinifera cv. Négret de la Canourgue</t>
  </si>
  <si>
    <t xml:space="preserve">Vitis vinifera subsp vinifera cv. Négret pointu</t>
  </si>
  <si>
    <t xml:space="preserve">Vitis vinifera subsp vinifera cv. Négrette</t>
  </si>
  <si>
    <t xml:space="preserve">Vitis vinifera subsp vinifera cv. Negretto</t>
  </si>
  <si>
    <t xml:space="preserve">Vitis vinifera subsp vinifera cv. Negro amaro</t>
  </si>
  <si>
    <t xml:space="preserve">Vitis vinifera subsp vinifera cv. Negro mouro</t>
  </si>
  <si>
    <t xml:space="preserve">Vitis vinifera subsp vinifera cv. Negronza</t>
  </si>
  <si>
    <t xml:space="preserve">Vitis vinifera subsp vinifera cv. Negru de Causani</t>
  </si>
  <si>
    <t xml:space="preserve">Vitis vinifera subsp vinifera cv. Negru mare</t>
  </si>
  <si>
    <t xml:space="preserve">Vitis vinifera subsp vinifera cv. Negru moale</t>
  </si>
  <si>
    <t xml:space="preserve">Vitis vinifera subsp vinifera cv. Negru virtos</t>
  </si>
  <si>
    <t xml:space="preserve">Vitis vinifera subsp vinifera cv. Nehelescol</t>
  </si>
  <si>
    <t xml:space="preserve">Vitis vinifera subsp vinifera cv. Nemorin</t>
  </si>
  <si>
    <t xml:space="preserve">Vitis vinifera subsp vinifera cv. Nerello cappucio</t>
  </si>
  <si>
    <t xml:space="preserve">Vitis vinifera subsp vinifera cv. Nerello mascalese</t>
  </si>
  <si>
    <t xml:space="preserve">Vitis vinifera subsp vinifera cv. Neretta cuneese</t>
  </si>
  <si>
    <t xml:space="preserve">Vitis vinifera subsp vinifera cv. Neretto di Bairo</t>
  </si>
  <si>
    <t xml:space="preserve">Vitis vinifera subsp vinifera cv. Neretto grosso monregalese</t>
  </si>
  <si>
    <t xml:space="preserve">Vitis vinifera subsp vinifera cv. Nerona</t>
  </si>
  <si>
    <t xml:space="preserve">Vitis vinifera subsp vinifera cv. Netter</t>
  </si>
  <si>
    <t xml:space="preserve">Vitis vinifera subsp vinifera cv. Neuburger</t>
  </si>
  <si>
    <t xml:space="preserve">Vitis vinifera subsp vinifera cv. Neuburger (Roumanie)</t>
  </si>
  <si>
    <t xml:space="preserve">Vitis vinifera subsp vinifera cv. Nieddera</t>
  </si>
  <si>
    <t xml:space="preserve">Vitis vinifera subsp vinifera cv. Nieddu mannu gris</t>
  </si>
  <si>
    <t xml:space="preserve">Vitis vinifera subsp vinifera cv. Nielluccio</t>
  </si>
  <si>
    <t xml:space="preserve">Vitis vinifera subsp vinifera cv. Niger = Pirovano 486</t>
  </si>
  <si>
    <t xml:space="preserve">Vitis vinifera subsp vinifera cv. Nimrang</t>
  </si>
  <si>
    <t xml:space="preserve">Vitis vinifera subsp vinifera cv. Nimrang rouge</t>
  </si>
  <si>
    <t xml:space="preserve">Vitis vinifera subsp vinifera cv. Nincusa</t>
  </si>
  <si>
    <t xml:space="preserve">Vitis vinifera subsp vinifera cv. Niou-Sin</t>
  </si>
  <si>
    <t xml:space="preserve">Vitis vinifera subsp vinifera cv. Nobling = 128-40 Fribourg</t>
  </si>
  <si>
    <t xml:space="preserve">Vitis vinifera subsp vinifera cv. Nocera</t>
  </si>
  <si>
    <t xml:space="preserve">Vitis vinifera subsp vinifera cv. Noé</t>
  </si>
  <si>
    <t xml:space="preserve">Vitis vinifera subsp vinifera cv. Nogier 58-1</t>
  </si>
  <si>
    <t xml:space="preserve">Vitis vinifera subsp vinifera cv. Noir Fleurien</t>
  </si>
  <si>
    <t xml:space="preserve">Vitis vinifera subsp vinifera cv. Noir Glady</t>
  </si>
  <si>
    <t xml:space="preserve">Vitis vinifera subsp vinifera cv. Noir hâtif de Marseille</t>
  </si>
  <si>
    <t xml:space="preserve">Vitis vinifera subsp vinifera cv. Nosiola</t>
  </si>
  <si>
    <t xml:space="preserve">Vitis vinifera subsp vinifera cv. Noual</t>
  </si>
  <si>
    <t xml:space="preserve">Vitis vinifera subsp vinifera cv. Noulisok</t>
  </si>
  <si>
    <t xml:space="preserve">Vitis vinifera subsp vinifera cv. Novraste</t>
  </si>
  <si>
    <t xml:space="preserve">Vitis vinifera subsp vinifera cv. Nuno gomes</t>
  </si>
  <si>
    <t xml:space="preserve">Vitis vinifera subsp vinifera cv. Nuragus</t>
  </si>
  <si>
    <t xml:space="preserve">Vitis vinifera subsp vinifera cv. Obak bieli</t>
  </si>
  <si>
    <t xml:space="preserve">Vitis vinifera subsp vinifera cv. Obeidi</t>
  </si>
  <si>
    <t xml:space="preserve">Vitis vinifera subsp vinifera cv. Odem</t>
  </si>
  <si>
    <t xml:space="preserve">Vitis vinifera subsp vinifera cv. Odesky tcherny</t>
  </si>
  <si>
    <t xml:space="preserve">Vitis vinifera subsp vinifera cv. Odjalechi</t>
  </si>
  <si>
    <t xml:space="preserve">Vitis vinifera subsp vinifera cv. Odjou batak</t>
  </si>
  <si>
    <t xml:space="preserve">Vitis vinifera subsp vinifera cv. Odola</t>
  </si>
  <si>
    <t xml:space="preserve">Vitis vinifera subsp vinifera cv. Oeillade Bouschet n°1</t>
  </si>
  <si>
    <t xml:space="preserve">Vitis vinifera subsp vinifera cv. Oeillade bouschet n°4</t>
  </si>
  <si>
    <t xml:space="preserve">Vitis vinifera subsp vinifera cv. Oeillade noire</t>
  </si>
  <si>
    <t xml:space="preserve">Vitis vinifera subsp vinifera cv. Ofner</t>
  </si>
  <si>
    <t xml:space="preserve">Vitis vinifera subsp vinifera cv. Ohanès</t>
  </si>
  <si>
    <t xml:space="preserve">Vitis vinifera subsp vinifera cv. Okatac</t>
  </si>
  <si>
    <t xml:space="preserve">Vitis vinifera subsp vinifera cv. Oktiabrskii</t>
  </si>
  <si>
    <t xml:space="preserve">Vitis vinifera subsp vinifera cv. Öküz gözü</t>
  </si>
  <si>
    <t xml:space="preserve">Vitis vinifera subsp vinifera cv. Öküz gözü par erreur</t>
  </si>
  <si>
    <t xml:space="preserve">Vitis vinifera subsp vinifera cv. Olasz kadarka</t>
  </si>
  <si>
    <t xml:space="preserve">Vitis vinifera subsp vinifera cv. Olber weiss</t>
  </si>
  <si>
    <t xml:space="preserve">Vitis vinifera subsp vinifera cv. Olho de cocco</t>
  </si>
  <si>
    <t xml:space="preserve">Vitis vinifera subsp vinifera cv. Olho de Pargo</t>
  </si>
  <si>
    <t xml:space="preserve">Vitis vinifera subsp vinifera cv. Olivette Barthelet</t>
  </si>
  <si>
    <t xml:space="preserve">Vitis vinifera subsp vinifera cv. Olivette blanche</t>
  </si>
  <si>
    <t xml:space="preserve">Vitis vinifera subsp vinifera cv. Olivette noire</t>
  </si>
  <si>
    <t xml:space="preserve">Vitis vinifera subsp vinifera cv. Olivette rose</t>
  </si>
  <si>
    <t xml:space="preserve">Vitis vinifera subsp vinifera cv. Om Reu</t>
  </si>
  <si>
    <t xml:space="preserve">Vitis vinifera subsp vinifera cv. Onchette</t>
  </si>
  <si>
    <t xml:space="preserve">Vitis vinifera subsp vinifera cv. Ondenc</t>
  </si>
  <si>
    <t xml:space="preserve">Vitis vinifera subsp vinifera cv. Onusta</t>
  </si>
  <si>
    <t xml:space="preserve">Vitis vinifera subsp vinifera cv. Opale = Pirovano 213</t>
  </si>
  <si>
    <t xml:space="preserve">Vitis vinifera subsp vinifera cv. Oporto feher</t>
  </si>
  <si>
    <t xml:space="preserve">Vitis vinifera subsp vinifera cv. Oporto szürke</t>
  </si>
  <si>
    <t xml:space="preserve">Vitis vinifera subsp vinifera cv. Opsimos Edessis</t>
  </si>
  <si>
    <t xml:space="preserve">Vitis vinifera subsp vinifera cv. Optima = Geilweilerhof 33-13-113</t>
  </si>
  <si>
    <t xml:space="preserve">Vitis vinifera subsp vinifera cv. Ora = INRA 2403-3</t>
  </si>
  <si>
    <t xml:space="preserve">Vitis vinifera subsp vinifera cv. Orangetraube</t>
  </si>
  <si>
    <t xml:space="preserve">Vitis vinifera subsp vinifera cv. Orbois = Arbois</t>
  </si>
  <si>
    <t xml:space="preserve">Vitis vinifera subsp vinifera cv. Org tokos</t>
  </si>
  <si>
    <t xml:space="preserve">Vitis vinifera subsp vinifera cv. Orléans jaune</t>
  </si>
  <si>
    <t xml:space="preserve">Vitis vinifera subsp vinifera cv. Orlovi nogti</t>
  </si>
  <si>
    <t xml:space="preserve">Vitis vinifera subsp vinifera cv. Orlovi nokti cerni</t>
  </si>
  <si>
    <t xml:space="preserve">Vitis vinifera subsp vinifera cv. Ornove</t>
  </si>
  <si>
    <t xml:space="preserve">Vitis vinifera subsp vinifera cv. Ornove 2</t>
  </si>
  <si>
    <t xml:space="preserve">Vitis vinifera subsp vinifera cv. Örrökké piros</t>
  </si>
  <si>
    <t xml:space="preserve">Vitis vinifera subsp vinifera cv. Ortega = Würzburg B 48-21-4</t>
  </si>
  <si>
    <t xml:space="preserve">Vitis vinifera subsp vinifera cv. Ortrugo</t>
  </si>
  <si>
    <t xml:space="preserve">Vitis vinifera subsp vinifera cv. Otcha bala</t>
  </si>
  <si>
    <t xml:space="preserve">Vitis vinifera subsp vinifera cv. Ötfürtü</t>
  </si>
  <si>
    <t xml:space="preserve">Vitis vinifera subsp vinifera cv. Oul b'Ouzgueur</t>
  </si>
  <si>
    <t xml:space="preserve">Vitis vinifera subsp vinifera cv. Ouliven</t>
  </si>
  <si>
    <t xml:space="preserve">Vitis vinifera subsp vinifera cv. Ouroum üzümü</t>
  </si>
  <si>
    <t xml:space="preserve">Vitis vinifera subsp vinifera cv. Oussakheloouri</t>
  </si>
  <si>
    <t xml:space="preserve">Vitis vinifera subsp vinifera cv. Outanant</t>
  </si>
  <si>
    <t xml:space="preserve">Vitis vinifera subsp vinifera cv. Ovis</t>
  </si>
  <si>
    <t xml:space="preserve">Vitis vinifera subsp vinifera cv. Ozaan Daii</t>
  </si>
  <si>
    <t xml:space="preserve">Vitis vinifera subsp vinifera cv. Padeiro de Basto</t>
  </si>
  <si>
    <t xml:space="preserve">Vitis vinifera subsp vinifera cv. Pagadebiti</t>
  </si>
  <si>
    <t xml:space="preserve">Vitis vinifera subsp vinifera cv. Pagadebito</t>
  </si>
  <si>
    <t xml:space="preserve">Vitis vinifera subsp vinifera cv. Païs</t>
  </si>
  <si>
    <t xml:space="preserve">Vitis vinifera subsp vinifera cv. Palarusa</t>
  </si>
  <si>
    <t xml:space="preserve">Vitis vinifera subsp vinifera cv. Palestina Oberlin I</t>
  </si>
  <si>
    <t xml:space="preserve">Vitis vinifera subsp vinifera cv. Palestina Oberlin II</t>
  </si>
  <si>
    <t xml:space="preserve">Vitis vinifera subsp vinifera cv. Palestina Oberlin III</t>
  </si>
  <si>
    <t xml:space="preserve">Vitis vinifera subsp vinifera cv. Pallagrello nero</t>
  </si>
  <si>
    <t xml:space="preserve">Vitis vinifera subsp vinifera cv. Pamid</t>
  </si>
  <si>
    <t xml:space="preserve">Vitis vinifera subsp vinifera cv. Pamid bial</t>
  </si>
  <si>
    <t xml:space="preserve">Vitis vinifera subsp vinifera cv. Pamid siv</t>
  </si>
  <si>
    <t xml:space="preserve">Vitis vinifera subsp vinifera cv. Pamid tcher</t>
  </si>
  <si>
    <t xml:space="preserve">Vitis vinifera subsp vinifera cv. Pamidi</t>
  </si>
  <si>
    <t xml:space="preserve">Vitis vinifera subsp vinifera cv. Pannonia kincse</t>
  </si>
  <si>
    <t xml:space="preserve">Vitis vinifera subsp vinifera cv. Panse précoce</t>
  </si>
  <si>
    <t xml:space="preserve">Vitis vinifera subsp vinifera cv. Pansera</t>
  </si>
  <si>
    <t xml:space="preserve">Vitis vinifera subsp vinifera cv. Papadiko</t>
  </si>
  <si>
    <t xml:space="preserve">Vitis vinifera subsp vinifera cv. Papasca neagra</t>
  </si>
  <si>
    <t xml:space="preserve">Vitis vinifera subsp vinifera cv. Papaskarasi</t>
  </si>
  <si>
    <t xml:space="preserve">Vitis vinifera subsp vinifera cv. Paradisa</t>
  </si>
  <si>
    <t xml:space="preserve">Vitis vinifera subsp vinifera cv. Pardillo</t>
  </si>
  <si>
    <t xml:space="preserve">Vitis vinifera subsp vinifera cv. Pardina = Pirovano 130</t>
  </si>
  <si>
    <t xml:space="preserve">Vitis vinifera subsp vinifera cv. Pardotte</t>
  </si>
  <si>
    <t xml:space="preserve">Vitis vinifera subsp vinifera cv. Parduca</t>
  </si>
  <si>
    <t xml:space="preserve">Vitis vinifera subsp vinifera cv. Parellada</t>
  </si>
  <si>
    <t xml:space="preserve">Vitis vinifera subsp vinifera cv. Pariano</t>
  </si>
  <si>
    <t xml:space="preserve">Vitis vinifera subsp vinifera cv. Parkent</t>
  </si>
  <si>
    <t xml:space="preserve">Vitis vinifera subsp vinifera cv. Pascal</t>
  </si>
  <si>
    <t xml:space="preserve">Vitis vinifera subsp vinifera cv. Pascale di Cagliari</t>
  </si>
  <si>
    <t xml:space="preserve">Vitis vinifera subsp vinifera cv. Pasiga</t>
  </si>
  <si>
    <t xml:space="preserve">Vitis vinifera subsp vinifera cv. Patagonia</t>
  </si>
  <si>
    <t xml:space="preserve">Vitis vinifera subsp vinifera cv. Pattaresco</t>
  </si>
  <si>
    <t xml:space="preserve">Vitis vinifera subsp vinifera cv. Patte d'oie</t>
  </si>
  <si>
    <t xml:space="preserve">Vitis vinifera subsp vinifera cv. Pau Ferro</t>
  </si>
  <si>
    <t xml:space="preserve">Vitis vinifera subsp vinifera cv. Paulsen 157</t>
  </si>
  <si>
    <t xml:space="preserve">Vitis vinifera subsp vinifera cv. Pavana</t>
  </si>
  <si>
    <t xml:space="preserve">Vitis vinifera subsp vinifera cv. Pé de Perdiz</t>
  </si>
  <si>
    <t xml:space="preserve">Vitis vinifera subsp vinifera cv. Pé de Perdrix</t>
  </si>
  <si>
    <t xml:space="preserve">Vitis vinifera subsp vinifera cv. Peck</t>
  </si>
  <si>
    <t xml:space="preserve">Vitis vinifera subsp vinifera cv. Pecorino</t>
  </si>
  <si>
    <t xml:space="preserve">Vitis vinifera subsp vinifera cv. Pecsi dinka</t>
  </si>
  <si>
    <t xml:space="preserve">Vitis vinifera subsp vinifera cv. Pecsi Szagos</t>
  </si>
  <si>
    <t xml:space="preserve">Vitis vinifera subsp vinifera cv. Pedevenda</t>
  </si>
  <si>
    <t xml:space="preserve">Vitis vinifera subsp vinifera cv. Pedro Gimenez faux</t>
  </si>
  <si>
    <t xml:space="preserve">Vitis vinifera subsp vinifera cv. Pedro Jimenez</t>
  </si>
  <si>
    <t xml:space="preserve">Vitis vinifera subsp vinifera cv. Pedro Luis</t>
  </si>
  <si>
    <t xml:space="preserve">Vitis vinifera subsp vinifera cv. Pedrol</t>
  </si>
  <si>
    <t xml:space="preserve">Vitis vinifera subsp vinifera cv. Peikani</t>
  </si>
  <si>
    <t xml:space="preserve">Vitis vinifera subsp vinifera cv. Peince</t>
  </si>
  <si>
    <t xml:space="preserve">Vitis vinifera subsp vinifera cv. Peloursin</t>
  </si>
  <si>
    <t xml:space="preserve">Vitis vinifera subsp vinifera cv. Peloursin gris</t>
  </si>
  <si>
    <t xml:space="preserve">Vitis vinifera subsp vinifera cv. Penouille</t>
  </si>
  <si>
    <t xml:space="preserve">Vitis vinifera subsp vinifera cv. Perdea</t>
  </si>
  <si>
    <t xml:space="preserve">Vitis vinifera subsp vinifera cv. Perel</t>
  </si>
  <si>
    <t xml:space="preserve">Vitis vinifera subsp vinifera cv. Pergolese</t>
  </si>
  <si>
    <t xml:space="preserve">Vitis vinifera subsp vinifera cv. Pergrandis = Pirovano 388</t>
  </si>
  <si>
    <t xml:space="preserve">Vitis vinifera subsp vinifera cv. Periquita</t>
  </si>
  <si>
    <t xml:space="preserve">Vitis vinifera subsp vinifera cv. Perla nera = Pirovano 218</t>
  </si>
  <si>
    <t xml:space="preserve">Vitis vinifera subsp vinifera cv. Perlaut = INRA 669-45</t>
  </si>
  <si>
    <t xml:space="preserve">Vitis vinifera subsp vinifera cv. Perle = Scheu 3951</t>
  </si>
  <si>
    <t xml:space="preserve">Vitis vinifera subsp vinifera cv. Perle de Csaba</t>
  </si>
  <si>
    <t xml:space="preserve">Vitis vinifera subsp vinifera cv. Perle de Csaba rouge</t>
  </si>
  <si>
    <t xml:space="preserve">Vitis vinifera subsp vinifera cv. Perle impériale blanche</t>
  </si>
  <si>
    <t xml:space="preserve">Vitis vinifera subsp vinifera cv. Perlette</t>
  </si>
  <si>
    <t xml:space="preserve">Vitis vinifera subsp vinifera cv. Perlon</t>
  </si>
  <si>
    <t xml:space="preserve">Vitis vinifera subsp vinifera cv. Perlona = Pirovano 54</t>
  </si>
  <si>
    <t xml:space="preserve">Vitis vinifera subsp vinifera cv. Perola da Gestosa</t>
  </si>
  <si>
    <t xml:space="preserve">Vitis vinifera subsp vinifera cv. Perricone</t>
  </si>
  <si>
    <t xml:space="preserve">Vitis vinifera subsp vinifera cv. Perrier noir</t>
  </si>
  <si>
    <t xml:space="preserve">Vitis vinifera subsp vinifera cv. Perrum</t>
  </si>
  <si>
    <t xml:space="preserve">Vitis vinifera subsp vinifera cv. Perruno</t>
  </si>
  <si>
    <t xml:space="preserve">Vitis vinifera subsp vinifera cv. Persagne grise</t>
  </si>
  <si>
    <t xml:space="preserve">Vitis vinifera subsp vinifera cv. Persan</t>
  </si>
  <si>
    <t xml:space="preserve">Vitis vinifera subsp vinifera cv. Pervenetz praskoveisky</t>
  </si>
  <si>
    <t xml:space="preserve">Vitis vinifera subsp vinifera cv. Petinos</t>
  </si>
  <si>
    <t xml:space="preserve">Vitis vinifera subsp vinifera cv. Petit Blanchou</t>
  </si>
  <si>
    <t xml:space="preserve">Vitis vinifera subsp vinifera cv. Petit Bouschet</t>
  </si>
  <si>
    <t xml:space="preserve">Vitis vinifera subsp vinifera cv. Petit Bouschet à feuilles de Malvoisie</t>
  </si>
  <si>
    <t xml:space="preserve">Vitis vinifera subsp vinifera cv. Petit Bouschet à feuilles lisses x Aramon n°2</t>
  </si>
  <si>
    <t xml:space="preserve">Vitis vinifera subsp vinifera cv. Petit Bouschet à feuilles lisses x Aramon n°3</t>
  </si>
  <si>
    <t xml:space="preserve">Vitis vinifera subsp vinifera cv. Petit Bouschet à feuilles lisses x Aramon n°5</t>
  </si>
  <si>
    <t xml:space="preserve">Vitis vinifera subsp vinifera cv. Petit Bouschet extra fertile</t>
  </si>
  <si>
    <t xml:space="preserve">Vitis vinifera subsp vinifera cv. Petit Bouschet x Aramon n°1</t>
  </si>
  <si>
    <t xml:space="preserve">Vitis vinifera subsp vinifera cv. Petit Bouschet x Aramon n°2</t>
  </si>
  <si>
    <t xml:space="preserve">Vitis vinifera subsp vinifera cv. Petit Bouschet x Aramon n°4</t>
  </si>
  <si>
    <t xml:space="preserve">Vitis vinifera subsp vinifera cv. Petit Bouschet x Aramon n°6</t>
  </si>
  <si>
    <t xml:space="preserve">Vitis vinifera subsp vinifera cv. Petit Bouschet x Aramon n°7</t>
  </si>
  <si>
    <t xml:space="preserve">Vitis vinifera subsp vinifera cv. Petit Bouschet x Aramon n°8</t>
  </si>
  <si>
    <t xml:space="preserve">Vitis vinifera subsp vinifera cv. Petit Bouschet x Aramon n°9</t>
  </si>
  <si>
    <t xml:space="preserve">Vitis vinifera subsp vinifera cv. Petit Bouschet x Morrastel fleuri n°1</t>
  </si>
  <si>
    <t xml:space="preserve">Vitis vinifera subsp vinifera cv. Petit Bouschet x Morrastel n°3</t>
  </si>
  <si>
    <t xml:space="preserve">Vitis vinifera subsp vinifera cv. Petit Bouschet x Morrastel n°7</t>
  </si>
  <si>
    <t xml:space="preserve">Vitis vinifera subsp vinifera cv. Petit Bouschet x Piquepoul n°2</t>
  </si>
  <si>
    <t xml:space="preserve">Vitis vinifera subsp vinifera cv. Petit Bouschet x Terret gris</t>
  </si>
  <si>
    <t xml:space="preserve">Vitis vinifera subsp vinifera cv. Petit Courbu</t>
  </si>
  <si>
    <t xml:space="preserve">Vitis vinifera subsp vinifera cv. Petit Manseng</t>
  </si>
  <si>
    <t xml:space="preserve">Vitis vinifera subsp vinifera cv. Petit Meslier</t>
  </si>
  <si>
    <t xml:space="preserve">Vitis vinifera subsp vinifera cv. Petit Meslier rose</t>
  </si>
  <si>
    <t xml:space="preserve">Vitis vinifera subsp vinifera cv. Petit Péjac</t>
  </si>
  <si>
    <t xml:space="preserve">Vitis vinifera subsp vinifera cv. Petit rouge</t>
  </si>
  <si>
    <t xml:space="preserve">Vitis vinifera subsp vinifera cv. Petit Verdot</t>
  </si>
  <si>
    <t xml:space="preserve">Vitis vinifera subsp vinifera cv. Pétoin</t>
  </si>
  <si>
    <t xml:space="preserve">Vitis vinifera subsp vinifera cv. Peurion</t>
  </si>
  <si>
    <t xml:space="preserve">Vitis vinifera subsp vinifera cv. Peverella</t>
  </si>
  <si>
    <t xml:space="preserve">Vitis vinifera subsp vinifera cv. Peygamber üzümü</t>
  </si>
  <si>
    <t xml:space="preserve">Vitis vinifera subsp vinifera cv. Phakhri</t>
  </si>
  <si>
    <t xml:space="preserve">Vitis vinifera subsp vinifera cv. Phidia</t>
  </si>
  <si>
    <t xml:space="preserve">Vitis vinifera subsp vinifera cv. Phileri attikis</t>
  </si>
  <si>
    <t xml:space="preserve">Vitis vinifera subsp vinifera cv. Phileri rose</t>
  </si>
  <si>
    <t xml:space="preserve">Vitis vinifera subsp vinifera cv. Phileri rose musqué</t>
  </si>
  <si>
    <t xml:space="preserve">Vitis vinifera subsp vinifera cv. Phokiano</t>
  </si>
  <si>
    <t xml:space="preserve">Vitis vinifera subsp vinifera cv. Phraoula rose</t>
  </si>
  <si>
    <t xml:space="preserve">Vitis vinifera subsp vinifera cv. Picadillo blanco</t>
  </si>
  <si>
    <t xml:space="preserve">Vitis vinifera subsp vinifera cv. Picardan = Araignan blanc</t>
  </si>
  <si>
    <t xml:space="preserve">Vitis vinifera subsp vinifera cv. Piccola nera</t>
  </si>
  <si>
    <t xml:space="preserve">Vitis vinifera subsp vinifera cv. Piccolit</t>
  </si>
  <si>
    <t xml:space="preserve">Vitis vinifera subsp vinifera cv. Picolin</t>
  </si>
  <si>
    <t xml:space="preserve">Vitis vinifera subsp vinifera cv. Piedirosso</t>
  </si>
  <si>
    <t xml:space="preserve">Vitis vinifera subsp vinifera cv. Pigeonnet</t>
  </si>
  <si>
    <t xml:space="preserve">Vitis vinifera subsp vinifera cv. Pignol</t>
  </si>
  <si>
    <t xml:space="preserve">Vitis vinifera subsp vinifera cv. Pignola valtellinese</t>
  </si>
  <si>
    <t xml:space="preserve">Vitis vinifera subsp vinifera cv. Piment</t>
  </si>
  <si>
    <t xml:space="preserve">Vitis vinifera subsp vinifera cv. Pin el pou Tao</t>
  </si>
  <si>
    <t xml:space="preserve">Vitis vinifera subsp vinifera cv. Pineau d'Aunis</t>
  </si>
  <si>
    <t xml:space="preserve">Vitis vinifera subsp vinifera cv. Pineau d'Aunis teinturier</t>
  </si>
  <si>
    <t xml:space="preserve">Vitis vinifera subsp vinifera cv. Pinella bianca</t>
  </si>
  <si>
    <t xml:space="preserve">Vitis vinifera subsp vinifera cv. Pinot à fleurs doubles</t>
  </si>
  <si>
    <t xml:space="preserve">Vitis vinifera subsp vinifera cv. Pinot blanc</t>
  </si>
  <si>
    <t xml:space="preserve">Vitis vinifera subsp vinifera cv. Pinot gris</t>
  </si>
  <si>
    <t xml:space="preserve">Vitis vinifera subsp vinifera cv. Pinot lacinifolié</t>
  </si>
  <si>
    <t xml:space="preserve">Vitis vinifera subsp vinifera cv. Pinot noir</t>
  </si>
  <si>
    <t xml:space="preserve">Vitis vinifera subsp vinifera cv. Pinot précoce noir</t>
  </si>
  <si>
    <t xml:space="preserve">Vitis vinifera subsp vinifera cv. Pinot rouge</t>
  </si>
  <si>
    <t xml:space="preserve">Vitis vinifera subsp vinifera cv. Pinot teinturier</t>
  </si>
  <si>
    <t xml:space="preserve">Vitis vinifera subsp vinifera cv. Pinot tête de nègre</t>
  </si>
  <si>
    <t xml:space="preserve">Vitis vinifera subsp vinifera cv. Pinotage</t>
  </si>
  <si>
    <t xml:space="preserve">Vitis vinifera subsp vinifera cv. Piquepoul blanc</t>
  </si>
  <si>
    <t xml:space="preserve">Vitis vinifera subsp vinifera cv. Piquepoul Bouschet</t>
  </si>
  <si>
    <t xml:space="preserve">Vitis vinifera subsp vinifera cv. Piquepoul gris</t>
  </si>
  <si>
    <t xml:space="preserve">Vitis vinifera subsp vinifera cv. Piquepoul noir</t>
  </si>
  <si>
    <t xml:space="preserve">Vitis vinifera subsp vinifera cv. Pirciu</t>
  </si>
  <si>
    <t xml:space="preserve">Vitis vinifera subsp vinifera cv. Pirovano 1</t>
  </si>
  <si>
    <t xml:space="preserve">Vitis vinifera subsp vinifera cv. Pirovano 11</t>
  </si>
  <si>
    <t xml:space="preserve">Vitis vinifera subsp vinifera cv. Pirovano 111</t>
  </si>
  <si>
    <t xml:space="preserve">Vitis vinifera subsp vinifera cv. Pirovano 112</t>
  </si>
  <si>
    <t xml:space="preserve">Vitis vinifera subsp vinifera cv. Pirovano 113</t>
  </si>
  <si>
    <t xml:space="preserve">Vitis vinifera subsp vinifera cv. Pirovano 115</t>
  </si>
  <si>
    <t xml:space="preserve">Vitis vinifera subsp vinifera cv. Pirovano 123</t>
  </si>
  <si>
    <t xml:space="preserve">Vitis vinifera subsp vinifera cv. Pirovano 14</t>
  </si>
  <si>
    <t xml:space="preserve">Vitis vinifera subsp vinifera cv. Pirovano 15</t>
  </si>
  <si>
    <t xml:space="preserve">Vitis vinifera subsp vinifera cv. Pirovano 153</t>
  </si>
  <si>
    <t xml:space="preserve">Vitis vinifera subsp vinifera cv. Pirovano 154</t>
  </si>
  <si>
    <t xml:space="preserve">Vitis vinifera subsp vinifera cv. Pirovano 155</t>
  </si>
  <si>
    <t xml:space="preserve">Vitis vinifera subsp vinifera cv. Pirovano 156</t>
  </si>
  <si>
    <t xml:space="preserve">Vitis vinifera subsp vinifera cv. Pirovano 157</t>
  </si>
  <si>
    <t xml:space="preserve">Vitis vinifera subsp vinifera cv. Pirovano 159</t>
  </si>
  <si>
    <t xml:space="preserve">Vitis vinifera subsp vinifera cv. Pirovano 17</t>
  </si>
  <si>
    <t xml:space="preserve">Vitis vinifera subsp vinifera cv. Pirovano 174</t>
  </si>
  <si>
    <t xml:space="preserve">Vitis vinifera subsp vinifera cv. Pirovano 175</t>
  </si>
  <si>
    <t xml:space="preserve">Vitis vinifera subsp vinifera cv. Pirovano 182</t>
  </si>
  <si>
    <t xml:space="preserve">Vitis vinifera subsp vinifera cv. Pirovano 186</t>
  </si>
  <si>
    <t xml:space="preserve">Vitis vinifera subsp vinifera cv. Pirovano 186 a</t>
  </si>
  <si>
    <t xml:space="preserve">Vitis vinifera subsp vinifera cv. Pirovano 188</t>
  </si>
  <si>
    <t xml:space="preserve">Vitis vinifera subsp vinifera cv. Pirovano 19</t>
  </si>
  <si>
    <t xml:space="preserve">Vitis vinifera subsp vinifera cv. Pirovano 190</t>
  </si>
  <si>
    <t xml:space="preserve">Vitis vinifera subsp vinifera cv. Pirovano 21</t>
  </si>
  <si>
    <t xml:space="preserve">Vitis vinifera subsp vinifera cv. Pirovano 217</t>
  </si>
  <si>
    <t xml:space="preserve">Vitis vinifera subsp vinifera cv. Pirovano 219</t>
  </si>
  <si>
    <t xml:space="preserve">Vitis vinifera subsp vinifera cv. Pirovano 220 b</t>
  </si>
  <si>
    <t xml:space="preserve">Vitis vinifera subsp vinifera cv. Pirovano 225</t>
  </si>
  <si>
    <t xml:space="preserve">Vitis vinifera subsp vinifera cv. Pirovano 235</t>
  </si>
  <si>
    <t xml:space="preserve">Vitis vinifera subsp vinifera cv. Pirovano 24</t>
  </si>
  <si>
    <t xml:space="preserve">Vitis vinifera subsp vinifera cv. Pirovano 25</t>
  </si>
  <si>
    <t xml:space="preserve">Vitis vinifera subsp vinifera cv. Pirovano 28</t>
  </si>
  <si>
    <t xml:space="preserve">Vitis vinifera subsp vinifera cv. Pirovano 3</t>
  </si>
  <si>
    <t xml:space="preserve">Vitis vinifera subsp vinifera cv. Pirovano 306</t>
  </si>
  <si>
    <t xml:space="preserve">Vitis vinifera subsp vinifera cv. Pirovano 31</t>
  </si>
  <si>
    <t xml:space="preserve">Vitis vinifera subsp vinifera cv. Pirovano 312</t>
  </si>
  <si>
    <t xml:space="preserve">Vitis vinifera subsp vinifera cv. Pirovano 313 a</t>
  </si>
  <si>
    <t xml:space="preserve">Vitis vinifera subsp vinifera cv. Pirovano 315</t>
  </si>
  <si>
    <t xml:space="preserve">Vitis vinifera subsp vinifera cv. Pirovano 32</t>
  </si>
  <si>
    <t xml:space="preserve">Vitis vinifera subsp vinifera cv. Pirovano 321</t>
  </si>
  <si>
    <t xml:space="preserve">Vitis vinifera subsp vinifera cv. Pirovano 322</t>
  </si>
  <si>
    <t xml:space="preserve">Vitis vinifera subsp vinifera cv. Pirovano 338</t>
  </si>
  <si>
    <t xml:space="preserve">Vitis vinifera subsp vinifera cv. Pirovano 344</t>
  </si>
  <si>
    <t xml:space="preserve">Vitis vinifera subsp vinifera cv. Pirovano 346</t>
  </si>
  <si>
    <t xml:space="preserve">Vitis vinifera subsp vinifera cv. Pirovano 349</t>
  </si>
  <si>
    <t xml:space="preserve">Vitis vinifera subsp vinifera cv. Pirovano 352 faux</t>
  </si>
  <si>
    <t xml:space="preserve">Vitis vinifera subsp vinifera cv. Pirovano 359</t>
  </si>
  <si>
    <t xml:space="preserve">Vitis vinifera subsp vinifera cv. Pirovano 36</t>
  </si>
  <si>
    <t xml:space="preserve">Vitis vinifera subsp vinifera cv. Pirovano 378</t>
  </si>
  <si>
    <t xml:space="preserve">Vitis vinifera subsp vinifera cv. Pirovano 398</t>
  </si>
  <si>
    <t xml:space="preserve">Vitis vinifera subsp vinifera cv. Pirovano 399</t>
  </si>
  <si>
    <t xml:space="preserve">Vitis vinifera subsp vinifera cv. Pirovano 4</t>
  </si>
  <si>
    <t xml:space="preserve">Vitis vinifera subsp vinifera cv. Pirovano 428</t>
  </si>
  <si>
    <t xml:space="preserve">Vitis vinifera subsp vinifera cv. Pirovano 436</t>
  </si>
  <si>
    <t xml:space="preserve">Vitis vinifera subsp vinifera cv. Pirovano 46</t>
  </si>
  <si>
    <t xml:space="preserve">Vitis vinifera subsp vinifera cv. Pirovano 468</t>
  </si>
  <si>
    <t xml:space="preserve">Vitis vinifera subsp vinifera cv. Pirovano 471</t>
  </si>
  <si>
    <t xml:space="preserve">Vitis vinifera subsp vinifera cv. Pirovano 477 a</t>
  </si>
  <si>
    <t xml:space="preserve">Vitis vinifera subsp vinifera cv. Pirovano 49</t>
  </si>
  <si>
    <t xml:space="preserve">Vitis vinifera subsp vinifera cv. Pirovano 5</t>
  </si>
  <si>
    <t xml:space="preserve">Vitis vinifera subsp vinifera cv. Pirovano 50</t>
  </si>
  <si>
    <t xml:space="preserve">Vitis vinifera subsp vinifera cv. Pirovano 51</t>
  </si>
  <si>
    <t xml:space="preserve">Vitis vinifera subsp vinifera cv. Pirovano 53</t>
  </si>
  <si>
    <t xml:space="preserve">Vitis vinifera subsp vinifera cv. Pirovano 530</t>
  </si>
  <si>
    <t xml:space="preserve">Vitis vinifera subsp vinifera cv. Pirovano 531</t>
  </si>
  <si>
    <t xml:space="preserve">Vitis vinifera subsp vinifera cv. Pirovano 536</t>
  </si>
  <si>
    <t xml:space="preserve">Vitis vinifera subsp vinifera cv. Pirovano 54 A</t>
  </si>
  <si>
    <t xml:space="preserve">Vitis vinifera subsp vinifera cv. Pirovano 540 A</t>
  </si>
  <si>
    <t xml:space="preserve">Vitis vinifera subsp vinifera cv. Pirovano 544</t>
  </si>
  <si>
    <t xml:space="preserve">Vitis vinifera subsp vinifera cv. Pirovano 55 faux</t>
  </si>
  <si>
    <t xml:space="preserve">Vitis vinifera subsp vinifera cv. Pirovano 56</t>
  </si>
  <si>
    <t xml:space="preserve">Vitis vinifera subsp vinifera cv. Pirovano 57</t>
  </si>
  <si>
    <t xml:space="preserve">Vitis vinifera subsp vinifera cv. Pirovano 575</t>
  </si>
  <si>
    <t xml:space="preserve">Vitis vinifera subsp vinifera cv. Pirovano 61</t>
  </si>
  <si>
    <t xml:space="preserve">Vitis vinifera subsp vinifera cv. Pirovano 62</t>
  </si>
  <si>
    <t xml:space="preserve">Vitis vinifera subsp vinifera cv. Pirovano 620</t>
  </si>
  <si>
    <t xml:space="preserve">Vitis vinifera subsp vinifera cv. Pirovano 63</t>
  </si>
  <si>
    <t xml:space="preserve">Vitis vinifera subsp vinifera cv. Pirovano 64</t>
  </si>
  <si>
    <t xml:space="preserve">Vitis vinifera subsp vinifera cv. Pirovano 66</t>
  </si>
  <si>
    <t xml:space="preserve">Vitis vinifera subsp vinifera cv. Pirovano 671</t>
  </si>
  <si>
    <t xml:space="preserve">Vitis vinifera subsp vinifera cv. Pirovano 69</t>
  </si>
  <si>
    <t xml:space="preserve">Vitis vinifera subsp vinifera cv. Pirovano 74</t>
  </si>
  <si>
    <t xml:space="preserve">Vitis vinifera subsp vinifera cv. Pirovano 76</t>
  </si>
  <si>
    <t xml:space="preserve">Vitis vinifera subsp vinifera cv. Pirovano 79</t>
  </si>
  <si>
    <t xml:space="preserve">Vitis vinifera subsp vinifera cv. Pirovano 80</t>
  </si>
  <si>
    <t xml:space="preserve">Vitis vinifera subsp vinifera cv. Pirovano 84</t>
  </si>
  <si>
    <t xml:space="preserve">Vitis vinifera subsp vinifera cv. Pirovano 88</t>
  </si>
  <si>
    <t xml:space="preserve">Vitis vinifera subsp vinifera cv. Pirovano 91</t>
  </si>
  <si>
    <t xml:space="preserve">Vitis vinifera subsp vinifera cv. Pirovano 92</t>
  </si>
  <si>
    <t xml:space="preserve">Vitis vinifera subsp vinifera cv. Pirovano 93</t>
  </si>
  <si>
    <t xml:space="preserve">Vitis vinifera subsp vinifera cv. Pirovano 94</t>
  </si>
  <si>
    <t xml:space="preserve">Vitis vinifera subsp vinifera cv. Pirovano 95</t>
  </si>
  <si>
    <t xml:space="preserve">Vitis vinifera subsp vinifera cv. Pirovano 96</t>
  </si>
  <si>
    <t xml:space="preserve">Vitis vinifera subsp vinifera cv. Pirovano 97</t>
  </si>
  <si>
    <t xml:space="preserve">Vitis vinifera subsp vinifera cv. Pirovano 98</t>
  </si>
  <si>
    <t xml:space="preserve">Vitis vinifera subsp vinifera cv. Pirovano 99</t>
  </si>
  <si>
    <t xml:space="preserve">Vitis vinifera subsp vinifera cv. Pizzutello nero</t>
  </si>
  <si>
    <t xml:space="preserve">Vitis vinifera subsp vinifera cv. Plant d'Aoste</t>
  </si>
  <si>
    <t xml:space="preserve">Vitis vinifera subsp vinifera cv. Plant de Brunel</t>
  </si>
  <si>
    <t xml:space="preserve">Vitis vinifera subsp vinifera cv. Plant de Couston</t>
  </si>
  <si>
    <t xml:space="preserve">Vitis vinifera subsp vinifera cv. Plant de Flassans</t>
  </si>
  <si>
    <t xml:space="preserve">Vitis vinifera subsp vinifera cv. Plant droit</t>
  </si>
  <si>
    <t xml:space="preserve">Vitis vinifera subsp vinifera cv. Plant Vert</t>
  </si>
  <si>
    <t xml:space="preserve">Vitis vinifera subsp vinifera cv. Planta mula</t>
  </si>
  <si>
    <t xml:space="preserve">Vitis vinifera subsp vinifera cv. Planta nova</t>
  </si>
  <si>
    <t xml:space="preserve">Vitis vinifera subsp vinifera cv. Plassa</t>
  </si>
  <si>
    <t xml:space="preserve">Vitis vinifera subsp vinifera cv. Platyracho</t>
  </si>
  <si>
    <t xml:space="preserve">Vitis vinifera subsp vinifera cv. Plavac mali (Jelaska)</t>
  </si>
  <si>
    <t xml:space="preserve">Vitis vinifera subsp vinifera cv. Plavaï</t>
  </si>
  <si>
    <t xml:space="preserve">Vitis vinifera subsp vinifera cv. Plavina crna</t>
  </si>
  <si>
    <t xml:space="preserve">Vitis vinifera subsp vinifera cv. Pletchistik</t>
  </si>
  <si>
    <t xml:space="preserve">Vitis vinifera subsp vinifera cv. Plyto</t>
  </si>
  <si>
    <t xml:space="preserve">Vitis vinifera subsp vinifera cv. Pobeda</t>
  </si>
  <si>
    <t xml:space="preserve">Vitis vinifera subsp vinifera cv. Pointu</t>
  </si>
  <si>
    <t xml:space="preserve">Vitis vinifera subsp vinifera cv. Pollera nera</t>
  </si>
  <si>
    <t xml:space="preserve">Vitis vinifera subsp vinifera cv. Pollita</t>
  </si>
  <si>
    <t xml:space="preserve">Vitis vinifera subsp vinifera cv. Portan = INRA 1508-25</t>
  </si>
  <si>
    <t xml:space="preserve">Vitis vinifera subsp vinifera cv. Portugais blanc</t>
  </si>
  <si>
    <t xml:space="preserve">Vitis vinifera subsp vinifera cv. Portugais bleu</t>
  </si>
  <si>
    <t xml:space="preserve">Vitis vinifera subsp vinifera cv. Posip</t>
  </si>
  <si>
    <t xml:space="preserve">Vitis vinifera subsp vinifera cv. Potamissio</t>
  </si>
  <si>
    <t xml:space="preserve">Vitis vinifera subsp vinifera cv. Pougayen</t>
  </si>
  <si>
    <t xml:space="preserve">Vitis vinifera subsp vinifera cv. Pougnet</t>
  </si>
  <si>
    <t xml:space="preserve">Vitis vinifera subsp vinifera cv. Poulsard</t>
  </si>
  <si>
    <t xml:space="preserve">Vitis vinifera subsp vinifera cv. Poulsard blanc</t>
  </si>
  <si>
    <t xml:space="preserve">Vitis vinifera subsp vinifera cv. Poulsard rouge</t>
  </si>
  <si>
    <t xml:space="preserve">Vitis vinifera subsp vinifera cv. Pozsonyi feher</t>
  </si>
  <si>
    <t xml:space="preserve">Vitis vinifera subsp vinifera cv. Prc</t>
  </si>
  <si>
    <t xml:space="preserve">Vitis vinifera subsp vinifera cv. Précoce Bousquet</t>
  </si>
  <si>
    <t xml:space="preserve">Vitis vinifera subsp vinifera cv. Précoce de Malingre</t>
  </si>
  <si>
    <t xml:space="preserve">Vitis vinifera subsp vinifera cv. Précoce di Roma = Pirovano 707</t>
  </si>
  <si>
    <t xml:space="preserve">Vitis vinifera subsp vinifera cv. Premier</t>
  </si>
  <si>
    <t xml:space="preserve">Vitis vinifera subsp vinifera cv. Président Carnot</t>
  </si>
  <si>
    <t xml:space="preserve">Vitis vinifera subsp vinifera cv. Preto Martinho</t>
  </si>
  <si>
    <t xml:space="preserve">Vitis vinifera subsp vinifera cv. Preto salmoura</t>
  </si>
  <si>
    <t xml:space="preserve">Vitis vinifera subsp vinifera cv. Prima =  INRA 2719-122</t>
  </si>
  <si>
    <t xml:space="preserve">Vitis vinifera subsp vinifera cv. Primiera = Pirovano 309</t>
  </si>
  <si>
    <t xml:space="preserve">Vitis vinifera subsp vinifera cv. Primitivo</t>
  </si>
  <si>
    <t xml:space="preserve">Vitis vinifera subsp vinifera cv. Prin blanc</t>
  </si>
  <si>
    <t xml:space="preserve">Vitis vinifera subsp vinifera cv. Prince of Wales</t>
  </si>
  <si>
    <t xml:space="preserve">Vitis vinifera subsp vinifera cv. Princeps = Pirovano 357</t>
  </si>
  <si>
    <t xml:space="preserve">Vitis vinifera subsp vinifera cv. Principessa di Piemonte = Pirovano 108</t>
  </si>
  <si>
    <t xml:space="preserve">Vitis vinifera subsp vinifera cv. Prista</t>
  </si>
  <si>
    <t xml:space="preserve">Vitis vinifera subsp vinifera cv. Prodigiosa = Pirovano 59</t>
  </si>
  <si>
    <t xml:space="preserve">Vitis vinifera subsp vinifera cv. Prokupac</t>
  </si>
  <si>
    <t xml:space="preserve">Vitis vinifera subsp vinifera cv. Prosecco</t>
  </si>
  <si>
    <t xml:space="preserve">Vitis vinifera subsp vinifera cv. Prosecco lungo</t>
  </si>
  <si>
    <t xml:space="preserve">Vitis vinifera subsp vinifera cv. Prosperi 102</t>
  </si>
  <si>
    <t xml:space="preserve">Vitis vinifera subsp vinifera cv. Prosperi 167</t>
  </si>
  <si>
    <t xml:space="preserve">Vitis vinifera subsp vinifera cv. Prosperi 201</t>
  </si>
  <si>
    <t xml:space="preserve">Vitis vinifera subsp vinifera cv. Prosperi 204</t>
  </si>
  <si>
    <t xml:space="preserve">Vitis vinifera subsp vinifera cv. Prosperi 262</t>
  </si>
  <si>
    <t xml:space="preserve">Vitis vinifera subsp vinifera cv. Prosperi 268</t>
  </si>
  <si>
    <t xml:space="preserve">Vitis vinifera subsp vinifera cv. Prosperi 285</t>
  </si>
  <si>
    <t xml:space="preserve">Vitis vinifera subsp vinifera cv. Prosperi 37</t>
  </si>
  <si>
    <t xml:space="preserve">Vitis vinifera subsp vinifera cv. Prosperi 371</t>
  </si>
  <si>
    <t xml:space="preserve">Vitis vinifera subsp vinifera cv. Prosperi 8</t>
  </si>
  <si>
    <t xml:space="preserve">Vitis vinifera subsp vinifera cv. Prosperi 97</t>
  </si>
  <si>
    <t xml:space="preserve">Vitis vinifera subsp vinifera cv. Proueral</t>
  </si>
  <si>
    <t xml:space="preserve">Vitis vinifera subsp vinifera cv. Prueras</t>
  </si>
  <si>
    <t xml:space="preserve">Vitis vinifera subsp vinifera cv. Prune de Cazouls</t>
  </si>
  <si>
    <t xml:space="preserve">Vitis vinifera subsp vinifera cv. Prunelard</t>
  </si>
  <si>
    <t xml:space="preserve">Vitis vinifera subsp vinifera cv. Prunella moscato = Pirovano 47</t>
  </si>
  <si>
    <t xml:space="preserve">Vitis vinifera subsp vinifera cv. Prunesta nera</t>
  </si>
  <si>
    <t xml:space="preserve">Vitis vinifera subsp vinifera cv. Prunesta rosso violacea</t>
  </si>
  <si>
    <t xml:space="preserve">Vitis vinifera subsp vinifera cv. Psarotherico</t>
  </si>
  <si>
    <t xml:space="preserve">Vitis vinifera subsp vinifera cv. Pseudosyrico</t>
  </si>
  <si>
    <t xml:space="preserve">Vitis vinifera subsp vinifera cv. Puljïzanac</t>
  </si>
  <si>
    <t xml:space="preserve">Vitis vinifera subsp vinifera cv. Purcsin</t>
  </si>
  <si>
    <t xml:space="preserve">Vitis vinifera subsp vinifera cv. Putzscheere</t>
  </si>
  <si>
    <t xml:space="preserve">Vitis vinifera subsp vinifera cv. Quebranta</t>
  </si>
  <si>
    <t xml:space="preserve">Vitis vinifera subsp vinifera cv. Queen</t>
  </si>
  <si>
    <t xml:space="preserve">Vitis vinifera subsp vinifera cv. Quiebratinajas</t>
  </si>
  <si>
    <t xml:space="preserve">Vitis vinifera subsp vinifera cv. Quigat</t>
  </si>
  <si>
    <t xml:space="preserve">Vitis vinifera subsp vinifera cv. Rabigato</t>
  </si>
  <si>
    <t xml:space="preserve">Vitis vinifera subsp vinifera cv. Rabigato du Douro</t>
  </si>
  <si>
    <t xml:space="preserve">Vitis vinifera subsp vinifera cv. Raboso piave</t>
  </si>
  <si>
    <t xml:space="preserve">Vitis vinifera subsp vinifera cv. Raboso Veronese</t>
  </si>
  <si>
    <t xml:space="preserve">Vitis vinifera subsp vinifera cv. Raffiat de Moncade</t>
  </si>
  <si>
    <t xml:space="preserve">Vitis vinifera subsp vinifera cv. Raisaine</t>
  </si>
  <si>
    <t xml:space="preserve">Vitis vinifera subsp vinifera cv. Raisin de Kossuth</t>
  </si>
  <si>
    <t xml:space="preserve">Vitis vinifera subsp vinifera cv. Rakszölö</t>
  </si>
  <si>
    <t xml:space="preserve">Vitis vinifera subsp vinifera cv. Rami = Vidal 119</t>
  </si>
  <si>
    <t xml:space="preserve">Vitis vinifera subsp vinifera cv. Ramisco</t>
  </si>
  <si>
    <t xml:space="preserve">Vitis vinifera subsp vinifera cv. Rannii Vira</t>
  </si>
  <si>
    <t xml:space="preserve">Vitis vinifera subsp vinifera cv. Ranny Magaratcha = Magaratch 372</t>
  </si>
  <si>
    <t xml:space="preserve">Vitis vinifera subsp vinifera cv. Rassegui</t>
  </si>
  <si>
    <t xml:space="preserve">Vitis vinifera subsp vinifera cv. Rauschling</t>
  </si>
  <si>
    <t xml:space="preserve">Vitis vinifera subsp vinifera cv. Razachie alba</t>
  </si>
  <si>
    <t xml:space="preserve">Vitis vinifera subsp vinifera cv. Razachie rosie</t>
  </si>
  <si>
    <t xml:space="preserve">Vitis vinifera subsp vinifera cv. Razakiia mirisliva</t>
  </si>
  <si>
    <t xml:space="preserve">Vitis vinifera subsp vinifera cv. Razakiia piembiana</t>
  </si>
  <si>
    <t xml:space="preserve">Vitis vinifera subsp vinifera cv. Razdani</t>
  </si>
  <si>
    <t xml:space="preserve">Vitis vinifera subsp vinifera cv. Raziki</t>
  </si>
  <si>
    <t xml:space="preserve">Vitis vinifera subsp vinifera cv. Red globe</t>
  </si>
  <si>
    <t xml:space="preserve">Vitis vinifera subsp vinifera cv. Red May</t>
  </si>
  <si>
    <t xml:space="preserve">Vitis vinifera subsp vinifera cv. Refosco dal pedonculo rosso</t>
  </si>
  <si>
    <t xml:space="preserve">Vitis vinifera subsp vinifera cv. Refoscone</t>
  </si>
  <si>
    <t xml:space="preserve">Vitis vinifera subsp vinifera cv. Regenerator</t>
  </si>
  <si>
    <t xml:space="preserve">Vitis vinifera subsp vinifera cv. Reichensteiner</t>
  </si>
  <si>
    <t xml:space="preserve">Vitis vinifera subsp vinifera cv. Reichriesling</t>
  </si>
  <si>
    <t xml:space="preserve">Vitis vinifera subsp vinifera cv. Reichsfränkisch</t>
  </si>
  <si>
    <t xml:space="preserve">Vitis vinifera subsp vinifera cv. Reine des Vignes</t>
  </si>
  <si>
    <t xml:space="preserve">Vitis vinifera subsp vinifera cv. Retagliado bianco = Arrotelas</t>
  </si>
  <si>
    <t xml:space="preserve">Vitis vinifera subsp vinifera cv. Revers Cepens</t>
  </si>
  <si>
    <t xml:space="preserve">Vitis vinifera subsp vinifera cv. Rèze</t>
  </si>
  <si>
    <t xml:space="preserve">Vitis vinifera subsp vinifera cv. Rhoditis</t>
  </si>
  <si>
    <t xml:space="preserve">Vitis vinifera subsp vinifera cv. Ribier gris</t>
  </si>
  <si>
    <t xml:space="preserve">Vitis vinifera subsp vinifera cv. Ribier noir</t>
  </si>
  <si>
    <t xml:space="preserve">Vitis vinifera subsp vinifera cv. Ribol = INRA 1597-131</t>
  </si>
  <si>
    <t xml:space="preserve">Vitis vinifera subsp vinifera cv. Ribolla gialla</t>
  </si>
  <si>
    <t xml:space="preserve">Vitis vinifera subsp vinifera cv. Ribote</t>
  </si>
  <si>
    <t xml:space="preserve">Vitis vinifera subsp vinifera cv. Rieslaner = Würzburg NI 11-17</t>
  </si>
  <si>
    <t xml:space="preserve">Vitis vinifera subsp vinifera cv. Riesling</t>
  </si>
  <si>
    <t xml:space="preserve">Vitis vinifera subsp vinifera cv. Riesling italico</t>
  </si>
  <si>
    <t xml:space="preserve">Vitis vinifera subsp vinifera cv. Riesling Lion</t>
  </si>
  <si>
    <t xml:space="preserve">Vitis vinifera subsp vinifera cv. Riesling rouge</t>
  </si>
  <si>
    <t xml:space="preserve">Vitis vinifera subsp vinifera cv. Rigolbouillé</t>
  </si>
  <si>
    <t xml:space="preserve">Vitis vinifera subsp vinifera cv. Riminèse</t>
  </si>
  <si>
    <t xml:space="preserve">Vitis vinifera subsp vinifera cv. Rindjaga</t>
  </si>
  <si>
    <t xml:space="preserve">Vitis vinifera subsp vinifera cv. Rivairenc = Aspiran noir</t>
  </si>
  <si>
    <t xml:space="preserve">Vitis vinifera subsp vinifera cv. Rivairenc blanc = Aspiran blanc</t>
  </si>
  <si>
    <t xml:space="preserve">Vitis vinifera subsp vinifera cv. Rivairenc gris = Aspiran gris</t>
  </si>
  <si>
    <t xml:space="preserve">Vitis vinifera subsp vinifera cv. Rizamat</t>
  </si>
  <si>
    <t xml:space="preserve">Vitis vinifera subsp vinifera cv. Rizens</t>
  </si>
  <si>
    <t xml:space="preserve">Vitis vinifera subsp vinifera cv. Rkatsitelli</t>
  </si>
  <si>
    <t xml:space="preserve">Vitis vinifera subsp vinifera cv. Rkatziteli krasni</t>
  </si>
  <si>
    <t xml:space="preserve">Vitis vinifera subsp vinifera cv. Robin noir</t>
  </si>
  <si>
    <t xml:space="preserve">Vitis vinifera subsp vinifera cv. Rodi = Pirovano 166</t>
  </si>
  <si>
    <t xml:space="preserve">Vitis vinifera subsp vinifera cv. Rohrtraube</t>
  </si>
  <si>
    <t xml:space="preserve">Vitis vinifera subsp vinifera cv. Roi des précoces</t>
  </si>
  <si>
    <t xml:space="preserve">Vitis vinifera subsp vinifera cv. Roma = Pirovano 210</t>
  </si>
  <si>
    <t xml:space="preserve">Vitis vinifera subsp vinifera cv. Rombola noir</t>
  </si>
  <si>
    <t xml:space="preserve">Vitis vinifera subsp vinifera cv. Romeïco</t>
  </si>
  <si>
    <t xml:space="preserve">Vitis vinifera subsp vinifera cv. Romorantin</t>
  </si>
  <si>
    <t xml:space="preserve">Vitis vinifera subsp vinifera cv. Rondinella</t>
  </si>
  <si>
    <t xml:space="preserve">Vitis vinifera subsp vinifera cv. Ronelle</t>
  </si>
  <si>
    <t xml:space="preserve">Vitis vinifera subsp vinifera cv. Rosa del Peru type 1</t>
  </si>
  <si>
    <t xml:space="preserve">Vitis vinifera subsp vinifera cv. Rosa del Peru type 2</t>
  </si>
  <si>
    <t xml:space="preserve">Vitis vinifera subsp vinifera cv. Rosa menna di vacca</t>
  </si>
  <si>
    <t xml:space="preserve">Vitis vinifera subsp vinifera cv. Rosa steen</t>
  </si>
  <si>
    <t xml:space="preserve">Vitis vinifera subsp vinifera cv. Rosaki blanc de semis</t>
  </si>
  <si>
    <t xml:space="preserve">Vitis vinifera subsp vinifera cv. Rosaki noir de semis</t>
  </si>
  <si>
    <t xml:space="preserve">Vitis vinifera subsp vinifera cv. Rosé du Var</t>
  </si>
  <si>
    <t xml:space="preserve">Vitis vinifera subsp vinifera cv. Rossara trentina</t>
  </si>
  <si>
    <t xml:space="preserve">Vitis vinifera subsp vinifera cv. Rossese</t>
  </si>
  <si>
    <t xml:space="preserve">Vitis vinifera subsp vinifera cv. Rossignola</t>
  </si>
  <si>
    <t xml:space="preserve">Vitis vinifera subsp vinifera cv. Rossola bianca</t>
  </si>
  <si>
    <t xml:space="preserve">Vitis vinifera subsp vinifera cv. Rotberger = Gm 3-37</t>
  </si>
  <si>
    <t xml:space="preserve">Vitis vinifera subsp vinifera cv. Rotgipfler</t>
  </si>
  <si>
    <t xml:space="preserve">Vitis vinifera subsp vinifera cv. Roubinoy de Magaratch = Magaratch 56</t>
  </si>
  <si>
    <t xml:space="preserve">Vitis vinifera subsp vinifera cv. Roublot</t>
  </si>
  <si>
    <t xml:space="preserve">Vitis vinifera subsp vinifera cv. Rouchaki</t>
  </si>
  <si>
    <t xml:space="preserve">Vitis vinifera subsp vinifera cv. Rouge de Fully</t>
  </si>
  <si>
    <t xml:space="preserve">Vitis vinifera subsp vinifera cv. Roumi noir</t>
  </si>
  <si>
    <t xml:space="preserve">Vitis vinifera subsp vinifera cv. Roussaïtis</t>
  </si>
  <si>
    <t xml:space="preserve">Vitis vinifera subsp vinifera cv. Roussanne</t>
  </si>
  <si>
    <t xml:space="preserve">Vitis vinifera subsp vinifera cv. Roussaou</t>
  </si>
  <si>
    <t xml:space="preserve">Vitis vinifera subsp vinifera cv. Roussette d'Ayze</t>
  </si>
  <si>
    <t xml:space="preserve">Vitis vinifera subsp vinifera cv. Roxo dos pintos</t>
  </si>
  <si>
    <t xml:space="preserve">Vitis vinifera subsp vinifera cv. Royal</t>
  </si>
  <si>
    <t xml:space="preserve">Vitis vinifera subsp vinifera cv. Royal Ascot</t>
  </si>
  <si>
    <t xml:space="preserve">Vitis vinifera subsp vinifera cv. Royal Askant</t>
  </si>
  <si>
    <t xml:space="preserve">Vitis vinifera subsp vinifera cv. Royal Molenberg</t>
  </si>
  <si>
    <t xml:space="preserve">Vitis vinifera subsp vinifera cv. Royal Vineyard</t>
  </si>
  <si>
    <t xml:space="preserve">Vitis vinifera subsp vinifera cv. Rubi</t>
  </si>
  <si>
    <t xml:space="preserve">Vitis vinifera subsp vinifera cv. Ruby Cabernet</t>
  </si>
  <si>
    <t xml:space="preserve">Vitis vinifera subsp vinifera cv. Ruby seedless</t>
  </si>
  <si>
    <t xml:space="preserve">Vitis vinifera subsp vinifera cv. Rudezusa</t>
  </si>
  <si>
    <t xml:space="preserve">Vitis vinifera subsp vinifera cv. Ruzevina</t>
  </si>
  <si>
    <t xml:space="preserve">Vitis vinifera subsp vinifera cv. Sabalkanskoï</t>
  </si>
  <si>
    <t xml:space="preserve">Vitis vinifera subsp vinifera cv. Sabaté</t>
  </si>
  <si>
    <t xml:space="preserve">Vitis vinifera subsp vinifera cv. Sabra</t>
  </si>
  <si>
    <t xml:space="preserve">Vitis vinifera subsp vinifera cv. Sacavem = C27 Coutinho</t>
  </si>
  <si>
    <t xml:space="preserve">Vitis vinifera subsp vinifera cv. Sacy</t>
  </si>
  <si>
    <t xml:space="preserve">Vitis vinifera subsp vinifera cv. Sagrantino</t>
  </si>
  <si>
    <t xml:space="preserve">Vitis vinifera subsp vinifera cv. Sahami</t>
  </si>
  <si>
    <t xml:space="preserve">Vitis vinifera subsp vinifera cv. Sahebi</t>
  </si>
  <si>
    <t xml:space="preserve">Vitis vinifera subsp vinifera cv. Sahibi sorh</t>
  </si>
  <si>
    <t xml:space="preserve">Vitis vinifera subsp vinifera cv. Sahilii</t>
  </si>
  <si>
    <t xml:space="preserve">Vitis vinifera subsp vinifera cv. Saint-Emilion x Sémillon D</t>
  </si>
  <si>
    <t xml:space="preserve">Vitis vinifera subsp vinifera cv. Saint-Laurent</t>
  </si>
  <si>
    <t xml:space="preserve">Vitis vinifera subsp vinifera cv. Saint-Louis faux</t>
  </si>
  <si>
    <t xml:space="preserve">Vitis vinifera subsp vinifera cv. Saint-Macaire</t>
  </si>
  <si>
    <t xml:space="preserve">Vitis vinifera subsp vinifera cv. Sainton = Vidal 9</t>
  </si>
  <si>
    <t xml:space="preserve">Vitis vinifera subsp vinifera cv. Saint-Pierre doré</t>
  </si>
  <si>
    <t xml:space="preserve">Vitis vinifera subsp vinifera cv. Sakasli</t>
  </si>
  <si>
    <t xml:space="preserve">Vitis vinifera subsp vinifera cv. Salagnin</t>
  </si>
  <si>
    <t xml:space="preserve">Vitis vinifera subsp vinifera cv. Salba</t>
  </si>
  <si>
    <t xml:space="preserve">Vitis vinifera subsp vinifera cv. Salicette</t>
  </si>
  <si>
    <t xml:space="preserve">Vitis vinifera subsp vinifera cv. Samarrinho preto</t>
  </si>
  <si>
    <t xml:space="preserve">Vitis vinifera subsp vinifera cv. Samoriau</t>
  </si>
  <si>
    <t xml:space="preserve">Vitis vinifera subsp vinifera cv. Samoveanca</t>
  </si>
  <si>
    <t xml:space="preserve">Vitis vinifera subsp vinifera cv. San Antoni</t>
  </si>
  <si>
    <t xml:space="preserve">Vitis vinifera subsp vinifera cv. San Francisco</t>
  </si>
  <si>
    <t xml:space="preserve">Vitis vinifera subsp vinifera cv. San Jeronimo</t>
  </si>
  <si>
    <t xml:space="preserve">Vitis vinifera subsp vinifera cv. San Martino = Pirovano 215</t>
  </si>
  <si>
    <t xml:space="preserve">Vitis vinifera subsp vinifera cv. Sanginella di Salerno</t>
  </si>
  <si>
    <t xml:space="preserve">Vitis vinifera subsp vinifera cv. Santa Barbara = Pirovano 480</t>
  </si>
  <si>
    <t xml:space="preserve">Vitis vinifera subsp vinifera cv. Santa Magdalena</t>
  </si>
  <si>
    <t xml:space="preserve">Vitis vinifera subsp vinifera cv. Santa Morena</t>
  </si>
  <si>
    <t xml:space="preserve">Vitis vinifera subsp vinifera cv. Santa Paula</t>
  </si>
  <si>
    <t xml:space="preserve">Vitis vinifera subsp vinifera cv. Saperavi</t>
  </si>
  <si>
    <t xml:space="preserve">Vitis vinifera subsp vinifera cv. Sapere otzkhanouri</t>
  </si>
  <si>
    <t xml:space="preserve">Vitis vinifera subsp vinifera cv. Sarfeher</t>
  </si>
  <si>
    <t xml:space="preserve">Vitis vinifera subsp vinifera cv. Sary pandass</t>
  </si>
  <si>
    <t xml:space="preserve">Vitis vinifera subsp vinifera cv. Sateni bely</t>
  </si>
  <si>
    <t xml:space="preserve">Vitis vinifera subsp vinifera cv. Sateni tcherny</t>
  </si>
  <si>
    <t xml:space="preserve">Vitis vinifera subsp vinifera cv. Satino Kokkino</t>
  </si>
  <si>
    <t xml:space="preserve">Vitis vinifera subsp vinifera cv. Sauterne blanc</t>
  </si>
  <si>
    <t xml:space="preserve">Vitis vinifera subsp vinifera cv. Sauvaget</t>
  </si>
  <si>
    <t xml:space="preserve">Vitis vinifera subsp vinifera cv. Sauvignon</t>
  </si>
  <si>
    <t xml:space="preserve">Vitis vinifera subsp vinifera cv. Sauvignon gris</t>
  </si>
  <si>
    <t xml:space="preserve">Vitis vinifera subsp vinifera cv. Sauvignon rouge</t>
  </si>
  <si>
    <t xml:space="preserve">Vitis vinifera subsp vinifera cv. Sauvignonasse</t>
  </si>
  <si>
    <t xml:space="preserve">Vitis vinifera subsp vinifera cv. Savagnin blanc</t>
  </si>
  <si>
    <t xml:space="preserve">Vitis vinifera subsp vinifera cv. Savagnin rose</t>
  </si>
  <si>
    <t xml:space="preserve">Vitis vinifera subsp vinifera cv. Savvatiano</t>
  </si>
  <si>
    <t xml:space="preserve">Vitis vinifera subsp vinifera cv. Scaliger</t>
  </si>
  <si>
    <t xml:space="preserve">Vitis vinifera subsp vinifera cv. Schabasche</t>
  </si>
  <si>
    <t xml:space="preserve">Vitis vinifera subsp vinifera cv. Scheu 10514</t>
  </si>
  <si>
    <t xml:space="preserve">Vitis vinifera subsp vinifera cv. Scheurebe</t>
  </si>
  <si>
    <t xml:space="preserve">Vitis vinifera subsp vinifera cv. Schiava gentile</t>
  </si>
  <si>
    <t xml:space="preserve">Vitis vinifera subsp vinifera cv. Schiava grigia</t>
  </si>
  <si>
    <t xml:space="preserve">Vitis vinifera subsp vinifera cv. Schiava lombarda</t>
  </si>
  <si>
    <t xml:space="preserve">Vitis vinifera subsp vinifera cv. Schiradzouli</t>
  </si>
  <si>
    <t xml:space="preserve">Vitis vinifera subsp vinifera cv. Schiradzouli violet</t>
  </si>
  <si>
    <t xml:space="preserve">Vitis vinifera subsp vinifera cv. Schiras</t>
  </si>
  <si>
    <t xml:space="preserve">Vitis vinifera subsp vinifera cv. Sciaccarello</t>
  </si>
  <si>
    <t xml:space="preserve">Vitis vinifera subsp vinifera cv. Sciascinoso</t>
  </si>
  <si>
    <t xml:space="preserve">Vitis vinifera subsp vinifera cv. Sebai assouad</t>
  </si>
  <si>
    <t xml:space="preserve">Vitis vinifera subsp vinifera cv. Sécal</t>
  </si>
  <si>
    <t xml:space="preserve">Vitis vinifera subsp vinifera cv. Segalin = INRA 1377-174</t>
  </si>
  <si>
    <t xml:space="preserve">Vitis vinifera subsp vinifera cv. Seibel 60</t>
  </si>
  <si>
    <t xml:space="preserve">Vitis vinifera subsp vinifera cv. Select = Vidal 100 T</t>
  </si>
  <si>
    <t xml:space="preserve">Vitis vinifera subsp vinifera cv. Semebat</t>
  </si>
  <si>
    <t xml:space="preserve">Vitis vinifera subsp vinifera cv. Semidano</t>
  </si>
  <si>
    <t xml:space="preserve">Vitis vinifera subsp vinifera cv. Semillon</t>
  </si>
  <si>
    <t xml:space="preserve">Vitis vinifera subsp vinifera cv. Septimer = Alzey 3952</t>
  </si>
  <si>
    <t xml:space="preserve">Vitis vinifera subsp vinifera cv. Sercial</t>
  </si>
  <si>
    <t xml:space="preserve">Vitis vinifera subsp vinifera cv. Serénèze de Moirans</t>
  </si>
  <si>
    <t xml:space="preserve">Vitis vinifera subsp vinifera cv. Serénèze de Voreppe</t>
  </si>
  <si>
    <t xml:space="preserve">Vitis vinifera subsp vinifera cv. Serna</t>
  </si>
  <si>
    <t xml:space="preserve">Vitis vinifera subsp vinifera cv. Servabilis = Pirovano 221</t>
  </si>
  <si>
    <t xml:space="preserve">Vitis vinifera subsp vinifera cv. Servanin</t>
  </si>
  <si>
    <t xml:space="preserve">Vitis vinifera subsp vinifera cv. Servant</t>
  </si>
  <si>
    <t xml:space="preserve">Vitis vinifera subsp vinifera cv. Sevan</t>
  </si>
  <si>
    <t xml:space="preserve">Vitis vinifera subsp vinifera cv. Sgavetta</t>
  </si>
  <si>
    <t xml:space="preserve">Vitis vinifera subsp vinifera cv. Sguigarda</t>
  </si>
  <si>
    <t xml:space="preserve">Vitis vinifera subsp vinifera cv. Shenidani</t>
  </si>
  <si>
    <t xml:space="preserve">Vitis vinifera subsp vinifera cv. Shindo Khani</t>
  </si>
  <si>
    <t xml:space="preserve">Vitis vinifera subsp vinifera cv. Shirazi</t>
  </si>
  <si>
    <t xml:space="preserve">Vitis vinifera subsp vinifera cv. Siah</t>
  </si>
  <si>
    <t xml:space="preserve">Vitis vinifera subsp vinifera cv. Sibirkovy</t>
  </si>
  <si>
    <t xml:space="preserve">Vitis vinifera subsp vinifera cv. Sicilien faux</t>
  </si>
  <si>
    <t xml:space="preserve">Vitis vinifera subsp vinifera cv. Sideritis</t>
  </si>
  <si>
    <t xml:space="preserve">Vitis vinifera subsp vinifera cv. Siegerrebe = Scheu 7957</t>
  </si>
  <si>
    <t xml:space="preserve">Vitis vinifera subsp vinifera cv. Silberweiss</t>
  </si>
  <si>
    <t xml:space="preserve">Vitis vinifera subsp vinifera cv. Skiadopoulo</t>
  </si>
  <si>
    <t xml:space="preserve">Vitis vinifera subsp vinifera cv. Skyloklima</t>
  </si>
  <si>
    <t xml:space="preserve">Vitis vinifera subsp vinifera cv. Skylopnichtis</t>
  </si>
  <si>
    <t xml:space="preserve">Vitis vinifera subsp vinifera cv. Skylopnichtis blanc</t>
  </si>
  <si>
    <t xml:space="preserve">Vitis vinifera subsp vinifera cv. Slankamenka blanc</t>
  </si>
  <si>
    <t xml:space="preserve">Vitis vinifera subsp vinifera cv. Soiaki</t>
  </si>
  <si>
    <t xml:space="preserve">Vitis vinifera subsp vinifera cv. Soic</t>
  </si>
  <si>
    <t xml:space="preserve">Vitis vinifera subsp vinifera cv. Solferino = Pirovano 316</t>
  </si>
  <si>
    <t xml:space="preserve">Vitis vinifera subsp vinifera cv. Somarello rosso</t>
  </si>
  <si>
    <t xml:space="preserve">Vitis vinifera subsp vinifera cv. Somzölö kek</t>
  </si>
  <si>
    <t xml:space="preserve">Vitis vinifera subsp vinifera cv. Sorok Let Oktiabria</t>
  </si>
  <si>
    <t xml:space="preserve">Vitis vinifera subsp vinifera cv. Soukholimansky bely</t>
  </si>
  <si>
    <t xml:space="preserve">Vitis vinifera subsp vinifera cv. Souri (1)</t>
  </si>
  <si>
    <t xml:space="preserve">Vitis vinifera subsp vinifera cv. Souri (2)</t>
  </si>
  <si>
    <t xml:space="preserve">Vitis vinifera subsp vinifera cv. Sourkhak biely</t>
  </si>
  <si>
    <t xml:space="preserve">Vitis vinifera subsp vinifera cv. Sourkhak kitabsky</t>
  </si>
  <si>
    <t xml:space="preserve">Vitis vinifera subsp vinifera cv. Souvenir du Congrès</t>
  </si>
  <si>
    <t xml:space="preserve">Vitis vinifera subsp vinifera cv. Souzao</t>
  </si>
  <si>
    <t xml:space="preserve">Vitis vinifera subsp vinifera cv. Sovrana = Pirovano 244</t>
  </si>
  <si>
    <t xml:space="preserve">Vitis vinifera subsp vinifera cv. Staphidampelo</t>
  </si>
  <si>
    <t xml:space="preserve">Vitis vinifera subsp vinifera cv. Staphidostaphylo</t>
  </si>
  <si>
    <t xml:space="preserve">Vitis vinifera subsp vinifera cv. Steinschiller blanc</t>
  </si>
  <si>
    <t xml:space="preserve">Vitis vinifera subsp vinifera cv. Strophyliatico</t>
  </si>
  <si>
    <t xml:space="preserve">Vitis vinifera subsp vinifera cv. Suavis = Pirovano 365 s</t>
  </si>
  <si>
    <t xml:space="preserve">Vitis vinifera subsp vinifera cv. Subirat Parent</t>
  </si>
  <si>
    <t xml:space="preserve">Vitis vinifera subsp vinifera cv. Sugrafive = Early Supérior seedless</t>
  </si>
  <si>
    <t xml:space="preserve">Vitis vinifera subsp vinifera cv. Sugraone = Superior seedless</t>
  </si>
  <si>
    <t xml:space="preserve">Vitis vinifera subsp vinifera cv. Sulivan blanc</t>
  </si>
  <si>
    <t xml:space="preserve">Vitis vinifera subsp vinifera cv. Sultana moscata = Pirovano 75</t>
  </si>
  <si>
    <t xml:space="preserve">Vitis vinifera subsp vinifera cv. Sultanina</t>
  </si>
  <si>
    <t xml:space="preserve">Vitis vinifera subsp vinifera cv. Sultanine</t>
  </si>
  <si>
    <t xml:space="preserve">Vitis vinifera subsp vinifera cv. Sultanine monococco</t>
  </si>
  <si>
    <t xml:space="preserve">Vitis vinifera subsp vinifera cv. Sultanine rose</t>
  </si>
  <si>
    <t xml:space="preserve">Vitis vinifera subsp vinifera cv. Sultanine rouge</t>
  </si>
  <si>
    <t xml:space="preserve">Vitis vinifera subsp vinifera cv. Sumoll</t>
  </si>
  <si>
    <t xml:space="preserve">Vitis vinifera subsp vinifera cv. Suntory blanc</t>
  </si>
  <si>
    <t xml:space="preserve">Vitis vinifera subsp vinifera cv. Superba = Pirovano 476 a</t>
  </si>
  <si>
    <t xml:space="preserve">Vitis vinifera subsp vinifera cv. Superfrankenthal = Pirovano 243</t>
  </si>
  <si>
    <t xml:space="preserve">Vitis vinifera subsp vinifera cv. Superzibibbo = Pirovano 107 a</t>
  </si>
  <si>
    <t xml:space="preserve">Vitis vinifera subsp vinifera cv. Suscan crni</t>
  </si>
  <si>
    <t xml:space="preserve">Vitis vinifera subsp vinifera cv. Susumaniello</t>
  </si>
  <si>
    <t xml:space="preserve">Vitis vinifera subsp vinifera cv. Sykiotis</t>
  </si>
  <si>
    <t xml:space="preserve">Vitis vinifera subsp vinifera cv. Sylvaner</t>
  </si>
  <si>
    <t xml:space="preserve">Vitis vinifera subsp vinifera cv. Sylvaner blau</t>
  </si>
  <si>
    <t xml:space="preserve">Vitis vinifera subsp vinifera cv. Sylvaner rot</t>
  </si>
  <si>
    <t xml:space="preserve">Vitis vinifera subsp vinifera cv. Syrah</t>
  </si>
  <si>
    <t xml:space="preserve">Vitis vinifera subsp vinifera cv. Syriki</t>
  </si>
  <si>
    <t xml:space="preserve">Vitis vinifera subsp vinifera cv. Szagos Bajnar</t>
  </si>
  <si>
    <t xml:space="preserve">Vitis vinifera subsp vinifera cv. Szauter Gusztav</t>
  </si>
  <si>
    <t xml:space="preserve">Vitis vinifera subsp vinifera cv. Szegedi</t>
  </si>
  <si>
    <t xml:space="preserve">Vitis vinifera subsp vinifera cv. Szegeny ember szölöje</t>
  </si>
  <si>
    <t xml:space="preserve">Vitis vinifera subsp vinifera cv. Szent Laszlö</t>
  </si>
  <si>
    <t xml:space="preserve">Vitis vinifera subsp vinifera cv. Szeredi</t>
  </si>
  <si>
    <t xml:space="preserve">Vitis vinifera subsp vinifera cv. Szeremi zöld</t>
  </si>
  <si>
    <t xml:space="preserve">Vitis vinifera subsp vinifera cv. Tachtas</t>
  </si>
  <si>
    <t xml:space="preserve">Vitis vinifera subsp vinifera cv. Taferielt</t>
  </si>
  <si>
    <t xml:space="preserve">Vitis vinifera subsp vinifera cv. Tagleit n'timilli</t>
  </si>
  <si>
    <t xml:space="preserve">Vitis vinifera subsp vinifera cv. Tagobi</t>
  </si>
  <si>
    <t xml:space="preserve">Vitis vinifera subsp vinifera cv. Taifi belyi</t>
  </si>
  <si>
    <t xml:space="preserve">Vitis vinifera subsp vinifera cv. Taïfi rosovy</t>
  </si>
  <si>
    <t xml:space="preserve">Vitis vinifera subsp vinifera cv. Taïlilout</t>
  </si>
  <si>
    <t xml:space="preserve">Vitis vinifera subsp vinifera cv. Tamares</t>
  </si>
  <si>
    <t xml:space="preserve">Vitis vinifera subsp vinifera cv. Tamarez Moscatel 31-3-3</t>
  </si>
  <si>
    <t xml:space="preserve">Vitis vinifera subsp vinifera cv. Tana kouzy</t>
  </si>
  <si>
    <t xml:space="preserve">Vitis vinifera subsp vinifera cv. Tanagos</t>
  </si>
  <si>
    <t xml:space="preserve">Vitis vinifera subsp vinifera cv. Tankert</t>
  </si>
  <si>
    <t xml:space="preserve">Vitis vinifera subsp vinifera cv. Tannat</t>
  </si>
  <si>
    <t xml:space="preserve">Vitis vinifera subsp vinifera cv. Tantovina</t>
  </si>
  <si>
    <t xml:space="preserve">Vitis vinifera subsp vinifera cv. Tarabassié</t>
  </si>
  <si>
    <t xml:space="preserve">Vitis vinifera subsp vinifera cv. Tardif</t>
  </si>
  <si>
    <t xml:space="preserve">Vitis vinifera subsp vinifera cv. Tarnaou</t>
  </si>
  <si>
    <t xml:space="preserve">Vitis vinifera subsp vinifera cv. Tarragonins</t>
  </si>
  <si>
    <t xml:space="preserve">Vitis vinifera subsp vinifera cv. Tarrango</t>
  </si>
  <si>
    <t xml:space="preserve">Vitis vinifera subsp vinifera cv. Taschly</t>
  </si>
  <si>
    <t xml:space="preserve">Vitis vinifera subsp vinifera cv. Tavkveri</t>
  </si>
  <si>
    <t xml:space="preserve">Vitis vinifera subsp vinifera cv. Tavrida = Magaratch 171</t>
  </si>
  <si>
    <t xml:space="preserve">Vitis vinifera subsp vinifera cv. Tchaïnak</t>
  </si>
  <si>
    <t xml:space="preserve">Vitis vinifera subsp vinifera cv. Tchernii Crimski</t>
  </si>
  <si>
    <t xml:space="preserve">Vitis vinifera subsp vinifera cv. Tchilar</t>
  </si>
  <si>
    <t xml:space="preserve">Vitis vinifera subsp vinifera cv. Tchiliaki blanc</t>
  </si>
  <si>
    <t xml:space="preserve">Vitis vinifera subsp vinifera cv. Tchiliaki rouge</t>
  </si>
  <si>
    <t xml:space="preserve">Vitis vinifera subsp vinifera cv. Tchingin kara</t>
  </si>
  <si>
    <t xml:space="preserve">Vitis vinifera subsp vinifera cv. Tchinouri</t>
  </si>
  <si>
    <t xml:space="preserve">Vitis vinifera subsp vinifera cv. Tchkhaveri</t>
  </si>
  <si>
    <t xml:space="preserve">Vitis vinifera subsp vinifera cv. Teinturier</t>
  </si>
  <si>
    <t xml:space="preserve">Vitis vinifera subsp vinifera cv. Teli granat</t>
  </si>
  <si>
    <t xml:space="preserve">Vitis vinifera subsp vinifera cv. Tempranilla</t>
  </si>
  <si>
    <t xml:space="preserve">Vitis vinifera subsp vinifera cv. Tempranillo</t>
  </si>
  <si>
    <t xml:space="preserve">Vitis vinifera subsp vinifera cv. Téoulier</t>
  </si>
  <si>
    <t xml:space="preserve">Vitis vinifera subsp vinifera cv. Téoulier blanc</t>
  </si>
  <si>
    <t xml:space="preserve">Vitis vinifera subsp vinifera cv. Terbasch</t>
  </si>
  <si>
    <t xml:space="preserve">Vitis vinifera subsp vinifera cv. Teresita = Dalmasso XVIII-24</t>
  </si>
  <si>
    <t xml:space="preserve">Vitis vinifera subsp vinifera cv. Terlaner</t>
  </si>
  <si>
    <t xml:space="preserve">Vitis vinifera subsp vinifera cv. Teroldego</t>
  </si>
  <si>
    <t xml:space="preserve">Vitis vinifera subsp vinifera cv. Terr Gulmek</t>
  </si>
  <si>
    <t xml:space="preserve">Vitis vinifera subsp vinifera cv. Terramon long</t>
  </si>
  <si>
    <t xml:space="preserve">Vitis vinifera subsp vinifera cv. Terramon rond</t>
  </si>
  <si>
    <t xml:space="preserve">Vitis vinifera subsp vinifera cv. Terrano</t>
  </si>
  <si>
    <t xml:space="preserve">Vitis vinifera subsp vinifera cv. Terrantez de Madère</t>
  </si>
  <si>
    <t xml:space="preserve">Vitis vinifera subsp vinifera cv. Terrantez du Dão</t>
  </si>
  <si>
    <t xml:space="preserve">Vitis vinifera subsp vinifera cv. Terret blanc</t>
  </si>
  <si>
    <t xml:space="preserve">Vitis vinifera subsp vinifera cv. Terret Bouschet</t>
  </si>
  <si>
    <t xml:space="preserve">Vitis vinifera subsp vinifera cv. Terret gris</t>
  </si>
  <si>
    <t xml:space="preserve">Vitis vinifera subsp vinifera cv. Terret noir</t>
  </si>
  <si>
    <t xml:space="preserve">Vitis vinifera subsp vinifera cv. Teta de Vaca</t>
  </si>
  <si>
    <t xml:space="preserve">Vitis vinifera subsp vinifera cv. Thallocsy Lajos muskotaly = Muscat Thallocsy</t>
  </si>
  <si>
    <t xml:space="preserve">Vitis vinifera subsp vinifera cv. Thermi</t>
  </si>
  <si>
    <t xml:space="preserve">Vitis vinifera subsp vinifera cv. Tibouren</t>
  </si>
  <si>
    <t xml:space="preserve">Vitis vinifera subsp vinifera cv. Tihany</t>
  </si>
  <si>
    <t xml:space="preserve">Vitis vinifera subsp vinifera cv. Timorasso</t>
  </si>
  <si>
    <t xml:space="preserve">Vitis vinifera subsp vinifera cv. Timpurie</t>
  </si>
  <si>
    <t xml:space="preserve">Vitis vinifera subsp vinifera cv. Tini</t>
  </si>
  <si>
    <t xml:space="preserve">Vitis vinifera subsp vinifera cv. Tiniouine</t>
  </si>
  <si>
    <t xml:space="preserve">Vitis vinifera subsp vinifera cv. Tinos noir</t>
  </si>
  <si>
    <t xml:space="preserve">Vitis vinifera subsp vinifera cv. Tinta amarella</t>
  </si>
  <si>
    <t xml:space="preserve">Vitis vinifera subsp vinifera cv. Tinta Barroca</t>
  </si>
  <si>
    <t xml:space="preserve">Vitis vinifera subsp vinifera cv. Tinta carvalha</t>
  </si>
  <si>
    <t xml:space="preserve">Vitis vinifera subsp vinifera cv. Tinta castellõa</t>
  </si>
  <si>
    <t xml:space="preserve">Vitis vinifera subsp vinifera cv. Tinta de Madeira</t>
  </si>
  <si>
    <t xml:space="preserve">Vitis vinifera subsp vinifera cv. Tinta francisca</t>
  </si>
  <si>
    <t xml:space="preserve">Vitis vinifera subsp vinifera cv. Tinta pinheira</t>
  </si>
  <si>
    <t xml:space="preserve">Vitis vinifera subsp vinifera cv. Tintillo</t>
  </si>
  <si>
    <t xml:space="preserve">Vitis vinifera subsp vinifera cv. Tintinha = Leao Ferreira da Almeida 11-48-122</t>
  </si>
  <si>
    <t xml:space="preserve">Vitis vinifera subsp vinifera cv. Tinto Cao</t>
  </si>
  <si>
    <t xml:space="preserve">Vitis vinifera subsp vinifera cv. Tintora</t>
  </si>
  <si>
    <t xml:space="preserve">Vitis vinifera subsp vinifera cv. Tita Caprei</t>
  </si>
  <si>
    <t xml:space="preserve">Vitis vinifera subsp vinifera cv. Tolstokorii</t>
  </si>
  <si>
    <t xml:space="preserve">Vitis vinifera subsp vinifera cv. Török Mazsola</t>
  </si>
  <si>
    <t xml:space="preserve">Vitis vinifera subsp vinifera cv. Torralba</t>
  </si>
  <si>
    <t xml:space="preserve">Vitis vinifera subsp vinifera cv. Torrontès</t>
  </si>
  <si>
    <t xml:space="preserve">Vitis vinifera subsp vinifera cv. Torrontès mendocino</t>
  </si>
  <si>
    <t xml:space="preserve">Vitis vinifera subsp vinifera cv. Torrontès riojano</t>
  </si>
  <si>
    <t xml:space="preserve">Vitis vinifera subsp vinifera cv. Torrontès sanjuanino</t>
  </si>
  <si>
    <t xml:space="preserve">Vitis vinifera subsp vinifera cv. Tortozon</t>
  </si>
  <si>
    <t xml:space="preserve">Vitis vinifera subsp vinifera cv. Tourbat</t>
  </si>
  <si>
    <t xml:space="preserve">Vitis vinifera subsp vinifera cv. Touriga</t>
  </si>
  <si>
    <t xml:space="preserve">Vitis vinifera subsp vinifera cv. Toutrissin</t>
  </si>
  <si>
    <t xml:space="preserve">Vitis vinifera subsp vinifera cv. Tre voto</t>
  </si>
  <si>
    <t xml:space="preserve">Vitis vinifera subsp vinifera cv. Trebbiano</t>
  </si>
  <si>
    <t xml:space="preserve">Vitis vinifera subsp vinifera cv. Trebbiano di Soave</t>
  </si>
  <si>
    <t xml:space="preserve">Vitis vinifera subsp vinifera cv. Trebbiano giallo</t>
  </si>
  <si>
    <t xml:space="preserve">Vitis vinifera subsp vinifera cv. Trebbiano romagnolo</t>
  </si>
  <si>
    <t xml:space="preserve">Vitis vinifera subsp vinifera cv. Trebbiano spoletino</t>
  </si>
  <si>
    <t xml:space="preserve">Vitis vinifera subsp vinifera cv. Treixadura</t>
  </si>
  <si>
    <t xml:space="preserve">Vitis vinifera subsp vinifera cv. Trentham black faux</t>
  </si>
  <si>
    <t xml:space="preserve">Vitis vinifera subsp vinifera cv. Treolina</t>
  </si>
  <si>
    <t xml:space="preserve">Vitis vinifera subsp vinifera cv. Tressot</t>
  </si>
  <si>
    <t xml:space="preserve">Vitis vinifera subsp vinifera cv. Tressot blanc</t>
  </si>
  <si>
    <t xml:space="preserve">Vitis vinifera subsp vinifera cv. Tressot panaché</t>
  </si>
  <si>
    <t xml:space="preserve">Vitis vinifera subsp vinifera cv. Tressot panaché faux</t>
  </si>
  <si>
    <t xml:space="preserve">Vitis vinifera subsp vinifera cv. Trevisana nera</t>
  </si>
  <si>
    <t xml:space="preserve">Vitis vinifera subsp vinifera cv. Trieste = Pirovano 299</t>
  </si>
  <si>
    <t xml:space="preserve">Vitis vinifera subsp vinifera cv. Tripoli = Pirovano 352</t>
  </si>
  <si>
    <t xml:space="preserve">Vitis vinifera subsp vinifera cv. Trollinger blaudüftig</t>
  </si>
  <si>
    <t xml:space="preserve">Vitis vinifera subsp vinifera cv. Trollinger Muskat</t>
  </si>
  <si>
    <t xml:space="preserve">Vitis vinifera subsp vinifera cv. Trollingi feher</t>
  </si>
  <si>
    <t xml:space="preserve">Vitis vinifera subsp vinifera cv. Trousseau</t>
  </si>
  <si>
    <t xml:space="preserve">Vitis vinifera subsp vinifera cv. Trousseau gris</t>
  </si>
  <si>
    <t xml:space="preserve">Vitis vinifera subsp vinifera cv. Troyen</t>
  </si>
  <si>
    <t xml:space="preserve">Vitis vinifera subsp vinifera cv. Trunzo</t>
  </si>
  <si>
    <t xml:space="preserve">Vitis vinifera subsp vinifera cv. Tsambato</t>
  </si>
  <si>
    <t xml:space="preserve">Vitis vinifera subsp vinifera cv. Tschetirbak</t>
  </si>
  <si>
    <t xml:space="preserve">Vitis vinifera subsp vinifera cv. Tuia tiche</t>
  </si>
  <si>
    <t xml:space="preserve">Vitis vinifera subsp vinifera cv. Tuia tiche faux</t>
  </si>
  <si>
    <t xml:space="preserve">Vitis vinifera subsp vinifera cv. Tulillah</t>
  </si>
  <si>
    <t xml:space="preserve">Vitis vinifera subsp vinifera cv. Turki</t>
  </si>
  <si>
    <t xml:space="preserve">Vitis vinifera subsp vinifera cv. Turruntes</t>
  </si>
  <si>
    <t xml:space="preserve">Vitis vinifera subsp vinifera cv. Turska dinka</t>
  </si>
  <si>
    <t xml:space="preserve">Vitis vinifera subsp vinifera cv. Tzimlansky blanc</t>
  </si>
  <si>
    <t xml:space="preserve">Vitis vinifera subsp vinifera cv. Tzimlansky noir</t>
  </si>
  <si>
    <t xml:space="preserve">Vitis vinifera subsp vinifera cv. Tzitzka</t>
  </si>
  <si>
    <t xml:space="preserve">Vitis vinifera subsp vinifera cv. Tzolikoouri</t>
  </si>
  <si>
    <t xml:space="preserve">Vitis vinifera subsp vinifera cv. Ugni blanc</t>
  </si>
  <si>
    <t xml:space="preserve">Vitis vinifera subsp vinifera cv. Ugni blanc à feuilles découpées</t>
  </si>
  <si>
    <t xml:space="preserve">Vitis vinifera subsp vinifera cv. Ugni rouge</t>
  </si>
  <si>
    <t xml:space="preserve">Vitis vinifera subsp vinifera cv. Urben blau</t>
  </si>
  <si>
    <t xml:space="preserve">Vitis vinifera subsp vinifera cv. Urben rot</t>
  </si>
  <si>
    <t xml:space="preserve">Vitis vinifera subsp vinifera cv. Urreti</t>
  </si>
  <si>
    <t xml:space="preserve">Vitis vinifera subsp vinifera cv. Uva Cao</t>
  </si>
  <si>
    <t xml:space="preserve">Vitis vinifera subsp vinifera cv. Uva de Rey</t>
  </si>
  <si>
    <t xml:space="preserve">Vitis vinifera subsp vinifera cv. Uva di Troia</t>
  </si>
  <si>
    <t xml:space="preserve">Vitis vinifera subsp vinifera cv. Uva melona</t>
  </si>
  <si>
    <t xml:space="preserve">Vitis vinifera subsp vinifera cv. V 155 (J.P. Vidal)</t>
  </si>
  <si>
    <t xml:space="preserve">Vitis vinifera subsp vinifera cv. Valais noir</t>
  </si>
  <si>
    <t xml:space="preserve">Vitis vinifera subsp vinifera cv. Valdepeñas</t>
  </si>
  <si>
    <t xml:space="preserve">Vitis vinifera subsp vinifera cv. Valdiguié</t>
  </si>
  <si>
    <t xml:space="preserve">Vitis vinifera subsp vinifera cv. Valdiguié pissaïré</t>
  </si>
  <si>
    <t xml:space="preserve">Vitis vinifera subsp vinifera cv. Valenci blanco</t>
  </si>
  <si>
    <t xml:space="preserve">Vitis vinifera subsp vinifera cv. Valenci blanco faux</t>
  </si>
  <si>
    <t xml:space="preserve">Vitis vinifera subsp vinifera cv. Valensi noir</t>
  </si>
  <si>
    <t xml:space="preserve">Vitis vinifera subsp vinifera cv. Vapsa</t>
  </si>
  <si>
    <t xml:space="preserve">Vitis vinifera subsp vinifera cv. Vassarga bielaia</t>
  </si>
  <si>
    <t xml:space="preserve">Vitis vinifera subsp vinifera cv. Vassarga tchernaia</t>
  </si>
  <si>
    <t xml:space="preserve">Vitis vinifera subsp vinifera cv. Vékonyhéju</t>
  </si>
  <si>
    <t xml:space="preserve">Vitis vinifera subsp vinifera cv. Velteliner rouge</t>
  </si>
  <si>
    <t xml:space="preserve">Vitis vinifera subsp vinifera cv. Velteliner rouge précoce</t>
  </si>
  <si>
    <t xml:space="preserve">Vitis vinifera subsp vinifera cv. Velteliner vert</t>
  </si>
  <si>
    <t xml:space="preserve">Vitis vinifera subsp vinifera cv. Verdanel</t>
  </si>
  <si>
    <t xml:space="preserve">Vitis vinifera subsp vinifera cv. Verdea</t>
  </si>
  <si>
    <t xml:space="preserve">Vitis vinifera subsp vinifera cv. Verdeca</t>
  </si>
  <si>
    <t xml:space="preserve">Vitis vinifera subsp vinifera cv. Verdejo blanco</t>
  </si>
  <si>
    <t xml:space="preserve">Vitis vinifera subsp vinifera cv. Verdejo negro</t>
  </si>
  <si>
    <t xml:space="preserve">Vitis vinifera subsp vinifera cv. Verdelho</t>
  </si>
  <si>
    <t xml:space="preserve">Vitis vinifera subsp vinifera cv. Verdelho du Dâo</t>
  </si>
  <si>
    <t xml:space="preserve">Vitis vinifera subsp vinifera cv. Verdelho feijão</t>
  </si>
  <si>
    <t xml:space="preserve">Vitis vinifera subsp vinifera cv. Verdelho tinto femelle</t>
  </si>
  <si>
    <t xml:space="preserve">Vitis vinifera subsp vinifera cv. Verdesse</t>
  </si>
  <si>
    <t xml:space="preserve">Vitis vinifera subsp vinifera cv. Verdicchio</t>
  </si>
  <si>
    <t xml:space="preserve">Vitis vinifera subsp vinifera cv. Verdiso</t>
  </si>
  <si>
    <t xml:space="preserve">Vitis vinifera subsp vinifera cv. Verduschia</t>
  </si>
  <si>
    <t xml:space="preserve">Vitis vinifera subsp vinifera cv. Verduzzo friulano</t>
  </si>
  <si>
    <t xml:space="preserve">Vitis vinifera subsp vinifera cv. Verduzzo trevigiano</t>
  </si>
  <si>
    <t xml:space="preserve">Vitis vinifera subsp vinifera cv. Verico</t>
  </si>
  <si>
    <t xml:space="preserve">Vitis vinifera subsp vinifera cv. Verjus</t>
  </si>
  <si>
    <t xml:space="preserve">Vitis vinifera subsp vinifera cv. Vermentino</t>
  </si>
  <si>
    <t xml:space="preserve">Vitis vinifera subsp vinifera cv. Vermentino nero</t>
  </si>
  <si>
    <t xml:space="preserve">Vitis vinifera subsp vinifera cv. Vernaccia di Oristano</t>
  </si>
  <si>
    <t xml:space="preserve">Vitis vinifera subsp vinifera cv. Vernaccia di San Gimignano</t>
  </si>
  <si>
    <t xml:space="preserve">Vitis vinifera subsp vinifera cv. Vernaccia nera</t>
  </si>
  <si>
    <t xml:space="preserve">Vitis vinifera subsp vinifera cv. Vernaccina</t>
  </si>
  <si>
    <t xml:space="preserve">Vitis vinifera subsp vinifera cv. Verona = Pirovano 52</t>
  </si>
  <si>
    <t xml:space="preserve">Vitis vinifera subsp vinifera cv. Vespaiola</t>
  </si>
  <si>
    <t xml:space="preserve">Vitis vinifera subsp vinifera cv. Vespolina</t>
  </si>
  <si>
    <t xml:space="preserve">Vitis vinifera subsp vinifera cv. Vesprino</t>
  </si>
  <si>
    <t xml:space="preserve">Vitis vinifera subsp vinifera cv. Victor = Pirovano 314</t>
  </si>
  <si>
    <t xml:space="preserve">Vitis vinifera subsp vinifera cv. Vidal 117</t>
  </si>
  <si>
    <t xml:space="preserve">Vitis vinifera subsp vinifera cv. Vidal 31</t>
  </si>
  <si>
    <t xml:space="preserve">Vitis vinifera subsp vinifera cv. Vidal 311</t>
  </si>
  <si>
    <t xml:space="preserve">Vitis vinifera subsp vinifera cv. Vidal 36</t>
  </si>
  <si>
    <t xml:space="preserve">Vitis vinifera subsp vinifera cv. Vidal 539</t>
  </si>
  <si>
    <t xml:space="preserve">Vitis vinifera subsp vinifera cv. Vidal 544</t>
  </si>
  <si>
    <t xml:space="preserve">Vitis vinifera subsp vinifera cv. Vidal 547</t>
  </si>
  <si>
    <t xml:space="preserve">Vitis vinifera subsp vinifera cv. Vidal 548</t>
  </si>
  <si>
    <t xml:space="preserve">Vitis vinifera subsp vinifera cv. Vidal 595</t>
  </si>
  <si>
    <t xml:space="preserve">Vitis vinifera subsp vinifera cv. Vidal 662</t>
  </si>
  <si>
    <t xml:space="preserve">Vitis vinifera subsp vinifera cv. Vidal 678</t>
  </si>
  <si>
    <t xml:space="preserve">Vitis vinifera subsp vinifera cv. Vidal 686</t>
  </si>
  <si>
    <t xml:space="preserve">Vitis vinifera subsp vinifera cv. Vidal 76 T</t>
  </si>
  <si>
    <t xml:space="preserve">Vitis vinifera subsp vinifera cv. Vidal 800</t>
  </si>
  <si>
    <t xml:space="preserve">Vitis vinifera subsp vinifera cv. Vidal 804</t>
  </si>
  <si>
    <t xml:space="preserve">Vitis vinifera subsp vinifera cv. Vidal 808</t>
  </si>
  <si>
    <t xml:space="preserve">Vitis vinifera subsp vinifera cv. Vidal 815</t>
  </si>
  <si>
    <t xml:space="preserve">Vitis vinifera subsp vinifera cv. Vidal 83 T</t>
  </si>
  <si>
    <t xml:space="preserve">Vitis vinifera subsp vinifera cv. Vidal 98 T</t>
  </si>
  <si>
    <t xml:space="preserve">Vitis vinifera subsp vinifera cv. Vidal 99 T</t>
  </si>
  <si>
    <t xml:space="preserve">Vitis vinifera subsp vinifera cv. Vidiano</t>
  </si>
  <si>
    <t xml:space="preserve">Vitis vinifera subsp vinifera cv. Vien de Nus</t>
  </si>
  <si>
    <t xml:space="preserve">Vitis vinifera subsp vinifera cv. Vigne de Wood</t>
  </si>
  <si>
    <t xml:space="preserve">Vitis vinifera subsp vinifera cv. Vijiriega</t>
  </si>
  <si>
    <t xml:space="preserve">Vitis vinifera subsp vinifera cv. Vilana</t>
  </si>
  <si>
    <t xml:space="preserve">Vitis vinifera subsp vinifera cv. Villardiell</t>
  </si>
  <si>
    <t xml:space="preserve">Vitis vinifera subsp vinifera cv. Vinta</t>
  </si>
  <si>
    <t xml:space="preserve">Vitis vinifera subsp vinifera cv. Vintaïu</t>
  </si>
  <si>
    <t xml:space="preserve">Vitis vinifera subsp vinifera cv. Viognier</t>
  </si>
  <si>
    <t xml:space="preserve">Vitis vinifera subsp vinifera cv. Viola = Dalmasso XVIII-3</t>
  </si>
  <si>
    <t xml:space="preserve">Vitis vinifera subsp vinifera cv. Viosinho</t>
  </si>
  <si>
    <t xml:space="preserve">Vitis vinifera subsp vinifera cv. Viska</t>
  </si>
  <si>
    <t xml:space="preserve">Vitis vinifera subsp vinifera cv. Vital</t>
  </si>
  <si>
    <t xml:space="preserve">Vitis vinifera subsp vinifera cv. Volavna feher</t>
  </si>
  <si>
    <t xml:space="preserve">Vitis vinifera subsp vinifera cv. Volta = Pirovano 105</t>
  </si>
  <si>
    <t xml:space="preserve">Vitis vinifera subsp vinifera cv. Vörös vallas kek</t>
  </si>
  <si>
    <t xml:space="preserve">Vitis vinifera subsp vinifera cv. Voskeat</t>
  </si>
  <si>
    <t xml:space="preserve">Vitis vinifera subsp vinifera cv. Voudomato</t>
  </si>
  <si>
    <t xml:space="preserve">Vitis vinifera subsp vinifera cv. Vranac crni</t>
  </si>
  <si>
    <t xml:space="preserve">Vitis vinifera subsp vinifera cv. Vugava</t>
  </si>
  <si>
    <t xml:space="preserve">Vitis vinifera subsp vinifera cv. Vulpea</t>
  </si>
  <si>
    <t xml:space="preserve">Vitis vinifera subsp vinifera cv. Weisse Geisdutte par erreur</t>
  </si>
  <si>
    <t xml:space="preserve">Vitis vinifera subsp vinifera cv. West Freisia</t>
  </si>
  <si>
    <t xml:space="preserve">Vitis vinifera subsp vinifera cv. White Cinsaut</t>
  </si>
  <si>
    <t xml:space="preserve">Vitis vinifera subsp vinifera cv. White Lisbon</t>
  </si>
  <si>
    <t xml:space="preserve">Vitis vinifera subsp vinifera cv. White Muscadel</t>
  </si>
  <si>
    <t xml:space="preserve">Vitis vinifera subsp vinifera cv. White Prince</t>
  </si>
  <si>
    <t xml:space="preserve">Vitis vinifera subsp vinifera cv. Wildbacher blau</t>
  </si>
  <si>
    <t xml:space="preserve">Vitis vinifera subsp vinifera cv. Xarello</t>
  </si>
  <si>
    <t xml:space="preserve">Vitis vinifera subsp vinifera cv. Xarello vermell</t>
  </si>
  <si>
    <t xml:space="preserve">Vitis vinifera subsp vinifera cv. Xynomavro</t>
  </si>
  <si>
    <t xml:space="preserve">Vitis vinifera subsp vinifera cv. Yaghasti</t>
  </si>
  <si>
    <t xml:space="preserve">Vitis vinifera subsp vinifera cv. Yaï isioum rosovy</t>
  </si>
  <si>
    <t xml:space="preserve">Vitis vinifera subsp vinifera cv. Yapindjac</t>
  </si>
  <si>
    <t xml:space="preserve">Vitis vinifera subsp vinifera cv. Yekroa</t>
  </si>
  <si>
    <t xml:space="preserve">Vitis vinifera subsp vinifera cv. Ygia</t>
  </si>
  <si>
    <t xml:space="preserve">Vitis vinifera subsp vinifera cv. Yhsouh ali</t>
  </si>
  <si>
    <t xml:space="preserve">Vitis vinifera subsp vinifera cv. Zadarka bijela</t>
  </si>
  <si>
    <t xml:space="preserve">Vitis vinifera subsp vinifera cv. Zagtaïr</t>
  </si>
  <si>
    <t xml:space="preserve">Vitis vinifera subsp vinifera cv. Zalema</t>
  </si>
  <si>
    <t xml:space="preserve">Vitis vinifera subsp vinifera cv. Zalovitico</t>
  </si>
  <si>
    <t xml:space="preserve">Vitis vinifera subsp vinifera cv. Zampara</t>
  </si>
  <si>
    <t xml:space="preserve">Vitis vinifera subsp vinifera cv. Zeini</t>
  </si>
  <si>
    <t xml:space="preserve">Vitis vinifera subsp vinifera cv. Zeini abiad</t>
  </si>
  <si>
    <t xml:space="preserve">Vitis vinifera subsp vinifera cv. Zeini baladi</t>
  </si>
  <si>
    <t xml:space="preserve">Vitis vinifera subsp vinifera cv. Zeini rouge</t>
  </si>
  <si>
    <t xml:space="preserve">Vitis vinifera subsp vinifera cv. Zghihara de Husi</t>
  </si>
  <si>
    <t xml:space="preserve">Vitis vinifera subsp vinifera cv. Zierfandler rot</t>
  </si>
  <si>
    <t xml:space="preserve">Vitis vinifera subsp vinifera cv. Zilavka</t>
  </si>
  <si>
    <t xml:space="preserve">Vitis vinifera subsp vinifera cv. Zimsko belo</t>
  </si>
  <si>
    <t xml:space="preserve">Vitis vinifera subsp vinifera cv. Zizine</t>
  </si>
  <si>
    <t xml:space="preserve">Vitis vinifera subsp vinifera cv. Zlatarica bijela</t>
  </si>
  <si>
    <t xml:space="preserve">Vitis vinifera subsp vinifera cv. Zöldfürtü</t>
  </si>
  <si>
    <t xml:space="preserve">Vitis vinifera subsp vinifera cv. Zrinyi Ilona</t>
  </si>
  <si>
    <t xml:space="preserve">Vitis vinifera subsp vinifera cv. Zsitvai dinka</t>
  </si>
  <si>
    <t xml:space="preserve">Vitis vinifera subsp vinifera cv. Zweigelt blau</t>
  </si>
  <si>
    <t xml:space="preserve">Vitis vinifera subsp vinifera L.</t>
  </si>
  <si>
    <t xml:space="preserve">Vitis wenchowensis C.Ling</t>
  </si>
  <si>
    <t xml:space="preserve">Vitis x interspécifique</t>
  </si>
  <si>
    <t xml:space="preserve">Vitis x interspécifique cv. Aladin</t>
  </si>
  <si>
    <t xml:space="preserve">Vitis x interspécifique cv. Albenc = Galibert 36-1</t>
  </si>
  <si>
    <t xml:space="preserve">Vitis x interspécifique cv. Albignac = Galibert 12-1</t>
  </si>
  <si>
    <t xml:space="preserve">Vitis x interspécifique cv. Albignan</t>
  </si>
  <si>
    <t xml:space="preserve">Vitis x interspécifique cv. Alicante Ganzin</t>
  </si>
  <si>
    <t xml:space="preserve">Vitis x interspécifique cv. Alicante Terras 20</t>
  </si>
  <si>
    <t xml:space="preserve">Vitis x interspécifique cv. Amandin</t>
  </si>
  <si>
    <t xml:space="preserve">Vitis x interspécifique cv. Ambror = Seibel 10173</t>
  </si>
  <si>
    <t xml:space="preserve">Vitis x interspécifique cv. Aramond du Gard = Seibel 2007</t>
  </si>
  <si>
    <t xml:space="preserve">Vitis x interspécifique cv. Aramon-Rupestris Ganzin 1</t>
  </si>
  <si>
    <t xml:space="preserve">Vitis x interspécifique cv. Aramon-Rupestris Ganzin 2</t>
  </si>
  <si>
    <t xml:space="preserve">Vitis x interspécifique cv. Aramon-Rupestris Ganzin 9</t>
  </si>
  <si>
    <t xml:space="preserve">Vitis x interspécifique cv. Arboras = Galibert 22-5</t>
  </si>
  <si>
    <t xml:space="preserve">Vitis x interspécifique cv. Arnaud Fabre 3</t>
  </si>
  <si>
    <t xml:space="preserve">Vitis x interspécifique cv. Arnold 3401</t>
  </si>
  <si>
    <t xml:space="preserve">Vitis x interspécifique cv. Aspignan noir n° 1 = Galibert 239-35</t>
  </si>
  <si>
    <t xml:space="preserve">Vitis x interspécifique cv. Aspignan noir n°2 = Galibert 239-36</t>
  </si>
  <si>
    <t xml:space="preserve">Vitis x interspécifique cv. Aspignan n°1 = Galibert 239-34</t>
  </si>
  <si>
    <t xml:space="preserve">Vitis x interspécifique cv. Aurore = Seibel 5279</t>
  </si>
  <si>
    <t xml:space="preserve">Vitis x interspécifique cv. B Maclet</t>
  </si>
  <si>
    <t xml:space="preserve">Vitis x interspécifique cv. Baco blanc = Baco 22 A</t>
  </si>
  <si>
    <t xml:space="preserve">Vitis x interspécifique cv. Baco Noir = Baco 1</t>
  </si>
  <si>
    <t xml:space="preserve">Vitis x interspécifique cv. Baco 23 A</t>
  </si>
  <si>
    <t xml:space="preserve">Vitis x interspécifique cv. Baco 9-11</t>
  </si>
  <si>
    <t xml:space="preserve">Vitis x interspécifique cv. Beaujolais x 23657 S.V. n°1</t>
  </si>
  <si>
    <t xml:space="preserve">Vitis x interspécifique cv. Beaujolais x 23657 S.V. n°10</t>
  </si>
  <si>
    <t xml:space="preserve">Vitis x interspécifique cv. Beaujolais x 23657 S.V. n°11</t>
  </si>
  <si>
    <t xml:space="preserve">Vitis x interspécifique cv. Beaujolais x 23657 S.V. n°12</t>
  </si>
  <si>
    <t xml:space="preserve">Vitis x interspécifique cv. Beaujolais x 23657 S.V. n°13</t>
  </si>
  <si>
    <t xml:space="preserve">Vitis x interspécifique cv. Beaujolais x 23657 S.V. n°14</t>
  </si>
  <si>
    <t xml:space="preserve">Vitis x interspécifique cv. Beaujolais x 23657 S.V. n°15</t>
  </si>
  <si>
    <t xml:space="preserve">Vitis x interspécifique cv. Beaujolais x 23657 S.V. n°16</t>
  </si>
  <si>
    <t xml:space="preserve">Vitis x interspécifique cv. Beaujolais x 23657 S.V. n°17</t>
  </si>
  <si>
    <t xml:space="preserve">Vitis x interspécifique cv. Beaujolais x 23657 S.V. n°18</t>
  </si>
  <si>
    <t xml:space="preserve">Vitis x interspécifique cv. Beaujolais x 23657 S.V. n°2</t>
  </si>
  <si>
    <t xml:space="preserve">Vitis x interspécifique cv. Beaujolais x 23657 S.V. n°3</t>
  </si>
  <si>
    <t xml:space="preserve">Vitis x interspécifique cv. Beaujolais x 23657 S.V. n°4</t>
  </si>
  <si>
    <t xml:space="preserve">Vitis x interspécifique cv. Beaujolais x 23657 S.V. n°5</t>
  </si>
  <si>
    <t xml:space="preserve">Vitis x interspécifique cv. Beaujolais x 23657 S.V. n°6</t>
  </si>
  <si>
    <t xml:space="preserve">Vitis x interspécifique cv. Beaujolais x 23657 S.V. n°7</t>
  </si>
  <si>
    <t xml:space="preserve">Vitis x interspécifique cv. Beaujolais x 23657 S.V. n°8</t>
  </si>
  <si>
    <t xml:space="preserve">Vitis x interspécifique cv. Beaujolais x 23657 S.V. n°9</t>
  </si>
  <si>
    <t xml:space="preserve">Vitis x interspécifique cv. Bel Castel = Castel 13706</t>
  </si>
  <si>
    <t xml:space="preserve">Vitis x interspécifique cv. Bellandais = Seibel 14596</t>
  </si>
  <si>
    <t xml:space="preserve">Vitis x interspécifique cv. Bénédiction de Pecs</t>
  </si>
  <si>
    <t xml:space="preserve">Vitis x interspécifique cv. berlandieri x ?</t>
  </si>
  <si>
    <t xml:space="preserve">Vitis x interspécifique cv. Berlandieri-Colombard 1 A</t>
  </si>
  <si>
    <t xml:space="preserve">Vitis x interspécifique cv. Berlandieri-Colombard 1 B</t>
  </si>
  <si>
    <t xml:space="preserve">Vitis x interspécifique cv. Berlandieri-Colombard 2 = BC 2</t>
  </si>
  <si>
    <t xml:space="preserve">Vitis x interspécifique cv. Berlandieri-Colombard 3</t>
  </si>
  <si>
    <t xml:space="preserve">Vitis x interspécifique cv. Bertille Seyve 1125</t>
  </si>
  <si>
    <t xml:space="preserve">Vitis x interspécifique cv. Bertille Seyve 1127</t>
  </si>
  <si>
    <t xml:space="preserve">Vitis x interspécifique cv. Bertille Seyve 1129</t>
  </si>
  <si>
    <t xml:space="preserve">Vitis x interspécifique cv. Bertille Seyve 1134</t>
  </si>
  <si>
    <t xml:space="preserve">Vitis x interspécifique cv. Bertille Seyve 1353</t>
  </si>
  <si>
    <t xml:space="preserve">Vitis x interspécifique cv. Bertille Seyve 1372</t>
  </si>
  <si>
    <t xml:space="preserve">Vitis x interspécifique cv. Bertille Seyve 1516</t>
  </si>
  <si>
    <t xml:space="preserve">Vitis x interspécifique cv. Bertille Seyve 1522</t>
  </si>
  <si>
    <t xml:space="preserve">Vitis x interspécifique cv. Bertille Seyve 1523</t>
  </si>
  <si>
    <t xml:space="preserve">Vitis x interspécifique cv. Bertille Seyve 1630 faux</t>
  </si>
  <si>
    <t xml:space="preserve">Vitis x interspécifique cv. Bertille Seyve 1808</t>
  </si>
  <si>
    <t xml:space="preserve">Vitis x interspécifique cv. Bertille Seyve 1838</t>
  </si>
  <si>
    <t xml:space="preserve">Vitis x interspécifique cv. Bertille Seyve 2048</t>
  </si>
  <si>
    <t xml:space="preserve">Vitis x interspécifique cv. Bertille Seyve 2049</t>
  </si>
  <si>
    <t xml:space="preserve">Vitis x interspécifique cv. Bertille Seyve 2050</t>
  </si>
  <si>
    <t xml:space="preserve">Vitis x interspécifique cv. Bertille Seyve 2117</t>
  </si>
  <si>
    <t xml:space="preserve">Vitis x interspécifique cv. Bertille Seyve 2179</t>
  </si>
  <si>
    <t xml:space="preserve">Vitis x interspécifique cv. Bertille Seyve 2240</t>
  </si>
  <si>
    <t xml:space="preserve">Vitis x interspécifique cv. Bertille Seyve 2381</t>
  </si>
  <si>
    <t xml:space="preserve">Vitis x interspécifique cv. Bertille Seyve 2400</t>
  </si>
  <si>
    <t xml:space="preserve">Vitis x interspécifique cv. Bertille Seyve 2409</t>
  </si>
  <si>
    <t xml:space="preserve">Vitis x interspécifique cv. Bertille Seyve 2475</t>
  </si>
  <si>
    <t xml:space="preserve">Vitis x interspécifique cv. Bertille Seyve 2491</t>
  </si>
  <si>
    <t xml:space="preserve">Vitis x interspécifique cv. Bertille Seyve 2499</t>
  </si>
  <si>
    <t xml:space="preserve">Vitis x interspécifique cv. Bertille Seyve 2502</t>
  </si>
  <si>
    <t xml:space="preserve">Vitis x interspécifique cv. Bertille Seyve 2508</t>
  </si>
  <si>
    <t xml:space="preserve">Vitis x interspécifique cv. Bertille Seyve 2533</t>
  </si>
  <si>
    <t xml:space="preserve">Vitis x interspécifique cv. Bertille Seyve 2578</t>
  </si>
  <si>
    <t xml:space="preserve">Vitis x interspécifique cv. Bertille Seyve 2603</t>
  </si>
  <si>
    <t xml:space="preserve">Vitis x interspécifique cv. Bertille Seyve 2758</t>
  </si>
  <si>
    <t xml:space="preserve">Vitis x interspécifique cv. Bertille Seyve 2760</t>
  </si>
  <si>
    <t xml:space="preserve">Vitis x interspécifique cv. Bertille Seyve 2833</t>
  </si>
  <si>
    <t xml:space="preserve">Vitis x interspécifique cv. Bertille Seyve 2845</t>
  </si>
  <si>
    <t xml:space="preserve">Vitis x interspécifique cv. Bertille Seyve 2846</t>
  </si>
  <si>
    <t xml:space="preserve">Vitis x interspécifique cv. Bertille Seyve 3027</t>
  </si>
  <si>
    <t xml:space="preserve">Vitis x interspécifique cv. Bertille Seyve 3064</t>
  </si>
  <si>
    <t xml:space="preserve">Vitis x interspécifique cv. Bertille Seyve 3072</t>
  </si>
  <si>
    <t xml:space="preserve">Vitis x interspécifique cv. Bertille Seyve 3101</t>
  </si>
  <si>
    <t xml:space="preserve">Vitis x interspécifique cv. Bertille Seyve 3114</t>
  </si>
  <si>
    <t xml:space="preserve">Vitis x interspécifique cv. Bertille Seyve 3118</t>
  </si>
  <si>
    <t xml:space="preserve">Vitis x interspécifique cv. Bertille Seyve 3144</t>
  </si>
  <si>
    <t xml:space="preserve">Vitis x interspécifique cv. Bertille Seyve 3246</t>
  </si>
  <si>
    <t xml:space="preserve">Vitis x interspécifique cv. Bertille Seyve 3310</t>
  </si>
  <si>
    <t xml:space="preserve">Vitis x interspécifique cv. Bertille Seyve 3408</t>
  </si>
  <si>
    <t xml:space="preserve">Vitis x interspécifique cv. Bertille Seyve 3411</t>
  </si>
  <si>
    <t xml:space="preserve">Vitis x interspécifique cv. Bertille Seyve 3434</t>
  </si>
  <si>
    <t xml:space="preserve">Vitis x interspécifique cv. Bertille Seyve 3585</t>
  </si>
  <si>
    <t xml:space="preserve">Vitis x interspécifique cv. Bertille Seyve 3600</t>
  </si>
  <si>
    <t xml:space="preserve">Vitis x interspécifique cv. Bertille Seyve 4127</t>
  </si>
  <si>
    <t xml:space="preserve">Vitis x interspécifique cv. Bertille Seyve 413</t>
  </si>
  <si>
    <t xml:space="preserve">Vitis x interspécifique cv. Bertille Seyve 4176</t>
  </si>
  <si>
    <t xml:space="preserve">Vitis x interspécifique cv. Bertille Seyve 4201</t>
  </si>
  <si>
    <t xml:space="preserve">Vitis x interspécifique cv. Bertille Seyve 433</t>
  </si>
  <si>
    <t xml:space="preserve">Vitis x interspécifique cv. Bertille Seyve 450</t>
  </si>
  <si>
    <t xml:space="preserve">Vitis x interspécifique cv. Bertille Seyve 453</t>
  </si>
  <si>
    <t xml:space="preserve">Vitis x interspécifique cv. Bertille Seyve 460</t>
  </si>
  <si>
    <t xml:space="preserve">Vitis x interspécifique cv. Bertille Seyve 4825</t>
  </si>
  <si>
    <t xml:space="preserve">Vitis x interspécifique cv. Bertille Seyve 618</t>
  </si>
  <si>
    <t xml:space="preserve">Vitis x interspécifique cv. Bertille Seyve 6264</t>
  </si>
  <si>
    <t xml:space="preserve">Vitis x interspécifique cv. Bertille Seyve 6283</t>
  </si>
  <si>
    <t xml:space="preserve">Vitis x interspécifique cv. Bertille Seyve 822</t>
  </si>
  <si>
    <t xml:space="preserve">Vitis x interspécifique cv. Bertille Seyve 872</t>
  </si>
  <si>
    <t xml:space="preserve">Vitis x interspécifique cv. Bertille Seyve 893</t>
  </si>
  <si>
    <t xml:space="preserve">Vitis x interspécifique cv. Beta grape de Chaunac = Beta</t>
  </si>
  <si>
    <t xml:space="preserve">Vitis x interspécifique cv. Beyer 2</t>
  </si>
  <si>
    <t xml:space="preserve">Vitis x interspécifique cv. Black Queen</t>
  </si>
  <si>
    <t xml:space="preserve">Vitis x interspécifique cv. Blanche musquée = Galibert 256-73</t>
  </si>
  <si>
    <t xml:space="preserve">Vitis x interspécifique cv. Bogni 15</t>
  </si>
  <si>
    <t xml:space="preserve">Vitis x interspécifique cv. Bon Laurent = Kühlmann 267-1</t>
  </si>
  <si>
    <t xml:space="preserve">Vitis x interspécifique cv. Bon noir = Kühlmann 278-2</t>
  </si>
  <si>
    <t xml:space="preserve">Vitis x interspécifique cv. Bouchalès x 18315 S.V. n°30</t>
  </si>
  <si>
    <t xml:space="preserve">Vitis x interspécifique cv. Boujannoir = Galibert 6-1</t>
  </si>
  <si>
    <t xml:space="preserve">Vitis x interspécifique cv. Breider 19975</t>
  </si>
  <si>
    <t xml:space="preserve">Vitis x interspécifique cv. Brémont</t>
  </si>
  <si>
    <t xml:space="preserve">Vitis x interspécifique cv. Bronner = FR 250-75</t>
  </si>
  <si>
    <t xml:space="preserve">Vitis x interspécifique cv. Bronx seedless</t>
  </si>
  <si>
    <t xml:space="preserve">Vitis x interspécifique cv. Burdin 10010</t>
  </si>
  <si>
    <t xml:space="preserve">Vitis x interspécifique cv. Burdin 1582</t>
  </si>
  <si>
    <t xml:space="preserve">Vitis x interspécifique cv. Burdin 1585</t>
  </si>
  <si>
    <t xml:space="preserve">Vitis x interspécifique cv. Burdin 1605</t>
  </si>
  <si>
    <t xml:space="preserve">Vitis x interspécifique cv. Burdin 4077</t>
  </si>
  <si>
    <t xml:space="preserve">Vitis x interspécifique cv. Burdin 4502</t>
  </si>
  <si>
    <t xml:space="preserve">Vitis x interspécifique cv. Burdin 4503</t>
  </si>
  <si>
    <t xml:space="preserve">Vitis x interspécifique cv. Burdin 4560</t>
  </si>
  <si>
    <t xml:space="preserve">Vitis x interspécifique cv. Burdin 4582</t>
  </si>
  <si>
    <t xml:space="preserve">Vitis x interspécifique cv. Burdin 4601</t>
  </si>
  <si>
    <t xml:space="preserve">Vitis x interspécifique cv. Burdin 4650</t>
  </si>
  <si>
    <t xml:space="preserve">Vitis x interspécifique cv. Burdin 4655</t>
  </si>
  <si>
    <t xml:space="preserve">Vitis x interspécifique cv. Burdin 4672</t>
  </si>
  <si>
    <t xml:space="preserve">Vitis x interspécifique cv. Burdin 4687</t>
  </si>
  <si>
    <t xml:space="preserve">Vitis x interspécifique cv. Burdin 4695</t>
  </si>
  <si>
    <t xml:space="preserve">Vitis x interspécifique cv. Burdin 4716</t>
  </si>
  <si>
    <t xml:space="preserve">Vitis x interspécifique cv. Burdin 4795</t>
  </si>
  <si>
    <t xml:space="preserve">Vitis x interspécifique cv. Burdin 4855</t>
  </si>
  <si>
    <t xml:space="preserve">Vitis x interspécifique cv. Burdin 5201</t>
  </si>
  <si>
    <t xml:space="preserve">Vitis x interspécifique cv. Burdin 5400</t>
  </si>
  <si>
    <t xml:space="preserve">Vitis x interspécifique cv. Burdin 5406</t>
  </si>
  <si>
    <t xml:space="preserve">Vitis x interspécifique cv. Burdin 5440</t>
  </si>
  <si>
    <t xml:space="preserve">Vitis x interspécifique cv. Burdin 5535</t>
  </si>
  <si>
    <t xml:space="preserve">Vitis x interspécifique cv. Burdin 5539</t>
  </si>
  <si>
    <t xml:space="preserve">Vitis x interspécifique cv. Burdin 5540</t>
  </si>
  <si>
    <t xml:space="preserve">Vitis x interspécifique cv. Burdin 5580</t>
  </si>
  <si>
    <t xml:space="preserve">Vitis x interspécifique cv. Burdin 5581</t>
  </si>
  <si>
    <t xml:space="preserve">Vitis x interspécifique cv. Burdin 5620</t>
  </si>
  <si>
    <t xml:space="preserve">Vitis x interspécifique cv. Burdin 5833</t>
  </si>
  <si>
    <t xml:space="preserve">Vitis x interspécifique cv. Burdin 5894</t>
  </si>
  <si>
    <t xml:space="preserve">Vitis x interspécifique cv. Burdin 5957</t>
  </si>
  <si>
    <t xml:space="preserve">Vitis x interspécifique cv. Burdin 5960</t>
  </si>
  <si>
    <t xml:space="preserve">Vitis x interspécifique cv. Burdin 5963</t>
  </si>
  <si>
    <t xml:space="preserve">Vitis x interspécifique cv. Burdin 5984</t>
  </si>
  <si>
    <t xml:space="preserve">Vitis x interspécifique cv. Burdin 6004</t>
  </si>
  <si>
    <t xml:space="preserve">Vitis x interspécifique cv. Burdin 6055</t>
  </si>
  <si>
    <t xml:space="preserve">Vitis x interspécifique cv. Burdin 6154</t>
  </si>
  <si>
    <t xml:space="preserve">Vitis x interspécifique cv. Burdin 6189</t>
  </si>
  <si>
    <t xml:space="preserve">Vitis x interspécifique cv. Burdin 6205</t>
  </si>
  <si>
    <t xml:space="preserve">Vitis x interspécifique cv. Burdin 6316</t>
  </si>
  <si>
    <t xml:space="preserve">Vitis x interspécifique cv. Burdin 6422</t>
  </si>
  <si>
    <t xml:space="preserve">Vitis x interspécifique cv. Burdin 6541</t>
  </si>
  <si>
    <t xml:space="preserve">Vitis x interspécifique cv. Burdin 6621</t>
  </si>
  <si>
    <t xml:space="preserve">Vitis x interspécifique cv. Burdin 7037</t>
  </si>
  <si>
    <t xml:space="preserve">Vitis x interspécifique cv. Burdin 7044</t>
  </si>
  <si>
    <t xml:space="preserve">Vitis x interspécifique cv. Burdin 7061</t>
  </si>
  <si>
    <t xml:space="preserve">Vitis x interspécifique cv. Burdin 7187</t>
  </si>
  <si>
    <t xml:space="preserve">Vitis x interspécifique cv. Burdin 7194</t>
  </si>
  <si>
    <t xml:space="preserve">Vitis x interspécifique cv. Burdin 7200</t>
  </si>
  <si>
    <t xml:space="preserve">Vitis x interspécifique cv. Burdin 7206</t>
  </si>
  <si>
    <t xml:space="preserve">Vitis x interspécifique cv. Burdin 7215</t>
  </si>
  <si>
    <t xml:space="preserve">Vitis x interspécifique cv. Burdin 7216</t>
  </si>
  <si>
    <t xml:space="preserve">Vitis x interspécifique cv. Burdin 7334</t>
  </si>
  <si>
    <t xml:space="preserve">Vitis x interspécifique cv. Burdin 7352</t>
  </si>
  <si>
    <t xml:space="preserve">Vitis x interspécifique cv. Burdin 7353</t>
  </si>
  <si>
    <t xml:space="preserve">Vitis x interspécifique cv. Burdin 7357</t>
  </si>
  <si>
    <t xml:space="preserve">Vitis x interspécifique cv. Burdin 7358</t>
  </si>
  <si>
    <t xml:space="preserve">Vitis x interspécifique cv. Burdin 7360</t>
  </si>
  <si>
    <t xml:space="preserve">Vitis x interspécifique cv. Burdin 7365</t>
  </si>
  <si>
    <t xml:space="preserve">Vitis x interspécifique cv. Burdin 7368</t>
  </si>
  <si>
    <t xml:space="preserve">Vitis x interspécifique cv. Burdin 7369</t>
  </si>
  <si>
    <t xml:space="preserve">Vitis x interspécifique cv. Burdin 7371</t>
  </si>
  <si>
    <t xml:space="preserve">Vitis x interspécifique cv. Burdin 7374</t>
  </si>
  <si>
    <t xml:space="preserve">Vitis x interspécifique cv. Burdin 7375</t>
  </si>
  <si>
    <t xml:space="preserve">Vitis x interspécifique cv. Burdin 7380</t>
  </si>
  <si>
    <t xml:space="preserve">Vitis x interspécifique cv. Burdin 7405</t>
  </si>
  <si>
    <t xml:space="preserve">Vitis x interspécifique cv. Burdin 7468</t>
  </si>
  <si>
    <t xml:space="preserve">Vitis x interspécifique cv. Burdin 7510</t>
  </si>
  <si>
    <t xml:space="preserve">Vitis x interspécifique cv. Burdin 7515</t>
  </si>
  <si>
    <t xml:space="preserve">Vitis x interspécifique cv. Burdin 7582</t>
  </si>
  <si>
    <t xml:space="preserve">Vitis x interspécifique cv. Burdin 7595</t>
  </si>
  <si>
    <t xml:space="preserve">Vitis x interspécifique cv. Burdin 7618</t>
  </si>
  <si>
    <t xml:space="preserve">Vitis x interspécifique cv. Burdin 7638</t>
  </si>
  <si>
    <t xml:space="preserve">Vitis x interspécifique cv. Burdin 7648</t>
  </si>
  <si>
    <t xml:space="preserve">Vitis x interspécifique cv. Burdin 7696</t>
  </si>
  <si>
    <t xml:space="preserve">Vitis x interspécifique cv. Burdin 8649</t>
  </si>
  <si>
    <t xml:space="preserve">Vitis x interspécifique cv. Burdin 8796</t>
  </si>
  <si>
    <t xml:space="preserve">Vitis x interspécifique cv. Burdin 8811</t>
  </si>
  <si>
    <t xml:space="preserve">Vitis x interspécifique cv. Burdin 9010</t>
  </si>
  <si>
    <t xml:space="preserve">Vitis x interspécifique cv. C 26 Maclet</t>
  </si>
  <si>
    <t xml:space="preserve">Vitis x interspécifique cv. C 49 Maclet</t>
  </si>
  <si>
    <t xml:space="preserve">Vitis x interspécifique cv. C 69 Maclet</t>
  </si>
  <si>
    <t xml:space="preserve">Vitis x interspécifique cv. C 86 Maclet</t>
  </si>
  <si>
    <t xml:space="preserve">Vitis x interspécifique cv. C 98 Maclet</t>
  </si>
  <si>
    <t xml:space="preserve">Vitis x interspécifique cv. Cadamon 1</t>
  </si>
  <si>
    <t xml:space="preserve">Vitis x interspécifique cv. Cadamon 1 = Galibert 133-6</t>
  </si>
  <si>
    <t xml:space="preserve">Vitis x interspécifique cv. Cadamon 2 = Galibert 201-5</t>
  </si>
  <si>
    <t xml:space="preserve">Vitis x interspécifique cv. Cadillon doré = Galibert 261-13</t>
  </si>
  <si>
    <t xml:space="preserve">Vitis x interspécifique cv. Cadillon tardif = Galibert 261-12</t>
  </si>
  <si>
    <t xml:space="preserve">Vitis x interspécifique cv. Cadougnan blanc = Galibert 217-36</t>
  </si>
  <si>
    <t xml:space="preserve">Vitis x interspécifique cv. Cadougnan noir n° 2 = Galibert 217-33</t>
  </si>
  <si>
    <t xml:space="preserve">Vitis x interspécifique cv. Cadoulas n°1 = Galibert 207-86</t>
  </si>
  <si>
    <t xml:space="preserve">Vitis x interspécifique cv. Cadoulas n°2 = Galibert 114-14</t>
  </si>
  <si>
    <t xml:space="preserve">Vitis x interspécifique cv. Cadoulenc n°3 = Galibert 239-92</t>
  </si>
  <si>
    <t xml:space="preserve">Vitis x interspécifique cv. Cadoulenc 2</t>
  </si>
  <si>
    <t xml:space="preserve">Vitis x interspécifique cv. Caille 16</t>
  </si>
  <si>
    <t xml:space="preserve">Vitis x interspécifique cv. Caille 78</t>
  </si>
  <si>
    <t xml:space="preserve">Vitis x interspécifique cv. Calignon 2</t>
  </si>
  <si>
    <t xml:space="preserve">Vitis x interspécifique cv. Camirane blanche = Fourquier 16-45</t>
  </si>
  <si>
    <t xml:space="preserve">Vitis x interspécifique cv. Camirane rose = Fourquier 5-45</t>
  </si>
  <si>
    <t xml:space="preserve">Vitis x interspécifique cv. Candin</t>
  </si>
  <si>
    <t xml:space="preserve">Vitis x interspécifique cv. Carubis = Galibert 21-1</t>
  </si>
  <si>
    <t xml:space="preserve">Vitis x interspécifique cv. Cassady</t>
  </si>
  <si>
    <t xml:space="preserve">Vitis x interspécifique cv. Castel 120</t>
  </si>
  <si>
    <t xml:space="preserve">Vitis x interspécifique cv. Castel 121</t>
  </si>
  <si>
    <t xml:space="preserve">Vitis x interspécifique cv. Castel 12412</t>
  </si>
  <si>
    <t xml:space="preserve">Vitis x interspécifique cv. Castel 12827</t>
  </si>
  <si>
    <t xml:space="preserve">Vitis x interspécifique cv. Castel 12916</t>
  </si>
  <si>
    <t xml:space="preserve">Vitis x interspécifique cv. Castel 18311</t>
  </si>
  <si>
    <t xml:space="preserve">Vitis x interspécifique cv. Castel 1832</t>
  </si>
  <si>
    <t xml:space="preserve">Vitis x interspécifique cv. Castel 188-04</t>
  </si>
  <si>
    <t xml:space="preserve">Vitis x interspécifique cv. Castel 188-08</t>
  </si>
  <si>
    <t xml:space="preserve">Vitis x interspécifique cv. Castel 188-15</t>
  </si>
  <si>
    <t xml:space="preserve">Vitis x interspécifique cv. Castel 19637</t>
  </si>
  <si>
    <t xml:space="preserve">Vitis x interspécifique cv. Castel 20029</t>
  </si>
  <si>
    <t xml:space="preserve">Vitis x interspécifique cv. Castel 20031</t>
  </si>
  <si>
    <t xml:space="preserve">Vitis x interspécifique cv. Castel 20035</t>
  </si>
  <si>
    <t xml:space="preserve">Vitis x interspécifique cv. Castel 20410</t>
  </si>
  <si>
    <t xml:space="preserve">Vitis x interspécifique cv. Castel 20415</t>
  </si>
  <si>
    <t xml:space="preserve">Vitis x interspécifique cv. Castel 20418</t>
  </si>
  <si>
    <t xml:space="preserve">Vitis x interspécifique cv. Castel 215-1</t>
  </si>
  <si>
    <t xml:space="preserve">Vitis x interspécifique cv. Castel 227-1</t>
  </si>
  <si>
    <t xml:space="preserve">Vitis x interspécifique cv. Castel 3431</t>
  </si>
  <si>
    <t xml:space="preserve">Vitis x interspécifique cv. Castel 4337</t>
  </si>
  <si>
    <t xml:space="preserve">Vitis x interspécifique cv. Castel 4515</t>
  </si>
  <si>
    <t xml:space="preserve">Vitis x interspécifique cv. Castel 4639</t>
  </si>
  <si>
    <t xml:space="preserve">Vitis x interspécifique cv. Castel 6011</t>
  </si>
  <si>
    <t xml:space="preserve">Vitis x interspécifique cv. Castel 6021</t>
  </si>
  <si>
    <t xml:space="preserve">Vitis x interspécifique cv. Castel 6831</t>
  </si>
  <si>
    <t xml:space="preserve">Vitis x interspécifique cv. Castel 7229</t>
  </si>
  <si>
    <t xml:space="preserve">Vitis x interspécifique cv. Castel 7501</t>
  </si>
  <si>
    <t xml:space="preserve">Vitis x interspécifique cv. Castel 7605</t>
  </si>
  <si>
    <t xml:space="preserve">Vitis x interspécifique cv. Chambaudière 113</t>
  </si>
  <si>
    <t xml:space="preserve">Vitis x interspécifique cv. Chambaudière 1330</t>
  </si>
  <si>
    <t xml:space="preserve">Vitis x interspécifique cv. Chambaudière 1336</t>
  </si>
  <si>
    <t xml:space="preserve">Vitis x interspécifique cv. Chambaudière 1337</t>
  </si>
  <si>
    <t xml:space="preserve">Vitis x interspécifique cv. Chambaudière 1349</t>
  </si>
  <si>
    <t xml:space="preserve">Vitis x interspécifique cv. Chambaudière 1375</t>
  </si>
  <si>
    <t xml:space="preserve">Vitis x interspécifique cv. Chambaudière 1391</t>
  </si>
  <si>
    <t xml:space="preserve">Vitis x interspécifique cv. Chambaudière 426</t>
  </si>
  <si>
    <t xml:space="preserve">Vitis x interspécifique cv. Chambaudière 442</t>
  </si>
  <si>
    <t xml:space="preserve">Vitis x interspécifique cv. Chambaudière 540</t>
  </si>
  <si>
    <t xml:space="preserve">Vitis x interspécifique cv. Chambourcin = Joannès Seyve 26205</t>
  </si>
  <si>
    <t xml:space="preserve">Vitis x interspécifique cv. Chancellor = Seibel 7053</t>
  </si>
  <si>
    <t xml:space="preserve">Vitis x interspécifique cv. Chasselas Baco = Baco 7 A</t>
  </si>
  <si>
    <t xml:space="preserve">Vitis x interspécifique cv. Chazalon</t>
  </si>
  <si>
    <t xml:space="preserve">Vitis x interspécifique cv. Chelois = Seibel 10878</t>
  </si>
  <si>
    <t xml:space="preserve">Vitis x interspécifique cv. Chenivesse</t>
  </si>
  <si>
    <t xml:space="preserve">Vitis x interspécifique cv. Chevalier 3401</t>
  </si>
  <si>
    <t xml:space="preserve">Vitis x interspécifique cv. Chevalier 4002</t>
  </si>
  <si>
    <t xml:space="preserve">Vitis x interspécifique cv. cinerea x davidii</t>
  </si>
  <si>
    <t xml:space="preserve">Vitis x interspécifique cv. Claire Kühlmann = Kühlmann 477-1</t>
  </si>
  <si>
    <t xml:space="preserve">Vitis x interspécifique cv. Clairette dorée Ganzin</t>
  </si>
  <si>
    <t xml:space="preserve">Vitis x interspécifique cv. Clairette résistante</t>
  </si>
  <si>
    <t xml:space="preserve">Vitis x interspécifique cv. Clinton = Kilianstraube</t>
  </si>
  <si>
    <t xml:space="preserve">Vitis x interspécifique cv. Colobel = Seibel 8357</t>
  </si>
  <si>
    <t xml:space="preserve">Vitis x interspécifique cv. coriacea x cinerea</t>
  </si>
  <si>
    <t xml:space="preserve">Vitis x interspécifique cv. Cosmo 10</t>
  </si>
  <si>
    <t xml:space="preserve">Vitis x interspécifique cv. Cosmo 2</t>
  </si>
  <si>
    <t xml:space="preserve">Vitis x interspécifique cv. Couderc noir = Couderc 7120</t>
  </si>
  <si>
    <t xml:space="preserve">Vitis x interspécifique cv. Couderc 1</t>
  </si>
  <si>
    <t xml:space="preserve">Vitis x interspécifique cv. Couderc 10</t>
  </si>
  <si>
    <t xml:space="preserve">Vitis x interspécifique cv. Couderc 101</t>
  </si>
  <si>
    <t xml:space="preserve">Vitis x interspécifique cv. Couderc 102-5 ter</t>
  </si>
  <si>
    <t xml:space="preserve">Vitis x interspécifique cv. Couderc 106-46</t>
  </si>
  <si>
    <t xml:space="preserve">Vitis x interspécifique cv. Couderc 106-51</t>
  </si>
  <si>
    <t xml:space="preserve">Vitis x interspécifique cv. Couderc 109-4</t>
  </si>
  <si>
    <t xml:space="preserve">Vitis x interspécifique cv. Couderc 11</t>
  </si>
  <si>
    <t xml:space="preserve">Vitis x interspécifique cv. Couderc 117-3</t>
  </si>
  <si>
    <t xml:space="preserve">Vitis x interspécifique cv. Couderc 117-4</t>
  </si>
  <si>
    <t xml:space="preserve">Vitis x interspécifique cv. Couderc 119</t>
  </si>
  <si>
    <t xml:space="preserve">Vitis x interspécifique cv. Couderc 12</t>
  </si>
  <si>
    <t xml:space="preserve">Vitis x interspécifique cv. Couderc 1202</t>
  </si>
  <si>
    <t xml:space="preserve">Vitis x interspécifique cv. Couderc 124-12</t>
  </si>
  <si>
    <t xml:space="preserve">Vitis x interspécifique cv. Couderc 126-8</t>
  </si>
  <si>
    <t xml:space="preserve">Vitis x interspécifique cv. Couderc 128-29 = N 6-53</t>
  </si>
  <si>
    <t xml:space="preserve">Vitis x interspécifique cv. Couderc 13</t>
  </si>
  <si>
    <t xml:space="preserve">Vitis x interspécifique cv. Couderc 1305</t>
  </si>
  <si>
    <t xml:space="preserve">Vitis x interspécifique cv. Couderc 13-11</t>
  </si>
  <si>
    <t xml:space="preserve">Vitis x interspécifique cv. Couderc 132</t>
  </si>
  <si>
    <t xml:space="preserve">Vitis x interspécifique cv. Couderc 13-205 ou 132-5</t>
  </si>
  <si>
    <t xml:space="preserve">Vitis x interspécifique cv. Couderc 136-4</t>
  </si>
  <si>
    <t xml:space="preserve">Vitis x interspécifique cv. Couderc 14</t>
  </si>
  <si>
    <t xml:space="preserve">Vitis x interspécifique cv. Couderc 1401</t>
  </si>
  <si>
    <t xml:space="preserve">Vitis x interspécifique cv. Couderc 146-51</t>
  </si>
  <si>
    <t xml:space="preserve">Vitis x interspécifique cv. Couderc 15</t>
  </si>
  <si>
    <t xml:space="preserve">Vitis x interspécifique cv. Couderc 157-11</t>
  </si>
  <si>
    <t xml:space="preserve">Vitis x interspécifique cv. Couderc 157-21</t>
  </si>
  <si>
    <t xml:space="preserve">Vitis x interspécifique cv. Couderc 16</t>
  </si>
  <si>
    <t xml:space="preserve">Vitis x interspécifique cv. Couderc 1613</t>
  </si>
  <si>
    <t xml:space="preserve">Vitis x interspécifique cv. Couderc 1615</t>
  </si>
  <si>
    <t xml:space="preserve">Vitis x interspécifique cv. Couderc 1616 (Colmar 1984)</t>
  </si>
  <si>
    <t xml:space="preserve">Vitis x interspécifique cv. Couderc 1616 Davy (pubescent)</t>
  </si>
  <si>
    <t xml:space="preserve">Vitis x interspécifique cv. Couderc 1616 E</t>
  </si>
  <si>
    <t xml:space="preserve">Vitis x interspécifique cv. Couderc 162</t>
  </si>
  <si>
    <t xml:space="preserve">Vitis x interspécifique cv. Couderc 162-46</t>
  </si>
  <si>
    <t xml:space="preserve">Vitis x interspécifique cv. Couderc 162-5</t>
  </si>
  <si>
    <t xml:space="preserve">Vitis x interspécifique cv. Couderc 162-97</t>
  </si>
  <si>
    <t xml:space="preserve">Vitis x interspécifique cv. Couderc 17</t>
  </si>
  <si>
    <t xml:space="preserve">Vitis x interspécifique cv. Couderc 175</t>
  </si>
  <si>
    <t xml:space="preserve">Vitis x interspécifique cv. Couderc 18</t>
  </si>
  <si>
    <t xml:space="preserve">Vitis x interspécifique cv. Couderc 19 = 299-35</t>
  </si>
  <si>
    <t xml:space="preserve">Vitis x interspécifique cv. Couderc 197-94</t>
  </si>
  <si>
    <t xml:space="preserve">Vitis x interspécifique cv. Couderc 198-21</t>
  </si>
  <si>
    <t xml:space="preserve">Vitis x interspécifique cv. Couderc 198-89</t>
  </si>
  <si>
    <t xml:space="preserve">Vitis x interspécifique cv. Couderc 199-88</t>
  </si>
  <si>
    <t xml:space="preserve">Vitis x interspécifique cv. Couderc 2</t>
  </si>
  <si>
    <t xml:space="preserve">Vitis x interspécifique cv. Couderc 20</t>
  </si>
  <si>
    <t xml:space="preserve">Vitis x interspécifique cv. Couderc 201</t>
  </si>
  <si>
    <t xml:space="preserve">Vitis x interspécifique cv. Couderc 202-137</t>
  </si>
  <si>
    <t xml:space="preserve">Vitis x interspécifique cv. Couderc 203-143</t>
  </si>
  <si>
    <t xml:space="preserve">Vitis x interspécifique cv. Couderc 21</t>
  </si>
  <si>
    <t xml:space="preserve">Vitis x interspécifique cv. Couderc 2-10 = 2 Baronne</t>
  </si>
  <si>
    <t xml:space="preserve">Vitis x interspécifique cv. Couderc 216-2</t>
  </si>
  <si>
    <t xml:space="preserve">Vitis x interspécifique cv. Couderc 22</t>
  </si>
  <si>
    <t xml:space="preserve">Vitis x interspécifique cv. Couderc 226-58</t>
  </si>
  <si>
    <t xml:space="preserve">Vitis x interspécifique cv. Couderc 23</t>
  </si>
  <si>
    <t xml:space="preserve">Vitis x interspécifique cv. Couderc 235-120</t>
  </si>
  <si>
    <t xml:space="preserve">Vitis x interspécifique cv. Couderc 24</t>
  </si>
  <si>
    <t xml:space="preserve">Vitis x interspécifique cv. Couderc 241-123</t>
  </si>
  <si>
    <t xml:space="preserve">Vitis x interspécifique cv. Couderc 241-125</t>
  </si>
  <si>
    <t xml:space="preserve">Vitis x interspécifique cv. Couderc 246-123</t>
  </si>
  <si>
    <t xml:space="preserve">Vitis x interspécifique cv. Couderc 25</t>
  </si>
  <si>
    <t xml:space="preserve">Vitis x interspécifique cv. Couderc 251-150</t>
  </si>
  <si>
    <t xml:space="preserve">Vitis x interspécifique cv. Couderc 251-50</t>
  </si>
  <si>
    <t xml:space="preserve">Vitis x interspécifique cv. Couderc 252-14</t>
  </si>
  <si>
    <t xml:space="preserve">Vitis x interspécifique cv. Couderc 252-15</t>
  </si>
  <si>
    <t xml:space="preserve">Vitis x interspécifique cv. Couderc 26</t>
  </si>
  <si>
    <t xml:space="preserve">Vitis x interspécifique cv. Couderc 261-50</t>
  </si>
  <si>
    <t xml:space="preserve">Vitis x interspécifique cv. Couderc 2627-11</t>
  </si>
  <si>
    <t xml:space="preserve">Vitis x interspécifique cv. Couderc 267-27</t>
  </si>
  <si>
    <t xml:space="preserve">Vitis x interspécifique cv. Couderc 272-60</t>
  </si>
  <si>
    <t xml:space="preserve">Vitis x interspécifique cv. Couderc 28-112</t>
  </si>
  <si>
    <t xml:space="preserve">Vitis x interspécifique cv. Couderc 286-68</t>
  </si>
  <si>
    <t xml:space="preserve">Vitis x interspécifique cv. Couderc 299-17</t>
  </si>
  <si>
    <t xml:space="preserve">Vitis x interspécifique cv. Couderc 299-35</t>
  </si>
  <si>
    <t xml:space="preserve">Vitis x interspécifique cv. Couderc 3</t>
  </si>
  <si>
    <t xml:space="preserve">Vitis x interspécifique cv. Couderc 302-60</t>
  </si>
  <si>
    <t xml:space="preserve">Vitis x interspécifique cv. Couderc 3304</t>
  </si>
  <si>
    <t xml:space="preserve">Vitis x interspécifique cv. Couderc 3306</t>
  </si>
  <si>
    <t xml:space="preserve">Vitis x interspécifique cv. Couderc 3307</t>
  </si>
  <si>
    <t xml:space="preserve">Vitis x interspécifique cv. Couderc 3310</t>
  </si>
  <si>
    <t xml:space="preserve">Vitis x interspécifique cv. Couderc 343-14</t>
  </si>
  <si>
    <t xml:space="preserve">Vitis x interspécifique cv. Couderc 3601</t>
  </si>
  <si>
    <t xml:space="preserve">Vitis x interspécifique cv. Couderc 3905</t>
  </si>
  <si>
    <t xml:space="preserve">Vitis x interspécifique cv. Couderc 3907</t>
  </si>
  <si>
    <t xml:space="preserve">Vitis x interspécifique cv. Couderc 4</t>
  </si>
  <si>
    <t xml:space="preserve">Vitis x interspécifique cv. Couderc 404</t>
  </si>
  <si>
    <t xml:space="preserve">Vitis x interspécifique cv. Couderc 4306</t>
  </si>
  <si>
    <t xml:space="preserve">Vitis x interspécifique cv. Couderc 4308</t>
  </si>
  <si>
    <t xml:space="preserve">Vitis x interspécifique cv. Couderc 5</t>
  </si>
  <si>
    <t xml:space="preserve">Vitis x interspécifique cv. Couderc 501</t>
  </si>
  <si>
    <t xml:space="preserve">Vitis x interspécifique cv. Couderc 503</t>
  </si>
  <si>
    <t xml:space="preserve">Vitis x interspécifique cv. Couderc 504</t>
  </si>
  <si>
    <t xml:space="preserve">Vitis x interspécifique cv. Couderc 5407</t>
  </si>
  <si>
    <t xml:space="preserve">Vitis x interspécifique cv. Couderc 548-1</t>
  </si>
  <si>
    <t xml:space="preserve">Vitis x interspécifique cv. Couderc 554-5</t>
  </si>
  <si>
    <t xml:space="preserve">Vitis x interspécifique cv. Couderc 6</t>
  </si>
  <si>
    <t xml:space="preserve">Vitis x interspécifique cv. Couderc 601</t>
  </si>
  <si>
    <t xml:space="preserve">Vitis x interspécifique cv. Couderc 602</t>
  </si>
  <si>
    <t xml:space="preserve">Vitis x interspécifique cv. Couderc 603</t>
  </si>
  <si>
    <t xml:space="preserve">Vitis x interspécifique cv. Couderc 62-66</t>
  </si>
  <si>
    <t xml:space="preserve">Vitis x interspécifique cv. Couderc 633 H</t>
  </si>
  <si>
    <t xml:space="preserve">Vitis x interspécifique cv. Couderc 7</t>
  </si>
  <si>
    <t xml:space="preserve">Vitis x interspécifique cv. Couderc 71-03</t>
  </si>
  <si>
    <t xml:space="preserve">Vitis x interspécifique cv. Couderc 71-04</t>
  </si>
  <si>
    <t xml:space="preserve">Vitis x interspécifique cv. Couderc 7106</t>
  </si>
  <si>
    <t xml:space="preserve">Vitis x interspécifique cv. Couderc 7160</t>
  </si>
  <si>
    <t xml:space="preserve">Vitis x interspécifique cv. Couderc 71-61 = Contassot 2</t>
  </si>
  <si>
    <t xml:space="preserve">Vitis x interspécifique cv. Couderc 7301</t>
  </si>
  <si>
    <t xml:space="preserve">Vitis x interspécifique cv. Couderc 7417</t>
  </si>
  <si>
    <t xml:space="preserve">Vitis x interspécifique cv. Couderc 7502</t>
  </si>
  <si>
    <t xml:space="preserve">Vitis x interspécifique cv. Couderc 8</t>
  </si>
  <si>
    <t xml:space="preserve">Vitis x interspécifique cv. Couderc 81-2</t>
  </si>
  <si>
    <t xml:space="preserve">Vitis x interspécifique cv. Couderc 82-12</t>
  </si>
  <si>
    <t xml:space="preserve">Vitis x interspécifique cv. Couderc 8232</t>
  </si>
  <si>
    <t xml:space="preserve">Vitis x interspécifique cv. Couderc 84-10</t>
  </si>
  <si>
    <t xml:space="preserve">Vitis x interspécifique cv. Couderc 84-61</t>
  </si>
  <si>
    <t xml:space="preserve">Vitis x interspécifique cv. Couderc 85-113</t>
  </si>
  <si>
    <t xml:space="preserve">Vitis x interspécifique cv. Couderc 87-83</t>
  </si>
  <si>
    <t xml:space="preserve">Vitis x interspécifique cv. Couderc 89-23</t>
  </si>
  <si>
    <t xml:space="preserve">Vitis x interspécifique cv. Couderc 9</t>
  </si>
  <si>
    <t xml:space="preserve">Vitis x interspécifique cv. Couderc 901</t>
  </si>
  <si>
    <t xml:space="preserve">Vitis x interspécifique cv. Couderc 90-38</t>
  </si>
  <si>
    <t xml:space="preserve">Vitis x interspécifique cv. Couderc 904</t>
  </si>
  <si>
    <t xml:space="preserve">Vitis x interspécifique cv. Couderc 93-5</t>
  </si>
  <si>
    <t xml:space="preserve">Vitis x interspécifique cv. Couderc 96-32</t>
  </si>
  <si>
    <t xml:space="preserve">Vitis x interspécifique cv. Couderc 98-76</t>
  </si>
  <si>
    <t xml:space="preserve">Vitis x interspécifique cv. Cournon = Galibert 22-4</t>
  </si>
  <si>
    <t xml:space="preserve">Vitis x interspécifique cv. D Maclet</t>
  </si>
  <si>
    <t xml:space="preserve">Vitis x interspécifique cv. Dattier de Saint-Vallier = Seyve-Villard 20-365</t>
  </si>
  <si>
    <t xml:space="preserve">Vitis x interspécifique cv. davidii x ?</t>
  </si>
  <si>
    <t xml:space="preserve">Vitis x interspécifique cv. De Chaunac = Seibel 9549</t>
  </si>
  <si>
    <t xml:space="preserve">Vitis x interspécifique cv. Delaware rose</t>
  </si>
  <si>
    <t xml:space="preserve">Vitis x interspécifique cv. Directeur Grosjean = Kühlmann 536-3</t>
  </si>
  <si>
    <t xml:space="preserve">Vitis x interspécifique cv. Docteur Decker-rebe</t>
  </si>
  <si>
    <t xml:space="preserve">Vitis x interspécifique cv. Dog Ridge</t>
  </si>
  <si>
    <t xml:space="preserve">Vitis x interspécifique cv. Dorette</t>
  </si>
  <si>
    <t xml:space="preserve">Vitis x interspécifique cv. Douriou = Baco 37-16</t>
  </si>
  <si>
    <t xml:space="preserve">Vitis x interspécifique cv. Doux noir = Galibert 294-33</t>
  </si>
  <si>
    <t xml:space="preserve">Vitis x interspécifique cv. Dufour 11 F</t>
  </si>
  <si>
    <t xml:space="preserve">Vitis x interspécifique cv. E 31 Maclet</t>
  </si>
  <si>
    <t xml:space="preserve">Vitis x interspécifique cv. E 46 Maclet</t>
  </si>
  <si>
    <t xml:space="preserve">Vitis x interspécifique cv. Edda Mussolini = Pirovano 78</t>
  </si>
  <si>
    <t xml:space="preserve">Vitis x interspécifique cv. Einset seedless</t>
  </si>
  <si>
    <t xml:space="preserve">Vitis x interspécifique cv. Elisabeth</t>
  </si>
  <si>
    <t xml:space="preserve">Vitis x interspécifique cv. Embanc n°2 = Galibert 113-20</t>
  </si>
  <si>
    <t xml:space="preserve">Vitis x interspécifique cv. Emblanc n°1 = Galibert 113-18</t>
  </si>
  <si>
    <t xml:space="preserve">Vitis x interspécifique cv. Emblanc n°3 = Galibert 113-32</t>
  </si>
  <si>
    <t xml:space="preserve">Vitis x interspécifique cv. Emblanc n°4 = Galibert 128-13</t>
  </si>
  <si>
    <t xml:space="preserve">Vitis x interspécifique cv. Emblanc n°5 = Galibert 152-26</t>
  </si>
  <si>
    <t xml:space="preserve">Vitis x interspécifique cv. Emblanc n°6 = Galibert 153-11</t>
  </si>
  <si>
    <t xml:space="preserve">Vitis x interspécifique cv. Emblanc n°7 = Galibert 154-20</t>
  </si>
  <si>
    <t xml:space="preserve">Vitis x interspécifique cv. Emblanc n°8 = Galibert 155-9</t>
  </si>
  <si>
    <t xml:space="preserve">Vitis x interspécifique cv. Emblanc n°9 = Galibert 162-3</t>
  </si>
  <si>
    <t xml:space="preserve">Vitis x interspécifique cv. Emon 1-23</t>
  </si>
  <si>
    <t xml:space="preserve">Vitis x interspécifique cv. Emon 19-20</t>
  </si>
  <si>
    <t xml:space="preserve">Vitis x interspécifique cv. Emon 2</t>
  </si>
  <si>
    <t xml:space="preserve">Vitis x interspécifique cv. Emon 2-5</t>
  </si>
  <si>
    <t xml:space="preserve">Vitis x interspécifique cv. Emon 9</t>
  </si>
  <si>
    <t xml:space="preserve">Vitis x interspécifique cv. Ennoir n°1 = Galibert 114-10</t>
  </si>
  <si>
    <t xml:space="preserve">Vitis x interspécifique cv. Ennoir n°2 = Galibert 152-24</t>
  </si>
  <si>
    <t xml:space="preserve">Vitis x interspécifique cv. Ennoir n°3 = Galibert 152-27</t>
  </si>
  <si>
    <t xml:space="preserve">Vitis x interspécifique cv. Ennoir n°4 = Galibert 155-3</t>
  </si>
  <si>
    <t xml:space="preserve">Vitis x interspécifique cv. Ennoir n°5 = Galibert 155-11</t>
  </si>
  <si>
    <t xml:space="preserve">Vitis x interspécifique cv. Ennoir n°6 = Galibert 155-14</t>
  </si>
  <si>
    <t xml:space="preserve">Vitis x interspécifique cv. Ennoir n°7 = Galibert 162-4</t>
  </si>
  <si>
    <t xml:space="preserve">Vitis x interspécifique cv. Ennoir n°8 = Galibert 166-18</t>
  </si>
  <si>
    <t xml:space="preserve">Vitis x interspécifique cv. Ennoir n°9 = Galibert 171-24</t>
  </si>
  <si>
    <t xml:space="preserve">Vitis x interspécifique cv. Estellat = Baco 30-12</t>
  </si>
  <si>
    <t xml:space="preserve">Vitis x interspécifique cv. Etoile 1 = Kühlmann 237-1</t>
  </si>
  <si>
    <t xml:space="preserve">Vitis x interspécifique cv. Etoile 2 = Kühlmann 237-2</t>
  </si>
  <si>
    <t xml:space="preserve">Vitis x interspécifique cv. Evex 13-3</t>
  </si>
  <si>
    <t xml:space="preserve">Vitis x interspécifique cv. Evex 13-5</t>
  </si>
  <si>
    <t xml:space="preserve">Vitis x interspécifique cv. Excelsior Guilly</t>
  </si>
  <si>
    <t xml:space="preserve">Vitis x interspécifique cv. Excelsior (Ricketts)</t>
  </si>
  <si>
    <t xml:space="preserve">Vitis x interspécifique cv. Farato Grimaldi</t>
  </si>
  <si>
    <t xml:space="preserve">Vitis x interspécifique cv. Fauconneau 1</t>
  </si>
  <si>
    <t xml:space="preserve">Vitis x interspécifique cv. Fauconneau 2</t>
  </si>
  <si>
    <t xml:space="preserve">Vitis x interspécifique cv. Fercal</t>
  </si>
  <si>
    <t xml:space="preserve">Vitis x interspécifique cv. Ferdinand de Lesseps</t>
  </si>
  <si>
    <t xml:space="preserve">Vitis x interspécifique cv. Fin blanc 1</t>
  </si>
  <si>
    <t xml:space="preserve">Vitis x interspécifique cv. Fin noir = Kühlmann 275-2</t>
  </si>
  <si>
    <t xml:space="preserve">Vitis x interspécifique cv. Fin noir 1</t>
  </si>
  <si>
    <t xml:space="preserve">Vitis x interspécifique cv. Fin noir 2</t>
  </si>
  <si>
    <t xml:space="preserve">Vitis x interspécifique cv. Florental = Burdin 7705</t>
  </si>
  <si>
    <t xml:space="preserve">Vitis x interspécifique cv. Flot d'Or = Seibel 2653</t>
  </si>
  <si>
    <t xml:space="preserve">Vitis x interspécifique cv. Flot rouge = Seibel 1020</t>
  </si>
  <si>
    <t xml:space="preserve">Vitis x interspécifique cv. Fontan</t>
  </si>
  <si>
    <t xml:space="preserve">Vitis x interspécifique cv. Fredonia</t>
  </si>
  <si>
    <t xml:space="preserve">Vitis x interspécifique cv. G 1 = Grézot 1</t>
  </si>
  <si>
    <t xml:space="preserve">Vitis x interspécifique cv. Gaillard 157</t>
  </si>
  <si>
    <t xml:space="preserve">Vitis x interspécifique cv. Gaillard 194</t>
  </si>
  <si>
    <t xml:space="preserve">Vitis x interspécifique cv. Gaillard 2</t>
  </si>
  <si>
    <t xml:space="preserve">Vitis x interspécifique cv. Galibert 114-12</t>
  </si>
  <si>
    <t xml:space="preserve">Vitis x interspécifique cv. Galibert 114-25</t>
  </si>
  <si>
    <t xml:space="preserve">Vitis x interspécifique cv. Galibert 115-18</t>
  </si>
  <si>
    <t xml:space="preserve">Vitis x interspécifique cv. Galibert 115-28</t>
  </si>
  <si>
    <t xml:space="preserve">Vitis x interspécifique cv. Galibert 14-2</t>
  </si>
  <si>
    <t xml:space="preserve">Vitis x interspécifique cv. Galibert 14-3</t>
  </si>
  <si>
    <t xml:space="preserve">Vitis x interspécifique cv. Galibert 14-4</t>
  </si>
  <si>
    <t xml:space="preserve">Vitis x interspécifique cv. Galibert 14-5</t>
  </si>
  <si>
    <t xml:space="preserve">Vitis x interspécifique cv. Galibert 201 F</t>
  </si>
  <si>
    <t xml:space="preserve">Vitis x interspécifique cv. Galibert 201 H</t>
  </si>
  <si>
    <t xml:space="preserve">Vitis x interspécifique cv. Galibert 201-8 = Inconnu</t>
  </si>
  <si>
    <t xml:space="preserve">Vitis x interspécifique cv. Galibert 20-2</t>
  </si>
  <si>
    <t xml:space="preserve">Vitis x interspécifique cv. Galibert 21-2</t>
  </si>
  <si>
    <t xml:space="preserve">Vitis x interspécifique cv. Galibert 25-2</t>
  </si>
  <si>
    <t xml:space="preserve">Vitis x interspécifique cv. Galibert 309</t>
  </si>
  <si>
    <t xml:space="preserve">Vitis x interspécifique cv. Galibert 315</t>
  </si>
  <si>
    <t xml:space="preserve">Vitis x interspécifique cv. Galibert 35-3</t>
  </si>
  <si>
    <t xml:space="preserve">Vitis x interspécifique cv. Galibert 403</t>
  </si>
  <si>
    <t xml:space="preserve">Vitis x interspécifique cv. Galibert 404</t>
  </si>
  <si>
    <t xml:space="preserve">Vitis x interspécifique cv. Galibert 408</t>
  </si>
  <si>
    <t xml:space="preserve">Vitis x interspécifique cv. Galibert 413</t>
  </si>
  <si>
    <t xml:space="preserve">Vitis x interspécifique cv. Galibert 414</t>
  </si>
  <si>
    <t xml:space="preserve">Vitis x interspécifique cv. Galibert 420</t>
  </si>
  <si>
    <t xml:space="preserve">Vitis x interspécifique cv. Galibert 42-1</t>
  </si>
  <si>
    <t xml:space="preserve">Vitis x interspécifique cv. Galibert 42-2</t>
  </si>
  <si>
    <t xml:space="preserve">Vitis x interspécifique cv. Galibert 42-3</t>
  </si>
  <si>
    <t xml:space="preserve">Vitis x interspécifique cv. Galicante blanc n°1 = Galibert 238-95</t>
  </si>
  <si>
    <t xml:space="preserve">Vitis x interspécifique cv. Galicante noir n°1 = Galibert 239-96</t>
  </si>
  <si>
    <t xml:space="preserve">Vitis x interspécifique cv. Galicoul noir = Galibert 238-35</t>
  </si>
  <si>
    <t xml:space="preserve">Vitis x interspécifique cv. Galignon n°2 = Galibert 264-34</t>
  </si>
  <si>
    <t xml:space="preserve">Vitis x interspécifique cv. Gamay Couderc = Couderc 3103</t>
  </si>
  <si>
    <t xml:space="preserve">Vitis x interspécifique cv. Garnier 15-6</t>
  </si>
  <si>
    <t xml:space="preserve">Vitis x interspécifique cv. Garonnet = Seyve-Villard 18-283</t>
  </si>
  <si>
    <t xml:space="preserve">Vitis x interspécifique cv. Gaulois 1</t>
  </si>
  <si>
    <t xml:space="preserve">Vitis x interspécifique cv. Gaulois 2</t>
  </si>
  <si>
    <t xml:space="preserve">Vitis x interspécifique cv. Geisenheim 26</t>
  </si>
  <si>
    <t xml:space="preserve">Vitis x interspécifique cv. Geisenheim 97</t>
  </si>
  <si>
    <t xml:space="preserve">Vitis x interspécifique cv. GfGa-47-42</t>
  </si>
  <si>
    <t xml:space="preserve">Vitis x interspécifique cv. Gigantesque Millardet de Grasset</t>
  </si>
  <si>
    <t xml:space="preserve">Vitis x interspécifique cv. Glenora</t>
  </si>
  <si>
    <t xml:space="preserve">Vitis x interspécifique cv. Golden Muscat</t>
  </si>
  <si>
    <t xml:space="preserve">Vitis x interspécifique cv. Golia = 1-37 Pirovano</t>
  </si>
  <si>
    <t xml:space="preserve">Vitis x interspécifique cv. Gradian noir = Galibert 23-2</t>
  </si>
  <si>
    <t xml:space="preserve">Vitis x interspécifique cv. Grand Noir de Cadoule = Galibert 115-22</t>
  </si>
  <si>
    <t xml:space="preserve">Vitis x interspécifique cv. Gravesac</t>
  </si>
  <si>
    <t xml:space="preserve">Vitis x interspécifique cv. Grimaldi 24-27</t>
  </si>
  <si>
    <t xml:space="preserve">Vitis x interspécifique cv. Grimaldi 444</t>
  </si>
  <si>
    <t xml:space="preserve">Vitis x interspécifique cv. Gros Cadillon = Galibert 261-11</t>
  </si>
  <si>
    <t xml:space="preserve">Vitis x interspécifique cv. Guillaume 35</t>
  </si>
  <si>
    <t xml:space="preserve">Vitis x interspécifique cv. Guillaume 4</t>
  </si>
  <si>
    <t xml:space="preserve">Vitis x interspécifique cv. Guillaume 6</t>
  </si>
  <si>
    <t xml:space="preserve">Vitis x interspécifique cv. Harmony</t>
  </si>
  <si>
    <t xml:space="preserve">Vitis x interspécifique cv. Hartford Prolific</t>
  </si>
  <si>
    <t xml:space="preserve">Vitis x interspécifique cv. Helios</t>
  </si>
  <si>
    <t xml:space="preserve">Vitis x interspécifique cv. Herbemont</t>
  </si>
  <si>
    <t xml:space="preserve">Vitis x interspécifique cv. Himrod</t>
  </si>
  <si>
    <t xml:space="preserve">Vitis x interspécifique cv. Humbert 3</t>
  </si>
  <si>
    <t xml:space="preserve">Vitis x interspécifique cv. Hybride Azemar</t>
  </si>
  <si>
    <t xml:space="preserve">Vitis x interspécifique cv. Hybride Boiziau</t>
  </si>
  <si>
    <t xml:space="preserve">Vitis x interspécifique cv. Hybride d'Allen</t>
  </si>
  <si>
    <t xml:space="preserve">Vitis x interspécifique cv. Hybride Fournier</t>
  </si>
  <si>
    <t xml:space="preserve">Vitis x interspécifique cv. Hybride Franc</t>
  </si>
  <si>
    <t xml:space="preserve">Vitis x interspécifique cv. Hybride Lacoste</t>
  </si>
  <si>
    <t xml:space="preserve">Vitis x interspécifique cv. Hybride Pully 1</t>
  </si>
  <si>
    <t xml:space="preserve">Vitis x interspécifique cv. Hybride Pully 7</t>
  </si>
  <si>
    <t xml:space="preserve">Vitis x interspécifique cv. Hybride Trinquier</t>
  </si>
  <si>
    <t xml:space="preserve">Vitis x interspécifique cv. INRA-Mtp-3186-1-87</t>
  </si>
  <si>
    <t xml:space="preserve">Vitis x interspécifique cv. Institut = Kühlmann 482-2</t>
  </si>
  <si>
    <t xml:space="preserve">Vitis x interspécifique cv. Jacquez</t>
  </si>
  <si>
    <t xml:space="preserve">Vitis x interspécifique cv. Jacquez d'Aurelles 1</t>
  </si>
  <si>
    <t xml:space="preserve">Vitis x interspécifique cv. Joannès Seyve 11369</t>
  </si>
  <si>
    <t xml:space="preserve">Vitis x interspécifique cv. Joannès Seyve 12426</t>
  </si>
  <si>
    <t xml:space="preserve">Vitis x interspécifique cv. Joannès Seyve 12428</t>
  </si>
  <si>
    <t xml:space="preserve">Vitis x interspécifique cv. Joannès Seyve 12448</t>
  </si>
  <si>
    <t xml:space="preserve">Vitis x interspécifique cv. Joannès Seyve 12462</t>
  </si>
  <si>
    <t xml:space="preserve">Vitis x interspécifique cv. Joannès Seyve 13733</t>
  </si>
  <si>
    <t xml:space="preserve">Vitis x interspécifique cv. Joannès Seyve 13756</t>
  </si>
  <si>
    <t xml:space="preserve">Vitis x interspécifique cv. Joannès Seyve 14924</t>
  </si>
  <si>
    <t xml:space="preserve">Vitis x interspécifique cv. Joannès Seyve 14928</t>
  </si>
  <si>
    <t xml:space="preserve">Vitis x interspécifique cv. Joannès Seyve 14982</t>
  </si>
  <si>
    <t xml:space="preserve">Vitis x interspécifique cv. Joannès Seyve 15874</t>
  </si>
  <si>
    <t xml:space="preserve">Vitis x interspécifique cv. Joannès Seyve 15875</t>
  </si>
  <si>
    <t xml:space="preserve">Vitis x interspécifique cv. Joannès Seyve 16150</t>
  </si>
  <si>
    <t xml:space="preserve">Vitis x interspécifique cv. Joannès Seyve 19103</t>
  </si>
  <si>
    <t xml:space="preserve">Vitis x interspécifique cv. Joannès Seyve 23275</t>
  </si>
  <si>
    <t xml:space="preserve">Vitis x interspécifique cv. Joannès Seyve 23284</t>
  </si>
  <si>
    <t xml:space="preserve">Vitis x interspécifique cv. Joannès Seyve 23298</t>
  </si>
  <si>
    <t xml:space="preserve">Vitis x interspécifique cv. Joannès Seyve 23416</t>
  </si>
  <si>
    <t xml:space="preserve">Vitis x interspécifique cv. Joannès Seyve 23545</t>
  </si>
  <si>
    <t xml:space="preserve">Vitis x interspécifique cv. Joannès Seyve 24298</t>
  </si>
  <si>
    <t xml:space="preserve">Vitis x interspécifique cv. Joannès Seyve 24397</t>
  </si>
  <si>
    <t xml:space="preserve">Vitis x interspécifique cv. Joannès Seyve 24398</t>
  </si>
  <si>
    <t xml:space="preserve">Vitis x interspécifique cv. Joannès Seyve 24399</t>
  </si>
  <si>
    <t xml:space="preserve">Vitis x interspécifique cv. Joannès Seyve 24408</t>
  </si>
  <si>
    <t xml:space="preserve">Vitis x interspécifique cv. Joannès Seyve 24444</t>
  </si>
  <si>
    <t xml:space="preserve">Vitis x interspécifique cv. Joannès Seyve 24610</t>
  </si>
  <si>
    <t xml:space="preserve">Vitis x interspécifique cv. Joannès Seyve 24614</t>
  </si>
  <si>
    <t xml:space="preserve">Vitis x interspécifique cv. Joannès Seyve 24651</t>
  </si>
  <si>
    <t xml:space="preserve">Vitis x interspécifique cv. Joannès Seyve 24967</t>
  </si>
  <si>
    <t xml:space="preserve">Vitis x interspécifique cv. Joannès Seyve 25444</t>
  </si>
  <si>
    <t xml:space="preserve">Vitis x interspécifique cv. Joannès Seyve 25555</t>
  </si>
  <si>
    <t xml:space="preserve">Vitis x interspécifique cv. Joannès Seyve 25874</t>
  </si>
  <si>
    <t xml:space="preserve">Vitis x interspécifique cv. Joannès Seyve 26130</t>
  </si>
  <si>
    <t xml:space="preserve">Vitis x interspécifique cv. Joannès Seyve 26470</t>
  </si>
  <si>
    <t xml:space="preserve">Vitis x interspécifique cv. Joannès Seyve 26480</t>
  </si>
  <si>
    <t xml:space="preserve">Vitis x interspécifique cv. Joannès Seyve 26482</t>
  </si>
  <si>
    <t xml:space="preserve">Vitis x interspécifique cv. Joannès Seyve 26487</t>
  </si>
  <si>
    <t xml:space="preserve">Vitis x interspécifique cv. Joannès Seyve 26490</t>
  </si>
  <si>
    <t xml:space="preserve">Vitis x interspécifique cv. Joannès Seyve 26620</t>
  </si>
  <si>
    <t xml:space="preserve">Vitis x interspécifique cv. Joannès Seyve 26627</t>
  </si>
  <si>
    <t xml:space="preserve">Vitis x interspécifique cv. Joannès Seyve 26649</t>
  </si>
  <si>
    <t xml:space="preserve">Vitis x interspécifique cv. Joannès Seyve 26651</t>
  </si>
  <si>
    <t xml:space="preserve">Vitis x interspécifique cv. Joannès Seyve 26654</t>
  </si>
  <si>
    <t xml:space="preserve">Vitis x interspécifique cv. Joannès Seyve 26674</t>
  </si>
  <si>
    <t xml:space="preserve">Vitis x interspécifique cv. Joannès Seyve 26724</t>
  </si>
  <si>
    <t xml:space="preserve">Vitis x interspécifique cv. Joannès Seyve 26790</t>
  </si>
  <si>
    <t xml:space="preserve">Vitis x interspécifique cv. Joannès Seyve 26855</t>
  </si>
  <si>
    <t xml:space="preserve">Vitis x interspécifique cv. Joannès Seyve 26924</t>
  </si>
  <si>
    <t xml:space="preserve">Vitis x interspécifique cv. Joannès Seyve 27350</t>
  </si>
  <si>
    <t xml:space="preserve">Vitis x interspécifique cv. Joannès Seyve 30158</t>
  </si>
  <si>
    <t xml:space="preserve">Vitis x interspécifique cv. Joannès Seyve 30286</t>
  </si>
  <si>
    <t xml:space="preserve">Vitis x interspécifique cv. Joannès Seyve 30555</t>
  </si>
  <si>
    <t xml:space="preserve">Vitis x interspécifique cv. Joannès Seyve 30641</t>
  </si>
  <si>
    <t xml:space="preserve">Vitis x interspécifique cv. Joannès Seyve 30662</t>
  </si>
  <si>
    <t xml:space="preserve">Vitis x interspécifique cv. Joannès Seyve 31132</t>
  </si>
  <si>
    <t xml:space="preserve">Vitis x interspécifique cv. Joannès Seyve 31392</t>
  </si>
  <si>
    <t xml:space="preserve">Vitis x interspécifique cv. Joannès Seyve 4825</t>
  </si>
  <si>
    <t xml:space="preserve">Vitis x interspécifique cv. Joannès Seyve 5563</t>
  </si>
  <si>
    <t xml:space="preserve">Vitis x interspécifique cv. Joannès Seyve 6264</t>
  </si>
  <si>
    <t xml:space="preserve">Vitis x interspécifique cv. Joannès Seyve 9149</t>
  </si>
  <si>
    <t xml:space="preserve">Vitis x interspécifique cv. Johanniter</t>
  </si>
  <si>
    <t xml:space="preserve">Vitis x interspécifique cv. Joussely 1</t>
  </si>
  <si>
    <t xml:space="preserve">Vitis x interspécifique cv. Joussely 2</t>
  </si>
  <si>
    <t xml:space="preserve">Vitis x interspécifique cv. Jurie 1975</t>
  </si>
  <si>
    <t xml:space="preserve">Vitis x interspécifique cv. Kühlmann 702 A faux</t>
  </si>
  <si>
    <t xml:space="preserve">Vitis x interspécifique cv. La Céline = Baco 12-12</t>
  </si>
  <si>
    <t xml:space="preserve">Vitis x interspécifique cv. La Madone = Couderc 4101</t>
  </si>
  <si>
    <t xml:space="preserve">Vitis x interspécifique cv. labrusca x ?</t>
  </si>
  <si>
    <t xml:space="preserve">Vitis x interspécifique cv. labrusca x vinifera</t>
  </si>
  <si>
    <t xml:space="preserve">Vitis x interspécifique cv. Laffourcade 15 V</t>
  </si>
  <si>
    <t xml:space="preserve">Vitis x interspécifique cv. Laffourcade 19</t>
  </si>
  <si>
    <t xml:space="preserve">Vitis x interspécifique cv. Laffourcade 26</t>
  </si>
  <si>
    <t xml:space="preserve">Vitis x interspécifique cv. Laffourcade 6</t>
  </si>
  <si>
    <t xml:space="preserve">Vitis x interspécifique cv. Landal = Landot 244</t>
  </si>
  <si>
    <t xml:space="preserve">Vitis x interspécifique cv. Landot 1233</t>
  </si>
  <si>
    <t xml:space="preserve">Vitis x interspécifique cv. Landot 1674</t>
  </si>
  <si>
    <t xml:space="preserve">Vitis x interspécifique cv. Landot 1678</t>
  </si>
  <si>
    <t xml:space="preserve">Vitis x interspécifique cv. Landot 1680</t>
  </si>
  <si>
    <t xml:space="preserve">Vitis x interspécifique cv. Landot 204</t>
  </si>
  <si>
    <t xml:space="preserve">Vitis x interspécifique cv. Landot 206</t>
  </si>
  <si>
    <t xml:space="preserve">Vitis x interspécifique cv. Landot 2281</t>
  </si>
  <si>
    <t xml:space="preserve">Vitis x interspécifique cv. Landot 2282</t>
  </si>
  <si>
    <t xml:space="preserve">Vitis x interspécifique cv. Landot 2283</t>
  </si>
  <si>
    <t xml:space="preserve">Vitis x interspécifique cv. Landot 2291</t>
  </si>
  <si>
    <t xml:space="preserve">Vitis x interspécifique cv. Landot 234</t>
  </si>
  <si>
    <t xml:space="preserve">Vitis x interspécifique cv. Landot 2380</t>
  </si>
  <si>
    <t xml:space="preserve">Vitis x interspécifique cv. Landot 240</t>
  </si>
  <si>
    <t xml:space="preserve">Vitis x interspécifique cv. Landot 2517</t>
  </si>
  <si>
    <t xml:space="preserve">Vitis x interspécifique cv. Landot 301</t>
  </si>
  <si>
    <t xml:space="preserve">Vitis x interspécifique cv. Landot 304</t>
  </si>
  <si>
    <t xml:space="preserve">Vitis x interspécifique cv. Landot 3381</t>
  </si>
  <si>
    <t xml:space="preserve">Vitis x interspécifique cv. Landot 3474</t>
  </si>
  <si>
    <t xml:space="preserve">Vitis x interspécifique cv. Landot 3518</t>
  </si>
  <si>
    <t xml:space="preserve">Vitis x interspécifique cv. Landot 3568</t>
  </si>
  <si>
    <t xml:space="preserve">Vitis x interspécifique cv. Landot 3901</t>
  </si>
  <si>
    <t xml:space="preserve">Vitis x interspécifique cv. Landot 4239</t>
  </si>
  <si>
    <t xml:space="preserve">Vitis x interspécifique cv. Landot 4411</t>
  </si>
  <si>
    <t xml:space="preserve">Vitis x interspécifique cv. Landot 4465</t>
  </si>
  <si>
    <t xml:space="preserve">Vitis x interspécifique cv. Landot 4511</t>
  </si>
  <si>
    <t xml:space="preserve">Vitis x interspécifique cv. Landot 506</t>
  </si>
  <si>
    <t xml:space="preserve">Vitis x interspécifique cv. Landot 508</t>
  </si>
  <si>
    <t xml:space="preserve">Vitis x interspécifique cv. Landot 540</t>
  </si>
  <si>
    <t xml:space="preserve">Vitis x interspécifique cv. Landot 562</t>
  </si>
  <si>
    <t xml:space="preserve">Vitis x interspécifique cv. Landot 742</t>
  </si>
  <si>
    <t xml:space="preserve">Vitis x interspécifique cv. Landot 760</t>
  </si>
  <si>
    <t xml:space="preserve">Vitis x interspécifique cv. Landot 790</t>
  </si>
  <si>
    <t xml:space="preserve">Vitis x interspécifique cv. Laquenexy 155-2</t>
  </si>
  <si>
    <t xml:space="preserve">Vitis x interspécifique cv. Laquenexy 43-3</t>
  </si>
  <si>
    <t xml:space="preserve">Vitis x interspécifique cv. Laquenexy 44</t>
  </si>
  <si>
    <t xml:space="preserve">Vitis x interspécifique cv. Laquenexy 4-54</t>
  </si>
  <si>
    <t xml:space="preserve">Vitis x interspécifique cv. Laquenexy 4-56</t>
  </si>
  <si>
    <t xml:space="preserve">Vitis x interspécifique cv. Le Capéran = Baco 43-23</t>
  </si>
  <si>
    <t xml:space="preserve">Vitis x interspécifique cv. Le Cazalet = Baco 58-15</t>
  </si>
  <si>
    <t xml:space="preserve">Vitis x interspécifique cv. Le Colonel = Bertille Seyve 2667</t>
  </si>
  <si>
    <t xml:space="preserve">Vitis x interspécifique cv. Le Commandant = Bertille Seyve 2862</t>
  </si>
  <si>
    <t xml:space="preserve">Vitis x interspécifique cv. Le Fondard = Le Jurassien = Jurie 580</t>
  </si>
  <si>
    <t xml:space="preserve">Vitis x interspécifique cv. Le Général = Bertille Seyve 5563</t>
  </si>
  <si>
    <t xml:space="preserve">Vitis x interspécifique cv. Le Pourpre = Seibel 4646</t>
  </si>
  <si>
    <t xml:space="preserve">Vitis x interspécifique cv. Le Rubis = Seibel 5575</t>
  </si>
  <si>
    <t xml:space="preserve">Vitis x interspécifique cv. Le Subéreux = Seibel 6905</t>
  </si>
  <si>
    <t xml:space="preserve">Vitis x interspécifique cv. Léon Millot = Kühlmann 194-2</t>
  </si>
  <si>
    <t xml:space="preserve">Vitis x interspécifique cv. Llyod's number 33 = LN 33</t>
  </si>
  <si>
    <t xml:space="preserve">Vitis x interspécifique cv. Logan</t>
  </si>
  <si>
    <t xml:space="preserve">Vitis x interspécifique cv. Lucie Kühlmann = Kühlmann 149-3</t>
  </si>
  <si>
    <t xml:space="preserve">Vitis x interspécifique cv. Maclet C 103</t>
  </si>
  <si>
    <t xml:space="preserve">Vitis x interspécifique cv. Madame Castel = Castel 1028</t>
  </si>
  <si>
    <t xml:space="preserve">Vitis x interspécifique cv. Madame Lussan = Castel 19002</t>
  </si>
  <si>
    <t xml:space="preserve">Vitis x interspécifique cv. Mademoiselle Messiny = Kühlmann 193-5</t>
  </si>
  <si>
    <t xml:space="preserve">Vitis x interspécifique cv. Malègue S 3</t>
  </si>
  <si>
    <t xml:space="preserve">Vitis x interspécifique cv. Malègue 113</t>
  </si>
  <si>
    <t xml:space="preserve">Vitis x interspécifique cv. Malègue 1157-1</t>
  </si>
  <si>
    <t xml:space="preserve">Vitis x interspécifique cv. Malègue 1157-15</t>
  </si>
  <si>
    <t xml:space="preserve">Vitis x interspécifique cv. Malègue 148-4</t>
  </si>
  <si>
    <t xml:space="preserve">Vitis x interspécifique cv. Malègue 1495-1</t>
  </si>
  <si>
    <t xml:space="preserve">Vitis x interspécifique cv. Malègue 150-13</t>
  </si>
  <si>
    <t xml:space="preserve">Vitis x interspécifique cv. Malègue 150-15</t>
  </si>
  <si>
    <t xml:space="preserve">Vitis x interspécifique cv. Malègue 150-9</t>
  </si>
  <si>
    <t xml:space="preserve">Vitis x interspécifique cv. Malègue 1647-8</t>
  </si>
  <si>
    <t xml:space="preserve">Vitis x interspécifique cv. Malègue 1995-4</t>
  </si>
  <si>
    <t xml:space="preserve">Vitis x interspécifique cv. Malègue 2049-3</t>
  </si>
  <si>
    <t xml:space="preserve">Vitis x interspécifique cv. Malègue 2094-3</t>
  </si>
  <si>
    <t xml:space="preserve">Vitis x interspécifique cv. Malègue 2236-1</t>
  </si>
  <si>
    <t xml:space="preserve">Vitis x interspécifique cv. Malègue 2623-2</t>
  </si>
  <si>
    <t xml:space="preserve">Vitis x interspécifique cv. Malègue 2627-11</t>
  </si>
  <si>
    <t xml:space="preserve">Vitis x interspécifique cv. Malègue 44-46</t>
  </si>
  <si>
    <t xml:space="preserve">Vitis x interspécifique cv. Malègue 469-2</t>
  </si>
  <si>
    <t xml:space="preserve">Vitis x interspécifique cv. Malègue 474-5</t>
  </si>
  <si>
    <t xml:space="preserve">Vitis x interspécifique cv. Malègue 51-20</t>
  </si>
  <si>
    <t xml:space="preserve">Vitis x interspécifique cv. Malègue 57</t>
  </si>
  <si>
    <t xml:space="preserve">Vitis x interspécifique cv. Malègue 653-1</t>
  </si>
  <si>
    <t xml:space="preserve">Vitis x interspécifique cv. Malègue 71-7</t>
  </si>
  <si>
    <t xml:space="preserve">Vitis x interspécifique cv. Malègue 75</t>
  </si>
  <si>
    <t xml:space="preserve">Vitis x interspécifique cv. Malègue 829-6</t>
  </si>
  <si>
    <t xml:space="preserve">Vitis x interspécifique cv. Maréchal Foch = Kühlmann 188-2</t>
  </si>
  <si>
    <t xml:space="preserve">Vitis x interspécifique cv. Maréchal Joffre = Kühlmann 187-1</t>
  </si>
  <si>
    <t xml:space="preserve">Vitis x interspécifique cv. Maxatawnay</t>
  </si>
  <si>
    <t xml:space="preserve">Vitis x interspécifique cv. Merzling</t>
  </si>
  <si>
    <t xml:space="preserve">Vitis x interspécifique cv. Meynieu 3</t>
  </si>
  <si>
    <t xml:space="preserve">Vitis x interspécifique cv. Meynieu 6</t>
  </si>
  <si>
    <t xml:space="preserve">Vitis x interspécifique cv. Meynieu 7</t>
  </si>
  <si>
    <t xml:space="preserve">Vitis x interspécifique cv. Meynieu 8-5</t>
  </si>
  <si>
    <t xml:space="preserve">Vitis x interspécifique cv. Meynieu 8-6</t>
  </si>
  <si>
    <t xml:space="preserve">Vitis x interspécifique cv. Meynieu 9-48</t>
  </si>
  <si>
    <t xml:space="preserve">Vitis x interspécifique cv. Millardet = Kühlmann 193-2</t>
  </si>
  <si>
    <t xml:space="preserve">Vitis x interspécifique cv. Millardet de Grasset 143 A</t>
  </si>
  <si>
    <t xml:space="preserve">Vitis x interspécifique cv. Millardet et de Grasset 101</t>
  </si>
  <si>
    <t xml:space="preserve">Vitis x interspécifique cv. Millardet et de Grasset 101-1</t>
  </si>
  <si>
    <t xml:space="preserve">Vitis x interspécifique cv. Millardet et de Grasset 101-10</t>
  </si>
  <si>
    <t xml:space="preserve">Vitis x interspécifique cv. Millardet et de Grasset 101-11</t>
  </si>
  <si>
    <t xml:space="preserve">Vitis x interspécifique cv. Millardet et de Grasset 101-12</t>
  </si>
  <si>
    <t xml:space="preserve">Vitis x interspécifique cv. Millardet et de Grasset 101-14 faux (Carpentras)</t>
  </si>
  <si>
    <t xml:space="preserve">Vitis x interspécifique cv. Millardet et de Grasset 101-2</t>
  </si>
  <si>
    <t xml:space="preserve">Vitis x interspécifique cv. Millardet et de Grasset 101-9</t>
  </si>
  <si>
    <t xml:space="preserve">Vitis x interspécifique cv. Millardet et de Grasset 106-8</t>
  </si>
  <si>
    <t xml:space="preserve">Vitis x interspécifique cv. Millardet et de Grasset 108-16</t>
  </si>
  <si>
    <t xml:space="preserve">Vitis x interspécifique cv. Millardet et de Grasset 125-1</t>
  </si>
  <si>
    <t xml:space="preserve">Vitis x interspécifique cv. Millardet et de Grasset 125-2</t>
  </si>
  <si>
    <t xml:space="preserve">Vitis x interspécifique cv. Millardet et de Grasset 125-4</t>
  </si>
  <si>
    <t xml:space="preserve">Vitis x interspécifique cv. Millardet et de Grasset 143</t>
  </si>
  <si>
    <t xml:space="preserve">Vitis x interspécifique cv. Millardet et de Grasset 17-37</t>
  </si>
  <si>
    <t xml:space="preserve">Vitis x interspécifique cv. Millardet et de Grasset 199-16</t>
  </si>
  <si>
    <t xml:space="preserve">Vitis x interspécifique cv. Millardet et de Grasset 202-4</t>
  </si>
  <si>
    <t xml:space="preserve">Vitis x interspécifique cv. Millardet et de Grasset 212-7</t>
  </si>
  <si>
    <t xml:space="preserve">Vitis x interspécifique cv. Millardet et de Grasset 215-2</t>
  </si>
  <si>
    <t xml:space="preserve">Vitis x interspécifique cv. Millardet et de Grasset 219-7</t>
  </si>
  <si>
    <t xml:space="preserve">Vitis x interspécifique cv. Millardet et de Grasset 227-11-29</t>
  </si>
  <si>
    <t xml:space="preserve">Vitis x interspécifique cv. Millardet et de Grasset 227-55-29</t>
  </si>
  <si>
    <t xml:space="preserve">Vitis x interspécifique cv. Millardet et de Grasset 262</t>
  </si>
  <si>
    <t xml:space="preserve">Vitis x interspécifique cv. Millardet et de Grasset 301-14-152</t>
  </si>
  <si>
    <t xml:space="preserve">Vitis x interspécifique cv. Millardet et de Grasset 301-37-152</t>
  </si>
  <si>
    <t xml:space="preserve">Vitis x interspécifique cv. Millardet et de Grasset 301-4-153</t>
  </si>
  <si>
    <t xml:space="preserve">Vitis x interspécifique cv. Millardet et de Grasset 301-43-152</t>
  </si>
  <si>
    <t xml:space="preserve">Vitis x interspécifique cv. Millardet et de Grasset 33</t>
  </si>
  <si>
    <t xml:space="preserve">Vitis x interspécifique cv. Millardet et de Grasset 420 B</t>
  </si>
  <si>
    <t xml:space="preserve">Vitis x interspécifique cv. Millardet et de Grasset 420 C</t>
  </si>
  <si>
    <t xml:space="preserve">Vitis x interspécifique cv. Millardet et de Grasset 422 A</t>
  </si>
  <si>
    <t xml:space="preserve">Vitis x interspécifique cv. Millardet et de Grasset 422 B</t>
  </si>
  <si>
    <t xml:space="preserve">Vitis x interspécifique cv. Millardet 301</t>
  </si>
  <si>
    <t xml:space="preserve">Vitis x interspécifique cv. Millardet 374</t>
  </si>
  <si>
    <t xml:space="preserve">Vitis x interspécifique cv. Molines P.F.</t>
  </si>
  <si>
    <t xml:space="preserve">Vitis x interspécifique cv. Montoneri 23</t>
  </si>
  <si>
    <t xml:space="preserve">Vitis x interspécifique cv. Mounier 14-2</t>
  </si>
  <si>
    <t xml:space="preserve">Vitis x interspécifique cv. Mounier 155-7</t>
  </si>
  <si>
    <t xml:space="preserve">Vitis x interspécifique cv. Mounier 19-3</t>
  </si>
  <si>
    <t xml:space="preserve">Vitis x interspécifique cv. Musc Delecta = Seibel 16281</t>
  </si>
  <si>
    <t xml:space="preserve">Vitis x interspécifique cv. Muscadille = Galibert 265-35</t>
  </si>
  <si>
    <t xml:space="preserve">Vitis x interspécifique cv. Muscadoule = Galibert 255-10</t>
  </si>
  <si>
    <t xml:space="preserve">Vitis x interspécifique cv. Muscat Bailey A</t>
  </si>
  <si>
    <t xml:space="preserve">Vitis x interspécifique cv. Muscat blanc = Meynieu 9-68</t>
  </si>
  <si>
    <t xml:space="preserve">Vitis x interspécifique cv. Muscat de Saint-Christol = Galibert 255-43</t>
  </si>
  <si>
    <t xml:space="preserve">Vitis x interspécifique cv. Muscat de Saint-Vallier = Seyve-Villard 20-473</t>
  </si>
  <si>
    <t xml:space="preserve">Vitis x interspécifique cv. Muscat Sélection 2 Gaillard</t>
  </si>
  <si>
    <t xml:space="preserve">Vitis x interspécifique cv. Muscolive = Galibert 15-2</t>
  </si>
  <si>
    <t xml:space="preserve">Vitis x interspécifique cv. Néo Muscat</t>
  </si>
  <si>
    <t xml:space="preserve">Vitis x interspécifique cv. Neo Muscat x Gros Sémillon</t>
  </si>
  <si>
    <t xml:space="preserve">Vitis x interspécifique cv. Néron = Kühlmann 296-1</t>
  </si>
  <si>
    <t xml:space="preserve">Vitis x interspécifique cv. Niabell</t>
  </si>
  <si>
    <t xml:space="preserve">Vitis x interspécifique cv. Niagara</t>
  </si>
  <si>
    <t xml:space="preserve">Vitis x interspécifique cv. Noah</t>
  </si>
  <si>
    <t xml:space="preserve">Vitis x interspécifique cv. Nouveau Bayard = Couderc 132-11</t>
  </si>
  <si>
    <t xml:space="preserve">Vitis x interspécifique cv. Oberlin noir = Oberlin 595</t>
  </si>
  <si>
    <t xml:space="preserve">Vitis x interspécifique cv. Oberlin 604</t>
  </si>
  <si>
    <t xml:space="preserve">Vitis x interspécifique cv. Oberlin 605</t>
  </si>
  <si>
    <t xml:space="preserve">Vitis x interspécifique cv. Oberlin 701</t>
  </si>
  <si>
    <t xml:space="preserve">Vitis x interspécifique cv. Oberlin 702 A</t>
  </si>
  <si>
    <t xml:space="preserve">Vitis x interspécifique cv. Oberlin 716</t>
  </si>
  <si>
    <t xml:space="preserve">Vitis x interspécifique cv. Oberlin 782</t>
  </si>
  <si>
    <t xml:space="preserve">Vitis x interspécifique cv. Oeillade de Conzieu = Landot 2832</t>
  </si>
  <si>
    <t xml:space="preserve">Vitis x interspécifique cv. Orion</t>
  </si>
  <si>
    <t xml:space="preserve">Vitis x interspécifique cv. Othello</t>
  </si>
  <si>
    <t xml:space="preserve">Vitis x interspécifique cv. Othello gris</t>
  </si>
  <si>
    <t xml:space="preserve">Vitis x interspécifique cv. Paulistinha</t>
  </si>
  <si>
    <t xml:space="preserve">Vitis x interspécifique cv. Paulsen 1043</t>
  </si>
  <si>
    <t xml:space="preserve">Vitis x interspécifique cv. Paulsen 1045</t>
  </si>
  <si>
    <t xml:space="preserve">Vitis x interspécifique cv. Paulsen 1119</t>
  </si>
  <si>
    <t xml:space="preserve">Vitis x interspécifique cv. Paulsen 1120</t>
  </si>
  <si>
    <t xml:space="preserve">Vitis x interspécifique cv. Paulsen 1321</t>
  </si>
  <si>
    <t xml:space="preserve">Vitis x interspécifique cv. Paulsen 1323</t>
  </si>
  <si>
    <t xml:space="preserve">Vitis x interspécifique cv. Paulsen 1381</t>
  </si>
  <si>
    <t xml:space="preserve">Vitis x interspécifique cv. Paulsen 1742</t>
  </si>
  <si>
    <t xml:space="preserve">Vitis x interspécifique cv. Paulsen 2 A</t>
  </si>
  <si>
    <t xml:space="preserve">Vitis x interspécifique cv. Paulsen 764</t>
  </si>
  <si>
    <t xml:space="preserve">Vitis x interspécifique cv. Paulsen 770</t>
  </si>
  <si>
    <t xml:space="preserve">Vitis x interspécifique cv. Paulsen 771</t>
  </si>
  <si>
    <t xml:space="preserve">Vitis x interspécifique cv. Paulsen 775</t>
  </si>
  <si>
    <t xml:space="preserve">Vitis x interspécifique cv. Paulsen 779</t>
  </si>
  <si>
    <t xml:space="preserve">Vitis x interspécifique cv. Paulsen 781</t>
  </si>
  <si>
    <t xml:space="preserve">Vitis x interspécifique cv. Paulsen 782</t>
  </si>
  <si>
    <t xml:space="preserve">Vitis x interspécifique cv. Paulsen 8302</t>
  </si>
  <si>
    <t xml:space="preserve">Vitis x interspécifique cv. Paulsen 8734</t>
  </si>
  <si>
    <t xml:space="preserve">Vitis x interspécifique cv. Peage 5-10 = Roy Chevrier 5-10</t>
  </si>
  <si>
    <t xml:space="preserve">Vitis x interspécifique cv. Perbos 137</t>
  </si>
  <si>
    <t xml:space="preserve">Vitis x interspécifique cv. Perbos 151</t>
  </si>
  <si>
    <t xml:space="preserve">Vitis x interspécifique cv. Perbos 159</t>
  </si>
  <si>
    <t xml:space="preserve">Vitis x interspécifique cv. Perbos 174</t>
  </si>
  <si>
    <t xml:space="preserve">Vitis x interspécifique cv. Perbos 180</t>
  </si>
  <si>
    <t xml:space="preserve">Vitis x interspécifique cv. Perbos 205</t>
  </si>
  <si>
    <t xml:space="preserve">Vitis x interspécifique cv. Perbos 210</t>
  </si>
  <si>
    <t xml:space="preserve">Vitis x interspécifique cv. Perbos 215</t>
  </si>
  <si>
    <t xml:space="preserve">Vitis x interspécifique cv. Perbos 226</t>
  </si>
  <si>
    <t xml:space="preserve">Vitis x interspécifique cv. Perbos 228</t>
  </si>
  <si>
    <t xml:space="preserve">Vitis x interspécifique cv. Perbos 48</t>
  </si>
  <si>
    <t xml:space="preserve">Vitis x interspécifique cv. Perbos 81</t>
  </si>
  <si>
    <t xml:space="preserve">Vitis x interspécifique cv. Perbos 82</t>
  </si>
  <si>
    <t xml:space="preserve">Vitis x interspécifique cv. Perdin</t>
  </si>
  <si>
    <t xml:space="preserve">Vitis x interspécifique cv. Perkins</t>
  </si>
  <si>
    <t xml:space="preserve">Vitis x interspécifique cv. Perle de Cadoule = Galibert 255-99</t>
  </si>
  <si>
    <t xml:space="preserve">Vitis x interspécifique cv. Perle noire = Seyve-Villard 20-347</t>
  </si>
  <si>
    <t xml:space="preserve">Vitis x interspécifique cv. Perraton 34</t>
  </si>
  <si>
    <t xml:space="preserve">Vitis x interspécifique cv. Perraton 36</t>
  </si>
  <si>
    <t xml:space="preserve">Vitis x interspécifique cv. Phénix</t>
  </si>
  <si>
    <t xml:space="preserve">Vitis x interspécifique cv. Phoenix</t>
  </si>
  <si>
    <t xml:space="preserve">Vitis x interspécifique cv. piasezkii x ?</t>
  </si>
  <si>
    <t xml:space="preserve">Vitis x interspécifique cv. piasezkii x romanetii</t>
  </si>
  <si>
    <t xml:space="preserve">Vitis x interspécifique cv. Picadoul = Galibert 221-31</t>
  </si>
  <si>
    <t xml:space="preserve">Vitis x interspécifique cv. Pierrelle = Seyve-Villard 20-366</t>
  </si>
  <si>
    <t xml:space="preserve">Vitis x interspécifique cv. Pignan noir = Galibert 23-1</t>
  </si>
  <si>
    <t xml:space="preserve">Vitis x interspécifique cv. Pignoletta</t>
  </si>
  <si>
    <t xml:space="preserve">Vitis x interspécifique cv. Pinard = Kühlmann 191-2</t>
  </si>
  <si>
    <t xml:space="preserve">Vitis x interspécifique cv. Pirobella</t>
  </si>
  <si>
    <t xml:space="preserve">Vitis x interspécifique cv. Pirovano 146</t>
  </si>
  <si>
    <t xml:space="preserve">Vitis x interspécifique cv. Pirovano 29</t>
  </si>
  <si>
    <t xml:space="preserve">Vitis x interspécifique cv. Pirovano 34</t>
  </si>
  <si>
    <t xml:space="preserve">Vitis x interspécifique cv. Pirovano 40</t>
  </si>
  <si>
    <t xml:space="preserve">Vitis x interspécifique cv. Pirovano 41</t>
  </si>
  <si>
    <t xml:space="preserve">Vitis x interspécifique cv. Pirovano 48</t>
  </si>
  <si>
    <t xml:space="preserve">Vitis x interspécifique cv. Pirovano 539 a</t>
  </si>
  <si>
    <t xml:space="preserve">Vitis x interspécifique cv. Pirovano 541</t>
  </si>
  <si>
    <t xml:space="preserve">Vitis x interspécifique cv. Pirovano 6</t>
  </si>
  <si>
    <t xml:space="preserve">Vitis x interspécifique cv. Plantet = Seibel 5455</t>
  </si>
  <si>
    <t xml:space="preserve">Vitis x interspécifique cv. Pocklington</t>
  </si>
  <si>
    <t xml:space="preserve">Vitis x interspécifique cv. Poilu = Kühlmann 252-3</t>
  </si>
  <si>
    <t xml:space="preserve">Vitis x interspécifique cv. Pougette musquée = Galibert 256-28</t>
  </si>
  <si>
    <t xml:space="preserve">Vitis x interspécifique cv. Précoce de Colmar = Kühlmann 277-2</t>
  </si>
  <si>
    <t xml:space="preserve">Vitis x interspécifique cv. Précoce Prady = Couderc 124-20</t>
  </si>
  <si>
    <t xml:space="preserve">Vitis x interspécifique cv. Précoce Prady = Couderc 126-21</t>
  </si>
  <si>
    <t xml:space="preserve">Vitis x interspécifique cv. Precursore</t>
  </si>
  <si>
    <t xml:space="preserve">Vitis x interspécifique cv. Primus = Pirovano 7</t>
  </si>
  <si>
    <t xml:space="preserve">Vitis x interspécifique cv. Prince noir Meynieu 1</t>
  </si>
  <si>
    <t xml:space="preserve">Vitis x interspécifique cv. Prosperi 11-71</t>
  </si>
  <si>
    <t xml:space="preserve">Vitis x interspécifique cv. Prosperi 11-72</t>
  </si>
  <si>
    <t xml:space="preserve">Vitis x interspécifique cv. Prosperi 15-99</t>
  </si>
  <si>
    <t xml:space="preserve">Vitis x interspécifique cv. Prosperi 16-107</t>
  </si>
  <si>
    <t xml:space="preserve">Vitis x interspécifique cv. Prosperi 16-108</t>
  </si>
  <si>
    <t xml:space="preserve">Vitis x interspécifique cv. Prosperi 16-109</t>
  </si>
  <si>
    <t xml:space="preserve">Vitis x interspécifique cv. Prosperi 5-32</t>
  </si>
  <si>
    <t xml:space="preserve">Vitis x interspécifique cv. Ranciaut blanc = Galibert 53-1</t>
  </si>
  <si>
    <t xml:space="preserve">Vitis x interspécifique cv. Ranciaut noir = Galibert 63-1</t>
  </si>
  <si>
    <t xml:space="preserve">Vitis x interspécifique cv. Ravat blanc = Ravat 6</t>
  </si>
  <si>
    <t xml:space="preserve">Vitis x interspécifique cv. Ravat 13</t>
  </si>
  <si>
    <t xml:space="preserve">Vitis x interspécifique cv. Ravat 143</t>
  </si>
  <si>
    <t xml:space="preserve">Vitis x interspécifique cv. Ravat 15</t>
  </si>
  <si>
    <t xml:space="preserve">Vitis x interspécifique cv. Ravat 16</t>
  </si>
  <si>
    <t xml:space="preserve">Vitis x interspécifique cv. Ravat 18</t>
  </si>
  <si>
    <t xml:space="preserve">Vitis x interspécifique cv. Ravat 19</t>
  </si>
  <si>
    <t xml:space="preserve">Vitis x interspécifique cv. Ravat 253</t>
  </si>
  <si>
    <t xml:space="preserve">Vitis x interspécifique cv. Ravat 262</t>
  </si>
  <si>
    <t xml:space="preserve">Vitis x interspécifique cv. Ravat 327</t>
  </si>
  <si>
    <t xml:space="preserve">Vitis x interspécifique cv. Ravat 34</t>
  </si>
  <si>
    <t xml:space="preserve">Vitis x interspécifique cv. Ravat 36</t>
  </si>
  <si>
    <t xml:space="preserve">Vitis x interspécifique cv. Ravat 507</t>
  </si>
  <si>
    <t xml:space="preserve">Vitis x interspécifique cv. Ravat 51</t>
  </si>
  <si>
    <t xml:space="preserve">Vitis x interspécifique cv. Ravat 8</t>
  </si>
  <si>
    <t xml:space="preserve">Vitis x interspécifique cv. Ravat 9</t>
  </si>
  <si>
    <t xml:space="preserve">Vitis x interspécifique cv. Ravaz 1</t>
  </si>
  <si>
    <t xml:space="preserve">Vitis x interspécifique cv. Ravaz 2</t>
  </si>
  <si>
    <t xml:space="preserve">Vitis x interspécifique cv. Rayon d'Or = Seibel 4986</t>
  </si>
  <si>
    <t xml:space="preserve">Vitis x interspécifique cv. RC 51</t>
  </si>
  <si>
    <t xml:space="preserve">Vitis x interspécifique cv. Rebecca</t>
  </si>
  <si>
    <t xml:space="preserve">Vitis x interspécifique cv. Regent</t>
  </si>
  <si>
    <t xml:space="preserve">Vitis x interspécifique cv. Rességuier sélection Birolleau 1 = RSB 1</t>
  </si>
  <si>
    <t xml:space="preserve">Vitis x interspécifique cv. Richter 31</t>
  </si>
  <si>
    <t xml:space="preserve">Vitis x interspécifique cv. Richter 57</t>
  </si>
  <si>
    <t xml:space="preserve">Vitis x interspécifique cv. Riparia Rupestris de Massannes glabre</t>
  </si>
  <si>
    <t xml:space="preserve">Vitis x interspécifique cv. riparia x berlandieri</t>
  </si>
  <si>
    <t xml:space="preserve">Vitis x interspécifique cv. riparia x rupestris</t>
  </si>
  <si>
    <t xml:space="preserve">Vitis x interspécifique cv. riparia x rupestris x candicans</t>
  </si>
  <si>
    <t xml:space="preserve">Vitis x interspécifique cv. riparia x vinifera</t>
  </si>
  <si>
    <t xml:space="preserve">Vitis x interspécifique cv. Riparia-Rupestris de Dracé</t>
  </si>
  <si>
    <t xml:space="preserve">Vitis x interspécifique cv. Riparia-Rupestris de Massannes pubescent</t>
  </si>
  <si>
    <t xml:space="preserve">Vitis x interspécifique cv. Riparia-Rupestris de Samadet</t>
  </si>
  <si>
    <t xml:space="preserve">Vitis x interspécifique cv. Riparia-Rupestris de Savènes</t>
  </si>
  <si>
    <t xml:space="preserve">Vitis x interspécifique cv. Riparia-Rupestris de Vauchretien</t>
  </si>
  <si>
    <t xml:space="preserve">Vitis x interspécifique cv. Riparia-Rupestris Schwarzmann</t>
  </si>
  <si>
    <t xml:space="preserve">Vitis x interspécifique cv. Robur</t>
  </si>
  <si>
    <t xml:space="preserve">Vitis x interspécifique cv. Roi des noirs = Seibel 4643</t>
  </si>
  <si>
    <t xml:space="preserve">Vitis x interspécifique cv. romanetii x ?</t>
  </si>
  <si>
    <t xml:space="preserve">Vitis x interspécifique cv. Rondo</t>
  </si>
  <si>
    <t xml:space="preserve">Vitis x interspécifique cv. Rosambre</t>
  </si>
  <si>
    <t xml:space="preserve">Vitis x interspécifique cv. Rosette = Seibel 1000</t>
  </si>
  <si>
    <t xml:space="preserve">Vitis x interspécifique cv. Rouby 3</t>
  </si>
  <si>
    <t xml:space="preserve">Vitis x interspécifique cv. Rouby 9</t>
  </si>
  <si>
    <t xml:space="preserve">Vitis x interspécifique cv. Roucaneuf = Seyve-Villard 12-309</t>
  </si>
  <si>
    <t xml:space="preserve">Vitis x interspécifique cv. Rougeon = Seibel 5898</t>
  </si>
  <si>
    <t xml:space="preserve">Vitis x interspécifique cv. Royalty</t>
  </si>
  <si>
    <t xml:space="preserve">Vitis x interspécifique cv. Rubilande = Seibel 11803</t>
  </si>
  <si>
    <t xml:space="preserve">Vitis x interspécifique cv. Rubino = Pirovano 192a</t>
  </si>
  <si>
    <t xml:space="preserve">Vitis x interspécifique cv. Rubiscan</t>
  </si>
  <si>
    <t xml:space="preserve">Vitis x interspécifique cv. Rudelin 101-6</t>
  </si>
  <si>
    <t xml:space="preserve">Vitis x interspécifique cv. Rudelin 101-9</t>
  </si>
  <si>
    <t xml:space="preserve">Vitis x interspécifique cv. Rudelin 102-1</t>
  </si>
  <si>
    <t xml:space="preserve">Vitis x interspécifique cv. Rudelin 102-4</t>
  </si>
  <si>
    <t xml:space="preserve">Vitis x interspécifique cv. Rudelin 102-8</t>
  </si>
  <si>
    <t xml:space="preserve">Vitis x interspécifique cv. Rudelin 102-9</t>
  </si>
  <si>
    <t xml:space="preserve">Vitis x interspécifique cv. Rudelin 103-1</t>
  </si>
  <si>
    <t xml:space="preserve">Vitis x interspécifique cv. Rudelin 103-2</t>
  </si>
  <si>
    <t xml:space="preserve">Vitis x interspécifique cv. Rudelin 103-6</t>
  </si>
  <si>
    <t xml:space="preserve">Vitis x interspécifique cv. Rudelin 103-8</t>
  </si>
  <si>
    <t xml:space="preserve">Vitis x interspécifique cv. Rudelin 104-4</t>
  </si>
  <si>
    <t xml:space="preserve">Vitis x interspécifique cv. Rudelin 104-8</t>
  </si>
  <si>
    <t xml:space="preserve">Vitis x interspécifique cv. Rudelin 105-6</t>
  </si>
  <si>
    <t xml:space="preserve">Vitis x interspécifique cv. Rudelin 106-1</t>
  </si>
  <si>
    <t xml:space="preserve">Vitis x interspécifique cv. Rudelin 106-4</t>
  </si>
  <si>
    <t xml:space="preserve">Vitis x interspécifique cv. Rudelin 108-4</t>
  </si>
  <si>
    <t xml:space="preserve">Vitis x interspécifique cv. Rudelin 109-3</t>
  </si>
  <si>
    <t xml:space="preserve">Vitis x interspécifique cv. Rudelin 109-7</t>
  </si>
  <si>
    <t xml:space="preserve">Vitis x interspécifique cv. Rudelin 111-2</t>
  </si>
  <si>
    <t xml:space="preserve">Vitis x interspécifique cv. Rudelin 111-3</t>
  </si>
  <si>
    <t xml:space="preserve">Vitis x interspécifique cv. Rudelin 111-4</t>
  </si>
  <si>
    <t xml:space="preserve">Vitis x interspécifique cv. Rudelin 111-8</t>
  </si>
  <si>
    <t xml:space="preserve">Vitis x interspécifique cv. Rudelin 122-9</t>
  </si>
  <si>
    <t xml:space="preserve">Vitis x interspécifique cv. Rudelin 125-8</t>
  </si>
  <si>
    <t xml:space="preserve">Vitis x interspécifique cv. Rudelin 126-4</t>
  </si>
  <si>
    <t xml:space="preserve">Vitis x interspécifique cv. Rudelin 126-6</t>
  </si>
  <si>
    <t xml:space="preserve">Vitis x interspécifique cv. Rudelin 130-8</t>
  </si>
  <si>
    <t xml:space="preserve">Vitis x interspécifique cv. Rudelin 131-7</t>
  </si>
  <si>
    <t xml:space="preserve">Vitis x interspécifique cv. Rudelin 132-2</t>
  </si>
  <si>
    <t xml:space="preserve">Vitis x interspécifique cv. Rudelin 17-4</t>
  </si>
  <si>
    <t xml:space="preserve">Vitis x interspécifique cv. Rudelin 17-5</t>
  </si>
  <si>
    <t xml:space="preserve">Vitis x interspécifique cv. Rudelin 18-1</t>
  </si>
  <si>
    <t xml:space="preserve">Vitis x interspécifique cv. Rudelin 3</t>
  </si>
  <si>
    <t xml:space="preserve">Vitis x interspécifique cv. Rudelin 312-1</t>
  </si>
  <si>
    <t xml:space="preserve">Vitis x interspécifique cv. Rudelin 314-3</t>
  </si>
  <si>
    <t xml:space="preserve">Vitis x interspécifique cv. Rudelin 315-1</t>
  </si>
  <si>
    <t xml:space="preserve">Vitis x interspécifique cv. Rudelin 316-5</t>
  </si>
  <si>
    <t xml:space="preserve">Vitis x interspécifique cv. Rudelin 37-3</t>
  </si>
  <si>
    <t xml:space="preserve">Vitis x interspécifique cv. Rudelin 38-6</t>
  </si>
  <si>
    <t xml:space="preserve">Vitis x interspécifique cv. Rudelin 5-41</t>
  </si>
  <si>
    <t xml:space="preserve">Vitis x interspécifique cv. Rudelin 58</t>
  </si>
  <si>
    <t xml:space="preserve">Vitis x interspécifique cv. Rudelin 610-6</t>
  </si>
  <si>
    <t xml:space="preserve">Vitis x interspécifique cv. Rudelin 611-1</t>
  </si>
  <si>
    <t xml:space="preserve">Vitis x interspécifique cv. Rudelin 613-3</t>
  </si>
  <si>
    <t xml:space="preserve">Vitis x interspécifique cv. Rudelin 6-96</t>
  </si>
  <si>
    <t xml:space="preserve">Vitis x interspécifique cv. Ruggeri 131</t>
  </si>
  <si>
    <t xml:space="preserve">Vitis x interspécifique cv. Ruggeri 188</t>
  </si>
  <si>
    <t xml:space="preserve">Vitis x interspécifique cv. Ruggeri 193</t>
  </si>
  <si>
    <t xml:space="preserve">Vitis x interspécifique cv. Ruggeri 205</t>
  </si>
  <si>
    <t xml:space="preserve">Vitis x interspécifique cv. Ruggeri 225</t>
  </si>
  <si>
    <t xml:space="preserve">Vitis x interspécifique cv. Ruggeri 240</t>
  </si>
  <si>
    <t xml:space="preserve">Vitis x interspécifique cv. Ruggeri 300</t>
  </si>
  <si>
    <t xml:space="preserve">Vitis x interspécifique cv. Ruggeri 322</t>
  </si>
  <si>
    <t xml:space="preserve">Vitis x interspécifique cv. Ruggeri 325</t>
  </si>
  <si>
    <t xml:space="preserve">Vitis x interspécifique cv. Ruggeri 333</t>
  </si>
  <si>
    <t xml:space="preserve">Vitis x interspécifique cv. Ruggeri 42</t>
  </si>
  <si>
    <t xml:space="preserve">Vitis x interspécifique cv. Ruggeri 55</t>
  </si>
  <si>
    <t xml:space="preserve">Vitis x interspécifique cv. rupestris x aestivalis</t>
  </si>
  <si>
    <t xml:space="preserve">Vitis x interspécifique cv. rupestris x aestivalis x cordifolia</t>
  </si>
  <si>
    <t xml:space="preserve">Vitis x interspécifique cv. rupestris x berlandieri</t>
  </si>
  <si>
    <t xml:space="preserve">Vitis x interspécifique cv. rupestris x candicans</t>
  </si>
  <si>
    <t xml:space="preserve">Vitis x interspécifique cv. rupestris x cordifolia</t>
  </si>
  <si>
    <t xml:space="preserve">Vitis x interspécifique cv. rupestris x vinifera</t>
  </si>
  <si>
    <t xml:space="preserve">Vitis x interspécifique cv. Sabrilong = Long 35</t>
  </si>
  <si>
    <t xml:space="preserve">Vitis x interspécifique cv. Saint-Sauveur d'Alsace = Kühlmann 65-1</t>
  </si>
  <si>
    <t xml:space="preserve">Vitis x interspécifique cv. Saint-Victor = Galibert 15-3</t>
  </si>
  <si>
    <t xml:space="preserve">Vitis x interspécifique cv. Saint-Vincent</t>
  </si>
  <si>
    <t xml:space="preserve">Vitis x interspécifique cv. Salt Creek</t>
  </si>
  <si>
    <t xml:space="preserve">Vitis x interspécifique cv. Salzmann 6-43</t>
  </si>
  <si>
    <t xml:space="preserve">Vitis x interspécifique cv. Sanson</t>
  </si>
  <si>
    <t xml:space="preserve">Vitis x interspécifique cv. Saubrians = Galibert 36-2</t>
  </si>
  <si>
    <t xml:space="preserve">Vitis x interspécifique cv. Seibel  6131</t>
  </si>
  <si>
    <t xml:space="preserve">Vitis x interspécifique cv. Seibel 1</t>
  </si>
  <si>
    <t xml:space="preserve">Vitis x interspécifique cv. Seibel 10010</t>
  </si>
  <si>
    <t xml:space="preserve">Vitis x interspécifique cv. Seibel 10020</t>
  </si>
  <si>
    <t xml:space="preserve">Vitis x interspécifique cv. Seibel 10027</t>
  </si>
  <si>
    <t xml:space="preserve">Vitis x interspécifique cv. Seibel 10033</t>
  </si>
  <si>
    <t xml:space="preserve">Vitis x interspécifique cv. Seibel 10034</t>
  </si>
  <si>
    <t xml:space="preserve">Vitis x interspécifique cv. Seibel 1004</t>
  </si>
  <si>
    <t xml:space="preserve">Vitis x interspécifique cv. Seibel 10046</t>
  </si>
  <si>
    <t xml:space="preserve">Vitis x interspécifique cv. Seibel 1007</t>
  </si>
  <si>
    <t xml:space="preserve">Vitis x interspécifique cv. Seibel 10076</t>
  </si>
  <si>
    <t xml:space="preserve">Vitis x interspécifique cv. Seibel 10078</t>
  </si>
  <si>
    <t xml:space="preserve">Vitis x interspécifique cv. Seibel 10096</t>
  </si>
  <si>
    <t xml:space="preserve">Vitis x interspécifique cv. Seibel 10114</t>
  </si>
  <si>
    <t xml:space="preserve">Vitis x interspécifique cv. Seibel 10123</t>
  </si>
  <si>
    <t xml:space="preserve">Vitis x interspécifique cv. Seibel 1013</t>
  </si>
  <si>
    <t xml:space="preserve">Vitis x interspécifique cv. Seibel 10136/2</t>
  </si>
  <si>
    <t xml:space="preserve">Vitis x interspécifique cv. Seibel 1014</t>
  </si>
  <si>
    <t xml:space="preserve">Vitis x interspécifique cv. Seibel 10146</t>
  </si>
  <si>
    <t xml:space="preserve">Vitis x interspécifique cv. Seibel 1015</t>
  </si>
  <si>
    <t xml:space="preserve">Vitis x interspécifique cv. Seibel 10172/2</t>
  </si>
  <si>
    <t xml:space="preserve">Vitis x interspécifique cv. Seibel 10186</t>
  </si>
  <si>
    <t xml:space="preserve">Vitis x interspécifique cv. Seibel 10208</t>
  </si>
  <si>
    <t xml:space="preserve">Vitis x interspécifique cv. Seibel 10215</t>
  </si>
  <si>
    <t xml:space="preserve">Vitis x interspécifique cv. Seibel 10217</t>
  </si>
  <si>
    <t xml:space="preserve">Vitis x interspécifique cv. Seibel 10230</t>
  </si>
  <si>
    <t xml:space="preserve">Vitis x interspécifique cv. Seibel 1025</t>
  </si>
  <si>
    <t xml:space="preserve">Vitis x interspécifique cv. Seibel 10259/1</t>
  </si>
  <si>
    <t xml:space="preserve">Vitis x interspécifique cv. Seibel 10267</t>
  </si>
  <si>
    <t xml:space="preserve">Vitis x interspécifique cv. Seibel 10292</t>
  </si>
  <si>
    <t xml:space="preserve">Vitis x interspécifique cv. Seibel 10295</t>
  </si>
  <si>
    <t xml:space="preserve">Vitis x interspécifique cv. Seibel 10417</t>
  </si>
  <si>
    <t xml:space="preserve">Vitis x interspécifique cv. Seibel 10420</t>
  </si>
  <si>
    <t xml:space="preserve">Vitis x interspécifique cv. Seibel 107</t>
  </si>
  <si>
    <t xml:space="preserve">Vitis x interspécifique cv. Seibel 1070</t>
  </si>
  <si>
    <t xml:space="preserve">Vitis x interspécifique cv. Seibel 10720</t>
  </si>
  <si>
    <t xml:space="preserve">Vitis x interspécifique cv. Seibel 1077</t>
  </si>
  <si>
    <t xml:space="preserve">Vitis x interspécifique cv. Seibel 10790</t>
  </si>
  <si>
    <t xml:space="preserve">Vitis x interspécifique cv. Seibel 10793</t>
  </si>
  <si>
    <t xml:space="preserve">Vitis x interspécifique cv. Seibel 10796</t>
  </si>
  <si>
    <t xml:space="preserve">Vitis x interspécifique cv. Seibel 10801</t>
  </si>
  <si>
    <t xml:space="preserve">Vitis x interspécifique cv. Seibel 10809</t>
  </si>
  <si>
    <t xml:space="preserve">Vitis x interspécifique cv. Seibel 1082</t>
  </si>
  <si>
    <t xml:space="preserve">Vitis x interspécifique cv. Seibel 10855</t>
  </si>
  <si>
    <t xml:space="preserve">Vitis x interspécifique cv. Seibel 10868</t>
  </si>
  <si>
    <t xml:space="preserve">Vitis x interspécifique cv. Seibel 10884/6</t>
  </si>
  <si>
    <t xml:space="preserve">Vitis x interspécifique cv. Seibel 110</t>
  </si>
  <si>
    <t xml:space="preserve">Vitis x interspécifique cv. Seibel 11020</t>
  </si>
  <si>
    <t xml:space="preserve">Vitis x interspécifique cv. Seibel 11023</t>
  </si>
  <si>
    <t xml:space="preserve">Vitis x interspécifique cv. Seibel 11027</t>
  </si>
  <si>
    <t xml:space="preserve">Vitis x interspécifique cv. Seibel 112</t>
  </si>
  <si>
    <t xml:space="preserve">Vitis x interspécifique cv. Seibel 11254/16</t>
  </si>
  <si>
    <t xml:space="preserve">Vitis x interspécifique cv. Seibel 11257</t>
  </si>
  <si>
    <t xml:space="preserve">Vitis x interspécifique cv. Seibel 11259</t>
  </si>
  <si>
    <t xml:space="preserve">Vitis x interspécifique cv. Seibel 11272</t>
  </si>
  <si>
    <t xml:space="preserve">Vitis x interspécifique cv. Seibel 11283</t>
  </si>
  <si>
    <t xml:space="preserve">Vitis x interspécifique cv. Seibel 11318</t>
  </si>
  <si>
    <t xml:space="preserve">Vitis x interspécifique cv. Seibel 11342</t>
  </si>
  <si>
    <t xml:space="preserve">Vitis x interspécifique cv. Seibel 114</t>
  </si>
  <si>
    <t xml:space="preserve">Vitis x interspécifique cv. Seibel 11404</t>
  </si>
  <si>
    <t xml:space="preserve">Vitis x interspécifique cv. Seibel 11431</t>
  </si>
  <si>
    <t xml:space="preserve">Vitis x interspécifique cv. Seibel 11437</t>
  </si>
  <si>
    <t xml:space="preserve">Vitis x interspécifique cv. Seibel 11486</t>
  </si>
  <si>
    <t xml:space="preserve">Vitis x interspécifique cv. Seibel 11493</t>
  </si>
  <si>
    <t xml:space="preserve">Vitis x interspécifique cv. Seibel 11670</t>
  </si>
  <si>
    <t xml:space="preserve">Vitis x interspécifique cv. Seibel 11697</t>
  </si>
  <si>
    <t xml:space="preserve">Vitis x interspécifique cv. Seibel 11701</t>
  </si>
  <si>
    <t xml:space="preserve">Vitis x interspécifique cv. Seibel 11705</t>
  </si>
  <si>
    <t xml:space="preserve">Vitis x interspécifique cv. Seibel 11729</t>
  </si>
  <si>
    <t xml:space="preserve">Vitis x interspécifique cv. Seibel 11780</t>
  </si>
  <si>
    <t xml:space="preserve">Vitis x interspécifique cv. Seibel 11815</t>
  </si>
  <si>
    <t xml:space="preserve">Vitis x interspécifique cv. Seibel 11846</t>
  </si>
  <si>
    <t xml:space="preserve">Vitis x interspécifique cv. Seibel 11875</t>
  </si>
  <si>
    <t xml:space="preserve">Vitis x interspécifique cv. Seibel 11906</t>
  </si>
  <si>
    <t xml:space="preserve">Vitis x interspécifique cv. Seibel 11929</t>
  </si>
  <si>
    <t xml:space="preserve">Vitis x interspécifique cv. Seibel 120</t>
  </si>
  <si>
    <t xml:space="preserve">Vitis x interspécifique cv. Seibel 12084</t>
  </si>
  <si>
    <t xml:space="preserve">Vitis x interspécifique cv. Seibel 12242</t>
  </si>
  <si>
    <t xml:space="preserve">Vitis x interspécifique cv. Seibel 12315</t>
  </si>
  <si>
    <t xml:space="preserve">Vitis x interspécifique cv. Seibel 12393</t>
  </si>
  <si>
    <t xml:space="preserve">Vitis x interspécifique cv. Seibel 12583</t>
  </si>
  <si>
    <t xml:space="preserve">Vitis x interspécifique cv. Seibel 126</t>
  </si>
  <si>
    <t xml:space="preserve">Vitis x interspécifique cv. Seibel 128</t>
  </si>
  <si>
    <t xml:space="preserve">Vitis x interspécifique cv. Seibel 13047</t>
  </si>
  <si>
    <t xml:space="preserve">Vitis x interspécifique cv. Seibel 13053</t>
  </si>
  <si>
    <t xml:space="preserve">Vitis x interspécifique cv. Seibel 13394</t>
  </si>
  <si>
    <t xml:space="preserve">Vitis x interspécifique cv. Seibel 13663</t>
  </si>
  <si>
    <t xml:space="preserve">Vitis x interspécifique cv. Seibel 13664</t>
  </si>
  <si>
    <t xml:space="preserve">Vitis x interspécifique cv. Seibel 13666</t>
  </si>
  <si>
    <t xml:space="preserve">Vitis x interspécifique cv. Seibel 13669</t>
  </si>
  <si>
    <t xml:space="preserve">Vitis x interspécifique cv. Seibel 13680</t>
  </si>
  <si>
    <t xml:space="preserve">Vitis x interspécifique cv. Seibel 13682</t>
  </si>
  <si>
    <t xml:space="preserve">Vitis x interspécifique cv. Seibel 13693</t>
  </si>
  <si>
    <t xml:space="preserve">Vitis x interspécifique cv. Seibel 13694</t>
  </si>
  <si>
    <t xml:space="preserve">Vitis x interspécifique cv. Seibel 13695</t>
  </si>
  <si>
    <t xml:space="preserve">Vitis x interspécifique cv. Seibel 13698</t>
  </si>
  <si>
    <t xml:space="preserve">Vitis x interspécifique cv. Seibel 13770</t>
  </si>
  <si>
    <t xml:space="preserve">Vitis x interspécifique cv. Seibel 138</t>
  </si>
  <si>
    <t xml:space="preserve">Vitis x interspécifique cv. Seibel 13846</t>
  </si>
  <si>
    <t xml:space="preserve">Vitis x interspécifique cv. Seibel 14</t>
  </si>
  <si>
    <t xml:space="preserve">Vitis x interspécifique cv. Seibel 14114</t>
  </si>
  <si>
    <t xml:space="preserve">Vitis x interspécifique cv. Seibel 14117</t>
  </si>
  <si>
    <t xml:space="preserve">Vitis x interspécifique cv. Seibel 14164</t>
  </si>
  <si>
    <t xml:space="preserve">Vitis x interspécifique cv. Seibel 14189</t>
  </si>
  <si>
    <t xml:space="preserve">Vitis x interspécifique cv. Seibel 14266</t>
  </si>
  <si>
    <t xml:space="preserve">Vitis x interspécifique cv. Seibel 14326</t>
  </si>
  <si>
    <t xml:space="preserve">Vitis x interspécifique cv. Seibel 14327</t>
  </si>
  <si>
    <t xml:space="preserve">Vitis x interspécifique cv. Seibel 14378</t>
  </si>
  <si>
    <t xml:space="preserve">Vitis x interspécifique cv. Seibel 14404</t>
  </si>
  <si>
    <t xml:space="preserve">Vitis x interspécifique cv. Seibel 14417</t>
  </si>
  <si>
    <t xml:space="preserve">Vitis x interspécifique cv. Seibel 14419</t>
  </si>
  <si>
    <t xml:space="preserve">Vitis x interspécifique cv. Seibel 14472</t>
  </si>
  <si>
    <t xml:space="preserve">Vitis x interspécifique cv. Seibel 14483</t>
  </si>
  <si>
    <t xml:space="preserve">Vitis x interspécifique cv. Seibel 14514</t>
  </si>
  <si>
    <t xml:space="preserve">Vitis x interspécifique cv. Seibel 14526</t>
  </si>
  <si>
    <t xml:space="preserve">Vitis x interspécifique cv. Seibel 14572</t>
  </si>
  <si>
    <t xml:space="preserve">Vitis x interspécifique cv. Seibel 14576</t>
  </si>
  <si>
    <t xml:space="preserve">Vitis x interspécifique cv. Seibel 14638</t>
  </si>
  <si>
    <t xml:space="preserve">Vitis x interspécifique cv. Seibel 14639</t>
  </si>
  <si>
    <t xml:space="preserve">Vitis x interspécifique cv. Seibel 14654</t>
  </si>
  <si>
    <t xml:space="preserve">Vitis x interspécifique cv. Seibel 14655</t>
  </si>
  <si>
    <t xml:space="preserve">Vitis x interspécifique cv. Seibel 14657</t>
  </si>
  <si>
    <t xml:space="preserve">Vitis x interspécifique cv. Seibel 14660</t>
  </si>
  <si>
    <t xml:space="preserve">Vitis x interspécifique cv. Seibel 14662</t>
  </si>
  <si>
    <t xml:space="preserve">Vitis x interspécifique cv. Seibel 14664</t>
  </si>
  <si>
    <t xml:space="preserve">Vitis x interspécifique cv. Seibel 14665</t>
  </si>
  <si>
    <t xml:space="preserve">Vitis x interspécifique cv. Seibel 14676</t>
  </si>
  <si>
    <t xml:space="preserve">Vitis x interspécifique cv. Seibel 14709</t>
  </si>
  <si>
    <t xml:space="preserve">Vitis x interspécifique cv. Seibel 14747</t>
  </si>
  <si>
    <t xml:space="preserve">Vitis x interspécifique cv. Seibel 14866</t>
  </si>
  <si>
    <t xml:space="preserve">Vitis x interspécifique cv. Seibel 14911</t>
  </si>
  <si>
    <t xml:space="preserve">Vitis x interspécifique cv. Seibel 14937</t>
  </si>
  <si>
    <t xml:space="preserve">Vitis x interspécifique cv. Seibel 14994</t>
  </si>
  <si>
    <t xml:space="preserve">Vitis x interspécifique cv. Seibel 14995</t>
  </si>
  <si>
    <t xml:space="preserve">Vitis x interspécifique cv. Seibel 150</t>
  </si>
  <si>
    <t xml:space="preserve">Vitis x interspécifique cv. Seibel 15024</t>
  </si>
  <si>
    <t xml:space="preserve">Vitis x interspécifique cv. Seibel 15027</t>
  </si>
  <si>
    <t xml:space="preserve">Vitis x interspécifique cv. Seibel 15051</t>
  </si>
  <si>
    <t xml:space="preserve">Vitis x interspécifique cv. Seibel 15062</t>
  </si>
  <si>
    <t xml:space="preserve">Vitis x interspécifique cv. Seibel 15074</t>
  </si>
  <si>
    <t xml:space="preserve">Vitis x interspécifique cv. Seibel 15170</t>
  </si>
  <si>
    <t xml:space="preserve">Vitis x interspécifique cv. Seibel 15245</t>
  </si>
  <si>
    <t xml:space="preserve">Vitis x interspécifique cv. Seibel 156</t>
  </si>
  <si>
    <t xml:space="preserve">Vitis x interspécifique cv. Seibel 1588</t>
  </si>
  <si>
    <t xml:space="preserve">Vitis x interspécifique cv. Seibel 15964</t>
  </si>
  <si>
    <t xml:space="preserve">Vitis x interspécifique cv. Seibel 16092</t>
  </si>
  <si>
    <t xml:space="preserve">Vitis x interspécifique cv. Seibel 16137</t>
  </si>
  <si>
    <t xml:space="preserve">Vitis x interspécifique cv. Seibel 16147</t>
  </si>
  <si>
    <t xml:space="preserve">Vitis x interspécifique cv. Seibel 16161</t>
  </si>
  <si>
    <t xml:space="preserve">Vitis x interspécifique cv. Seibel 16191</t>
  </si>
  <si>
    <t xml:space="preserve">Vitis x interspécifique cv. Seibel 16196</t>
  </si>
  <si>
    <t xml:space="preserve">Vitis x interspécifique cv. Seibel 16199</t>
  </si>
  <si>
    <t xml:space="preserve">Vitis x interspécifique cv. Seibel 16273</t>
  </si>
  <si>
    <t xml:space="preserve">Vitis x interspécifique cv. Seibel 181</t>
  </si>
  <si>
    <t xml:space="preserve">Vitis x interspécifique cv. Seibel 182</t>
  </si>
  <si>
    <t xml:space="preserve">Vitis x interspécifique cv. Seibel 2</t>
  </si>
  <si>
    <t xml:space="preserve">Vitis x interspécifique cv. Seibel 200</t>
  </si>
  <si>
    <t xml:space="preserve">Vitis x interspécifique cv. Seibel 2003</t>
  </si>
  <si>
    <t xml:space="preserve">Vitis x interspécifique cv. Seibel 2006</t>
  </si>
  <si>
    <t xml:space="preserve">Vitis x interspécifique cv. Seibel 2010</t>
  </si>
  <si>
    <t xml:space="preserve">Vitis x interspécifique cv. Seibel 2029</t>
  </si>
  <si>
    <t xml:space="preserve">Vitis x interspécifique cv. Seibel 2044</t>
  </si>
  <si>
    <t xml:space="preserve">Vitis x interspécifique cv. Seibel 206</t>
  </si>
  <si>
    <t xml:space="preserve">Vitis x interspécifique cv. Seibel 209</t>
  </si>
  <si>
    <t xml:space="preserve">Vitis x interspécifique cv. Seibel 210</t>
  </si>
  <si>
    <t xml:space="preserve">Vitis x interspécifique cv. Seibel 2120</t>
  </si>
  <si>
    <t xml:space="preserve">Vitis x interspécifique cv. Seibel 2453</t>
  </si>
  <si>
    <t xml:space="preserve">Vitis x interspécifique cv. Seibel 25</t>
  </si>
  <si>
    <t xml:space="preserve">Vitis x interspécifique cv. Seibel 2509</t>
  </si>
  <si>
    <t xml:space="preserve">Vitis x interspécifique cv. Seibel 2524</t>
  </si>
  <si>
    <t xml:space="preserve">Vitis x interspécifique cv. Seibel 2525</t>
  </si>
  <si>
    <t xml:space="preserve">Vitis x interspécifique cv. Seibel 2573</t>
  </si>
  <si>
    <t xml:space="preserve">Vitis x interspécifique cv. Seibel 2576</t>
  </si>
  <si>
    <t xml:space="preserve">Vitis x interspécifique cv. Seibel 2578</t>
  </si>
  <si>
    <t xml:space="preserve">Vitis x interspécifique cv. Seibel 2582</t>
  </si>
  <si>
    <t xml:space="preserve">Vitis x interspécifique cv. Seibel 2591</t>
  </si>
  <si>
    <t xml:space="preserve">Vitis x interspécifique cv. Seibel 2605</t>
  </si>
  <si>
    <t xml:space="preserve">Vitis x interspécifique cv. Seibel 2632</t>
  </si>
  <si>
    <t xml:space="preserve">Vitis x interspécifique cv. Seibel 2655</t>
  </si>
  <si>
    <t xml:space="preserve">Vitis x interspécifique cv. Seibel 2660</t>
  </si>
  <si>
    <t xml:space="preserve">Vitis x interspécifique cv. Seibel 2666</t>
  </si>
  <si>
    <t xml:space="preserve">Vitis x interspécifique cv. Seibel 2686</t>
  </si>
  <si>
    <t xml:space="preserve">Vitis x interspécifique cv. Seibel 270</t>
  </si>
  <si>
    <t xml:space="preserve">Vitis x interspécifique cv. Seibel 2838</t>
  </si>
  <si>
    <t xml:space="preserve">Vitis x interspécifique cv. Seibel 2859</t>
  </si>
  <si>
    <t xml:space="preserve">Vitis x interspécifique cv. Seibel 29</t>
  </si>
  <si>
    <t xml:space="preserve">Vitis x interspécifique cv. Seibel 3021</t>
  </si>
  <si>
    <t xml:space="preserve">Vitis x interspécifique cv. Seibel 36</t>
  </si>
  <si>
    <t xml:space="preserve">Vitis x interspécifique cv. Seibel 38</t>
  </si>
  <si>
    <t xml:space="preserve">Vitis x interspécifique cv. Seibel 4</t>
  </si>
  <si>
    <t xml:space="preserve">Vitis x interspécifique cv. Seibel 405</t>
  </si>
  <si>
    <t xml:space="preserve">Vitis x interspécifique cv. Seibel 41</t>
  </si>
  <si>
    <t xml:space="preserve">Vitis x interspécifique cv. Seibel 4111</t>
  </si>
  <si>
    <t xml:space="preserve">Vitis x interspécifique cv. Seibel 4121</t>
  </si>
  <si>
    <t xml:space="preserve">Vitis x interspécifique cv. Seibel 4132</t>
  </si>
  <si>
    <t xml:space="preserve">Vitis x interspécifique cv. Seibel 4464</t>
  </si>
  <si>
    <t xml:space="preserve">Vitis x interspécifique cv. Seibel 4499</t>
  </si>
  <si>
    <t xml:space="preserve">Vitis x interspécifique cv. Seibel 4504</t>
  </si>
  <si>
    <t xml:space="preserve">Vitis x interspécifique cv. Seibel 4559</t>
  </si>
  <si>
    <t xml:space="preserve">Vitis x interspécifique cv. Seibel 4589</t>
  </si>
  <si>
    <t xml:space="preserve">Vitis x interspécifique cv. Seibel 4603</t>
  </si>
  <si>
    <t xml:space="preserve">Vitis x interspécifique cv. Seibel 4605</t>
  </si>
  <si>
    <t xml:space="preserve">Vitis x interspécifique cv. Seibel 4614</t>
  </si>
  <si>
    <t xml:space="preserve">Vitis x interspécifique cv. Seibel 4615</t>
  </si>
  <si>
    <t xml:space="preserve">Vitis x interspécifique cv. Seibel 4629</t>
  </si>
  <si>
    <t xml:space="preserve">Vitis x interspécifique cv. Seibel 4633</t>
  </si>
  <si>
    <t xml:space="preserve">Vitis x interspécifique cv. Seibel 4636</t>
  </si>
  <si>
    <t xml:space="preserve">Vitis x interspécifique cv. Seibel 4638</t>
  </si>
  <si>
    <t xml:space="preserve">Vitis x interspécifique cv. Seibel 4644</t>
  </si>
  <si>
    <t xml:space="preserve">Vitis x interspécifique cv. Seibel 4648</t>
  </si>
  <si>
    <t xml:space="preserve">Vitis x interspécifique cv. Seibel 4669</t>
  </si>
  <si>
    <t xml:space="preserve">Vitis x interspécifique cv. Seibel 4672</t>
  </si>
  <si>
    <t xml:space="preserve">Vitis x interspécifique cv. Seibel 4677</t>
  </si>
  <si>
    <t xml:space="preserve">Vitis x interspécifique cv. Seibel 4681</t>
  </si>
  <si>
    <t xml:space="preserve">Vitis x interspécifique cv. Seibel 4697</t>
  </si>
  <si>
    <t xml:space="preserve">Vitis x interspécifique cv. Seibel 47</t>
  </si>
  <si>
    <t xml:space="preserve">Vitis x interspécifique cv. Seibel 4706</t>
  </si>
  <si>
    <t xml:space="preserve">Vitis x interspécifique cv. Seibel 4707</t>
  </si>
  <si>
    <t xml:space="preserve">Vitis x interspécifique cv. Seibel 4709</t>
  </si>
  <si>
    <t xml:space="preserve">Vitis x interspécifique cv. Seibel 4725</t>
  </si>
  <si>
    <t xml:space="preserve">Vitis x interspécifique cv. Seibel 4762</t>
  </si>
  <si>
    <t xml:space="preserve">Vitis x interspécifique cv. Seibel 4877 = 21 de Gléon</t>
  </si>
  <si>
    <t xml:space="preserve">Vitis x interspécifique cv. Seibel 491</t>
  </si>
  <si>
    <t xml:space="preserve">Vitis x interspécifique cv. Seibel 4955</t>
  </si>
  <si>
    <t xml:space="preserve">Vitis x interspécifique cv. Seibel 4964</t>
  </si>
  <si>
    <t xml:space="preserve">Vitis x interspécifique cv. Seibel 4982</t>
  </si>
  <si>
    <t xml:space="preserve">Vitis x interspécifique cv. Seibel 4987</t>
  </si>
  <si>
    <t xml:space="preserve">Vitis x interspécifique cv. Seibel 4989</t>
  </si>
  <si>
    <t xml:space="preserve">Vitis x interspécifique cv. Seibel 499</t>
  </si>
  <si>
    <t xml:space="preserve">Vitis x interspécifique cv. Seibel 4990</t>
  </si>
  <si>
    <t xml:space="preserve">Vitis x interspécifique cv. Seibel 4991</t>
  </si>
  <si>
    <t xml:space="preserve">Vitis x interspécifique cv. Seibel 4995</t>
  </si>
  <si>
    <t xml:space="preserve">Vitis x interspécifique cv. Seibel 5001</t>
  </si>
  <si>
    <t xml:space="preserve">Vitis x interspécifique cv. Seibel 5024</t>
  </si>
  <si>
    <t xml:space="preserve">Vitis x interspécifique cv. Seibel 5030</t>
  </si>
  <si>
    <t xml:space="preserve">Vitis x interspécifique cv. Seibel 5033</t>
  </si>
  <si>
    <t xml:space="preserve">Vitis x interspécifique cv. Seibel 5049</t>
  </si>
  <si>
    <t xml:space="preserve">Vitis x interspécifique cv. Seibel 5054</t>
  </si>
  <si>
    <t xml:space="preserve">Vitis x interspécifique cv. Seibel 5056</t>
  </si>
  <si>
    <t xml:space="preserve">Vitis x interspécifique cv. Seibel 5061</t>
  </si>
  <si>
    <t xml:space="preserve">Vitis x interspécifique cv. Seibel 5110</t>
  </si>
  <si>
    <t xml:space="preserve">Vitis x interspécifique cv. Seibel 5118</t>
  </si>
  <si>
    <t xml:space="preserve">Vitis x interspécifique cv. Seibel 5123</t>
  </si>
  <si>
    <t xml:space="preserve">Vitis x interspécifique cv. Seibel 5124</t>
  </si>
  <si>
    <t xml:space="preserve">Vitis x interspécifique cv. Seibel 5135</t>
  </si>
  <si>
    <t xml:space="preserve">Vitis x interspécifique cv. Seibel 5136</t>
  </si>
  <si>
    <t xml:space="preserve">Vitis x interspécifique cv. Seibel 5145</t>
  </si>
  <si>
    <t xml:space="preserve">Vitis x interspécifique cv. Seibel 5149</t>
  </si>
  <si>
    <t xml:space="preserve">Vitis x interspécifique cv. Seibel 5163</t>
  </si>
  <si>
    <t xml:space="preserve">Vitis x interspécifique cv. Seibel 5170</t>
  </si>
  <si>
    <t xml:space="preserve">Vitis x interspécifique cv. Seibel 5178</t>
  </si>
  <si>
    <t xml:space="preserve">Vitis x interspécifique cv. Seibel 5181</t>
  </si>
  <si>
    <t xml:space="preserve">Vitis x interspécifique cv. Seibel 5182</t>
  </si>
  <si>
    <t xml:space="preserve">Vitis x interspécifique cv. Seibel 5188</t>
  </si>
  <si>
    <t xml:space="preserve">Vitis x interspécifique cv. Seibel 5191</t>
  </si>
  <si>
    <t xml:space="preserve">Vitis x interspécifique cv. Seibel 5195</t>
  </si>
  <si>
    <t xml:space="preserve">Vitis x interspécifique cv. Seibel 5202</t>
  </si>
  <si>
    <t xml:space="preserve">Vitis x interspécifique cv. Seibel 5204</t>
  </si>
  <si>
    <t xml:space="preserve">Vitis x interspécifique cv. Seibel 5205</t>
  </si>
  <si>
    <t xml:space="preserve">Vitis x interspécifique cv. Seibel 5213</t>
  </si>
  <si>
    <t xml:space="preserve">Vitis x interspécifique cv. Seibel 5225</t>
  </si>
  <si>
    <t xml:space="preserve">Vitis x interspécifique cv. Seibel 5231</t>
  </si>
  <si>
    <t xml:space="preserve">Vitis x interspécifique cv. Seibel 5241</t>
  </si>
  <si>
    <t xml:space="preserve">Vitis x interspécifique cv. Seibel 5257</t>
  </si>
  <si>
    <t xml:space="preserve">Vitis x interspécifique cv. Seibel 5259</t>
  </si>
  <si>
    <t xml:space="preserve">Vitis x interspécifique cv. Seibel 5272</t>
  </si>
  <si>
    <t xml:space="preserve">Vitis x interspécifique cv. Seibel 5274</t>
  </si>
  <si>
    <t xml:space="preserve">Vitis x interspécifique cv. Seibel 5275</t>
  </si>
  <si>
    <t xml:space="preserve">Vitis x interspécifique cv. Seibel 5292</t>
  </si>
  <si>
    <t xml:space="preserve">Vitis x interspécifique cv. Seibel 5296</t>
  </si>
  <si>
    <t xml:space="preserve">Vitis x interspécifique cv. Seibel 5299</t>
  </si>
  <si>
    <t xml:space="preserve">Vitis x interspécifique cv. Seibel 5302</t>
  </si>
  <si>
    <t xml:space="preserve">Vitis x interspécifique cv. Seibel 5308</t>
  </si>
  <si>
    <t xml:space="preserve">Vitis x interspécifique cv. Seibel 5310</t>
  </si>
  <si>
    <t xml:space="preserve">Vitis x interspécifique cv. Seibel 5313</t>
  </si>
  <si>
    <t xml:space="preserve">Vitis x interspécifique cv. Seibel 5316</t>
  </si>
  <si>
    <t xml:space="preserve">Vitis x interspécifique cv. Seibel 5319</t>
  </si>
  <si>
    <t xml:space="preserve">Vitis x interspécifique cv. Seibel 5322</t>
  </si>
  <si>
    <t xml:space="preserve">Vitis x interspécifique cv. Seibel 5326</t>
  </si>
  <si>
    <t xml:space="preserve">Vitis x interspécifique cv. Seibel 5329</t>
  </si>
  <si>
    <t xml:space="preserve">Vitis x interspécifique cv. Seibel 5335</t>
  </si>
  <si>
    <t xml:space="preserve">Vitis x interspécifique cv. Seibel 5339</t>
  </si>
  <si>
    <t xml:space="preserve">Vitis x interspécifique cv. Seibel 5351</t>
  </si>
  <si>
    <t xml:space="preserve">Vitis x interspécifique cv. Seibel 5356</t>
  </si>
  <si>
    <t xml:space="preserve">Vitis x interspécifique cv. Seibel 5362</t>
  </si>
  <si>
    <t xml:space="preserve">Vitis x interspécifique cv. Seibel 5371</t>
  </si>
  <si>
    <t xml:space="preserve">Vitis x interspécifique cv. Seibel 5391</t>
  </si>
  <si>
    <t xml:space="preserve">Vitis x interspécifique cv. Seibel 54</t>
  </si>
  <si>
    <t xml:space="preserve">Vitis x interspécifique cv. Seibel 5405</t>
  </si>
  <si>
    <t xml:space="preserve">Vitis x interspécifique cv. Seibel 5408</t>
  </si>
  <si>
    <t xml:space="preserve">Vitis x interspécifique cv. Seibel 5409</t>
  </si>
  <si>
    <t xml:space="preserve">Vitis x interspécifique cv. Seibel 5410</t>
  </si>
  <si>
    <t xml:space="preserve">Vitis x interspécifique cv. Seibel 5412</t>
  </si>
  <si>
    <t xml:space="preserve">Vitis x interspécifique cv. Seibel 5431</t>
  </si>
  <si>
    <t xml:space="preserve">Vitis x interspécifique cv. Seibel 5437</t>
  </si>
  <si>
    <t xml:space="preserve">Vitis x interspécifique cv. Seibel 5450</t>
  </si>
  <si>
    <t xml:space="preserve">Vitis x interspécifique cv. Seibel 5466</t>
  </si>
  <si>
    <t xml:space="preserve">Vitis x interspécifique cv. Seibel 5474</t>
  </si>
  <si>
    <t xml:space="preserve">Vitis x interspécifique cv. Seibel 5484</t>
  </si>
  <si>
    <t xml:space="preserve">Vitis x interspécifique cv. Seibel 5485</t>
  </si>
  <si>
    <t xml:space="preserve">Vitis x interspécifique cv. Seibel 5486</t>
  </si>
  <si>
    <t xml:space="preserve">Vitis x interspécifique cv. Seibel 5487</t>
  </si>
  <si>
    <t xml:space="preserve">Vitis x interspécifique cv. Seibel 5504</t>
  </si>
  <si>
    <t xml:space="preserve">Vitis x interspécifique cv. Seibel 5539</t>
  </si>
  <si>
    <t xml:space="preserve">Vitis x interspécifique cv. Seibel 5551</t>
  </si>
  <si>
    <t xml:space="preserve">Vitis x interspécifique cv. Seibel 5560</t>
  </si>
  <si>
    <t xml:space="preserve">Vitis x interspécifique cv. Seibel 5561</t>
  </si>
  <si>
    <t xml:space="preserve">Vitis x interspécifique cv. Seibel 5574</t>
  </si>
  <si>
    <t xml:space="preserve">Vitis x interspécifique cv. Seibel 5580</t>
  </si>
  <si>
    <t xml:space="preserve">Vitis x interspécifique cv. Seibel 5586</t>
  </si>
  <si>
    <t xml:space="preserve">Vitis x interspécifique cv. Seibel 5593</t>
  </si>
  <si>
    <t xml:space="preserve">Vitis x interspécifique cv. Seibel 5624</t>
  </si>
  <si>
    <t xml:space="preserve">Vitis x interspécifique cv. Seibel 5632</t>
  </si>
  <si>
    <t xml:space="preserve">Vitis x interspécifique cv. Seibel 5652</t>
  </si>
  <si>
    <t xml:space="preserve">Vitis x interspécifique cv. Seibel 5653</t>
  </si>
  <si>
    <t xml:space="preserve">Vitis x interspécifique cv. Seibel 5656</t>
  </si>
  <si>
    <t xml:space="preserve">Vitis x interspécifique cv. Seibel 5658</t>
  </si>
  <si>
    <t xml:space="preserve">Vitis x interspécifique cv. Seibel 5663</t>
  </si>
  <si>
    <t xml:space="preserve">Vitis x interspécifique cv. Seibel 5683</t>
  </si>
  <si>
    <t xml:space="preserve">Vitis x interspécifique cv. Seibel 5689</t>
  </si>
  <si>
    <t xml:space="preserve">Vitis x interspécifique cv. Seibel 5717</t>
  </si>
  <si>
    <t xml:space="preserve">Vitis x interspécifique cv. Seibel 5744</t>
  </si>
  <si>
    <t xml:space="preserve">Vitis x interspécifique cv. Seibel 5757</t>
  </si>
  <si>
    <t xml:space="preserve">Vitis x interspécifique cv. Seibel 5763</t>
  </si>
  <si>
    <t xml:space="preserve">Vitis x interspécifique cv. Seibel 5773</t>
  </si>
  <si>
    <t xml:space="preserve">Vitis x interspécifique cv. Seibel 5775</t>
  </si>
  <si>
    <t xml:space="preserve">Vitis x interspécifique cv. Seibel 5778</t>
  </si>
  <si>
    <t xml:space="preserve">Vitis x interspécifique cv. Seibel 5785</t>
  </si>
  <si>
    <t xml:space="preserve">Vitis x interspécifique cv. Seibel 5810</t>
  </si>
  <si>
    <t xml:space="preserve">Vitis x interspécifique cv. Seibel 5813</t>
  </si>
  <si>
    <t xml:space="preserve">Vitis x interspécifique cv. Seibel 5815</t>
  </si>
  <si>
    <t xml:space="preserve">Vitis x interspécifique cv. Seibel 5819</t>
  </si>
  <si>
    <t xml:space="preserve">Vitis x interspécifique cv. Seibel 5820</t>
  </si>
  <si>
    <t xml:space="preserve">Vitis x interspécifique cv. Seibel 5826</t>
  </si>
  <si>
    <t xml:space="preserve">Vitis x interspécifique cv. Seibel 5839</t>
  </si>
  <si>
    <t xml:space="preserve">Vitis x interspécifique cv. Seibel 5854</t>
  </si>
  <si>
    <t xml:space="preserve">Vitis x interspécifique cv. Seibel 5860</t>
  </si>
  <si>
    <t xml:space="preserve">Vitis x interspécifique cv. Seibel 5883</t>
  </si>
  <si>
    <t xml:space="preserve">Vitis x interspécifique cv. Seibel 5889</t>
  </si>
  <si>
    <t xml:space="preserve">Vitis x interspécifique cv. Seibel 5890</t>
  </si>
  <si>
    <t xml:space="preserve">Vitis x interspécifique cv. Seibel 5891</t>
  </si>
  <si>
    <t xml:space="preserve">Vitis x interspécifique cv. Seibel 5897</t>
  </si>
  <si>
    <t xml:space="preserve">Vitis x interspécifique cv. Seibel 5900</t>
  </si>
  <si>
    <t xml:space="preserve">Vitis x interspécifique cv. Seibel 5903</t>
  </si>
  <si>
    <t xml:space="preserve">Vitis x interspécifique cv. Seibel 5907</t>
  </si>
  <si>
    <t xml:space="preserve">Vitis x interspécifique cv. Seibel 5908</t>
  </si>
  <si>
    <t xml:space="preserve">Vitis x interspécifique cv. Seibel 5912</t>
  </si>
  <si>
    <t xml:space="preserve">Vitis x interspécifique cv. Seibel 5915</t>
  </si>
  <si>
    <t xml:space="preserve">Vitis x interspécifique cv. Seibel 5916</t>
  </si>
  <si>
    <t xml:space="preserve">Vitis x interspécifique cv. Seibel 5917</t>
  </si>
  <si>
    <t xml:space="preserve">Vitis x interspécifique cv. Seibel 5937</t>
  </si>
  <si>
    <t xml:space="preserve">Vitis x interspécifique cv. Seibel 5946</t>
  </si>
  <si>
    <t xml:space="preserve">Vitis x interspécifique cv. Seibel 5952</t>
  </si>
  <si>
    <t xml:space="preserve">Vitis x interspécifique cv. Seibel 5966</t>
  </si>
  <si>
    <t xml:space="preserve">Vitis x interspécifique cv. Seibel 5979</t>
  </si>
  <si>
    <t xml:space="preserve">Vitis x interspécifique cv. Seibel 600</t>
  </si>
  <si>
    <t xml:space="preserve">Vitis x interspécifique cv. Seibel 6003</t>
  </si>
  <si>
    <t xml:space="preserve">Vitis x interspécifique cv. Seibel 6004</t>
  </si>
  <si>
    <t xml:space="preserve">Vitis x interspécifique cv. Seibel 6010</t>
  </si>
  <si>
    <t xml:space="preserve">Vitis x interspécifique cv. Seibel 6011</t>
  </si>
  <si>
    <t xml:space="preserve">Vitis x interspécifique cv. Seibel 6013</t>
  </si>
  <si>
    <t xml:space="preserve">Vitis x interspécifique cv. Seibel 6022</t>
  </si>
  <si>
    <t xml:space="preserve">Vitis x interspécifique cv. Seibel 6027</t>
  </si>
  <si>
    <t xml:space="preserve">Vitis x interspécifique cv. Seibel 6029</t>
  </si>
  <si>
    <t xml:space="preserve">Vitis x interspécifique cv. Seibel 6036</t>
  </si>
  <si>
    <t xml:space="preserve">Vitis x interspécifique cv. Seibel 6042</t>
  </si>
  <si>
    <t xml:space="preserve">Vitis x interspécifique cv. Seibel 6045</t>
  </si>
  <si>
    <t xml:space="preserve">Vitis x interspécifique cv. Seibel 6062</t>
  </si>
  <si>
    <t xml:space="preserve">Vitis x interspécifique cv. Seibel 6064</t>
  </si>
  <si>
    <t xml:space="preserve">Vitis x interspécifique cv. Seibel 6080</t>
  </si>
  <si>
    <t xml:space="preserve">Vitis x interspécifique cv. Seibel 6086</t>
  </si>
  <si>
    <t xml:space="preserve">Vitis x interspécifique cv. Seibel 6088</t>
  </si>
  <si>
    <t xml:space="preserve">Vitis x interspécifique cv. Seibel 6090</t>
  </si>
  <si>
    <t xml:space="preserve">Vitis x interspécifique cv. Seibel 6092</t>
  </si>
  <si>
    <t xml:space="preserve">Vitis x interspécifique cv. Seibel 6093</t>
  </si>
  <si>
    <t xml:space="preserve">Vitis x interspécifique cv. Seibel 6094</t>
  </si>
  <si>
    <t xml:space="preserve">Vitis x interspécifique cv. Seibel 6096</t>
  </si>
  <si>
    <t xml:space="preserve">Vitis x interspécifique cv. Seibel 6102</t>
  </si>
  <si>
    <t xml:space="preserve">Vitis x interspécifique cv. Seibel 6106</t>
  </si>
  <si>
    <t xml:space="preserve">Vitis x interspécifique cv. Seibel 6111</t>
  </si>
  <si>
    <t xml:space="preserve">Vitis x interspécifique cv. Seibel 6115</t>
  </si>
  <si>
    <t xml:space="preserve">Vitis x interspécifique cv. Seibel 6126</t>
  </si>
  <si>
    <t xml:space="preserve">Vitis x interspécifique cv. Seibel 6132</t>
  </si>
  <si>
    <t xml:space="preserve">Vitis x interspécifique cv. Seibel 6143</t>
  </si>
  <si>
    <t xml:space="preserve">Vitis x interspécifique cv. Seibel 6151</t>
  </si>
  <si>
    <t xml:space="preserve">Vitis x interspécifique cv. Seibel 6155</t>
  </si>
  <si>
    <t xml:space="preserve">Vitis x interspécifique cv. Seibel 6158</t>
  </si>
  <si>
    <t xml:space="preserve">Vitis x interspécifique cv. Seibel 6165</t>
  </si>
  <si>
    <t xml:space="preserve">Vitis x interspécifique cv. Seibel 6168</t>
  </si>
  <si>
    <t xml:space="preserve">Vitis x interspécifique cv. Seibel 6170</t>
  </si>
  <si>
    <t xml:space="preserve">Vitis x interspécifique cv. Seibel 6179</t>
  </si>
  <si>
    <t xml:space="preserve">Vitis x interspécifique cv. Seibel 6186</t>
  </si>
  <si>
    <t xml:space="preserve">Vitis x interspécifique cv. Seibel 6209</t>
  </si>
  <si>
    <t xml:space="preserve">Vitis x interspécifique cv. Seibel 6213</t>
  </si>
  <si>
    <t xml:space="preserve">Vitis x interspécifique cv. Seibel 6214</t>
  </si>
  <si>
    <t xml:space="preserve">Vitis x interspécifique cv. Seibel 6229</t>
  </si>
  <si>
    <t xml:space="preserve">Vitis x interspécifique cv. Seibel 6233</t>
  </si>
  <si>
    <t xml:space="preserve">Vitis x interspécifique cv. Seibel 6269</t>
  </si>
  <si>
    <t xml:space="preserve">Vitis x interspécifique cv. Seibel 6278</t>
  </si>
  <si>
    <t xml:space="preserve">Vitis x interspécifique cv. Seibel 6288</t>
  </si>
  <si>
    <t xml:space="preserve">Vitis x interspécifique cv. Seibel 6289</t>
  </si>
  <si>
    <t xml:space="preserve">Vitis x interspécifique cv. Seibel 6293</t>
  </si>
  <si>
    <t xml:space="preserve">Vitis x interspécifique cv. Seibel 63</t>
  </si>
  <si>
    <t xml:space="preserve">Vitis x interspécifique cv. Seibel 6318</t>
  </si>
  <si>
    <t xml:space="preserve">Vitis x interspécifique cv. Seibel 6339</t>
  </si>
  <si>
    <t xml:space="preserve">Vitis x interspécifique cv. Seibel 6350</t>
  </si>
  <si>
    <t xml:space="preserve">Vitis x interspécifique cv. Seibel 6403</t>
  </si>
  <si>
    <t xml:space="preserve">Vitis x interspécifique cv. Seibel 6419</t>
  </si>
  <si>
    <t xml:space="preserve">Vitis x interspécifique cv. Seibel 6423</t>
  </si>
  <si>
    <t xml:space="preserve">Vitis x interspécifique cv. Seibel 6425</t>
  </si>
  <si>
    <t xml:space="preserve">Vitis x interspécifique cv. Seibel 6426</t>
  </si>
  <si>
    <t xml:space="preserve">Vitis x interspécifique cv. Seibel 6439</t>
  </si>
  <si>
    <t xml:space="preserve">Vitis x interspécifique cv. Seibel 6455</t>
  </si>
  <si>
    <t xml:space="preserve">Vitis x interspécifique cv. Seibel 6460</t>
  </si>
  <si>
    <t xml:space="preserve">Vitis x interspécifique cv. Seibel 6468</t>
  </si>
  <si>
    <t xml:space="preserve">Vitis x interspécifique cv. Seibel 6478</t>
  </si>
  <si>
    <t xml:space="preserve">Vitis x interspécifique cv. Seibel 6484</t>
  </si>
  <si>
    <t xml:space="preserve">Vitis x interspécifique cv. Seibel 6488</t>
  </si>
  <si>
    <t xml:space="preserve">Vitis x interspécifique cv. Seibel 6491</t>
  </si>
  <si>
    <t xml:space="preserve">Vitis x interspécifique cv. Seibel 6496</t>
  </si>
  <si>
    <t xml:space="preserve">Vitis x interspécifique cv. Seibel 6500</t>
  </si>
  <si>
    <t xml:space="preserve">Vitis x interspécifique cv. Seibel 6572</t>
  </si>
  <si>
    <t xml:space="preserve">Vitis x interspécifique cv. Seibel 6578</t>
  </si>
  <si>
    <t xml:space="preserve">Vitis x interspécifique cv. Seibel 6605</t>
  </si>
  <si>
    <t xml:space="preserve">Vitis x interspécifique cv. Seibel 6606</t>
  </si>
  <si>
    <t xml:space="preserve">Vitis x interspécifique cv. Seibel 6623</t>
  </si>
  <si>
    <t xml:space="preserve">Vitis x interspécifique cv. Seibel 670</t>
  </si>
  <si>
    <t xml:space="preserve">Vitis x interspécifique cv. Seibel 6702</t>
  </si>
  <si>
    <t xml:space="preserve">Vitis x interspécifique cv. Seibel 6711</t>
  </si>
  <si>
    <t xml:space="preserve">Vitis x interspécifique cv. Seibel 6717</t>
  </si>
  <si>
    <t xml:space="preserve">Vitis x interspécifique cv. Seibel 6720</t>
  </si>
  <si>
    <t xml:space="preserve">Vitis x interspécifique cv. Seibel 6732</t>
  </si>
  <si>
    <t xml:space="preserve">Vitis x interspécifique cv. Seibel 6733</t>
  </si>
  <si>
    <t xml:space="preserve">Vitis x interspécifique cv. Seibel 6735</t>
  </si>
  <si>
    <t xml:space="preserve">Vitis x interspécifique cv. Seibel 6738</t>
  </si>
  <si>
    <t xml:space="preserve">Vitis x interspécifique cv. Seibel 6739</t>
  </si>
  <si>
    <t xml:space="preserve">Vitis x interspécifique cv. Seibel 6740</t>
  </si>
  <si>
    <t xml:space="preserve">Vitis x interspécifique cv. Seibel 6746</t>
  </si>
  <si>
    <t xml:space="preserve">Vitis x interspécifique cv. Seibel 6751</t>
  </si>
  <si>
    <t xml:space="preserve">Vitis x interspécifique cv. Seibel 6758</t>
  </si>
  <si>
    <t xml:space="preserve">Vitis x interspécifique cv. Seibel 6778</t>
  </si>
  <si>
    <t xml:space="preserve">Vitis x interspécifique cv. Seibel 6779</t>
  </si>
  <si>
    <t xml:space="preserve">Vitis x interspécifique cv. Seibel 6780</t>
  </si>
  <si>
    <t xml:space="preserve">Vitis x interspécifique cv. Seibel 6824</t>
  </si>
  <si>
    <t xml:space="preserve">Vitis x interspécifique cv. Seibel 6830</t>
  </si>
  <si>
    <t xml:space="preserve">Vitis x interspécifique cv. Seibel 6862</t>
  </si>
  <si>
    <t xml:space="preserve">Vitis x interspécifique cv. Seibel 6876</t>
  </si>
  <si>
    <t xml:space="preserve">Vitis x interspécifique cv. Seibel 6906</t>
  </si>
  <si>
    <t xml:space="preserve">Vitis x interspécifique cv. Seibel 6968</t>
  </si>
  <si>
    <t xml:space="preserve">Vitis x interspécifique cv. Seibel 6976</t>
  </si>
  <si>
    <t xml:space="preserve">Vitis x interspécifique cv. Seibel 6980</t>
  </si>
  <si>
    <t xml:space="preserve">Vitis x interspécifique cv. Seibel 70</t>
  </si>
  <si>
    <t xml:space="preserve">Vitis x interspécifique cv. Seibel 7000</t>
  </si>
  <si>
    <t xml:space="preserve">Vitis x interspécifique cv. Seibel 7001</t>
  </si>
  <si>
    <t xml:space="preserve">Vitis x interspécifique cv. Seibel 7005</t>
  </si>
  <si>
    <t xml:space="preserve">Vitis x interspécifique cv. Seibel 7011</t>
  </si>
  <si>
    <t xml:space="preserve">Vitis x interspécifique cv. Seibel 7016</t>
  </si>
  <si>
    <t xml:space="preserve">Vitis x interspécifique cv. Seibel 7022</t>
  </si>
  <si>
    <t xml:space="preserve">Vitis x interspécifique cv. Seibel 7033</t>
  </si>
  <si>
    <t xml:space="preserve">Vitis x interspécifique cv. Seibel 7036</t>
  </si>
  <si>
    <t xml:space="preserve">Vitis x interspécifique cv. Seibel 7042</t>
  </si>
  <si>
    <t xml:space="preserve">Vitis x interspécifique cv. Seibel 7044</t>
  </si>
  <si>
    <t xml:space="preserve">Vitis x interspécifique cv. Seibel 7046</t>
  </si>
  <si>
    <t xml:space="preserve">Vitis x interspécifique cv. Seibel 7047</t>
  </si>
  <si>
    <t xml:space="preserve">Vitis x interspécifique cv. Seibel 7052</t>
  </si>
  <si>
    <t xml:space="preserve">Vitis x interspécifique cv. Seibel 7056</t>
  </si>
  <si>
    <t xml:space="preserve">Vitis x interspécifique cv. Seibel 7071</t>
  </si>
  <si>
    <t xml:space="preserve">Vitis x interspécifique cv. Seibel 7080</t>
  </si>
  <si>
    <t xml:space="preserve">Vitis x interspécifique cv. Seibel 7082</t>
  </si>
  <si>
    <t xml:space="preserve">Vitis x interspécifique cv. Seibel 7085</t>
  </si>
  <si>
    <t xml:space="preserve">Vitis x interspécifique cv. Seibel 7090</t>
  </si>
  <si>
    <t xml:space="preserve">Vitis x interspécifique cv. Seibel 7093</t>
  </si>
  <si>
    <t xml:space="preserve">Vitis x interspécifique cv. Seibel 7099</t>
  </si>
  <si>
    <t xml:space="preserve">Vitis x interspécifique cv. Seibel 71</t>
  </si>
  <si>
    <t xml:space="preserve">Vitis x interspécifique cv. Seibel 7100</t>
  </si>
  <si>
    <t xml:space="preserve">Vitis x interspécifique cv. Seibel 7122 faux</t>
  </si>
  <si>
    <t xml:space="preserve">Vitis x interspécifique cv. Seibel 7123</t>
  </si>
  <si>
    <t xml:space="preserve">Vitis x interspécifique cv. Seibel 7130</t>
  </si>
  <si>
    <t xml:space="preserve">Vitis x interspécifique cv. Seibel 7135</t>
  </si>
  <si>
    <t xml:space="preserve">Vitis x interspécifique cv. Seibel 7136</t>
  </si>
  <si>
    <t xml:space="preserve">Vitis x interspécifique cv. Seibel 7140</t>
  </si>
  <si>
    <t xml:space="preserve">Vitis x interspécifique cv. Seibel 7144</t>
  </si>
  <si>
    <t xml:space="preserve">Vitis x interspécifique cv. Seibel 7145</t>
  </si>
  <si>
    <t xml:space="preserve">Vitis x interspécifique cv. Seibel 7157</t>
  </si>
  <si>
    <t xml:space="preserve">Vitis x interspécifique cv. Seibel 7162</t>
  </si>
  <si>
    <t xml:space="preserve">Vitis x interspécifique cv. Seibel 7181</t>
  </si>
  <si>
    <t xml:space="preserve">Vitis x interspécifique cv. Seibel 720</t>
  </si>
  <si>
    <t xml:space="preserve">Vitis x interspécifique cv. Seibel 7226</t>
  </si>
  <si>
    <t xml:space="preserve">Vitis x interspécifique cv. Seibel 7228</t>
  </si>
  <si>
    <t xml:space="preserve">Vitis x interspécifique cv. Seibel 7229</t>
  </si>
  <si>
    <t xml:space="preserve">Vitis x interspécifique cv. Seibel 7291</t>
  </si>
  <si>
    <t xml:space="preserve">Vitis x interspécifique cv. Seibel 7303</t>
  </si>
  <si>
    <t xml:space="preserve">Vitis x interspécifique cv. Seibel 7311</t>
  </si>
  <si>
    <t xml:space="preserve">Vitis x interspécifique cv. Seibel 7312</t>
  </si>
  <si>
    <t xml:space="preserve">Vitis x interspécifique cv. Seibel 7315</t>
  </si>
  <si>
    <t xml:space="preserve">Vitis x interspécifique cv. Seibel 7319</t>
  </si>
  <si>
    <t xml:space="preserve">Vitis x interspécifique cv. Seibel 7324</t>
  </si>
  <si>
    <t xml:space="preserve">Vitis x interspécifique cv. Seibel 7332</t>
  </si>
  <si>
    <t xml:space="preserve">Vitis x interspécifique cv. Seibel 7338</t>
  </si>
  <si>
    <t xml:space="preserve">Vitis x interspécifique cv. Seibel 7347</t>
  </si>
  <si>
    <t xml:space="preserve">Vitis x interspécifique cv. Seibel 7349</t>
  </si>
  <si>
    <t xml:space="preserve">Vitis x interspécifique cv. Seibel 7369</t>
  </si>
  <si>
    <t xml:space="preserve">Vitis x interspécifique cv. Seibel 7374</t>
  </si>
  <si>
    <t xml:space="preserve">Vitis x interspécifique cv. Seibel 7380</t>
  </si>
  <si>
    <t xml:space="preserve">Vitis x interspécifique cv. Seibel 7381</t>
  </si>
  <si>
    <t xml:space="preserve">Vitis x interspécifique cv. Seibel 7511</t>
  </si>
  <si>
    <t xml:space="preserve">Vitis x interspécifique cv. Seibel 7523</t>
  </si>
  <si>
    <t xml:space="preserve">Vitis x interspécifique cv. Seibel 7524</t>
  </si>
  <si>
    <t xml:space="preserve">Vitis x interspécifique cv. Seibel 753</t>
  </si>
  <si>
    <t xml:space="preserve">Vitis x interspécifique cv. Seibel 7530</t>
  </si>
  <si>
    <t xml:space="preserve">Vitis x interspécifique cv. Seibel 7545</t>
  </si>
  <si>
    <t xml:space="preserve">Vitis x interspécifique cv. Seibel 7566</t>
  </si>
  <si>
    <t xml:space="preserve">Vitis x interspécifique cv. Seibel 7568</t>
  </si>
  <si>
    <t xml:space="preserve">Vitis x interspécifique cv. Seibel 7574</t>
  </si>
  <si>
    <t xml:space="preserve">Vitis x interspécifique cv. Seibel 7584</t>
  </si>
  <si>
    <t xml:space="preserve">Vitis x interspécifique cv. Seibel 7587</t>
  </si>
  <si>
    <t xml:space="preserve">Vitis x interspécifique cv. Seibel 7598</t>
  </si>
  <si>
    <t xml:space="preserve">Vitis x interspécifique cv. Seibel 7603</t>
  </si>
  <si>
    <t xml:space="preserve">Vitis x interspécifique cv. Seibel 7606</t>
  </si>
  <si>
    <t xml:space="preserve">Vitis x interspécifique cv. Seibel 7608</t>
  </si>
  <si>
    <t xml:space="preserve">Vitis x interspécifique cv. Seibel 7609</t>
  </si>
  <si>
    <t xml:space="preserve">Vitis x interspécifique cv. Seibel 7617</t>
  </si>
  <si>
    <t xml:space="preserve">Vitis x interspécifique cv. Seibel 7620</t>
  </si>
  <si>
    <t xml:space="preserve">Vitis x interspécifique cv. Seibel 7622</t>
  </si>
  <si>
    <t xml:space="preserve">Vitis x interspécifique cv. Seibel 7632</t>
  </si>
  <si>
    <t xml:space="preserve">Vitis x interspécifique cv. Seibel 7635</t>
  </si>
  <si>
    <t xml:space="preserve">Vitis x interspécifique cv. Seibel 7668</t>
  </si>
  <si>
    <t xml:space="preserve">Vitis x interspécifique cv. Seibel 7672</t>
  </si>
  <si>
    <t xml:space="preserve">Vitis x interspécifique cv. Seibel 7673</t>
  </si>
  <si>
    <t xml:space="preserve">Vitis x interspécifique cv. Seibel 7721</t>
  </si>
  <si>
    <t xml:space="preserve">Vitis x interspécifique cv. Seibel 7787</t>
  </si>
  <si>
    <t xml:space="preserve">Vitis x interspécifique cv. Seibel 7791</t>
  </si>
  <si>
    <t xml:space="preserve">Vitis x interspécifique cv. Seibel 78</t>
  </si>
  <si>
    <t xml:space="preserve">Vitis x interspécifique cv. Seibel 7808</t>
  </si>
  <si>
    <t xml:space="preserve">Vitis x interspécifique cv. Seibel 782</t>
  </si>
  <si>
    <t xml:space="preserve">Vitis x interspécifique cv. Seibel 7822</t>
  </si>
  <si>
    <t xml:space="preserve">Vitis x interspécifique cv. Seibel 7828</t>
  </si>
  <si>
    <t xml:space="preserve">Vitis x interspécifique cv. Seibel 7833</t>
  </si>
  <si>
    <t xml:space="preserve">Vitis x interspécifique cv. Seibel 7871</t>
  </si>
  <si>
    <t xml:space="preserve">Vitis x interspécifique cv. Seibel 7882</t>
  </si>
  <si>
    <t xml:space="preserve">Vitis x interspécifique cv. Seibel 7892</t>
  </si>
  <si>
    <t xml:space="preserve">Vitis x interspécifique cv. Seibel 7905</t>
  </si>
  <si>
    <t xml:space="preserve">Vitis x interspécifique cv. Seibel 7963</t>
  </si>
  <si>
    <t xml:space="preserve">Vitis x interspécifique cv. Seibel 7984</t>
  </si>
  <si>
    <t xml:space="preserve">Vitis x interspécifique cv. Seibel 8</t>
  </si>
  <si>
    <t xml:space="preserve">Vitis x interspécifique cv. Seibel 8101</t>
  </si>
  <si>
    <t xml:space="preserve">Vitis x interspécifique cv. Seibel 8116</t>
  </si>
  <si>
    <t xml:space="preserve">Vitis x interspécifique cv. Seibel 8120</t>
  </si>
  <si>
    <t xml:space="preserve">Vitis x interspécifique cv. Seibel 8134</t>
  </si>
  <si>
    <t xml:space="preserve">Vitis x interspécifique cv. Seibel 82</t>
  </si>
  <si>
    <t xml:space="preserve">Vitis x interspécifique cv. Seibel 8203</t>
  </si>
  <si>
    <t xml:space="preserve">Vitis x interspécifique cv. Seibel 8206</t>
  </si>
  <si>
    <t xml:space="preserve">Vitis x interspécifique cv. Seibel 8209</t>
  </si>
  <si>
    <t xml:space="preserve">Vitis x interspécifique cv. Seibel 8213</t>
  </si>
  <si>
    <t xml:space="preserve">Vitis x interspécifique cv. Seibel 8214</t>
  </si>
  <si>
    <t xml:space="preserve">Vitis x interspécifique cv. Seibel 8216</t>
  </si>
  <si>
    <t xml:space="preserve">Vitis x interspécifique cv. Seibel 8217</t>
  </si>
  <si>
    <t xml:space="preserve">Vitis x interspécifique cv. Seibel 8218</t>
  </si>
  <si>
    <t xml:space="preserve">Vitis x interspécifique cv. Seibel 8219</t>
  </si>
  <si>
    <t xml:space="preserve">Vitis x interspécifique cv. Seibel 8220</t>
  </si>
  <si>
    <t xml:space="preserve">Vitis x interspécifique cv. Seibel 8223</t>
  </si>
  <si>
    <t xml:space="preserve">Vitis x interspécifique cv. Seibel 8224</t>
  </si>
  <si>
    <t xml:space="preserve">Vitis x interspécifique cv. Seibel 8225</t>
  </si>
  <si>
    <t xml:space="preserve">Vitis x interspécifique cv. Seibel 8229</t>
  </si>
  <si>
    <t xml:space="preserve">Vitis x interspécifique cv. Seibel 8231</t>
  </si>
  <si>
    <t xml:space="preserve">Vitis x interspécifique cv. Seibel 8238</t>
  </si>
  <si>
    <t xml:space="preserve">Vitis x interspécifique cv. Seibel 8239</t>
  </si>
  <si>
    <t xml:space="preserve">Vitis x interspécifique cv. Seibel 8243</t>
  </si>
  <si>
    <t xml:space="preserve">Vitis x interspécifique cv. Seibel 8259</t>
  </si>
  <si>
    <t xml:space="preserve">Vitis x interspécifique cv. Seibel 8265</t>
  </si>
  <si>
    <t xml:space="preserve">Vitis x interspécifique cv. Seibel 8336</t>
  </si>
  <si>
    <t xml:space="preserve">Vitis x interspécifique cv. Seibel 8337</t>
  </si>
  <si>
    <t xml:space="preserve">Vitis x interspécifique cv. Seibel 8343</t>
  </si>
  <si>
    <t xml:space="preserve">Vitis x interspécifique cv. Seibel 8355</t>
  </si>
  <si>
    <t xml:space="preserve">Vitis x interspécifique cv. Seibel 8361</t>
  </si>
  <si>
    <t xml:space="preserve">Vitis x interspécifique cv. Seibel 8365</t>
  </si>
  <si>
    <t xml:space="preserve">Vitis x interspécifique cv. Seibel 8376</t>
  </si>
  <si>
    <t xml:space="preserve">Vitis x interspécifique cv. Seibel 8380</t>
  </si>
  <si>
    <t xml:space="preserve">Vitis x interspécifique cv. Seibel 8382</t>
  </si>
  <si>
    <t xml:space="preserve">Vitis x interspécifique cv. Seibel 8390</t>
  </si>
  <si>
    <t xml:space="preserve">Vitis x interspécifique cv. Seibel 8392</t>
  </si>
  <si>
    <t xml:space="preserve">Vitis x interspécifique cv. Seibel 8397</t>
  </si>
  <si>
    <t xml:space="preserve">Vitis x interspécifique cv. Seibel 8402</t>
  </si>
  <si>
    <t xml:space="preserve">Vitis x interspécifique cv. Seibel 8407</t>
  </si>
  <si>
    <t xml:space="preserve">Vitis x interspécifique cv. Seibel 8418</t>
  </si>
  <si>
    <t xml:space="preserve">Vitis x interspécifique cv. Seibel 8447</t>
  </si>
  <si>
    <t xml:space="preserve">Vitis x interspécifique cv. Seibel 85</t>
  </si>
  <si>
    <t xml:space="preserve">Vitis x interspécifique cv. Seibel 8515</t>
  </si>
  <si>
    <t xml:space="preserve">Vitis x interspécifique cv. Seibel 8541</t>
  </si>
  <si>
    <t xml:space="preserve">Vitis x interspécifique cv. Seibel 8602</t>
  </si>
  <si>
    <t xml:space="preserve">Vitis x interspécifique cv. Seibel 8611</t>
  </si>
  <si>
    <t xml:space="preserve">Vitis x interspécifique cv. Seibel 8616</t>
  </si>
  <si>
    <t xml:space="preserve">Vitis x interspécifique cv. Seibel 8620</t>
  </si>
  <si>
    <t xml:space="preserve">Vitis x interspécifique cv. Seibel 8647</t>
  </si>
  <si>
    <t xml:space="preserve">Vitis x interspécifique cv. Seibel 867</t>
  </si>
  <si>
    <t xml:space="preserve">Vitis x interspécifique cv. Seibel 8675</t>
  </si>
  <si>
    <t xml:space="preserve">Vitis x interspécifique cv. Seibel 8678</t>
  </si>
  <si>
    <t xml:space="preserve">Vitis x interspécifique cv. Seibel 87</t>
  </si>
  <si>
    <t xml:space="preserve">Vitis x interspécifique cv. Seibel 8704</t>
  </si>
  <si>
    <t xml:space="preserve">Vitis x interspécifique cv. Seibel 8710</t>
  </si>
  <si>
    <t xml:space="preserve">Vitis x interspécifique cv. Seibel 8712</t>
  </si>
  <si>
    <t xml:space="preserve">Vitis x interspécifique cv. Seibel 8713</t>
  </si>
  <si>
    <t xml:space="preserve">Vitis x interspécifique cv. Seibel 8716</t>
  </si>
  <si>
    <t xml:space="preserve">Vitis x interspécifique cv. Seibel 8717</t>
  </si>
  <si>
    <t xml:space="preserve">Vitis x interspécifique cv. Seibel 8718</t>
  </si>
  <si>
    <t xml:space="preserve">Vitis x interspécifique cv. Seibel 8719</t>
  </si>
  <si>
    <t xml:space="preserve">Vitis x interspécifique cv. Seibel 8724</t>
  </si>
  <si>
    <t xml:space="preserve">Vitis x interspécifique cv. Seibel 8731</t>
  </si>
  <si>
    <t xml:space="preserve">Vitis x interspécifique cv. Seibel 8744</t>
  </si>
  <si>
    <t xml:space="preserve">Vitis x interspécifique cv. Seibel 8748</t>
  </si>
  <si>
    <t xml:space="preserve">Vitis x interspécifique cv. Seibel 8753</t>
  </si>
  <si>
    <t xml:space="preserve">Vitis x interspécifique cv. Seibel 8764</t>
  </si>
  <si>
    <t xml:space="preserve">Vitis x interspécifique cv. Seibel 877</t>
  </si>
  <si>
    <t xml:space="preserve">Vitis x interspécifique cv. Seibel 8786</t>
  </si>
  <si>
    <t xml:space="preserve">Vitis x interspécifique cv. Seibel 880</t>
  </si>
  <si>
    <t xml:space="preserve">Vitis x interspécifique cv. Seibel 8818</t>
  </si>
  <si>
    <t xml:space="preserve">Vitis x interspécifique cv. Seibel 8820</t>
  </si>
  <si>
    <t xml:space="preserve">Vitis x interspécifique cv. Seibel 8824</t>
  </si>
  <si>
    <t xml:space="preserve">Vitis x interspécifique cv. Seibel 8831</t>
  </si>
  <si>
    <t xml:space="preserve">Vitis x interspécifique cv. Seibel 8902</t>
  </si>
  <si>
    <t xml:space="preserve">Vitis x interspécifique cv. Seibel 8906</t>
  </si>
  <si>
    <t xml:space="preserve">Vitis x interspécifique cv. Seibel 8907</t>
  </si>
  <si>
    <t xml:space="preserve">Vitis x interspécifique cv. Seibel 8916</t>
  </si>
  <si>
    <t xml:space="preserve">Vitis x interspécifique cv. Seibel 8917</t>
  </si>
  <si>
    <t xml:space="preserve">Vitis x interspécifique cv. Seibel 8943</t>
  </si>
  <si>
    <t xml:space="preserve">Vitis x interspécifique cv. Seibel 8954</t>
  </si>
  <si>
    <t xml:space="preserve">Vitis x interspécifique cv. Seibel 8974</t>
  </si>
  <si>
    <t xml:space="preserve">Vitis x interspécifique cv. Seibel 9008</t>
  </si>
  <si>
    <t xml:space="preserve">Vitis x interspécifique cv. Seibel 9045</t>
  </si>
  <si>
    <t xml:space="preserve">Vitis x interspécifique cv. Seibel 9095</t>
  </si>
  <si>
    <t xml:space="preserve">Vitis x interspécifique cv. Seibel 9110</t>
  </si>
  <si>
    <t xml:space="preserve">Vitis x interspécifique cv. Seibel 9116</t>
  </si>
  <si>
    <t xml:space="preserve">Vitis x interspécifique cv. Seibel 9123</t>
  </si>
  <si>
    <t xml:space="preserve">Vitis x interspécifique cv. Seibel 9175</t>
  </si>
  <si>
    <t xml:space="preserve">Vitis x interspécifique cv. Seibel 9246</t>
  </si>
  <si>
    <t xml:space="preserve">Vitis x interspécifique cv. Seibel 9249</t>
  </si>
  <si>
    <t xml:space="preserve">Vitis x interspécifique cv. Seibel 9413</t>
  </si>
  <si>
    <t xml:space="preserve">Vitis x interspécifique cv. Seibel 9458</t>
  </si>
  <si>
    <t xml:space="preserve">Vitis x interspécifique cv. Seibel 9569</t>
  </si>
  <si>
    <t xml:space="preserve">Vitis x interspécifique cv. Seibel 9780</t>
  </si>
  <si>
    <t xml:space="preserve">Vitis x interspécifique cv. Seibel 9872</t>
  </si>
  <si>
    <t xml:space="preserve">Vitis x interspécifique cv. Seibel 9875/8</t>
  </si>
  <si>
    <t xml:space="preserve">Vitis x interspécifique cv. Seibel 9932</t>
  </si>
  <si>
    <t xml:space="preserve">Vitis x interspécifique cv. Seinoir = Seibel 8745</t>
  </si>
  <si>
    <t xml:space="preserve">Vitis x interspécifique cv. Semis de 41 B (Malleu)</t>
  </si>
  <si>
    <t xml:space="preserve">Vitis x interspécifique cv. Seyval = Seyve-Villard 5-276</t>
  </si>
  <si>
    <t xml:space="preserve">Vitis x interspécifique cv. Seyve Villard 23-23</t>
  </si>
  <si>
    <t xml:space="preserve">Vitis x interspécifique cv. Seyve-Villard 10-271</t>
  </si>
  <si>
    <t xml:space="preserve">Vitis x interspécifique cv. Seyve-Villard 10-300</t>
  </si>
  <si>
    <t xml:space="preserve">Vitis x interspécifique cv. Seyve-Villard 10-319</t>
  </si>
  <si>
    <t xml:space="preserve">Vitis x interspécifique cv. Seyve-Villard 10-347</t>
  </si>
  <si>
    <t xml:space="preserve">Vitis x interspécifique cv. Seyve-Villard 11-318</t>
  </si>
  <si>
    <t xml:space="preserve">Vitis x interspécifique cv. Seyve-Villard 12-129</t>
  </si>
  <si>
    <t xml:space="preserve">Vitis x interspécifique cv. Seyve-Villard 12-132</t>
  </si>
  <si>
    <t xml:space="preserve">Vitis x interspécifique cv. Seyve-Villard 12-259</t>
  </si>
  <si>
    <t xml:space="preserve">Vitis x interspécifique cv. Seyve-Villard 12-267</t>
  </si>
  <si>
    <t xml:space="preserve">Vitis x interspécifique cv. Seyve-Villard 12-286</t>
  </si>
  <si>
    <t xml:space="preserve">Vitis x interspécifique cv. Seyve-Villard 12-303</t>
  </si>
  <si>
    <t xml:space="preserve">Vitis x interspécifique cv. Seyve-Villard 12-308</t>
  </si>
  <si>
    <t xml:space="preserve">Vitis x interspécifique cv. Seyve-Villard 12-327</t>
  </si>
  <si>
    <t xml:space="preserve">Vitis x interspécifique cv. Seyve-Villard 12-328</t>
  </si>
  <si>
    <t xml:space="preserve">Vitis x interspécifique cv. Seyve-Villard 12-331</t>
  </si>
  <si>
    <t xml:space="preserve">Vitis x interspécifique cv. Seyve-Villard 12-347</t>
  </si>
  <si>
    <t xml:space="preserve">Vitis x interspécifique cv. Seyve-Villard 12-358</t>
  </si>
  <si>
    <t xml:space="preserve">Vitis x interspécifique cv. Seyve-Villard 12-364</t>
  </si>
  <si>
    <t xml:space="preserve">Vitis x interspécifique cv. Seyve-Villard 12-390</t>
  </si>
  <si>
    <t xml:space="preserve">Vitis x interspécifique cv. Seyve-Villard 12-391</t>
  </si>
  <si>
    <t xml:space="preserve">Vitis x interspécifique cv. Seyve-Villard 12-395</t>
  </si>
  <si>
    <t xml:space="preserve">Vitis x interspécifique cv. Seyve-Villard 12-397</t>
  </si>
  <si>
    <t xml:space="preserve">Vitis x interspécifique cv. Seyve-Villard 12-401</t>
  </si>
  <si>
    <t xml:space="preserve">Vitis x interspécifique cv. Seyve-Villard 12-413</t>
  </si>
  <si>
    <t xml:space="preserve">Vitis x interspécifique cv. Seyve-Villard 12-417</t>
  </si>
  <si>
    <t xml:space="preserve">Vitis x interspécifique cv. Seyve-Villard 12-426</t>
  </si>
  <si>
    <t xml:space="preserve">Vitis x interspécifique cv. Seyve-Villard 12-474</t>
  </si>
  <si>
    <t xml:space="preserve">Vitis x interspécifique cv. Seyve-Villard 12-481</t>
  </si>
  <si>
    <t xml:space="preserve">Vitis x interspécifique cv. Seyve-Villard 12-622</t>
  </si>
  <si>
    <t xml:space="preserve">Vitis x interspécifique cv. Seyve-Villard 12-734</t>
  </si>
  <si>
    <t xml:space="preserve">Vitis x interspécifique cv. Seyve-Villard 12-789</t>
  </si>
  <si>
    <t xml:space="preserve">Vitis x interspécifique cv. Seyve-Villard 13-359</t>
  </si>
  <si>
    <t xml:space="preserve">Vitis x interspécifique cv. Seyve-Villard 14-270</t>
  </si>
  <si>
    <t xml:space="preserve">Vitis x interspécifique cv. Seyve-Villard 14-281</t>
  </si>
  <si>
    <t xml:space="preserve">Vitis x interspécifique cv. Seyve-Villard 14-287</t>
  </si>
  <si>
    <t xml:space="preserve">Vitis x interspécifique cv. Seyve-Villard 14-472</t>
  </si>
  <si>
    <t xml:space="preserve">Vitis x interspécifique cv. Seyve-Villard 15-151</t>
  </si>
  <si>
    <t xml:space="preserve">Vitis x interspécifique cv. Seyve-Villard 15-174</t>
  </si>
  <si>
    <t xml:space="preserve">Vitis x interspécifique cv. Seyve-Villard 15-403</t>
  </si>
  <si>
    <t xml:space="preserve">Vitis x interspécifique cv. Seyve-Villard 15-505</t>
  </si>
  <si>
    <t xml:space="preserve">Vitis x interspécifique cv. Seyve-Villard 16-207</t>
  </si>
  <si>
    <t xml:space="preserve">Vitis x interspécifique cv. Seyve-Villard 1-72</t>
  </si>
  <si>
    <t xml:space="preserve">Vitis x interspécifique cv. Seyve-Villard 18-118</t>
  </si>
  <si>
    <t xml:space="preserve">Vitis x interspécifique cv. Seyve-Villard 18-304</t>
  </si>
  <si>
    <t xml:space="preserve">Vitis x interspécifique cv. Seyve-Villard 18-307</t>
  </si>
  <si>
    <t xml:space="preserve">Vitis x interspécifique cv. Seyve-Villard 18-402</t>
  </si>
  <si>
    <t xml:space="preserve">Vitis x interspécifique cv. Seyve-Villard 18-422</t>
  </si>
  <si>
    <t xml:space="preserve">Vitis x interspécifique cv. Seyve-Villard 18-425</t>
  </si>
  <si>
    <t xml:space="preserve">Vitis x interspécifique cv. Seyve-Villard 19-159</t>
  </si>
  <si>
    <t xml:space="preserve">Vitis x interspécifique cv. Seyve-Villard 19-228</t>
  </si>
  <si>
    <t xml:space="preserve">Vitis x interspécifique cv. Seyve-Villard 19-233</t>
  </si>
  <si>
    <t xml:space="preserve">Vitis x interspécifique cv. Seyve-Villard 19-275</t>
  </si>
  <si>
    <t xml:space="preserve">Vitis x interspécifique cv. Seyve-Villard 19-409</t>
  </si>
  <si>
    <t xml:space="preserve">Vitis x interspécifique cv. Seyve-Villard 19-410</t>
  </si>
  <si>
    <t xml:space="preserve">Vitis x interspécifique cv. Seyve-Villard 19-421</t>
  </si>
  <si>
    <t xml:space="preserve">Vitis x interspécifique cv. Seyve-Villard 19-439</t>
  </si>
  <si>
    <t xml:space="preserve">Vitis x interspécifique cv. Seyve-Villard 22-130</t>
  </si>
  <si>
    <t xml:space="preserve">Vitis x interspécifique cv. Seyve-Villard 22-140</t>
  </si>
  <si>
    <t xml:space="preserve">Vitis x interspécifique cv. Seyve-Villard 22-228</t>
  </si>
  <si>
    <t xml:space="preserve">Vitis x interspécifique cv. Seyve-Villard 22-25</t>
  </si>
  <si>
    <t xml:space="preserve">Vitis x interspécifique cv. Seyve-Villard 23-10</t>
  </si>
  <si>
    <t xml:space="preserve">Vitis x interspécifique cv. Seyve-Villard 23-118</t>
  </si>
  <si>
    <t xml:space="preserve">Vitis x interspécifique cv. Seyve-Villard 23120</t>
  </si>
  <si>
    <t xml:space="preserve">Vitis x interspécifique cv. Seyve-Villard 23-18</t>
  </si>
  <si>
    <t xml:space="preserve">Vitis x interspécifique cv. Seyve-Villard 23-251</t>
  </si>
  <si>
    <t xml:space="preserve">Vitis x interspécifique cv. Seyve-Villard 23-286</t>
  </si>
  <si>
    <t xml:space="preserve">Vitis x interspécifique cv. Seyve-Villard 23-296</t>
  </si>
  <si>
    <t xml:space="preserve">Vitis x interspécifique cv. Seyve-Villard 23-314</t>
  </si>
  <si>
    <t xml:space="preserve">Vitis x interspécifique cv. Seyve-Villard 23-346</t>
  </si>
  <si>
    <t xml:space="preserve">Vitis x interspécifique cv. Seyve-Villard 23-350</t>
  </si>
  <si>
    <t xml:space="preserve">Vitis x interspécifique cv. Seyve-Villard 23-353</t>
  </si>
  <si>
    <t xml:space="preserve">Vitis x interspécifique cv. Seyve-Villard 23-356</t>
  </si>
  <si>
    <t xml:space="preserve">Vitis x interspécifique cv. Seyve-Villard 23-359</t>
  </si>
  <si>
    <t xml:space="preserve">Vitis x interspécifique cv. Seyve-Villard 23-36</t>
  </si>
  <si>
    <t xml:space="preserve">Vitis x interspécifique cv. Seyve-Villard 23-369</t>
  </si>
  <si>
    <t xml:space="preserve">Vitis x interspécifique cv. Seyve-Villard 23-400</t>
  </si>
  <si>
    <t xml:space="preserve">Vitis x interspécifique cv. Seyve-Villard 23-421</t>
  </si>
  <si>
    <t xml:space="preserve">Vitis x interspécifique cv. Seyve-Villard 23-501</t>
  </si>
  <si>
    <t xml:space="preserve">Vitis x interspécifique cv. Seyve-Villard 23-502</t>
  </si>
  <si>
    <t xml:space="preserve">Vitis x interspécifique cv. Seyve-Villard 23-504</t>
  </si>
  <si>
    <t xml:space="preserve">Vitis x interspécifique cv. Seyve-Villard 23-510</t>
  </si>
  <si>
    <t xml:space="preserve">Vitis x interspécifique cv. Seyve-Villard 23-512</t>
  </si>
  <si>
    <t xml:space="preserve">Vitis x interspécifique cv. Seyve-Villard 23-519</t>
  </si>
  <si>
    <t xml:space="preserve">Vitis x interspécifique cv. Seyve-Villard 23-545</t>
  </si>
  <si>
    <t xml:space="preserve">Vitis x interspécifique cv. Seyve-Villard 23-564</t>
  </si>
  <si>
    <t xml:space="preserve">Vitis x interspécifique cv. Seyve-Villard 23-841</t>
  </si>
  <si>
    <t xml:space="preserve">Vitis x interspécifique cv. Seyve-Villard 23-898</t>
  </si>
  <si>
    <t xml:space="preserve">Vitis x interspécifique cv. Seyve-Villard 24-280</t>
  </si>
  <si>
    <t xml:space="preserve">Vitis x interspécifique cv. Seyve-Villard 24-282</t>
  </si>
  <si>
    <t xml:space="preserve">Vitis x interspécifique cv. Seyve-Villard 24-397</t>
  </si>
  <si>
    <t xml:space="preserve">Vitis x interspécifique cv. Seyve-Villard 24-418</t>
  </si>
  <si>
    <t xml:space="preserve">Vitis x interspécifique cv. Seyve-Villard 24-520</t>
  </si>
  <si>
    <t xml:space="preserve">Vitis x interspécifique cv. Seyve-Villard 24-531</t>
  </si>
  <si>
    <t xml:space="preserve">Vitis x interspécifique cv. Seyve-Villard 24-535</t>
  </si>
  <si>
    <t xml:space="preserve">Vitis x interspécifique cv. Seyve-Villard 24-614</t>
  </si>
  <si>
    <t xml:space="preserve">Vitis x interspécifique cv. Seyve-Villard 26-166</t>
  </si>
  <si>
    <t xml:space="preserve">Vitis x interspécifique cv. Seyve-Villard 26-205</t>
  </si>
  <si>
    <t xml:space="preserve">Vitis x interspécifique cv. Seyve-Villard 26-482</t>
  </si>
  <si>
    <t xml:space="preserve">Vitis x interspécifique cv. Seyve-Villard 26-490</t>
  </si>
  <si>
    <t xml:space="preserve">Vitis x interspécifique cv. Seyve-Villard 26-924</t>
  </si>
  <si>
    <t xml:space="preserve">Vitis x interspécifique cv. Seyve-Villard 27-236</t>
  </si>
  <si>
    <t xml:space="preserve">Vitis x interspécifique cv. Seyve-Villard 27-350</t>
  </si>
  <si>
    <t xml:space="preserve">Vitis x interspécifique cv. Seyve-Villard 27-531</t>
  </si>
  <si>
    <t xml:space="preserve">Vitis x interspécifique cv. Seyve-Villard 27-91</t>
  </si>
  <si>
    <t xml:space="preserve">Vitis x interspécifique cv. Seyve-Villard 28-415</t>
  </si>
  <si>
    <t xml:space="preserve">Vitis x interspécifique cv. Seyve-Villard 28-497</t>
  </si>
  <si>
    <t xml:space="preserve">Vitis x interspécifique cv. Seyve-Villard 28-527</t>
  </si>
  <si>
    <t xml:space="preserve">Vitis x interspécifique cv. Seyve-Villard 28-86</t>
  </si>
  <si>
    <t xml:space="preserve">Vitis x interspécifique cv. Seyve-Villard 29-399</t>
  </si>
  <si>
    <t xml:space="preserve">Vitis x interspécifique cv. Seyve-Villard 30-5</t>
  </si>
  <si>
    <t xml:space="preserve">Vitis x interspécifique cv. Seyve-Villard 30-56</t>
  </si>
  <si>
    <t xml:space="preserve">Vitis x interspécifique cv. Seyve-Villard 31-358</t>
  </si>
  <si>
    <t xml:space="preserve">Vitis x interspécifique cv. Seyve-Villard 3-160</t>
  </si>
  <si>
    <t xml:space="preserve">Vitis x interspécifique cv. Seyve-Villard 33-412</t>
  </si>
  <si>
    <t xml:space="preserve">Vitis x interspécifique cv. Seyve-Villard 34-211</t>
  </si>
  <si>
    <t xml:space="preserve">Vitis x interspécifique cv. Seyve-Villard 34-273</t>
  </si>
  <si>
    <t xml:space="preserve">Vitis x interspécifique cv. Seyve-Villard 36-152</t>
  </si>
  <si>
    <t xml:space="preserve">Vitis x interspécifique cv. Seyve-Villard 39-229</t>
  </si>
  <si>
    <t xml:space="preserve">Vitis x interspécifique cv. Seyve-Villard 39-522</t>
  </si>
  <si>
    <t xml:space="preserve">Vitis x interspécifique cv. Seyve-Villard 39-639</t>
  </si>
  <si>
    <t xml:space="preserve">Vitis x interspécifique cv. Seyve-Villard 41-471</t>
  </si>
  <si>
    <t xml:space="preserve">Vitis x interspécifique cv. Seyve-Villard 43-438</t>
  </si>
  <si>
    <t xml:space="preserve">Vitis x interspécifique cv. Seyve-Villard 45-440</t>
  </si>
  <si>
    <t xml:space="preserve">Vitis x interspécifique cv. Seyve-Villard 46-215</t>
  </si>
  <si>
    <t xml:space="preserve">Vitis x interspécifique cv. Seyve-Villard 46-434</t>
  </si>
  <si>
    <t xml:space="preserve">Vitis x interspécifique cv. Seyve-Villard 5-247</t>
  </si>
  <si>
    <t xml:space="preserve">Vitis x interspécifique cv. Seyve-Villard 7-111</t>
  </si>
  <si>
    <t xml:space="preserve">Vitis x interspécifique cv. Seyve-Villard 7-135</t>
  </si>
  <si>
    <t xml:space="preserve">Vitis x interspécifique cv. Seyve-Villard 7-216</t>
  </si>
  <si>
    <t xml:space="preserve">Vitis x interspécifique cv. Seyve-Villard 7-235</t>
  </si>
  <si>
    <t xml:space="preserve">Vitis x interspécifique cv. Siegfried rèbe</t>
  </si>
  <si>
    <t xml:space="preserve">Vitis x interspécifique cv. Sioux</t>
  </si>
  <si>
    <t xml:space="preserve">Vitis x interspécifique cv. Sirius</t>
  </si>
  <si>
    <t xml:space="preserve">Vitis x interspécifique cv. Solaris</t>
  </si>
  <si>
    <t xml:space="preserve">Vitis x interspécifique cv. Solonis</t>
  </si>
  <si>
    <t xml:space="preserve">Vitis x interspécifique cv. Solonis x Goldriesling</t>
  </si>
  <si>
    <t xml:space="preserve">Vitis x interspécifique cv. Sori = 353 Geisenheim</t>
  </si>
  <si>
    <t xml:space="preserve">Vitis x interspécifique cv. SO4 = Sélection Oppenheim 4</t>
  </si>
  <si>
    <t xml:space="preserve">Vitis x interspécifique cv. Staufer</t>
  </si>
  <si>
    <t xml:space="preserve">Vitis x interspécifique cv. Sulima</t>
  </si>
  <si>
    <t xml:space="preserve">Vitis x interspécifique cv. Super 99 Richter</t>
  </si>
  <si>
    <t xml:space="preserve">Vitis x interspécifique cv. Superbe</t>
  </si>
  <si>
    <t xml:space="preserve">Vitis x interspécifique cv. Surfin blanc</t>
  </si>
  <si>
    <t xml:space="preserve">Vitis x interspécifique cv. Sylvestre Warre</t>
  </si>
  <si>
    <t xml:space="preserve">Vitis x interspécifique cv. Takao</t>
  </si>
  <si>
    <t xml:space="preserve">Vitis x interspécifique cv. Tank = Couderc 4401</t>
  </si>
  <si>
    <t xml:space="preserve">Vitis x interspécifique cv. Téhère doré = Tissier Ravat 578</t>
  </si>
  <si>
    <t xml:space="preserve">Vitis x interspécifique cv. Teleki 10 A</t>
  </si>
  <si>
    <t xml:space="preserve">Vitis x interspécifique cv. Teresa Pirovano = Pirovano 192</t>
  </si>
  <si>
    <t xml:space="preserve">Vitis x interspécifique cv. Termidoro = Pirovano 33</t>
  </si>
  <si>
    <t xml:space="preserve">Vitis x interspécifique cv. Terzi 1</t>
  </si>
  <si>
    <t xml:space="preserve">Vitis x interspécifique cv. Terzi 108-6</t>
  </si>
  <si>
    <t xml:space="preserve">Vitis x interspécifique cv. Terzi 111-4</t>
  </si>
  <si>
    <t xml:space="preserve">Vitis x interspécifique cv. Terzi 1-6</t>
  </si>
  <si>
    <t xml:space="preserve">Vitis x interspécifique cv. Terzi 6-26</t>
  </si>
  <si>
    <t xml:space="preserve">Vitis x interspécifique cv. Terzi 6-6</t>
  </si>
  <si>
    <t xml:space="preserve">Vitis x interspécifique cv. Terzi 72-6</t>
  </si>
  <si>
    <t xml:space="preserve">Vitis x interspécifique cv. Terzi 78-13</t>
  </si>
  <si>
    <t xml:space="preserve">Vitis x interspécifique cv. Tinctarel n° 2 = Galibert 182-15</t>
  </si>
  <si>
    <t xml:space="preserve">Vitis x interspécifique cv. Tinctarel N°1 = Galibert 182-14</t>
  </si>
  <si>
    <t xml:space="preserve">Vitis x interspécifique cv. Tôtmur = Baco 2-16</t>
  </si>
  <si>
    <t xml:space="preserve">Vitis x interspécifique cv. Tréblanc</t>
  </si>
  <si>
    <t xml:space="preserve">Vitis x interspécifique cv. Triomphe d'Alsace = Kühlmann 319-3</t>
  </si>
  <si>
    <t xml:space="preserve">Vitis x interspécifique cv. Union Village</t>
  </si>
  <si>
    <t xml:space="preserve">Vitis x interspécifique cv. Uvade blanche n° 1 = Galibert 221-32</t>
  </si>
  <si>
    <t xml:space="preserve">Vitis x interspécifique cv. Uvade blanche n° 3 = Galibert 223-61</t>
  </si>
  <si>
    <t xml:space="preserve">Vitis x interspécifique cv. Uvade blanche n°2 = Galibert 223-59</t>
  </si>
  <si>
    <t xml:space="preserve">Vitis x interspécifique cv. Uvade blanche n°4 = Galibert 223-77</t>
  </si>
  <si>
    <t xml:space="preserve">Vitis x interspécifique cv. Uvanère</t>
  </si>
  <si>
    <t xml:space="preserve">Vitis x interspécifique cv. Uvette blanche n°1 = Galibert 239-41</t>
  </si>
  <si>
    <t xml:space="preserve">Vitis x interspécifique cv. Uvette blanche n°2 = Galibert 239-44</t>
  </si>
  <si>
    <t xml:space="preserve">Vitis x interspécifique cv. Uvette dorée n°1 = Galibert 230-91</t>
  </si>
  <si>
    <t xml:space="preserve">Vitis x interspécifique cv. Uvette dorée n°2 = Galibert 238-70</t>
  </si>
  <si>
    <t xml:space="preserve">Vitis x interspécifique cv. Uvine</t>
  </si>
  <si>
    <t xml:space="preserve">Vitis x interspécifique cv. V 15</t>
  </si>
  <si>
    <t xml:space="preserve">Vitis x interspécifique cv. Valérien = Seyve-Villard 23-410</t>
  </si>
  <si>
    <t xml:space="preserve">Vitis x interspécifique cv. Varousset = Seyve-Villard 23-657</t>
  </si>
  <si>
    <t xml:space="preserve">Vitis x interspécifique cv. Venango</t>
  </si>
  <si>
    <t xml:space="preserve">Vitis x interspécifique cv. Vialla</t>
  </si>
  <si>
    <t xml:space="preserve">Vitis x interspécifique cv. Victoire = Kühlmann 272-1</t>
  </si>
  <si>
    <t xml:space="preserve">Vitis x interspécifique cv. Vidal 254</t>
  </si>
  <si>
    <t xml:space="preserve">Vitis x interspécifique cv. Vidal 256</t>
  </si>
  <si>
    <t xml:space="preserve">Vitis x interspécifique cv. Vidal 286</t>
  </si>
  <si>
    <t xml:space="preserve">Vitis x interspécifique cv. Villard blanc = Seyve-Villard 12-375</t>
  </si>
  <si>
    <t xml:space="preserve">Vitis x interspécifique cv. Villard noir = Seyve-Villard 18-315</t>
  </si>
  <si>
    <t xml:space="preserve">Vitis x interspécifique cv. vinifera x aestivalis</t>
  </si>
  <si>
    <t xml:space="preserve">Vitis x interspécifique cv. vinifera x aestivalis x labrusca</t>
  </si>
  <si>
    <t xml:space="preserve">Vitis x interspécifique cv. vinifera x berlandieri</t>
  </si>
  <si>
    <t xml:space="preserve">Vitis x interspécifique cv. vinifera x californica</t>
  </si>
  <si>
    <t xml:space="preserve">Vitis x interspécifique cv. Vosgien</t>
  </si>
  <si>
    <t xml:space="preserve">Vitis x interspécifique cv. Wilhelma 1</t>
  </si>
  <si>
    <t xml:space="preserve">Vitis x interspécifique cv. Wilson grape = Kühlmann 252-1</t>
  </si>
  <si>
    <t xml:space="preserve">Vitis x interspécifique cv. 10-11</t>
  </si>
  <si>
    <t xml:space="preserve">Vitis x interspécifique cv. 101-14 MGT = Millardet et de Grasset 101-14</t>
  </si>
  <si>
    <t xml:space="preserve">Vitis x interspécifique cv. 102 EM</t>
  </si>
  <si>
    <t xml:space="preserve">Vitis x interspécifique cv. 10-5</t>
  </si>
  <si>
    <t xml:space="preserve">Vitis x interspécifique cv. 110 R = Richter 110</t>
  </si>
  <si>
    <t xml:space="preserve">Vitis x interspécifique cv. 1103 Pa = Paulsen 1103</t>
  </si>
  <si>
    <t xml:space="preserve">Vitis x interspécifique cv. 125 AA = Kober 125 AA</t>
  </si>
  <si>
    <t xml:space="preserve">Vitis x interspécifique cv. 136 EM</t>
  </si>
  <si>
    <t xml:space="preserve">Vitis x interspécifique cv. 140 Ru = Ruggeri 140</t>
  </si>
  <si>
    <t xml:space="preserve">Vitis x interspécifique cv. 142 EM</t>
  </si>
  <si>
    <t xml:space="preserve">Vitis x interspécifique cv. 1447 Pa = Paulsen 1447</t>
  </si>
  <si>
    <t xml:space="preserve">Vitis x interspécifique cv. 161-49 C = Couderc 161-49</t>
  </si>
  <si>
    <t xml:space="preserve">Vitis x interspécifique cv. 1616 C = Couderc 1616</t>
  </si>
  <si>
    <t xml:space="preserve">Vitis x interspécifique cv. 196-17 Cl = Castel 196-17</t>
  </si>
  <si>
    <t xml:space="preserve">Vitis x interspécifique cv. 216-3 Cl = Castel 216-3</t>
  </si>
  <si>
    <t xml:space="preserve">Vitis x interspécifique cv. 33 EM</t>
  </si>
  <si>
    <t xml:space="preserve">Vitis x interspécifique cv. 3309 C = Couderc 3309</t>
  </si>
  <si>
    <t xml:space="preserve">Vitis x interspécifique cv. 333 EM = 333 Ecole de Montpellier</t>
  </si>
  <si>
    <t xml:space="preserve">Vitis x interspécifique cv. 34 EM = 34 Ecole de Montpellier</t>
  </si>
  <si>
    <t xml:space="preserve">Vitis x interspécifique cv. 4010 Cl = Castel 4010</t>
  </si>
  <si>
    <t xml:space="preserve">Vitis x interspécifique cv. 41 B = Millardet et de Grasset 41 B</t>
  </si>
  <si>
    <t xml:space="preserve">Vitis x interspécifique cv. 420 A = Millardet et de Grasset 420 A</t>
  </si>
  <si>
    <t xml:space="preserve">Vitis x interspécifique cv. 420 Foex</t>
  </si>
  <si>
    <t xml:space="preserve">Vitis x interspécifique cv. 44-53 Ma = Malègue 44-53</t>
  </si>
  <si>
    <t xml:space="preserve">Vitis x interspécifique cv. 45 EM</t>
  </si>
  <si>
    <t xml:space="preserve">Vitis x interspécifique cv. 5 BB = Téléki sélection Kober 5 BB</t>
  </si>
  <si>
    <t xml:space="preserve">Vitis x interspécifique cv. 5 BB Evin</t>
  </si>
  <si>
    <t xml:space="preserve">Vitis x interspécifique cv. 5 BB Grimaud</t>
  </si>
  <si>
    <t xml:space="preserve">Vitis x interspécifique cv. 5 BB Tramier 2</t>
  </si>
  <si>
    <t xml:space="preserve">Vitis x interspécifique cv. 5 BB Trilobé</t>
  </si>
  <si>
    <t xml:space="preserve">Vitis x interspécifique cv. 5 C = Téléki 5 C</t>
  </si>
  <si>
    <t xml:space="preserve">Vitis x interspécifique cv. 503 Barr</t>
  </si>
  <si>
    <t xml:space="preserve">Vitis x interspécifique cv. 59 B</t>
  </si>
  <si>
    <t xml:space="preserve">Vitis x interspécifique cv. 6-23</t>
  </si>
  <si>
    <t xml:space="preserve">Vitis x interspécifique cv. 7-13</t>
  </si>
  <si>
    <t xml:space="preserve">Vitis x interspécifique cv. 7-16</t>
  </si>
  <si>
    <t xml:space="preserve">Vitis x interspécifique cv. 8 B = Téléki B</t>
  </si>
  <si>
    <t xml:space="preserve">Vitis x interspécifique cv. 8 B clone A</t>
  </si>
  <si>
    <t xml:space="preserve">Vitis x interspécifique cv. 8 B Faux</t>
  </si>
  <si>
    <t xml:space="preserve">Vitis x interspécifique cv. 8 B Femelle</t>
  </si>
  <si>
    <t xml:space="preserve">Vitis x interspécifique cv. 8 B Ferrari</t>
  </si>
  <si>
    <t xml:space="preserve">Vitis x interspécifique cv. 8-5</t>
  </si>
  <si>
    <t xml:space="preserve">Vitis x interspécifique cv. 99 R = Richter 99</t>
  </si>
  <si>
    <t xml:space="preserve">Vitis yanshanensis J.X.Chen</t>
  </si>
  <si>
    <t xml:space="preserve">Zea L.</t>
  </si>
  <si>
    <t xml:space="preserve">Zea mays L.</t>
  </si>
  <si>
    <t xml:space="preserve">Zinnia elegans</t>
  </si>
  <si>
    <t xml:space="preserve">ETPP:EVAPOTRANSPIRATION PENMAN (MILLIMETRES)</t>
  </si>
  <si>
    <t xml:space="preserve">RG:RAYONNEMENT GLOBAL (JOULES/CM2)</t>
  </si>
  <si>
    <t xml:space="preserve">RR:HAUTEUR DES PRECIPITATIONS (MILLIMETRES)</t>
  </si>
  <si>
    <t xml:space="preserve">TM:TEMPERATURE MOYENNE (DEGRES CELSIUS)</t>
  </si>
  <si>
    <t xml:space="preserve">TN:TEMPERATURE MINIMALE (DEGRES CELSIUS)</t>
  </si>
  <si>
    <t xml:space="preserve">TX:TEMPERATURE MAXIMALE (DEGRES CELSIUS)</t>
  </si>
  <si>
    <t xml:space="preserve">AN</t>
  </si>
  <si>
    <t xml:space="preserve">MOIS</t>
  </si>
  <si>
    <t xml:space="preserve">JOUR</t>
  </si>
  <si>
    <t xml:space="preserve">ETPP</t>
  </si>
  <si>
    <t xml:space="preserve">ETPP automne</t>
  </si>
  <si>
    <t xml:space="preserve">ETPP hiver</t>
  </si>
  <si>
    <t xml:space="preserve">ETPP printemp</t>
  </si>
  <si>
    <t xml:space="preserve">ETPP GFP</t>
  </si>
  <si>
    <t xml:space="preserve">RG</t>
  </si>
  <si>
    <t xml:space="preserve">RR</t>
  </si>
  <si>
    <t xml:space="preserve">TM</t>
  </si>
  <si>
    <t xml:space="preserve">TN</t>
  </si>
  <si>
    <t xml:space="preserve">TX</t>
  </si>
  <si>
    <t xml:space="preserve">date</t>
  </si>
  <si>
    <t xml:space="preserve">cumul T°C </t>
  </si>
  <si>
    <t xml:space="preserve">cumul T° hiver</t>
  </si>
  <si>
    <t xml:space="preserve">cumul T printemps</t>
  </si>
  <si>
    <t xml:space="preserve">cumul T remplissage</t>
  </si>
  <si>
    <t xml:space="preserve">RG cumulé</t>
  </si>
  <si>
    <t xml:space="preserve">RG cumulé hiver</t>
  </si>
  <si>
    <t xml:space="preserve">RG cumulé printemps</t>
  </si>
  <si>
    <t xml:space="preserve">RG cumulé remplissage</t>
  </si>
  <si>
    <t xml:space="preserve">cumul RR</t>
  </si>
  <si>
    <t xml:space="preserve">cumul RR hiver</t>
  </si>
  <si>
    <t xml:space="preserve">cumul RR prontemps</t>
  </si>
  <si>
    <t xml:space="preserve">cumul RR GFP</t>
  </si>
  <si>
    <t xml:space="preserve">cumul RR flo</t>
  </si>
  <si>
    <t xml:space="preserve">jours T°C&gt;0°C</t>
  </si>
  <si>
    <t xml:space="preserve">jours T°C&lt;4,5</t>
  </si>
  <si>
    <t xml:space="preserve">ETPP cumulé</t>
  </si>
  <si>
    <t xml:space="preserve">coefficient photothermique journalier</t>
  </si>
  <si>
    <t xml:space="preserve">coefficient photothermique cumulé</t>
  </si>
  <si>
    <t xml:space="preserve">H%Soil 0-20</t>
  </si>
  <si>
    <t xml:space="preserve">H%Soil 20-40</t>
  </si>
  <si>
    <t xml:space="preserve">T°CSoil 0-20</t>
  </si>
  <si>
    <t xml:space="preserve">T°CSoil 20-40</t>
  </si>
  <si>
    <t xml:space="preserve">H%Soil 0-20 mean</t>
  </si>
  <si>
    <t xml:space="preserve">H%Soil20-40 mean</t>
  </si>
  <si>
    <t xml:space="preserve">T°C 0-20 mean</t>
  </si>
  <si>
    <t xml:space="preserve">T°C 20-40 mean</t>
  </si>
  <si>
    <t xml:space="preserve">H% 0-20 mean</t>
  </si>
  <si>
    <t xml:space="preserve">H%20-40 mean</t>
  </si>
  <si>
    <t xml:space="preserve">4/5</t>
  </si>
  <si>
    <t xml:space="preserve">1/5</t>
  </si>
  <si>
    <t xml:space="preserve">Total</t>
  </si>
  <si>
    <t xml:space="preserve">N % DUMAS Spécial Ferti</t>
  </si>
  <si>
    <t xml:space="preserve">Manip</t>
  </si>
  <si>
    <t xml:space="preserve">Modalite</t>
  </si>
  <si>
    <t xml:space="preserve">Genotype</t>
  </si>
  <si>
    <t xml:space="preserve">Stade</t>
  </si>
  <si>
    <t xml:space="preserve">Nbr</t>
  </si>
  <si>
    <t xml:space="preserve">MF (g)</t>
  </si>
  <si>
    <t xml:space="preserve">MS (g)</t>
  </si>
  <si>
    <t xml:space="preserve">% Humidité</t>
  </si>
  <si>
    <t xml:space="preserve">MF Feuilles (g)</t>
  </si>
  <si>
    <t xml:space="preserve">MF Tige (g)</t>
  </si>
  <si>
    <t xml:space="preserve">MF Aér</t>
  </si>
  <si>
    <t xml:space="preserve">MS Feuilles (g)</t>
  </si>
  <si>
    <t xml:space="preserve">MS Tige (g)</t>
  </si>
  <si>
    <t xml:space="preserve">MS Aér (g)</t>
  </si>
  <si>
    <t xml:space="preserve">MS Totale (t)</t>
  </si>
  <si>
    <t xml:space="preserve">%N critique</t>
  </si>
  <si>
    <t xml:space="preserve">Feuilles</t>
  </si>
  <si>
    <t xml:space="preserve">Tiges</t>
  </si>
  <si>
    <t xml:space="preserve">Qté N Total</t>
  </si>
  <si>
    <t xml:space="preserve">% Azote MS (1/5)</t>
  </si>
  <si>
    <t xml:space="preserve">INN</t>
  </si>
  <si>
    <t xml:space="preserve">INN1</t>
  </si>
  <si>
    <t xml:space="preserve">N1 b1</t>
  </si>
  <si>
    <t xml:space="preserve">N1 b2</t>
  </si>
  <si>
    <t xml:space="preserve">INN2</t>
  </si>
  <si>
    <t xml:space="preserve">INN3</t>
  </si>
  <si>
    <t xml:space="preserve">N2 b1</t>
  </si>
  <si>
    <t xml:space="preserve">N2 b2</t>
  </si>
  <si>
    <t xml:space="preserve">INN4</t>
  </si>
  <si>
    <t xml:space="preserve">De "Parcelle" à "Genotype" = données générales sur l'essai</t>
  </si>
  <si>
    <r>
      <rPr>
        <b val="true"/>
        <sz val="10"/>
        <rFont val="Arial"/>
        <family val="2"/>
        <charset val="1"/>
      </rPr>
      <t xml:space="preserve">Manip</t>
    </r>
    <r>
      <rPr>
        <sz val="10"/>
        <rFont val="Arial"/>
        <family val="2"/>
        <charset val="1"/>
      </rPr>
      <t xml:space="preserve"> = quelle INN</t>
    </r>
  </si>
  <si>
    <r>
      <rPr>
        <b val="true"/>
        <sz val="10"/>
        <rFont val="Arial"/>
        <family val="2"/>
        <charset val="1"/>
      </rPr>
      <t xml:space="preserve">Date</t>
    </r>
    <r>
      <rPr>
        <sz val="10"/>
        <rFont val="Arial"/>
        <family val="2"/>
        <charset val="1"/>
      </rPr>
      <t xml:space="preserve"> = date de prélèvement</t>
    </r>
  </si>
  <si>
    <r>
      <rPr>
        <b val="true"/>
        <sz val="10"/>
        <rFont val="Arial"/>
        <family val="2"/>
        <charset val="1"/>
      </rPr>
      <t xml:space="preserve">Stade</t>
    </r>
    <r>
      <rPr>
        <sz val="10"/>
        <rFont val="Arial"/>
        <family val="2"/>
        <charset val="1"/>
      </rPr>
      <t xml:space="preserve"> = stade moyen de la parcelle</t>
    </r>
  </si>
  <si>
    <r>
      <rPr>
        <b val="true"/>
        <sz val="10"/>
        <rFont val="Arial"/>
        <family val="2"/>
        <charset val="1"/>
      </rPr>
      <t xml:space="preserve">Deux échantillons différents sont identifiés : 1/5 des plantes et 4/5 des plantes </t>
    </r>
    <r>
      <rPr>
        <b val="true"/>
        <sz val="10"/>
        <color rgb="FFFF0000"/>
        <rFont val="Arial"/>
        <family val="2"/>
        <charset val="1"/>
      </rPr>
      <t xml:space="preserve">==&gt; Ici ce n'est pas le cas</t>
    </r>
  </si>
  <si>
    <t xml:space="preserve">A partir des INN3, une distinction est faite entre les feuilles et le tiges pour les pesées </t>
  </si>
  <si>
    <t xml:space="preserve">et les analyses par SAS pour l'échantillon 1/5</t>
  </si>
  <si>
    <r>
      <rPr>
        <b val="true"/>
        <sz val="10"/>
        <rFont val="Arial"/>
        <family val="2"/>
        <charset val="1"/>
      </rPr>
      <t xml:space="preserve">Nbr</t>
    </r>
    <r>
      <rPr>
        <sz val="10"/>
        <rFont val="Arial"/>
        <family val="2"/>
        <charset val="1"/>
      </rPr>
      <t xml:space="preserve"> = nombre de plantes du prélèvement</t>
    </r>
  </si>
  <si>
    <r>
      <rPr>
        <b val="true"/>
        <sz val="10"/>
        <rFont val="Arial"/>
        <family val="2"/>
        <charset val="1"/>
      </rPr>
      <t xml:space="preserve">MF</t>
    </r>
    <r>
      <rPr>
        <sz val="10"/>
        <rFont val="Arial"/>
        <family val="2"/>
        <charset val="1"/>
      </rPr>
      <t xml:space="preserve"> = matière fraiche du prélèvement en grammes</t>
    </r>
  </si>
  <si>
    <r>
      <rPr>
        <b val="true"/>
        <sz val="10"/>
        <rFont val="Arial"/>
        <family val="2"/>
        <charset val="1"/>
      </rPr>
      <t xml:space="preserve">MS</t>
    </r>
    <r>
      <rPr>
        <sz val="10"/>
        <rFont val="Arial"/>
        <family val="2"/>
        <charset val="1"/>
      </rPr>
      <t xml:space="preserve"> = matière séche du prélèvement en grammes</t>
    </r>
  </si>
  <si>
    <r>
      <rPr>
        <b val="true"/>
        <sz val="10"/>
        <rFont val="Arial"/>
        <family val="2"/>
        <charset val="1"/>
      </rPr>
      <t xml:space="preserve">N % DUMAS Spérial Ferti</t>
    </r>
    <r>
      <rPr>
        <sz val="10"/>
        <rFont val="Arial"/>
        <family val="2"/>
        <charset val="1"/>
      </rPr>
      <t xml:space="preserve"> = pourcentage d'azote dans la plante (résultat laboratoire)</t>
    </r>
  </si>
  <si>
    <r>
      <rPr>
        <b val="true"/>
        <sz val="10"/>
        <rFont val="Arial"/>
        <family val="2"/>
        <charset val="1"/>
      </rPr>
      <t xml:space="preserve">INN</t>
    </r>
    <r>
      <rPr>
        <sz val="10"/>
        <rFont val="Arial"/>
        <family val="2"/>
        <charset val="1"/>
      </rPr>
      <t xml:space="preserve"> = (Qté N tot / MS (1/5) (g)) / %Ncritique</t>
    </r>
  </si>
  <si>
    <t xml:space="preserve">Route</t>
  </si>
  <si>
    <t xml:space="preserve">R2</t>
  </si>
  <si>
    <t xml:space="preserve">Ova</t>
  </si>
  <si>
    <t xml:space="preserve">R1</t>
  </si>
  <si>
    <t xml:space="preserve">Témoin parent 1</t>
  </si>
  <si>
    <t xml:space="preserve">09_10</t>
  </si>
  <si>
    <t xml:space="preserve">reliquat azote 1</t>
  </si>
  <si>
    <t xml:space="preserve">INN 1 &amp; 2</t>
  </si>
  <si>
    <t xml:space="preserve">INN 3 &amp; 4</t>
  </si>
  <si>
    <t xml:space="preserve"> + </t>
  </si>
  <si>
    <t xml:space="preserve">en mélange</t>
  </si>
  <si>
    <t xml:space="preserve">2 horizons</t>
  </si>
  <si>
    <t xml:space="preserve">01_11</t>
  </si>
  <si>
    <t xml:space="preserve">reliquat azote 2</t>
  </si>
  <si>
    <t xml:space="preserve">Témoin parent 2</t>
  </si>
  <si>
    <t xml:space="preserve">06_11</t>
  </si>
  <si>
    <t xml:space="preserve">reliquat azote 3</t>
  </si>
  <si>
    <t xml:space="preserve">Position des sondes humidité</t>
  </si>
  <si>
    <t xml:space="preserve">Action</t>
  </si>
  <si>
    <t xml:space="preserve">Produits</t>
  </si>
  <si>
    <t xml:space="preserve">Cibles</t>
  </si>
  <si>
    <t xml:space="preserve">Détails</t>
  </si>
  <si>
    <t xml:space="preserve">Fertilisation</t>
  </si>
  <si>
    <t xml:space="preserve">10 t/ha de Boues</t>
  </si>
  <si>
    <t xml:space="preserve">N (2) ; P (3) ; K (1,5)</t>
  </si>
  <si>
    <t xml:space="preserve">250 kg/ha 0.25.25</t>
  </si>
  <si>
    <t xml:space="preserve">P(62) ; K(62)</t>
  </si>
  <si>
    <t xml:space="preserve">Semis</t>
  </si>
  <si>
    <t xml:space="preserve">Densité : 45 grains/m²</t>
  </si>
  <si>
    <t xml:space="preserve">Insecticides</t>
  </si>
  <si>
    <t xml:space="preserve">Cyperfor</t>
  </si>
  <si>
    <t xml:space="preserve">0.25 l</t>
  </si>
  <si>
    <t xml:space="preserve">Herbicides</t>
  </si>
  <si>
    <t xml:space="preserve">Novall</t>
  </si>
  <si>
    <t xml:space="preserve">2 l</t>
  </si>
  <si>
    <t xml:space="preserve">Ogive</t>
  </si>
  <si>
    <t xml:space="preserve">40 U Dose N2</t>
  </si>
  <si>
    <t xml:space="preserve">0,5 l</t>
  </si>
  <si>
    <t xml:space="preserve">0,3 l</t>
  </si>
  <si>
    <t xml:space="preserve">30 U Dose N1 / 80 U Dose N2</t>
  </si>
  <si>
    <t xml:space="preserve">Fongicides</t>
  </si>
  <si>
    <t xml:space="preserve">Picor</t>
  </si>
  <si>
    <t xml:space="preserve">0,4 l</t>
  </si>
  <si>
    <t xml:space="preserve">Héliosol (adjuvent)</t>
  </si>
  <si>
    <t xml:space="preserve">0,2 l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</si>
</sst>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\ _€_-;\-* #,##0.00\ _€_-;_-* \-??\ _€_-;_-@_-"/>
    <numFmt numFmtId="166" formatCode="dd/mm/yy"/>
    <numFmt numFmtId="167" formatCode="@"/>
    <numFmt numFmtId="168" formatCode="dd/mm/yyyy"/>
    <numFmt numFmtId="169" formatCode="d/mm/yyyy;@"/>
    <numFmt numFmtId="170" formatCode="0"/>
    <numFmt numFmtId="171" formatCode="0.00"/>
    <numFmt numFmtId="172" formatCode="dd/mm/yy;@"/>
    <numFmt numFmtId="173" formatCode="0.000"/>
    <numFmt numFmtId="174" formatCode="dd\-mmm"/>
  </numFmts>
  <fonts count="68">
    <font>
      <sz val="9"/>
      <name val="Genev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800080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sz val="10"/>
      <name val="Tahoma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238"/>
    </font>
    <font>
      <sz val="11"/>
      <color rgb="FF008000"/>
      <name val="Calibri"/>
      <family val="2"/>
      <charset val="1"/>
    </font>
    <font>
      <b val="true"/>
      <sz val="11"/>
      <color rgb="FF1A1A1A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8"/>
      <color rgb="FF17375E"/>
      <name val="Cambria"/>
      <family val="2"/>
      <charset val="1"/>
    </font>
    <font>
      <b val="true"/>
      <sz val="15"/>
      <color rgb="FF17375E"/>
      <name val="Calibri"/>
      <family val="2"/>
      <charset val="1"/>
    </font>
    <font>
      <b val="true"/>
      <sz val="13"/>
      <color rgb="FF17375E"/>
      <name val="Calibri"/>
      <family val="2"/>
      <charset val="1"/>
    </font>
    <font>
      <b val="true"/>
      <sz val="11"/>
      <color rgb="FF17375E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8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0"/>
      <color rgb="FF00CCFF"/>
      <name val="Arial"/>
      <family val="2"/>
      <charset val="1"/>
    </font>
    <font>
      <sz val="10"/>
      <color rgb="FF00B0F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9"/>
      <name val="Geneva"/>
      <family val="2"/>
      <charset val="1"/>
    </font>
    <font>
      <b val="true"/>
      <sz val="9"/>
      <color rgb="FFFF0000"/>
      <name val="Geneva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i val="true"/>
      <u val="singl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10"/>
      <color rgb="FFC00000"/>
      <name val="Arial"/>
      <family val="2"/>
      <charset val="1"/>
    </font>
    <font>
      <b val="true"/>
      <sz val="9"/>
      <color rgb="FF333399"/>
      <name val="Geneva"/>
      <family val="2"/>
      <charset val="1"/>
    </font>
    <font>
      <sz val="9"/>
      <name val="Geneva"/>
      <family val="2"/>
      <charset val="238"/>
    </font>
    <font>
      <sz val="12"/>
      <name val="Times New Roman"/>
      <family val="1"/>
      <charset val="1"/>
    </font>
    <font>
      <sz val="8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9"/>
      <name val="Arial"/>
      <family val="2"/>
      <charset val="1"/>
    </font>
    <font>
      <sz val="10"/>
      <color rgb="FF17375E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name val="Arial"/>
      <family val="2"/>
      <charset val="1"/>
    </font>
    <font>
      <b val="true"/>
      <sz val="12"/>
      <name val="Geneva"/>
      <family val="0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8"/>
      <color rgb="FF000000"/>
      <name val="Times New Roman"/>
      <family val="2"/>
      <charset val="1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2"/>
      <charset val="1"/>
    </font>
    <font>
      <sz val="18"/>
      <color rgb="FF000000"/>
      <name val="Times New Roman"/>
      <family val="1"/>
      <charset val="1"/>
    </font>
    <font>
      <sz val="12"/>
      <color rgb="FFFFFFFF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6"/>
      <color rgb="FF000000"/>
      <name val="Times New Roman"/>
      <family val="1"/>
      <charset val="1"/>
    </font>
    <font>
      <sz val="12"/>
      <color rgb="FFFFFFFF"/>
      <name val="Times New Roman"/>
      <family val="2"/>
      <charset val="1"/>
    </font>
    <font>
      <b val="true"/>
      <sz val="14"/>
      <color theme="1"/>
      <name val="Calibri"/>
      <family val="0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CCCCFF"/>
        <bgColor rgb="FFB9CDE5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DCE6F2"/>
      </patternFill>
    </fill>
    <fill>
      <patternFill patternType="solid">
        <fgColor rgb="FFCC99FF"/>
        <bgColor rgb="FFFF99CC"/>
      </patternFill>
    </fill>
    <fill>
      <patternFill patternType="solid">
        <fgColor rgb="FFDCE6F2"/>
        <bgColor rgb="FFE0E0E0"/>
      </patternFill>
    </fill>
    <fill>
      <patternFill patternType="solid">
        <fgColor rgb="FFFFCC99"/>
        <bgColor rgb="FFFAC090"/>
      </patternFill>
    </fill>
    <fill>
      <patternFill patternType="solid">
        <fgColor rgb="FF99CCFF"/>
        <bgColor rgb="FFB9CDE5"/>
      </patternFill>
    </fill>
    <fill>
      <patternFill patternType="solid">
        <fgColor rgb="FFFF8080"/>
        <bgColor rgb="FFF79646"/>
      </patternFill>
    </fill>
    <fill>
      <patternFill patternType="solid">
        <fgColor rgb="FF00FF00"/>
        <bgColor rgb="FF00B050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206CB9"/>
      </patternFill>
    </fill>
    <fill>
      <patternFill patternType="solid">
        <fgColor rgb="FF800080"/>
        <bgColor rgb="FFC00000"/>
      </patternFill>
    </fill>
    <fill>
      <patternFill patternType="solid">
        <fgColor rgb="FF00B0F0"/>
        <bgColor rgb="FF00CCFF"/>
      </patternFill>
    </fill>
    <fill>
      <patternFill patternType="solid">
        <fgColor rgb="FFFF9900"/>
        <bgColor rgb="FFF79646"/>
      </patternFill>
    </fill>
    <fill>
      <patternFill patternType="solid">
        <fgColor rgb="FF333399"/>
        <bgColor rgb="FF464693"/>
      </patternFill>
    </fill>
    <fill>
      <patternFill patternType="solid">
        <fgColor rgb="FFFF0000"/>
        <bgColor rgb="FFE02020"/>
      </patternFill>
    </fill>
    <fill>
      <patternFill patternType="solid">
        <fgColor rgb="FF339966"/>
        <bgColor rgb="FF00B050"/>
      </patternFill>
    </fill>
    <fill>
      <patternFill patternType="solid">
        <fgColor rgb="FFFF6600"/>
        <bgColor rgb="FFE46C0A"/>
      </patternFill>
    </fill>
    <fill>
      <patternFill patternType="solid">
        <fgColor rgb="FFFAC090"/>
        <bgColor rgb="FFFFCC99"/>
      </patternFill>
    </fill>
    <fill>
      <patternFill patternType="solid">
        <fgColor rgb="FFFCD5B5"/>
        <bgColor rgb="FFFFCC99"/>
      </patternFill>
    </fill>
    <fill>
      <patternFill patternType="solid">
        <fgColor rgb="FFFFFF99"/>
        <bgColor rgb="FFCCFFCC"/>
      </patternFill>
    </fill>
    <fill>
      <patternFill patternType="solid">
        <fgColor rgb="FF969696"/>
        <bgColor rgb="FF878787"/>
      </patternFill>
    </fill>
    <fill>
      <patternFill patternType="solid">
        <fgColor rgb="FFFFFF00"/>
        <bgColor rgb="FFE0E020"/>
      </patternFill>
    </fill>
    <fill>
      <patternFill patternType="solid">
        <fgColor rgb="FFFFFFFF"/>
        <bgColor rgb="FFDCE6F2"/>
      </patternFill>
    </fill>
    <fill>
      <patternFill patternType="solid">
        <fgColor theme="4" tint="0.3999"/>
        <bgColor rgb="FF99CCFF"/>
      </patternFill>
    </fill>
    <fill>
      <patternFill patternType="solid">
        <fgColor theme="4" tint="0.5999"/>
        <bgColor rgb="FFCCCCFF"/>
      </patternFill>
    </fill>
    <fill>
      <patternFill patternType="solid">
        <fgColor rgb="FF00B050"/>
        <bgColor rgb="FF339966"/>
      </patternFill>
    </fill>
    <fill>
      <patternFill patternType="solid">
        <fgColor rgb="FFFFC000"/>
        <bgColor rgb="FFFFCC00"/>
      </patternFill>
    </fill>
    <fill>
      <patternFill patternType="solid">
        <fgColor theme="0" tint="-0.15"/>
        <bgColor rgb="FFE0E0E0"/>
      </patternFill>
    </fill>
    <fill>
      <patternFill patternType="solid">
        <fgColor rgb="FFC0C0C0"/>
        <bgColor rgb="FFB9CDE5"/>
      </patternFill>
    </fill>
    <fill>
      <patternFill patternType="solid">
        <fgColor rgb="FFE0E0E0"/>
        <bgColor rgb="FFD9D9D9"/>
      </patternFill>
    </fill>
    <fill>
      <patternFill patternType="solid">
        <fgColor rgb="FF206CB9"/>
        <bgColor rgb="FF0066CC"/>
      </patternFill>
    </fill>
    <fill>
      <patternFill patternType="solid">
        <fgColor rgb="FFE02020"/>
        <bgColor rgb="FFFF0000"/>
      </patternFill>
    </fill>
    <fill>
      <patternFill patternType="solid">
        <fgColor rgb="FFE0E020"/>
        <bgColor rgb="FFFFCC00"/>
      </patternFill>
    </fill>
    <fill>
      <patternFill patternType="solid">
        <fgColor rgb="FF464693"/>
        <bgColor rgb="FF333399"/>
      </patternFill>
    </fill>
    <fill>
      <patternFill patternType="solid">
        <fgColor rgb="FFE0B920"/>
        <bgColor rgb="FFFFC000"/>
      </patternFill>
    </fill>
  </fills>
  <borders count="67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FAC09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double">
        <color rgb="FF1A1A1A"/>
      </left>
      <right style="double">
        <color rgb="FF1A1A1A"/>
      </right>
      <top style="double">
        <color rgb="FF1A1A1A"/>
      </top>
      <bottom style="double">
        <color rgb="FF1A1A1A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1A1A1A"/>
      </left>
      <right/>
      <top style="thin">
        <color rgb="FF1A1A1A"/>
      </top>
      <bottom style="thin">
        <color rgb="FF1A1A1A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rgb="FF1A1A1A"/>
      </left>
      <right/>
      <top/>
      <bottom/>
      <diagonal/>
    </border>
    <border diagonalUp="false" diagonalDown="false">
      <left style="medium">
        <color rgb="FF1A1A1A"/>
      </left>
      <right style="thin">
        <color rgb="FF1A1A1A"/>
      </right>
      <top style="thin"/>
      <bottom/>
      <diagonal/>
    </border>
    <border diagonalUp="false" diagonalDown="false">
      <left style="medium">
        <color rgb="FF1A1A1A"/>
      </left>
      <right style="thin">
        <color rgb="FF1A1A1A"/>
      </right>
      <top style="thin">
        <color rgb="FF1A1A1A"/>
      </top>
      <bottom/>
      <diagonal/>
    </border>
    <border diagonalUp="false" diagonalDown="false">
      <left style="hair">
        <color rgb="FF1A1A1A"/>
      </left>
      <right style="hair">
        <color rgb="FF1A1A1A"/>
      </right>
      <top style="hair">
        <color rgb="FF1A1A1A"/>
      </top>
      <bottom style="hair">
        <color rgb="FF1A1A1A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 style="medium">
        <color rgb="FF1A1A1A"/>
      </bottom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hair">
        <color rgb="FF1A1A1A"/>
      </left>
      <right/>
      <top style="hair">
        <color rgb="FF1A1A1A"/>
      </top>
      <bottom style="hair">
        <color rgb="FF1A1A1A"/>
      </bottom>
      <diagonal/>
    </border>
    <border diagonalUp="false" diagonalDown="false"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>
        <color rgb="FF1A1A1A"/>
      </left>
      <right style="hair">
        <color rgb="FF1A1A1A"/>
      </right>
      <top/>
      <bottom style="hair">
        <color rgb="FF1A1A1A"/>
      </bottom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slantDashDot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ck"/>
      <right style="thin"/>
      <top style="medium"/>
      <bottom style="thin"/>
      <diagonal/>
    </border>
    <border diagonalUp="false" diagonalDown="false">
      <left style="thin"/>
      <right style="thick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 style="thick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1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0" fillId="21" borderId="3" applyFont="true" applyBorder="true" applyAlignment="true" applyProtection="false">
      <alignment horizontal="general" vertical="bottom" textRotation="0" wrapText="false" indent="0" shrinkToFit="false"/>
    </xf>
    <xf numFmtId="164" fontId="0" fillId="21" borderId="3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22" borderId="0" applyFont="true" applyBorder="false" applyAlignment="true" applyProtection="false">
      <alignment horizontal="general" vertical="bottom" textRotation="0" wrapText="false" indent="0" shrinkToFit="false"/>
    </xf>
    <xf numFmtId="164" fontId="13" fillId="22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applyFont="true" applyBorder="false" applyAlignment="true" applyProtection="false">
      <alignment horizontal="general" vertical="bottom" textRotation="0" wrapText="false" indent="0" shrinkToFit="false"/>
    </xf>
    <xf numFmtId="164" fontId="18" fillId="4" borderId="0" applyFont="true" applyBorder="false" applyAlignment="true" applyProtection="false">
      <alignment horizontal="general" vertical="bottom" textRotation="0" wrapText="false" indent="0" shrinkToFit="false"/>
    </xf>
    <xf numFmtId="164" fontId="19" fillId="20" borderId="4" applyFont="true" applyBorder="true" applyAlignment="true" applyProtection="false">
      <alignment horizontal="general" vertical="bottom" textRotation="0" wrapText="false" indent="0" shrinkToFit="false"/>
    </xf>
    <xf numFmtId="164" fontId="19" fillId="20" borderId="4" applyFont="true" applyBorder="true" applyAlignment="true" applyProtection="false">
      <alignment horizontal="general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0" borderId="5" applyFont="true" applyBorder="true" applyAlignment="true" applyProtection="false">
      <alignment horizontal="general" vertical="bottom" textRotation="0" wrapText="false" indent="0" shrinkToFit="false"/>
    </xf>
    <xf numFmtId="164" fontId="22" fillId="0" borderId="5" applyFont="true" applyBorder="true" applyAlignment="true" applyProtection="false">
      <alignment horizontal="general" vertical="bottom" textRotation="0" wrapText="false" indent="0" shrinkToFit="false"/>
    </xf>
    <xf numFmtId="164" fontId="23" fillId="0" borderId="6" applyFont="true" applyBorder="true" applyAlignment="true" applyProtection="false">
      <alignment horizontal="general" vertical="bottom" textRotation="0" wrapText="false" indent="0" shrinkToFit="false"/>
    </xf>
    <xf numFmtId="164" fontId="23" fillId="0" borderId="6" applyFont="true" applyBorder="true" applyAlignment="true" applyProtection="false">
      <alignment horizontal="general" vertical="bottom" textRotation="0" wrapText="false" indent="0" shrinkToFit="false"/>
    </xf>
    <xf numFmtId="164" fontId="24" fillId="0" borderId="7" applyFont="true" applyBorder="true" applyAlignment="true" applyProtection="false">
      <alignment horizontal="general" vertical="bottom" textRotation="0" wrapText="false" indent="0" shrinkToFit="false"/>
    </xf>
    <xf numFmtId="164" fontId="24" fillId="0" borderId="7" applyFont="true" applyBorder="true" applyAlignment="true" applyProtection="false">
      <alignment horizontal="general" vertical="bottom" textRotation="0" wrapText="false" indent="0" shrinkToFit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8" applyFont="true" applyBorder="true" applyAlignment="true" applyProtection="false">
      <alignment horizontal="general" vertical="bottom" textRotation="0" wrapText="false" indent="0" shrinkToFit="false"/>
    </xf>
    <xf numFmtId="164" fontId="25" fillId="0" borderId="8" applyFont="true" applyBorder="true" applyAlignment="true" applyProtection="false">
      <alignment horizontal="general" vertical="bottom" textRotation="0" wrapText="false" indent="0" shrinkToFit="false"/>
    </xf>
    <xf numFmtId="164" fontId="26" fillId="23" borderId="9" applyFont="true" applyBorder="true" applyAlignment="true" applyProtection="false">
      <alignment horizontal="general" vertical="bottom" textRotation="0" wrapText="false" indent="0" shrinkToFit="false"/>
    </xf>
    <xf numFmtId="164" fontId="26" fillId="23" borderId="9" applyFont="true" applyBorder="true" applyAlignment="true" applyProtection="false">
      <alignment horizontal="general" vertical="bottom" textRotation="0" wrapText="false" indent="0" shrinkToFit="false"/>
    </xf>
  </cellStyleXfs>
  <cellXfs count="3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8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7" fillId="0" borderId="0" xfId="8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8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9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0" xfId="8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8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0" xfId="9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11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2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3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9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0" xfId="9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9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22" borderId="1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2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2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3" fillId="2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2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8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7" fontId="1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9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5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98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2" borderId="1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2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2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1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1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0" xfId="9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9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22" borderId="1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22" borderId="1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6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9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9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9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3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3" fillId="22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8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4" fillId="0" borderId="1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0" borderId="15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22" borderId="10" xfId="10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22" borderId="10" xfId="10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0" xfId="10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9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3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0" fillId="22" borderId="1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33" fillId="22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8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38" fillId="0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10" xfId="9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0" xfId="8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2" fillId="7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2" xfId="9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6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24" borderId="22" xfId="9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7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0" xfId="9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7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22" xfId="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7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9" fillId="7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1" xfId="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1" xfId="9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22" xfId="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1" xfId="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1" xfId="9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2" xfId="9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7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5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8" fillId="2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7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5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21" borderId="20" xfId="8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20" xfId="8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0" xfId="8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8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1" borderId="10" xfId="8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0" xfId="8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0" xfId="8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2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0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10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0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0" xfId="10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6" borderId="0" xfId="10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0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0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0" xfId="10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7" borderId="0" xfId="10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10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10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10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8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8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3" fillId="28" borderId="29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3" fillId="28" borderId="30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4" fillId="28" borderId="31" xfId="10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28" borderId="15" xfId="10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10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29" borderId="10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9" borderId="29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9" borderId="32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9" borderId="11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9" borderId="33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9" borderId="34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9" borderId="12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9" borderId="35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7" borderId="10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0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3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1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0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1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0" xfId="8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10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3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3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3" xfId="8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0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5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0" xfId="8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1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4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0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5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5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6" fillId="25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5" xfId="10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8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8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0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30" borderId="3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6" fillId="25" borderId="10" xfId="10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8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8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46" xfId="88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7" fillId="0" borderId="0" xfId="8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7" fillId="0" borderId="4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0" borderId="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0" xfId="8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9" fillId="0" borderId="0" xfId="8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18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31" borderId="4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48" xfId="88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4" fontId="45" fillId="32" borderId="49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2" borderId="3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3" borderId="3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4" borderId="3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5" borderId="5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51" xfId="88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4" fontId="58" fillId="0" borderId="52" xfId="88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4" fontId="45" fillId="32" borderId="53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2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36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6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2" borderId="54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55" xfId="88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4" fontId="58" fillId="0" borderId="4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56" xfId="88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4" fontId="45" fillId="37" borderId="5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2" borderId="22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2" borderId="58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0" borderId="4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49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36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1" borderId="59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6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6" borderId="59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61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3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5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53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13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54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5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22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7" borderId="22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2" borderId="22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4" borderId="22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16" borderId="58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10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31" borderId="4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32" borderId="49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32" borderId="3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36" borderId="3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37" borderId="3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32" borderId="5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32" borderId="53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32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35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32" borderId="54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32" borderId="5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32" borderId="22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33" borderId="22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36" borderId="22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34" borderId="58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49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17" borderId="62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3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16" borderId="3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62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12" borderId="3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5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63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11" borderId="59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64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15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16" borderId="59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54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57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65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22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24" borderId="22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58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66" xfId="88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4" fontId="57" fillId="0" borderId="0" xfId="88" applyFont="true" applyBorder="true" applyAlignment="true" applyProtection="false">
      <alignment horizontal="right" vertical="center" textRotation="90" wrapText="true" indent="0" shrinkToFit="false"/>
      <protection locked="true" hidden="false"/>
    </xf>
    <xf numFmtId="164" fontId="59" fillId="17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0" borderId="35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0" borderId="0" xfId="8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59" fillId="0" borderId="0" xfId="8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8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11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24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0" borderId="0" xfId="8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4" fillId="16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0" borderId="0" xfId="8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9" fillId="0" borderId="0" xfId="8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9" fillId="16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12" borderId="10" xfId="8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10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10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6" fillId="29" borderId="10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7" fillId="28" borderId="10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7" fillId="0" borderId="10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10" xfId="1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7" fillId="0" borderId="10" xfId="10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0" borderId="10" xfId="102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 % - Accent1 2" xfId="21"/>
    <cellStyle name="20 % - Accent1 3" xfId="22"/>
    <cellStyle name="20 % - Accent2 2" xfId="23"/>
    <cellStyle name="20 % - Accent2 3" xfId="24"/>
    <cellStyle name="20 % - Accent3 2" xfId="25"/>
    <cellStyle name="20 % - Accent3 3" xfId="26"/>
    <cellStyle name="20 % - Accent4 2" xfId="27"/>
    <cellStyle name="20 % - Accent4 3" xfId="28"/>
    <cellStyle name="20 % - Accent5 2" xfId="29"/>
    <cellStyle name="20 % - Accent5 3" xfId="30"/>
    <cellStyle name="20 % - Accent6 2" xfId="31"/>
    <cellStyle name="20 % - Accent6 3" xfId="32"/>
    <cellStyle name="40 % - Accent1 2" xfId="33"/>
    <cellStyle name="40 % - Accent1 3" xfId="34"/>
    <cellStyle name="40 % - Accent2 2" xfId="35"/>
    <cellStyle name="40 % - Accent2 3" xfId="36"/>
    <cellStyle name="40 % - Accent3 2" xfId="37"/>
    <cellStyle name="40 % - Accent3 3" xfId="38"/>
    <cellStyle name="40 % - Accent4 2" xfId="39"/>
    <cellStyle name="40 % - Accent4 3" xfId="40"/>
    <cellStyle name="40 % - Accent5 2" xfId="41"/>
    <cellStyle name="40 % - Accent5 3" xfId="42"/>
    <cellStyle name="40 % - Accent6 2" xfId="43"/>
    <cellStyle name="40 % - Accent6 3" xfId="44"/>
    <cellStyle name="60 % - Accent1 2" xfId="45"/>
    <cellStyle name="60 % - Accent1 3" xfId="46"/>
    <cellStyle name="60 % - Accent2 2" xfId="47"/>
    <cellStyle name="60 % - Accent2 3" xfId="48"/>
    <cellStyle name="60 % - Accent3 2" xfId="49"/>
    <cellStyle name="60 % - Accent3 3" xfId="50"/>
    <cellStyle name="60 % - Accent4 2" xfId="51"/>
    <cellStyle name="60 % - Accent4 3" xfId="52"/>
    <cellStyle name="60 % - Accent5 2" xfId="53"/>
    <cellStyle name="60 % - Accent5 3" xfId="54"/>
    <cellStyle name="60 % - Accent6 2" xfId="55"/>
    <cellStyle name="60 % - Accent6 3" xfId="56"/>
    <cellStyle name="Accent1 2" xfId="57"/>
    <cellStyle name="Accent1 3" xfId="58"/>
    <cellStyle name="Accent2 2" xfId="59"/>
    <cellStyle name="Accent2 3" xfId="60"/>
    <cellStyle name="Accent3 2" xfId="61"/>
    <cellStyle name="Accent3 3" xfId="62"/>
    <cellStyle name="Accent4 2" xfId="63"/>
    <cellStyle name="Accent4 3" xfId="64"/>
    <cellStyle name="Accent5 2" xfId="65"/>
    <cellStyle name="Accent5 3" xfId="66"/>
    <cellStyle name="Accent6 2" xfId="67"/>
    <cellStyle name="Accent6 3" xfId="68"/>
    <cellStyle name="Avertissement 2" xfId="69"/>
    <cellStyle name="Avertissement 3" xfId="70"/>
    <cellStyle name="Calcul 2" xfId="71"/>
    <cellStyle name="Calcul 3" xfId="72"/>
    <cellStyle name="Cellule liée 2" xfId="73"/>
    <cellStyle name="Cellule liée 3" xfId="74"/>
    <cellStyle name="Commentaire 2" xfId="75"/>
    <cellStyle name="Commentaire 3" xfId="76"/>
    <cellStyle name="Entrée 2" xfId="77"/>
    <cellStyle name="Entrée 3" xfId="78"/>
    <cellStyle name="Insatisfaisant 2" xfId="79"/>
    <cellStyle name="Insatisfaisant 3" xfId="80"/>
    <cellStyle name="Lien hypertexte 2" xfId="81"/>
    <cellStyle name="Lien hypertexte 3" xfId="82"/>
    <cellStyle name="Lien hypertexte 4" xfId="83"/>
    <cellStyle name="Milliers 2" xfId="84"/>
    <cellStyle name="Neutre 2" xfId="85"/>
    <cellStyle name="Neutre 3" xfId="86"/>
    <cellStyle name="Normal 10" xfId="87"/>
    <cellStyle name="Normal 2" xfId="88"/>
    <cellStyle name="Normal 2 2" xfId="89"/>
    <cellStyle name="Normal 2 2 2" xfId="90"/>
    <cellStyle name="Normal 2 2 3" xfId="91"/>
    <cellStyle name="Normal 2 2 3 2" xfId="92"/>
    <cellStyle name="Normal 2 2 4" xfId="93"/>
    <cellStyle name="Normal 2 3" xfId="94"/>
    <cellStyle name="Normal 3" xfId="95"/>
    <cellStyle name="Normal 3 2" xfId="96"/>
    <cellStyle name="Normal 3 3" xfId="97"/>
    <cellStyle name="Normal 4" xfId="98"/>
    <cellStyle name="Normal 4 2" xfId="99"/>
    <cellStyle name="Normal 4 3" xfId="100"/>
    <cellStyle name="Normal 5" xfId="101"/>
    <cellStyle name="Normal 6" xfId="102"/>
    <cellStyle name="Normal 7" xfId="103"/>
    <cellStyle name="Normal 8" xfId="104"/>
    <cellStyle name="Normal 8 2" xfId="105"/>
    <cellStyle name="Normal_C2_CN data_SAS" xfId="106"/>
    <cellStyle name="Normalny 2" xfId="107"/>
    <cellStyle name="Satisfaisant 2" xfId="108"/>
    <cellStyle name="Satisfaisant 3" xfId="109"/>
    <cellStyle name="Sortie 2" xfId="110"/>
    <cellStyle name="Sortie 3" xfId="111"/>
    <cellStyle name="Texte explicatif 2" xfId="112"/>
    <cellStyle name="Texte explicatif 3" xfId="113"/>
    <cellStyle name="Titre 3" xfId="114"/>
    <cellStyle name="Titre 1 2" xfId="115"/>
    <cellStyle name="Titre 1 3" xfId="116"/>
    <cellStyle name="Titre 2 2" xfId="117"/>
    <cellStyle name="Titre 2 3" xfId="118"/>
    <cellStyle name="Titre 3 2" xfId="119"/>
    <cellStyle name="Titre 3 3" xfId="120"/>
    <cellStyle name="Titre 4 2" xfId="121"/>
    <cellStyle name="Titre 4 3" xfId="122"/>
    <cellStyle name="Total 2" xfId="123"/>
    <cellStyle name="Total 3" xfId="124"/>
    <cellStyle name="Vérification 2" xfId="125"/>
    <cellStyle name="Vérification 3" xfId="126"/>
    <cellStyle name="*unknown*" xfId="20" builtinId="8"/>
  </cellStyles>
  <dxfs count="7">
    <dxf>
      <fill>
        <patternFill patternType="solid">
          <fgColor rgb="FFFFCC9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5596F"/>
      <rgbColor rgb="FF00B0F0"/>
      <rgbColor rgb="FFC00000"/>
      <rgbColor rgb="FF008000"/>
      <rgbColor rgb="FFFAC090"/>
      <rgbColor rgb="FF878787"/>
      <rgbColor rgb="FF800080"/>
      <rgbColor rgb="FF00B050"/>
      <rgbColor rgb="FFC0C0C0"/>
      <rgbColor rgb="FF808080"/>
      <rgbColor rgb="FF95B3D7"/>
      <rgbColor rgb="FFBE4B48"/>
      <rgbColor rgb="FFFCD5B5"/>
      <rgbColor rgb="FFDCE6F2"/>
      <rgbColor rgb="FFE0B920"/>
      <rgbColor rgb="FFFF8080"/>
      <rgbColor rgb="FF0066CC"/>
      <rgbColor rgb="FFCCCCFF"/>
      <rgbColor rgb="FFFFC000"/>
      <rgbColor rgb="FFF79646"/>
      <rgbColor rgb="FFE0E020"/>
      <rgbColor rgb="FFB9CDE5"/>
      <rgbColor rgb="FF98B855"/>
      <rgbColor rgb="FFE46C0A"/>
      <rgbColor rgb="FF4A7EBB"/>
      <rgbColor rgb="FFD9D9D9"/>
      <rgbColor rgb="FF00CCFF"/>
      <rgbColor rgb="FFE0E0E0"/>
      <rgbColor rgb="FFCCFFCC"/>
      <rgbColor rgb="FFFFFF99"/>
      <rgbColor rgb="FF99CCFF"/>
      <rgbColor rgb="FFFF99CC"/>
      <rgbColor rgb="FFCC99FF"/>
      <rgbColor rgb="FFFFCC99"/>
      <rgbColor rgb="FF206CB9"/>
      <rgbColor rgb="FF46AAC4"/>
      <rgbColor rgb="FF92D050"/>
      <rgbColor rgb="FFFFCC00"/>
      <rgbColor rgb="FFFF9900"/>
      <rgbColor rgb="FFFF6600"/>
      <rgbColor rgb="FF7D5FA0"/>
      <rgbColor rgb="FF969696"/>
      <rgbColor rgb="FF17375E"/>
      <rgbColor rgb="FF339966"/>
      <rgbColor rgb="FF4F81BD"/>
      <rgbColor rgb="FF464693"/>
      <rgbColor rgb="FF993300"/>
      <rgbColor rgb="FFE02020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externalLink" Target="externalLinks/externalLink1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Titre du diagramme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[1]METEO_STATION!$K$8</c:f>
              <c:strCache>
                <c:ptCount val="1"/>
                <c:pt idx="0">
                  <c:v>TM</c:v>
                </c:pt>
              </c:strCache>
            </c:strRef>
          </c:tx>
          <c:spPr>
            <a:solidFill>
              <a:srgbClr val="92d050"/>
            </a:solidFill>
            <a:ln w="19080">
              <a:solidFill>
                <a:srgbClr val="92d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[1]METEO_STATION!$N$9:$N$284</c:f>
              <c:numCache>
                <c:formatCode>General</c:formatCode>
                <c:ptCount val="276"/>
                <c:pt idx="0">
                  <c:v>40429</c:v>
                </c:pt>
                <c:pt idx="1">
                  <c:v>40430</c:v>
                </c:pt>
                <c:pt idx="2">
                  <c:v>40431</c:v>
                </c:pt>
                <c:pt idx="3">
                  <c:v>40432</c:v>
                </c:pt>
                <c:pt idx="4">
                  <c:v>40433</c:v>
                </c:pt>
                <c:pt idx="5">
                  <c:v>40434</c:v>
                </c:pt>
                <c:pt idx="6">
                  <c:v>40435</c:v>
                </c:pt>
                <c:pt idx="7">
                  <c:v>40436</c:v>
                </c:pt>
                <c:pt idx="8">
                  <c:v>40437</c:v>
                </c:pt>
                <c:pt idx="9">
                  <c:v>40438</c:v>
                </c:pt>
                <c:pt idx="10">
                  <c:v>40439</c:v>
                </c:pt>
                <c:pt idx="11">
                  <c:v>40440</c:v>
                </c:pt>
                <c:pt idx="12">
                  <c:v>40441</c:v>
                </c:pt>
                <c:pt idx="13">
                  <c:v>40442</c:v>
                </c:pt>
                <c:pt idx="14">
                  <c:v>40443</c:v>
                </c:pt>
                <c:pt idx="15">
                  <c:v>40444</c:v>
                </c:pt>
                <c:pt idx="16">
                  <c:v>40445</c:v>
                </c:pt>
                <c:pt idx="17">
                  <c:v>40446</c:v>
                </c:pt>
                <c:pt idx="18">
                  <c:v>40447</c:v>
                </c:pt>
                <c:pt idx="19">
                  <c:v>40448</c:v>
                </c:pt>
                <c:pt idx="20">
                  <c:v>40449</c:v>
                </c:pt>
                <c:pt idx="21">
                  <c:v>40450</c:v>
                </c:pt>
                <c:pt idx="22">
                  <c:v>40451</c:v>
                </c:pt>
                <c:pt idx="23">
                  <c:v>40452</c:v>
                </c:pt>
                <c:pt idx="24">
                  <c:v>40453</c:v>
                </c:pt>
                <c:pt idx="25">
                  <c:v>40454</c:v>
                </c:pt>
                <c:pt idx="26">
                  <c:v>40455</c:v>
                </c:pt>
                <c:pt idx="27">
                  <c:v>40456</c:v>
                </c:pt>
                <c:pt idx="28">
                  <c:v>40457</c:v>
                </c:pt>
                <c:pt idx="29">
                  <c:v>40458</c:v>
                </c:pt>
                <c:pt idx="30">
                  <c:v>40459</c:v>
                </c:pt>
                <c:pt idx="31">
                  <c:v>40460</c:v>
                </c:pt>
                <c:pt idx="32">
                  <c:v>40461</c:v>
                </c:pt>
                <c:pt idx="33">
                  <c:v>40462</c:v>
                </c:pt>
                <c:pt idx="34">
                  <c:v>40463</c:v>
                </c:pt>
                <c:pt idx="35">
                  <c:v>40464</c:v>
                </c:pt>
                <c:pt idx="36">
                  <c:v>40465</c:v>
                </c:pt>
                <c:pt idx="37">
                  <c:v>40466</c:v>
                </c:pt>
                <c:pt idx="38">
                  <c:v>40467</c:v>
                </c:pt>
                <c:pt idx="39">
                  <c:v>40468</c:v>
                </c:pt>
                <c:pt idx="40">
                  <c:v>40469</c:v>
                </c:pt>
                <c:pt idx="41">
                  <c:v>40470</c:v>
                </c:pt>
                <c:pt idx="42">
                  <c:v>40471</c:v>
                </c:pt>
                <c:pt idx="43">
                  <c:v>40472</c:v>
                </c:pt>
                <c:pt idx="44">
                  <c:v>40473</c:v>
                </c:pt>
                <c:pt idx="45">
                  <c:v>40474</c:v>
                </c:pt>
                <c:pt idx="46">
                  <c:v>40475</c:v>
                </c:pt>
                <c:pt idx="47">
                  <c:v>40476</c:v>
                </c:pt>
                <c:pt idx="48">
                  <c:v>40477</c:v>
                </c:pt>
                <c:pt idx="49">
                  <c:v>40478</c:v>
                </c:pt>
                <c:pt idx="50">
                  <c:v>40479</c:v>
                </c:pt>
                <c:pt idx="51">
                  <c:v>40480</c:v>
                </c:pt>
                <c:pt idx="52">
                  <c:v>40481</c:v>
                </c:pt>
                <c:pt idx="53">
                  <c:v>40482</c:v>
                </c:pt>
                <c:pt idx="54">
                  <c:v>40483</c:v>
                </c:pt>
                <c:pt idx="55">
                  <c:v>40484</c:v>
                </c:pt>
                <c:pt idx="56">
                  <c:v>40485</c:v>
                </c:pt>
                <c:pt idx="57">
                  <c:v>40486</c:v>
                </c:pt>
                <c:pt idx="58">
                  <c:v>40487</c:v>
                </c:pt>
                <c:pt idx="59">
                  <c:v>40488</c:v>
                </c:pt>
                <c:pt idx="60">
                  <c:v>40489</c:v>
                </c:pt>
                <c:pt idx="61">
                  <c:v>40490</c:v>
                </c:pt>
                <c:pt idx="62">
                  <c:v>40491</c:v>
                </c:pt>
                <c:pt idx="63">
                  <c:v>40492</c:v>
                </c:pt>
                <c:pt idx="64">
                  <c:v>40493</c:v>
                </c:pt>
                <c:pt idx="65">
                  <c:v>40494</c:v>
                </c:pt>
                <c:pt idx="66">
                  <c:v>40495</c:v>
                </c:pt>
                <c:pt idx="67">
                  <c:v>40496</c:v>
                </c:pt>
                <c:pt idx="68">
                  <c:v>40497</c:v>
                </c:pt>
                <c:pt idx="69">
                  <c:v>40498</c:v>
                </c:pt>
                <c:pt idx="70">
                  <c:v>40499</c:v>
                </c:pt>
                <c:pt idx="71">
                  <c:v>40500</c:v>
                </c:pt>
                <c:pt idx="72">
                  <c:v>40501</c:v>
                </c:pt>
                <c:pt idx="73">
                  <c:v>40502</c:v>
                </c:pt>
                <c:pt idx="74">
                  <c:v>40503</c:v>
                </c:pt>
                <c:pt idx="75">
                  <c:v>40504</c:v>
                </c:pt>
                <c:pt idx="76">
                  <c:v>40505</c:v>
                </c:pt>
                <c:pt idx="77">
                  <c:v>40506</c:v>
                </c:pt>
                <c:pt idx="78">
                  <c:v>40507</c:v>
                </c:pt>
                <c:pt idx="79">
                  <c:v>40508</c:v>
                </c:pt>
                <c:pt idx="80">
                  <c:v>40509</c:v>
                </c:pt>
                <c:pt idx="81">
                  <c:v>40510</c:v>
                </c:pt>
                <c:pt idx="82">
                  <c:v>40511</c:v>
                </c:pt>
                <c:pt idx="83">
                  <c:v>40512</c:v>
                </c:pt>
                <c:pt idx="84">
                  <c:v>40513</c:v>
                </c:pt>
                <c:pt idx="85">
                  <c:v>40514</c:v>
                </c:pt>
                <c:pt idx="86">
                  <c:v>40515</c:v>
                </c:pt>
                <c:pt idx="87">
                  <c:v>40516</c:v>
                </c:pt>
                <c:pt idx="88">
                  <c:v>40517</c:v>
                </c:pt>
                <c:pt idx="89">
                  <c:v>40518</c:v>
                </c:pt>
                <c:pt idx="90">
                  <c:v>40519</c:v>
                </c:pt>
                <c:pt idx="91">
                  <c:v>40520</c:v>
                </c:pt>
                <c:pt idx="92">
                  <c:v>40521</c:v>
                </c:pt>
                <c:pt idx="93">
                  <c:v>40522</c:v>
                </c:pt>
                <c:pt idx="94">
                  <c:v>40523</c:v>
                </c:pt>
                <c:pt idx="95">
                  <c:v>40524</c:v>
                </c:pt>
                <c:pt idx="96">
                  <c:v>40525</c:v>
                </c:pt>
                <c:pt idx="97">
                  <c:v>40526</c:v>
                </c:pt>
                <c:pt idx="98">
                  <c:v>40527</c:v>
                </c:pt>
                <c:pt idx="99">
                  <c:v>40528</c:v>
                </c:pt>
                <c:pt idx="100">
                  <c:v>40529</c:v>
                </c:pt>
                <c:pt idx="101">
                  <c:v>40530</c:v>
                </c:pt>
                <c:pt idx="102">
                  <c:v>40531</c:v>
                </c:pt>
                <c:pt idx="103">
                  <c:v>40532</c:v>
                </c:pt>
                <c:pt idx="104">
                  <c:v>40533</c:v>
                </c:pt>
                <c:pt idx="105">
                  <c:v>40534</c:v>
                </c:pt>
                <c:pt idx="106">
                  <c:v>40535</c:v>
                </c:pt>
                <c:pt idx="107">
                  <c:v>40536</c:v>
                </c:pt>
                <c:pt idx="108">
                  <c:v>40537</c:v>
                </c:pt>
                <c:pt idx="109">
                  <c:v>40538</c:v>
                </c:pt>
                <c:pt idx="110">
                  <c:v>40539</c:v>
                </c:pt>
                <c:pt idx="111">
                  <c:v>40540</c:v>
                </c:pt>
                <c:pt idx="112">
                  <c:v>40541</c:v>
                </c:pt>
                <c:pt idx="113">
                  <c:v>40542</c:v>
                </c:pt>
                <c:pt idx="114">
                  <c:v>40543</c:v>
                </c:pt>
                <c:pt idx="115">
                  <c:v>40544</c:v>
                </c:pt>
                <c:pt idx="116">
                  <c:v>40545</c:v>
                </c:pt>
                <c:pt idx="117">
                  <c:v>40546</c:v>
                </c:pt>
                <c:pt idx="118">
                  <c:v>40547</c:v>
                </c:pt>
                <c:pt idx="119">
                  <c:v>40548</c:v>
                </c:pt>
                <c:pt idx="120">
                  <c:v>40549</c:v>
                </c:pt>
                <c:pt idx="121">
                  <c:v>40550</c:v>
                </c:pt>
                <c:pt idx="122">
                  <c:v>40551</c:v>
                </c:pt>
                <c:pt idx="123">
                  <c:v>40552</c:v>
                </c:pt>
                <c:pt idx="124">
                  <c:v>40553</c:v>
                </c:pt>
                <c:pt idx="125">
                  <c:v>40554</c:v>
                </c:pt>
                <c:pt idx="126">
                  <c:v>40555</c:v>
                </c:pt>
                <c:pt idx="127">
                  <c:v>40556</c:v>
                </c:pt>
                <c:pt idx="128">
                  <c:v>40557</c:v>
                </c:pt>
                <c:pt idx="129">
                  <c:v>40558</c:v>
                </c:pt>
                <c:pt idx="130">
                  <c:v>40559</c:v>
                </c:pt>
                <c:pt idx="131">
                  <c:v>40560</c:v>
                </c:pt>
                <c:pt idx="132">
                  <c:v>40561</c:v>
                </c:pt>
                <c:pt idx="133">
                  <c:v>40562</c:v>
                </c:pt>
                <c:pt idx="134">
                  <c:v>40563</c:v>
                </c:pt>
                <c:pt idx="135">
                  <c:v>40564</c:v>
                </c:pt>
                <c:pt idx="136">
                  <c:v>40565</c:v>
                </c:pt>
                <c:pt idx="137">
                  <c:v>40566</c:v>
                </c:pt>
                <c:pt idx="138">
                  <c:v>40567</c:v>
                </c:pt>
                <c:pt idx="139">
                  <c:v>40568</c:v>
                </c:pt>
                <c:pt idx="140">
                  <c:v>40569</c:v>
                </c:pt>
                <c:pt idx="141">
                  <c:v>40570</c:v>
                </c:pt>
                <c:pt idx="142">
                  <c:v>40571</c:v>
                </c:pt>
                <c:pt idx="143">
                  <c:v>40572</c:v>
                </c:pt>
                <c:pt idx="144">
                  <c:v>40573</c:v>
                </c:pt>
                <c:pt idx="145">
                  <c:v>40574</c:v>
                </c:pt>
                <c:pt idx="146">
                  <c:v>40575</c:v>
                </c:pt>
                <c:pt idx="147">
                  <c:v>40576</c:v>
                </c:pt>
                <c:pt idx="148">
                  <c:v>40577</c:v>
                </c:pt>
                <c:pt idx="149">
                  <c:v>40578</c:v>
                </c:pt>
                <c:pt idx="150">
                  <c:v>40579</c:v>
                </c:pt>
                <c:pt idx="151">
                  <c:v>40580</c:v>
                </c:pt>
                <c:pt idx="152">
                  <c:v>40581</c:v>
                </c:pt>
                <c:pt idx="153">
                  <c:v>40582</c:v>
                </c:pt>
                <c:pt idx="154">
                  <c:v>40583</c:v>
                </c:pt>
                <c:pt idx="155">
                  <c:v>40584</c:v>
                </c:pt>
                <c:pt idx="156">
                  <c:v>40585</c:v>
                </c:pt>
                <c:pt idx="157">
                  <c:v>40586</c:v>
                </c:pt>
                <c:pt idx="158">
                  <c:v>40587</c:v>
                </c:pt>
                <c:pt idx="159">
                  <c:v>40588</c:v>
                </c:pt>
                <c:pt idx="160">
                  <c:v>40589</c:v>
                </c:pt>
                <c:pt idx="161">
                  <c:v>40590</c:v>
                </c:pt>
                <c:pt idx="162">
                  <c:v>40591</c:v>
                </c:pt>
                <c:pt idx="163">
                  <c:v>40592</c:v>
                </c:pt>
                <c:pt idx="164">
                  <c:v>40593</c:v>
                </c:pt>
                <c:pt idx="165">
                  <c:v>40594</c:v>
                </c:pt>
                <c:pt idx="166">
                  <c:v>40595</c:v>
                </c:pt>
                <c:pt idx="167">
                  <c:v>40596</c:v>
                </c:pt>
                <c:pt idx="168">
                  <c:v>40597</c:v>
                </c:pt>
                <c:pt idx="169">
                  <c:v>40598</c:v>
                </c:pt>
                <c:pt idx="170">
                  <c:v>40599</c:v>
                </c:pt>
                <c:pt idx="171">
                  <c:v>40600</c:v>
                </c:pt>
                <c:pt idx="172">
                  <c:v>40601</c:v>
                </c:pt>
                <c:pt idx="173">
                  <c:v>40602</c:v>
                </c:pt>
                <c:pt idx="174">
                  <c:v>40603</c:v>
                </c:pt>
                <c:pt idx="175">
                  <c:v>40604</c:v>
                </c:pt>
                <c:pt idx="176">
                  <c:v>40605</c:v>
                </c:pt>
                <c:pt idx="177">
                  <c:v>40606</c:v>
                </c:pt>
                <c:pt idx="178">
                  <c:v>40607</c:v>
                </c:pt>
                <c:pt idx="179">
                  <c:v>40608</c:v>
                </c:pt>
                <c:pt idx="180">
                  <c:v>40609</c:v>
                </c:pt>
                <c:pt idx="181">
                  <c:v>40610</c:v>
                </c:pt>
                <c:pt idx="182">
                  <c:v>40611</c:v>
                </c:pt>
                <c:pt idx="183">
                  <c:v>40612</c:v>
                </c:pt>
                <c:pt idx="184">
                  <c:v>40613</c:v>
                </c:pt>
                <c:pt idx="185">
                  <c:v>40614</c:v>
                </c:pt>
                <c:pt idx="186">
                  <c:v>40615</c:v>
                </c:pt>
                <c:pt idx="187">
                  <c:v>40616</c:v>
                </c:pt>
                <c:pt idx="188">
                  <c:v>40617</c:v>
                </c:pt>
                <c:pt idx="189">
                  <c:v>40618</c:v>
                </c:pt>
                <c:pt idx="190">
                  <c:v>40619</c:v>
                </c:pt>
                <c:pt idx="191">
                  <c:v>40620</c:v>
                </c:pt>
                <c:pt idx="192">
                  <c:v>40621</c:v>
                </c:pt>
                <c:pt idx="193">
                  <c:v>40622</c:v>
                </c:pt>
                <c:pt idx="194">
                  <c:v>40623</c:v>
                </c:pt>
                <c:pt idx="195">
                  <c:v>40624</c:v>
                </c:pt>
                <c:pt idx="196">
                  <c:v>40625</c:v>
                </c:pt>
                <c:pt idx="197">
                  <c:v>40626</c:v>
                </c:pt>
                <c:pt idx="198">
                  <c:v>40627</c:v>
                </c:pt>
                <c:pt idx="199">
                  <c:v>40628</c:v>
                </c:pt>
                <c:pt idx="200">
                  <c:v>40629</c:v>
                </c:pt>
                <c:pt idx="201">
                  <c:v>40630</c:v>
                </c:pt>
                <c:pt idx="202">
                  <c:v>40631</c:v>
                </c:pt>
                <c:pt idx="203">
                  <c:v>40632</c:v>
                </c:pt>
                <c:pt idx="204">
                  <c:v>40633</c:v>
                </c:pt>
                <c:pt idx="205">
                  <c:v>40634</c:v>
                </c:pt>
                <c:pt idx="206">
                  <c:v>40635</c:v>
                </c:pt>
                <c:pt idx="207">
                  <c:v>40636</c:v>
                </c:pt>
                <c:pt idx="208">
                  <c:v>40637</c:v>
                </c:pt>
                <c:pt idx="209">
                  <c:v>40638</c:v>
                </c:pt>
                <c:pt idx="210">
                  <c:v>40639</c:v>
                </c:pt>
                <c:pt idx="211">
                  <c:v>40640</c:v>
                </c:pt>
                <c:pt idx="212">
                  <c:v>40641</c:v>
                </c:pt>
                <c:pt idx="213">
                  <c:v>40642</c:v>
                </c:pt>
                <c:pt idx="214">
                  <c:v>40643</c:v>
                </c:pt>
                <c:pt idx="215">
                  <c:v>40644</c:v>
                </c:pt>
                <c:pt idx="216">
                  <c:v>40645</c:v>
                </c:pt>
                <c:pt idx="217">
                  <c:v>40646</c:v>
                </c:pt>
                <c:pt idx="218">
                  <c:v>40647</c:v>
                </c:pt>
                <c:pt idx="219">
                  <c:v>40648</c:v>
                </c:pt>
                <c:pt idx="220">
                  <c:v>40649</c:v>
                </c:pt>
                <c:pt idx="221">
                  <c:v>40650</c:v>
                </c:pt>
                <c:pt idx="222">
                  <c:v>40651</c:v>
                </c:pt>
                <c:pt idx="223">
                  <c:v>40652</c:v>
                </c:pt>
                <c:pt idx="224">
                  <c:v>40653</c:v>
                </c:pt>
                <c:pt idx="225">
                  <c:v>40654</c:v>
                </c:pt>
                <c:pt idx="226">
                  <c:v>40655</c:v>
                </c:pt>
                <c:pt idx="227">
                  <c:v>40656</c:v>
                </c:pt>
                <c:pt idx="228">
                  <c:v>40657</c:v>
                </c:pt>
                <c:pt idx="229">
                  <c:v>40658</c:v>
                </c:pt>
                <c:pt idx="230">
                  <c:v>40659</c:v>
                </c:pt>
                <c:pt idx="231">
                  <c:v>40660</c:v>
                </c:pt>
                <c:pt idx="232">
                  <c:v>40661</c:v>
                </c:pt>
                <c:pt idx="233">
                  <c:v>40662</c:v>
                </c:pt>
                <c:pt idx="234">
                  <c:v>40663</c:v>
                </c:pt>
                <c:pt idx="235">
                  <c:v>40664</c:v>
                </c:pt>
                <c:pt idx="236">
                  <c:v>40665</c:v>
                </c:pt>
                <c:pt idx="237">
                  <c:v>40666</c:v>
                </c:pt>
                <c:pt idx="238">
                  <c:v>40667</c:v>
                </c:pt>
                <c:pt idx="239">
                  <c:v>40668</c:v>
                </c:pt>
                <c:pt idx="240">
                  <c:v>40669</c:v>
                </c:pt>
                <c:pt idx="241">
                  <c:v>40670</c:v>
                </c:pt>
                <c:pt idx="242">
                  <c:v>40671</c:v>
                </c:pt>
                <c:pt idx="243">
                  <c:v>40672</c:v>
                </c:pt>
                <c:pt idx="244">
                  <c:v>40673</c:v>
                </c:pt>
                <c:pt idx="245">
                  <c:v>40674</c:v>
                </c:pt>
                <c:pt idx="246">
                  <c:v>40675</c:v>
                </c:pt>
                <c:pt idx="247">
                  <c:v>40676</c:v>
                </c:pt>
                <c:pt idx="248">
                  <c:v>40677</c:v>
                </c:pt>
                <c:pt idx="249">
                  <c:v>40678</c:v>
                </c:pt>
                <c:pt idx="250">
                  <c:v>40679</c:v>
                </c:pt>
                <c:pt idx="251">
                  <c:v>40680</c:v>
                </c:pt>
                <c:pt idx="252">
                  <c:v>40681</c:v>
                </c:pt>
                <c:pt idx="253">
                  <c:v>40682</c:v>
                </c:pt>
                <c:pt idx="254">
                  <c:v>40683</c:v>
                </c:pt>
                <c:pt idx="255">
                  <c:v>40684</c:v>
                </c:pt>
                <c:pt idx="256">
                  <c:v>40685</c:v>
                </c:pt>
                <c:pt idx="257">
                  <c:v>40686</c:v>
                </c:pt>
                <c:pt idx="258">
                  <c:v>40687</c:v>
                </c:pt>
                <c:pt idx="259">
                  <c:v>40688</c:v>
                </c:pt>
                <c:pt idx="260">
                  <c:v>40689</c:v>
                </c:pt>
                <c:pt idx="261">
                  <c:v>40690</c:v>
                </c:pt>
                <c:pt idx="262">
                  <c:v>40691</c:v>
                </c:pt>
                <c:pt idx="263">
                  <c:v>40692</c:v>
                </c:pt>
                <c:pt idx="264">
                  <c:v>40693</c:v>
                </c:pt>
                <c:pt idx="265">
                  <c:v>40694</c:v>
                </c:pt>
                <c:pt idx="266">
                  <c:v>40695</c:v>
                </c:pt>
                <c:pt idx="267">
                  <c:v>40696</c:v>
                </c:pt>
                <c:pt idx="268">
                  <c:v>40697</c:v>
                </c:pt>
                <c:pt idx="269">
                  <c:v>40698</c:v>
                </c:pt>
                <c:pt idx="270">
                  <c:v>40699</c:v>
                </c:pt>
                <c:pt idx="271">
                  <c:v>40700</c:v>
                </c:pt>
                <c:pt idx="272">
                  <c:v>40701</c:v>
                </c:pt>
                <c:pt idx="273">
                  <c:v>40702</c:v>
                </c:pt>
                <c:pt idx="274">
                  <c:v>40703</c:v>
                </c:pt>
                <c:pt idx="275">
                  <c:v>40704</c:v>
                </c:pt>
              </c:numCache>
            </c:numRef>
          </c:cat>
          <c:val>
            <c:numRef>
              <c:f>[1]METEO_STATION!$K$9:$K$284</c:f>
              <c:numCache>
                <c:formatCode>General</c:formatCode>
                <c:ptCount val="276"/>
                <c:pt idx="0">
                  <c:v>18.2</c:v>
                </c:pt>
                <c:pt idx="1">
                  <c:v>18.5</c:v>
                </c:pt>
                <c:pt idx="2">
                  <c:v>19.4</c:v>
                </c:pt>
                <c:pt idx="3">
                  <c:v>20.9</c:v>
                </c:pt>
                <c:pt idx="4">
                  <c:v>21.1</c:v>
                </c:pt>
                <c:pt idx="5">
                  <c:v>19.1</c:v>
                </c:pt>
                <c:pt idx="6">
                  <c:v>18.9</c:v>
                </c:pt>
                <c:pt idx="7">
                  <c:v>20.7</c:v>
                </c:pt>
                <c:pt idx="8">
                  <c:v>16.1</c:v>
                </c:pt>
                <c:pt idx="9">
                  <c:v>17.4</c:v>
                </c:pt>
                <c:pt idx="10">
                  <c:v>16.3</c:v>
                </c:pt>
                <c:pt idx="11">
                  <c:v>15.4</c:v>
                </c:pt>
                <c:pt idx="12">
                  <c:v>18</c:v>
                </c:pt>
                <c:pt idx="13">
                  <c:v>19.4</c:v>
                </c:pt>
                <c:pt idx="14">
                  <c:v>21.2</c:v>
                </c:pt>
                <c:pt idx="15">
                  <c:v>19.7</c:v>
                </c:pt>
                <c:pt idx="16">
                  <c:v>16.3</c:v>
                </c:pt>
                <c:pt idx="17">
                  <c:v>14.9</c:v>
                </c:pt>
                <c:pt idx="18">
                  <c:v>12.7</c:v>
                </c:pt>
                <c:pt idx="19">
                  <c:v>12.5</c:v>
                </c:pt>
                <c:pt idx="20">
                  <c:v>13.9</c:v>
                </c:pt>
                <c:pt idx="21">
                  <c:v>14.3</c:v>
                </c:pt>
                <c:pt idx="22">
                  <c:v>14.2</c:v>
                </c:pt>
                <c:pt idx="23">
                  <c:v>16.1</c:v>
                </c:pt>
                <c:pt idx="24">
                  <c:v>18.3</c:v>
                </c:pt>
                <c:pt idx="25">
                  <c:v>21.5</c:v>
                </c:pt>
                <c:pt idx="26">
                  <c:v>16.7</c:v>
                </c:pt>
                <c:pt idx="27">
                  <c:v>17.3</c:v>
                </c:pt>
                <c:pt idx="28">
                  <c:v>19.2</c:v>
                </c:pt>
                <c:pt idx="29">
                  <c:v>20</c:v>
                </c:pt>
                <c:pt idx="30">
                  <c:v>20.4</c:v>
                </c:pt>
                <c:pt idx="31">
                  <c:v>19.3</c:v>
                </c:pt>
                <c:pt idx="32">
                  <c:v>15.5</c:v>
                </c:pt>
                <c:pt idx="33">
                  <c:v>15.3</c:v>
                </c:pt>
                <c:pt idx="34">
                  <c:v>16.3</c:v>
                </c:pt>
                <c:pt idx="35">
                  <c:v>16</c:v>
                </c:pt>
                <c:pt idx="36">
                  <c:v>13.5</c:v>
                </c:pt>
                <c:pt idx="37">
                  <c:v>9.5</c:v>
                </c:pt>
                <c:pt idx="38">
                  <c:v>9.7</c:v>
                </c:pt>
                <c:pt idx="39">
                  <c:v>9.2</c:v>
                </c:pt>
                <c:pt idx="40">
                  <c:v>6.7</c:v>
                </c:pt>
                <c:pt idx="41">
                  <c:v>10.6</c:v>
                </c:pt>
                <c:pt idx="42">
                  <c:v>11.2</c:v>
                </c:pt>
                <c:pt idx="43">
                  <c:v>8.4</c:v>
                </c:pt>
                <c:pt idx="44">
                  <c:v>11.5</c:v>
                </c:pt>
                <c:pt idx="45">
                  <c:v>12.9</c:v>
                </c:pt>
                <c:pt idx="46">
                  <c:v>11.1</c:v>
                </c:pt>
                <c:pt idx="47">
                  <c:v>8.4</c:v>
                </c:pt>
                <c:pt idx="48">
                  <c:v>7.1</c:v>
                </c:pt>
                <c:pt idx="49">
                  <c:v>7.5</c:v>
                </c:pt>
                <c:pt idx="50">
                  <c:v>9.6</c:v>
                </c:pt>
                <c:pt idx="51">
                  <c:v>15.2</c:v>
                </c:pt>
                <c:pt idx="52">
                  <c:v>13.1</c:v>
                </c:pt>
                <c:pt idx="53">
                  <c:v>10.9</c:v>
                </c:pt>
                <c:pt idx="54">
                  <c:v>12</c:v>
                </c:pt>
                <c:pt idx="55">
                  <c:v>12.9</c:v>
                </c:pt>
                <c:pt idx="56">
                  <c:v>14.5</c:v>
                </c:pt>
                <c:pt idx="57">
                  <c:v>14.2</c:v>
                </c:pt>
                <c:pt idx="58">
                  <c:v>14.6</c:v>
                </c:pt>
                <c:pt idx="59">
                  <c:v>14.1</c:v>
                </c:pt>
                <c:pt idx="60">
                  <c:v>9.9</c:v>
                </c:pt>
                <c:pt idx="61">
                  <c:v>7.9</c:v>
                </c:pt>
                <c:pt idx="62">
                  <c:v>10.5</c:v>
                </c:pt>
                <c:pt idx="63">
                  <c:v>9</c:v>
                </c:pt>
                <c:pt idx="64">
                  <c:v>9.4</c:v>
                </c:pt>
                <c:pt idx="65">
                  <c:v>14.2</c:v>
                </c:pt>
                <c:pt idx="66">
                  <c:v>12.5</c:v>
                </c:pt>
                <c:pt idx="67">
                  <c:v>13.7</c:v>
                </c:pt>
                <c:pt idx="68">
                  <c:v>9.6</c:v>
                </c:pt>
                <c:pt idx="69">
                  <c:v>7.7</c:v>
                </c:pt>
                <c:pt idx="70">
                  <c:v>5</c:v>
                </c:pt>
                <c:pt idx="71">
                  <c:v>9</c:v>
                </c:pt>
                <c:pt idx="72">
                  <c:v>8.4</c:v>
                </c:pt>
                <c:pt idx="73">
                  <c:v>8.9</c:v>
                </c:pt>
                <c:pt idx="74">
                  <c:v>8</c:v>
                </c:pt>
                <c:pt idx="75">
                  <c:v>7.7</c:v>
                </c:pt>
                <c:pt idx="76">
                  <c:v>6.2</c:v>
                </c:pt>
                <c:pt idx="77">
                  <c:v>2.9</c:v>
                </c:pt>
                <c:pt idx="78">
                  <c:v>4.7</c:v>
                </c:pt>
                <c:pt idx="79">
                  <c:v>2.7</c:v>
                </c:pt>
                <c:pt idx="80">
                  <c:v>2</c:v>
                </c:pt>
                <c:pt idx="81">
                  <c:v>2.5</c:v>
                </c:pt>
                <c:pt idx="82">
                  <c:v>3</c:v>
                </c:pt>
                <c:pt idx="83">
                  <c:v>5.2</c:v>
                </c:pt>
                <c:pt idx="84">
                  <c:v>1.7</c:v>
                </c:pt>
                <c:pt idx="85">
                  <c:v>1.4</c:v>
                </c:pt>
                <c:pt idx="86">
                  <c:v>1.8</c:v>
                </c:pt>
                <c:pt idx="87">
                  <c:v>2.5</c:v>
                </c:pt>
                <c:pt idx="88">
                  <c:v>8.4</c:v>
                </c:pt>
                <c:pt idx="89">
                  <c:v>11.2</c:v>
                </c:pt>
                <c:pt idx="90">
                  <c:v>12</c:v>
                </c:pt>
                <c:pt idx="91">
                  <c:v>13.8</c:v>
                </c:pt>
                <c:pt idx="92">
                  <c:v>4.8</c:v>
                </c:pt>
                <c:pt idx="93">
                  <c:v>0.4</c:v>
                </c:pt>
                <c:pt idx="94">
                  <c:v>1.7</c:v>
                </c:pt>
                <c:pt idx="95">
                  <c:v>3.2</c:v>
                </c:pt>
                <c:pt idx="96">
                  <c:v>0.4</c:v>
                </c:pt>
                <c:pt idx="97">
                  <c:v>-0.4</c:v>
                </c:pt>
                <c:pt idx="98">
                  <c:v>-2.1</c:v>
                </c:pt>
                <c:pt idx="99">
                  <c:v>1.4</c:v>
                </c:pt>
                <c:pt idx="100">
                  <c:v>3</c:v>
                </c:pt>
                <c:pt idx="101">
                  <c:v>0.5</c:v>
                </c:pt>
                <c:pt idx="102">
                  <c:v>2.8</c:v>
                </c:pt>
                <c:pt idx="103">
                  <c:v>6.1</c:v>
                </c:pt>
                <c:pt idx="104">
                  <c:v>8.3</c:v>
                </c:pt>
                <c:pt idx="105">
                  <c:v>9.5</c:v>
                </c:pt>
                <c:pt idx="106">
                  <c:v>7.1</c:v>
                </c:pt>
                <c:pt idx="107">
                  <c:v>2.1</c:v>
                </c:pt>
                <c:pt idx="108">
                  <c:v>-0.3</c:v>
                </c:pt>
                <c:pt idx="109">
                  <c:v>-3</c:v>
                </c:pt>
                <c:pt idx="110">
                  <c:v>0.6</c:v>
                </c:pt>
                <c:pt idx="111">
                  <c:v>6</c:v>
                </c:pt>
                <c:pt idx="112">
                  <c:v>8.2</c:v>
                </c:pt>
                <c:pt idx="113">
                  <c:v>10.4</c:v>
                </c:pt>
                <c:pt idx="114">
                  <c:v>10.4</c:v>
                </c:pt>
                <c:pt idx="115">
                  <c:v>6.3</c:v>
                </c:pt>
                <c:pt idx="116">
                  <c:v>2.6</c:v>
                </c:pt>
                <c:pt idx="117">
                  <c:v>1.8</c:v>
                </c:pt>
                <c:pt idx="118">
                  <c:v>2.6</c:v>
                </c:pt>
                <c:pt idx="119">
                  <c:v>5.9</c:v>
                </c:pt>
                <c:pt idx="120">
                  <c:v>10.3</c:v>
                </c:pt>
                <c:pt idx="121">
                  <c:v>11.3</c:v>
                </c:pt>
                <c:pt idx="122">
                  <c:v>11.3</c:v>
                </c:pt>
                <c:pt idx="123">
                  <c:v>7.1</c:v>
                </c:pt>
                <c:pt idx="124">
                  <c:v>3.2</c:v>
                </c:pt>
                <c:pt idx="125">
                  <c:v>8.2</c:v>
                </c:pt>
                <c:pt idx="126">
                  <c:v>9.6</c:v>
                </c:pt>
                <c:pt idx="127">
                  <c:v>11.3</c:v>
                </c:pt>
                <c:pt idx="128">
                  <c:v>6.4</c:v>
                </c:pt>
                <c:pt idx="129">
                  <c:v>6.8</c:v>
                </c:pt>
                <c:pt idx="130">
                  <c:v>7.9</c:v>
                </c:pt>
                <c:pt idx="131">
                  <c:v>9.1</c:v>
                </c:pt>
                <c:pt idx="132">
                  <c:v>8.5</c:v>
                </c:pt>
                <c:pt idx="133">
                  <c:v>6.4</c:v>
                </c:pt>
                <c:pt idx="134">
                  <c:v>1.9</c:v>
                </c:pt>
                <c:pt idx="135">
                  <c:v>0.4</c:v>
                </c:pt>
                <c:pt idx="136">
                  <c:v>-1.8</c:v>
                </c:pt>
                <c:pt idx="137">
                  <c:v>-1.1</c:v>
                </c:pt>
                <c:pt idx="138">
                  <c:v>-1.6</c:v>
                </c:pt>
                <c:pt idx="139">
                  <c:v>-0.1</c:v>
                </c:pt>
                <c:pt idx="140">
                  <c:v>1</c:v>
                </c:pt>
                <c:pt idx="141">
                  <c:v>3.9</c:v>
                </c:pt>
                <c:pt idx="142">
                  <c:v>7.5</c:v>
                </c:pt>
                <c:pt idx="143">
                  <c:v>5.1</c:v>
                </c:pt>
                <c:pt idx="144">
                  <c:v>4</c:v>
                </c:pt>
                <c:pt idx="145">
                  <c:v>1</c:v>
                </c:pt>
                <c:pt idx="146">
                  <c:v>-0.5</c:v>
                </c:pt>
                <c:pt idx="147">
                  <c:v>2</c:v>
                </c:pt>
                <c:pt idx="148">
                  <c:v>7.6</c:v>
                </c:pt>
                <c:pt idx="149">
                  <c:v>9.3</c:v>
                </c:pt>
                <c:pt idx="150">
                  <c:v>7</c:v>
                </c:pt>
                <c:pt idx="151">
                  <c:v>2.9</c:v>
                </c:pt>
                <c:pt idx="152">
                  <c:v>5.6</c:v>
                </c:pt>
                <c:pt idx="153">
                  <c:v>7.2</c:v>
                </c:pt>
                <c:pt idx="154">
                  <c:v>6.8</c:v>
                </c:pt>
                <c:pt idx="155">
                  <c:v>6.1</c:v>
                </c:pt>
                <c:pt idx="156">
                  <c:v>8.3</c:v>
                </c:pt>
                <c:pt idx="157">
                  <c:v>7.2</c:v>
                </c:pt>
                <c:pt idx="158">
                  <c:v>7</c:v>
                </c:pt>
                <c:pt idx="159">
                  <c:v>7.4</c:v>
                </c:pt>
                <c:pt idx="160">
                  <c:v>9.4</c:v>
                </c:pt>
                <c:pt idx="161">
                  <c:v>9</c:v>
                </c:pt>
                <c:pt idx="162">
                  <c:v>7.7</c:v>
                </c:pt>
                <c:pt idx="163">
                  <c:v>9.1</c:v>
                </c:pt>
                <c:pt idx="164">
                  <c:v>7.3</c:v>
                </c:pt>
                <c:pt idx="165">
                  <c:v>9</c:v>
                </c:pt>
                <c:pt idx="166">
                  <c:v>9.2</c:v>
                </c:pt>
                <c:pt idx="167">
                  <c:v>8.5</c:v>
                </c:pt>
                <c:pt idx="168">
                  <c:v>9</c:v>
                </c:pt>
                <c:pt idx="169">
                  <c:v>11.1</c:v>
                </c:pt>
                <c:pt idx="170">
                  <c:v>10.7</c:v>
                </c:pt>
                <c:pt idx="171">
                  <c:v>9.3</c:v>
                </c:pt>
                <c:pt idx="172">
                  <c:v>7.2</c:v>
                </c:pt>
                <c:pt idx="173">
                  <c:v>6.1</c:v>
                </c:pt>
                <c:pt idx="174">
                  <c:v>4.7</c:v>
                </c:pt>
                <c:pt idx="175">
                  <c:v>4.7</c:v>
                </c:pt>
                <c:pt idx="176">
                  <c:v>3.7</c:v>
                </c:pt>
                <c:pt idx="177">
                  <c:v>6.8</c:v>
                </c:pt>
                <c:pt idx="178">
                  <c:v>8.1</c:v>
                </c:pt>
                <c:pt idx="179">
                  <c:v>7.4</c:v>
                </c:pt>
                <c:pt idx="180">
                  <c:v>9.1</c:v>
                </c:pt>
                <c:pt idx="181">
                  <c:v>10.2</c:v>
                </c:pt>
                <c:pt idx="182">
                  <c:v>10.4</c:v>
                </c:pt>
                <c:pt idx="183">
                  <c:v>7.7</c:v>
                </c:pt>
                <c:pt idx="184">
                  <c:v>8.3</c:v>
                </c:pt>
                <c:pt idx="185">
                  <c:v>10.9</c:v>
                </c:pt>
                <c:pt idx="186">
                  <c:v>12.2</c:v>
                </c:pt>
                <c:pt idx="187">
                  <c:v>13.3</c:v>
                </c:pt>
                <c:pt idx="188">
                  <c:v>13.2</c:v>
                </c:pt>
                <c:pt idx="189">
                  <c:v>11.8</c:v>
                </c:pt>
                <c:pt idx="190">
                  <c:v>10.9</c:v>
                </c:pt>
                <c:pt idx="191">
                  <c:v>11.1</c:v>
                </c:pt>
                <c:pt idx="192">
                  <c:v>11.6</c:v>
                </c:pt>
                <c:pt idx="193">
                  <c:v>10.1</c:v>
                </c:pt>
                <c:pt idx="194">
                  <c:v>10.2</c:v>
                </c:pt>
                <c:pt idx="195">
                  <c:v>11.5</c:v>
                </c:pt>
                <c:pt idx="196">
                  <c:v>12.1</c:v>
                </c:pt>
                <c:pt idx="197">
                  <c:v>12.7</c:v>
                </c:pt>
                <c:pt idx="198">
                  <c:v>12.1</c:v>
                </c:pt>
                <c:pt idx="199">
                  <c:v>13.6</c:v>
                </c:pt>
                <c:pt idx="200">
                  <c:v>12.6</c:v>
                </c:pt>
                <c:pt idx="201">
                  <c:v>11.4</c:v>
                </c:pt>
                <c:pt idx="202">
                  <c:v>11.1</c:v>
                </c:pt>
                <c:pt idx="203">
                  <c:v>11.9</c:v>
                </c:pt>
                <c:pt idx="204">
                  <c:v>13.7</c:v>
                </c:pt>
                <c:pt idx="205">
                  <c:v>15.3</c:v>
                </c:pt>
                <c:pt idx="206">
                  <c:v>14.7</c:v>
                </c:pt>
                <c:pt idx="207">
                  <c:v>13.6</c:v>
                </c:pt>
                <c:pt idx="208">
                  <c:v>12.8</c:v>
                </c:pt>
                <c:pt idx="209">
                  <c:v>13.4</c:v>
                </c:pt>
                <c:pt idx="210">
                  <c:v>16.8</c:v>
                </c:pt>
                <c:pt idx="211">
                  <c:v>18.9</c:v>
                </c:pt>
                <c:pt idx="212">
                  <c:v>19.1</c:v>
                </c:pt>
                <c:pt idx="213">
                  <c:v>19.1</c:v>
                </c:pt>
                <c:pt idx="214">
                  <c:v>14.9</c:v>
                </c:pt>
                <c:pt idx="215">
                  <c:v>15.3</c:v>
                </c:pt>
                <c:pt idx="216">
                  <c:v>13.2</c:v>
                </c:pt>
                <c:pt idx="217">
                  <c:v>11.9</c:v>
                </c:pt>
                <c:pt idx="218">
                  <c:v>13.7</c:v>
                </c:pt>
                <c:pt idx="219">
                  <c:v>12.9</c:v>
                </c:pt>
                <c:pt idx="220">
                  <c:v>13.4</c:v>
                </c:pt>
                <c:pt idx="221">
                  <c:v>14.8</c:v>
                </c:pt>
                <c:pt idx="222">
                  <c:v>16.1</c:v>
                </c:pt>
                <c:pt idx="223">
                  <c:v>14.9</c:v>
                </c:pt>
                <c:pt idx="224">
                  <c:v>15.8</c:v>
                </c:pt>
                <c:pt idx="225">
                  <c:v>16.7</c:v>
                </c:pt>
                <c:pt idx="226">
                  <c:v>15.6</c:v>
                </c:pt>
                <c:pt idx="227">
                  <c:v>13.4</c:v>
                </c:pt>
                <c:pt idx="228">
                  <c:v>16.3</c:v>
                </c:pt>
                <c:pt idx="229">
                  <c:v>15.8</c:v>
                </c:pt>
                <c:pt idx="230">
                  <c:v>17.2</c:v>
                </c:pt>
                <c:pt idx="231">
                  <c:v>16.8</c:v>
                </c:pt>
                <c:pt idx="232">
                  <c:v>15.6</c:v>
                </c:pt>
                <c:pt idx="233">
                  <c:v>15.2</c:v>
                </c:pt>
                <c:pt idx="234">
                  <c:v>16.7</c:v>
                </c:pt>
                <c:pt idx="235">
                  <c:v>17.4</c:v>
                </c:pt>
                <c:pt idx="236">
                  <c:v>16.8</c:v>
                </c:pt>
                <c:pt idx="237">
                  <c:v>15.9</c:v>
                </c:pt>
                <c:pt idx="238">
                  <c:v>16</c:v>
                </c:pt>
                <c:pt idx="239">
                  <c:v>17.7</c:v>
                </c:pt>
                <c:pt idx="240">
                  <c:v>18.2</c:v>
                </c:pt>
                <c:pt idx="241">
                  <c:v>17</c:v>
                </c:pt>
                <c:pt idx="242">
                  <c:v>19.5</c:v>
                </c:pt>
                <c:pt idx="243">
                  <c:v>19.6</c:v>
                </c:pt>
                <c:pt idx="244">
                  <c:v>19</c:v>
                </c:pt>
                <c:pt idx="245">
                  <c:v>20.9</c:v>
                </c:pt>
                <c:pt idx="246">
                  <c:v>18.8</c:v>
                </c:pt>
                <c:pt idx="247">
                  <c:v>21</c:v>
                </c:pt>
                <c:pt idx="248">
                  <c:v>15.1</c:v>
                </c:pt>
                <c:pt idx="249">
                  <c:v>0</c:v>
                </c:pt>
                <c:pt idx="250">
                  <c:v>16.1</c:v>
                </c:pt>
                <c:pt idx="251">
                  <c:v>19.2</c:v>
                </c:pt>
                <c:pt idx="252">
                  <c:v>20.1</c:v>
                </c:pt>
                <c:pt idx="253">
                  <c:v>19.5</c:v>
                </c:pt>
                <c:pt idx="254">
                  <c:v>20.7</c:v>
                </c:pt>
                <c:pt idx="255">
                  <c:v>21.7</c:v>
                </c:pt>
                <c:pt idx="256">
                  <c:v>18.2</c:v>
                </c:pt>
                <c:pt idx="257">
                  <c:v>21</c:v>
                </c:pt>
                <c:pt idx="258">
                  <c:v>20.9</c:v>
                </c:pt>
                <c:pt idx="259">
                  <c:v>22.9</c:v>
                </c:pt>
                <c:pt idx="260">
                  <c:v>19.6</c:v>
                </c:pt>
                <c:pt idx="261">
                  <c:v>16.3</c:v>
                </c:pt>
                <c:pt idx="262">
                  <c:v>18</c:v>
                </c:pt>
                <c:pt idx="263">
                  <c:v>21</c:v>
                </c:pt>
                <c:pt idx="264">
                  <c:v>20.1</c:v>
                </c:pt>
                <c:pt idx="265">
                  <c:v>15.3</c:v>
                </c:pt>
                <c:pt idx="266">
                  <c:v>12.9</c:v>
                </c:pt>
                <c:pt idx="267">
                  <c:v>13.3</c:v>
                </c:pt>
                <c:pt idx="268">
                  <c:v>17.2</c:v>
                </c:pt>
                <c:pt idx="269">
                  <c:v>17.6</c:v>
                </c:pt>
                <c:pt idx="270">
                  <c:v>19</c:v>
                </c:pt>
                <c:pt idx="271">
                  <c:v>19.6</c:v>
                </c:pt>
                <c:pt idx="272">
                  <c:v>15.4</c:v>
                </c:pt>
                <c:pt idx="273">
                  <c:v>15.1</c:v>
                </c:pt>
                <c:pt idx="274">
                  <c:v>17</c:v>
                </c:pt>
                <c:pt idx="275">
                  <c:v>15.7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[1]METEO_STATION!$L$8</c:f>
              <c:strCache>
                <c:ptCount val="1"/>
                <c:pt idx="0">
                  <c:v>TN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[1]METEO_STATION!$N$9:$N$284</c:f>
              <c:numCache>
                <c:formatCode>General</c:formatCode>
                <c:ptCount val="276"/>
                <c:pt idx="0">
                  <c:v>40429</c:v>
                </c:pt>
                <c:pt idx="1">
                  <c:v>40430</c:v>
                </c:pt>
                <c:pt idx="2">
                  <c:v>40431</c:v>
                </c:pt>
                <c:pt idx="3">
                  <c:v>40432</c:v>
                </c:pt>
                <c:pt idx="4">
                  <c:v>40433</c:v>
                </c:pt>
                <c:pt idx="5">
                  <c:v>40434</c:v>
                </c:pt>
                <c:pt idx="6">
                  <c:v>40435</c:v>
                </c:pt>
                <c:pt idx="7">
                  <c:v>40436</c:v>
                </c:pt>
                <c:pt idx="8">
                  <c:v>40437</c:v>
                </c:pt>
                <c:pt idx="9">
                  <c:v>40438</c:v>
                </c:pt>
                <c:pt idx="10">
                  <c:v>40439</c:v>
                </c:pt>
                <c:pt idx="11">
                  <c:v>40440</c:v>
                </c:pt>
                <c:pt idx="12">
                  <c:v>40441</c:v>
                </c:pt>
                <c:pt idx="13">
                  <c:v>40442</c:v>
                </c:pt>
                <c:pt idx="14">
                  <c:v>40443</c:v>
                </c:pt>
                <c:pt idx="15">
                  <c:v>40444</c:v>
                </c:pt>
                <c:pt idx="16">
                  <c:v>40445</c:v>
                </c:pt>
                <c:pt idx="17">
                  <c:v>40446</c:v>
                </c:pt>
                <c:pt idx="18">
                  <c:v>40447</c:v>
                </c:pt>
                <c:pt idx="19">
                  <c:v>40448</c:v>
                </c:pt>
                <c:pt idx="20">
                  <c:v>40449</c:v>
                </c:pt>
                <c:pt idx="21">
                  <c:v>40450</c:v>
                </c:pt>
                <c:pt idx="22">
                  <c:v>40451</c:v>
                </c:pt>
                <c:pt idx="23">
                  <c:v>40452</c:v>
                </c:pt>
                <c:pt idx="24">
                  <c:v>40453</c:v>
                </c:pt>
                <c:pt idx="25">
                  <c:v>40454</c:v>
                </c:pt>
                <c:pt idx="26">
                  <c:v>40455</c:v>
                </c:pt>
                <c:pt idx="27">
                  <c:v>40456</c:v>
                </c:pt>
                <c:pt idx="28">
                  <c:v>40457</c:v>
                </c:pt>
                <c:pt idx="29">
                  <c:v>40458</c:v>
                </c:pt>
                <c:pt idx="30">
                  <c:v>40459</c:v>
                </c:pt>
                <c:pt idx="31">
                  <c:v>40460</c:v>
                </c:pt>
                <c:pt idx="32">
                  <c:v>40461</c:v>
                </c:pt>
                <c:pt idx="33">
                  <c:v>40462</c:v>
                </c:pt>
                <c:pt idx="34">
                  <c:v>40463</c:v>
                </c:pt>
                <c:pt idx="35">
                  <c:v>40464</c:v>
                </c:pt>
                <c:pt idx="36">
                  <c:v>40465</c:v>
                </c:pt>
                <c:pt idx="37">
                  <c:v>40466</c:v>
                </c:pt>
                <c:pt idx="38">
                  <c:v>40467</c:v>
                </c:pt>
                <c:pt idx="39">
                  <c:v>40468</c:v>
                </c:pt>
                <c:pt idx="40">
                  <c:v>40469</c:v>
                </c:pt>
                <c:pt idx="41">
                  <c:v>40470</c:v>
                </c:pt>
                <c:pt idx="42">
                  <c:v>40471</c:v>
                </c:pt>
                <c:pt idx="43">
                  <c:v>40472</c:v>
                </c:pt>
                <c:pt idx="44">
                  <c:v>40473</c:v>
                </c:pt>
                <c:pt idx="45">
                  <c:v>40474</c:v>
                </c:pt>
                <c:pt idx="46">
                  <c:v>40475</c:v>
                </c:pt>
                <c:pt idx="47">
                  <c:v>40476</c:v>
                </c:pt>
                <c:pt idx="48">
                  <c:v>40477</c:v>
                </c:pt>
                <c:pt idx="49">
                  <c:v>40478</c:v>
                </c:pt>
                <c:pt idx="50">
                  <c:v>40479</c:v>
                </c:pt>
                <c:pt idx="51">
                  <c:v>40480</c:v>
                </c:pt>
                <c:pt idx="52">
                  <c:v>40481</c:v>
                </c:pt>
                <c:pt idx="53">
                  <c:v>40482</c:v>
                </c:pt>
                <c:pt idx="54">
                  <c:v>40483</c:v>
                </c:pt>
                <c:pt idx="55">
                  <c:v>40484</c:v>
                </c:pt>
                <c:pt idx="56">
                  <c:v>40485</c:v>
                </c:pt>
                <c:pt idx="57">
                  <c:v>40486</c:v>
                </c:pt>
                <c:pt idx="58">
                  <c:v>40487</c:v>
                </c:pt>
                <c:pt idx="59">
                  <c:v>40488</c:v>
                </c:pt>
                <c:pt idx="60">
                  <c:v>40489</c:v>
                </c:pt>
                <c:pt idx="61">
                  <c:v>40490</c:v>
                </c:pt>
                <c:pt idx="62">
                  <c:v>40491</c:v>
                </c:pt>
                <c:pt idx="63">
                  <c:v>40492</c:v>
                </c:pt>
                <c:pt idx="64">
                  <c:v>40493</c:v>
                </c:pt>
                <c:pt idx="65">
                  <c:v>40494</c:v>
                </c:pt>
                <c:pt idx="66">
                  <c:v>40495</c:v>
                </c:pt>
                <c:pt idx="67">
                  <c:v>40496</c:v>
                </c:pt>
                <c:pt idx="68">
                  <c:v>40497</c:v>
                </c:pt>
                <c:pt idx="69">
                  <c:v>40498</c:v>
                </c:pt>
                <c:pt idx="70">
                  <c:v>40499</c:v>
                </c:pt>
                <c:pt idx="71">
                  <c:v>40500</c:v>
                </c:pt>
                <c:pt idx="72">
                  <c:v>40501</c:v>
                </c:pt>
                <c:pt idx="73">
                  <c:v>40502</c:v>
                </c:pt>
                <c:pt idx="74">
                  <c:v>40503</c:v>
                </c:pt>
                <c:pt idx="75">
                  <c:v>40504</c:v>
                </c:pt>
                <c:pt idx="76">
                  <c:v>40505</c:v>
                </c:pt>
                <c:pt idx="77">
                  <c:v>40506</c:v>
                </c:pt>
                <c:pt idx="78">
                  <c:v>40507</c:v>
                </c:pt>
                <c:pt idx="79">
                  <c:v>40508</c:v>
                </c:pt>
                <c:pt idx="80">
                  <c:v>40509</c:v>
                </c:pt>
                <c:pt idx="81">
                  <c:v>40510</c:v>
                </c:pt>
                <c:pt idx="82">
                  <c:v>40511</c:v>
                </c:pt>
                <c:pt idx="83">
                  <c:v>40512</c:v>
                </c:pt>
                <c:pt idx="84">
                  <c:v>40513</c:v>
                </c:pt>
                <c:pt idx="85">
                  <c:v>40514</c:v>
                </c:pt>
                <c:pt idx="86">
                  <c:v>40515</c:v>
                </c:pt>
                <c:pt idx="87">
                  <c:v>40516</c:v>
                </c:pt>
                <c:pt idx="88">
                  <c:v>40517</c:v>
                </c:pt>
                <c:pt idx="89">
                  <c:v>40518</c:v>
                </c:pt>
                <c:pt idx="90">
                  <c:v>40519</c:v>
                </c:pt>
                <c:pt idx="91">
                  <c:v>40520</c:v>
                </c:pt>
                <c:pt idx="92">
                  <c:v>40521</c:v>
                </c:pt>
                <c:pt idx="93">
                  <c:v>40522</c:v>
                </c:pt>
                <c:pt idx="94">
                  <c:v>40523</c:v>
                </c:pt>
                <c:pt idx="95">
                  <c:v>40524</c:v>
                </c:pt>
                <c:pt idx="96">
                  <c:v>40525</c:v>
                </c:pt>
                <c:pt idx="97">
                  <c:v>40526</c:v>
                </c:pt>
                <c:pt idx="98">
                  <c:v>40527</c:v>
                </c:pt>
                <c:pt idx="99">
                  <c:v>40528</c:v>
                </c:pt>
                <c:pt idx="100">
                  <c:v>40529</c:v>
                </c:pt>
                <c:pt idx="101">
                  <c:v>40530</c:v>
                </c:pt>
                <c:pt idx="102">
                  <c:v>40531</c:v>
                </c:pt>
                <c:pt idx="103">
                  <c:v>40532</c:v>
                </c:pt>
                <c:pt idx="104">
                  <c:v>40533</c:v>
                </c:pt>
                <c:pt idx="105">
                  <c:v>40534</c:v>
                </c:pt>
                <c:pt idx="106">
                  <c:v>40535</c:v>
                </c:pt>
                <c:pt idx="107">
                  <c:v>40536</c:v>
                </c:pt>
                <c:pt idx="108">
                  <c:v>40537</c:v>
                </c:pt>
                <c:pt idx="109">
                  <c:v>40538</c:v>
                </c:pt>
                <c:pt idx="110">
                  <c:v>40539</c:v>
                </c:pt>
                <c:pt idx="111">
                  <c:v>40540</c:v>
                </c:pt>
                <c:pt idx="112">
                  <c:v>40541</c:v>
                </c:pt>
                <c:pt idx="113">
                  <c:v>40542</c:v>
                </c:pt>
                <c:pt idx="114">
                  <c:v>40543</c:v>
                </c:pt>
                <c:pt idx="115">
                  <c:v>40544</c:v>
                </c:pt>
                <c:pt idx="116">
                  <c:v>40545</c:v>
                </c:pt>
                <c:pt idx="117">
                  <c:v>40546</c:v>
                </c:pt>
                <c:pt idx="118">
                  <c:v>40547</c:v>
                </c:pt>
                <c:pt idx="119">
                  <c:v>40548</c:v>
                </c:pt>
                <c:pt idx="120">
                  <c:v>40549</c:v>
                </c:pt>
                <c:pt idx="121">
                  <c:v>40550</c:v>
                </c:pt>
                <c:pt idx="122">
                  <c:v>40551</c:v>
                </c:pt>
                <c:pt idx="123">
                  <c:v>40552</c:v>
                </c:pt>
                <c:pt idx="124">
                  <c:v>40553</c:v>
                </c:pt>
                <c:pt idx="125">
                  <c:v>40554</c:v>
                </c:pt>
                <c:pt idx="126">
                  <c:v>40555</c:v>
                </c:pt>
                <c:pt idx="127">
                  <c:v>40556</c:v>
                </c:pt>
                <c:pt idx="128">
                  <c:v>40557</c:v>
                </c:pt>
                <c:pt idx="129">
                  <c:v>40558</c:v>
                </c:pt>
                <c:pt idx="130">
                  <c:v>40559</c:v>
                </c:pt>
                <c:pt idx="131">
                  <c:v>40560</c:v>
                </c:pt>
                <c:pt idx="132">
                  <c:v>40561</c:v>
                </c:pt>
                <c:pt idx="133">
                  <c:v>40562</c:v>
                </c:pt>
                <c:pt idx="134">
                  <c:v>40563</c:v>
                </c:pt>
                <c:pt idx="135">
                  <c:v>40564</c:v>
                </c:pt>
                <c:pt idx="136">
                  <c:v>40565</c:v>
                </c:pt>
                <c:pt idx="137">
                  <c:v>40566</c:v>
                </c:pt>
                <c:pt idx="138">
                  <c:v>40567</c:v>
                </c:pt>
                <c:pt idx="139">
                  <c:v>40568</c:v>
                </c:pt>
                <c:pt idx="140">
                  <c:v>40569</c:v>
                </c:pt>
                <c:pt idx="141">
                  <c:v>40570</c:v>
                </c:pt>
                <c:pt idx="142">
                  <c:v>40571</c:v>
                </c:pt>
                <c:pt idx="143">
                  <c:v>40572</c:v>
                </c:pt>
                <c:pt idx="144">
                  <c:v>40573</c:v>
                </c:pt>
                <c:pt idx="145">
                  <c:v>40574</c:v>
                </c:pt>
                <c:pt idx="146">
                  <c:v>40575</c:v>
                </c:pt>
                <c:pt idx="147">
                  <c:v>40576</c:v>
                </c:pt>
                <c:pt idx="148">
                  <c:v>40577</c:v>
                </c:pt>
                <c:pt idx="149">
                  <c:v>40578</c:v>
                </c:pt>
                <c:pt idx="150">
                  <c:v>40579</c:v>
                </c:pt>
                <c:pt idx="151">
                  <c:v>40580</c:v>
                </c:pt>
                <c:pt idx="152">
                  <c:v>40581</c:v>
                </c:pt>
                <c:pt idx="153">
                  <c:v>40582</c:v>
                </c:pt>
                <c:pt idx="154">
                  <c:v>40583</c:v>
                </c:pt>
                <c:pt idx="155">
                  <c:v>40584</c:v>
                </c:pt>
                <c:pt idx="156">
                  <c:v>40585</c:v>
                </c:pt>
                <c:pt idx="157">
                  <c:v>40586</c:v>
                </c:pt>
                <c:pt idx="158">
                  <c:v>40587</c:v>
                </c:pt>
                <c:pt idx="159">
                  <c:v>40588</c:v>
                </c:pt>
                <c:pt idx="160">
                  <c:v>40589</c:v>
                </c:pt>
                <c:pt idx="161">
                  <c:v>40590</c:v>
                </c:pt>
                <c:pt idx="162">
                  <c:v>40591</c:v>
                </c:pt>
                <c:pt idx="163">
                  <c:v>40592</c:v>
                </c:pt>
                <c:pt idx="164">
                  <c:v>40593</c:v>
                </c:pt>
                <c:pt idx="165">
                  <c:v>40594</c:v>
                </c:pt>
                <c:pt idx="166">
                  <c:v>40595</c:v>
                </c:pt>
                <c:pt idx="167">
                  <c:v>40596</c:v>
                </c:pt>
                <c:pt idx="168">
                  <c:v>40597</c:v>
                </c:pt>
                <c:pt idx="169">
                  <c:v>40598</c:v>
                </c:pt>
                <c:pt idx="170">
                  <c:v>40599</c:v>
                </c:pt>
                <c:pt idx="171">
                  <c:v>40600</c:v>
                </c:pt>
                <c:pt idx="172">
                  <c:v>40601</c:v>
                </c:pt>
                <c:pt idx="173">
                  <c:v>40602</c:v>
                </c:pt>
                <c:pt idx="174">
                  <c:v>40603</c:v>
                </c:pt>
                <c:pt idx="175">
                  <c:v>40604</c:v>
                </c:pt>
                <c:pt idx="176">
                  <c:v>40605</c:v>
                </c:pt>
                <c:pt idx="177">
                  <c:v>40606</c:v>
                </c:pt>
                <c:pt idx="178">
                  <c:v>40607</c:v>
                </c:pt>
                <c:pt idx="179">
                  <c:v>40608</c:v>
                </c:pt>
                <c:pt idx="180">
                  <c:v>40609</c:v>
                </c:pt>
                <c:pt idx="181">
                  <c:v>40610</c:v>
                </c:pt>
                <c:pt idx="182">
                  <c:v>40611</c:v>
                </c:pt>
                <c:pt idx="183">
                  <c:v>40612</c:v>
                </c:pt>
                <c:pt idx="184">
                  <c:v>40613</c:v>
                </c:pt>
                <c:pt idx="185">
                  <c:v>40614</c:v>
                </c:pt>
                <c:pt idx="186">
                  <c:v>40615</c:v>
                </c:pt>
                <c:pt idx="187">
                  <c:v>40616</c:v>
                </c:pt>
                <c:pt idx="188">
                  <c:v>40617</c:v>
                </c:pt>
                <c:pt idx="189">
                  <c:v>40618</c:v>
                </c:pt>
                <c:pt idx="190">
                  <c:v>40619</c:v>
                </c:pt>
                <c:pt idx="191">
                  <c:v>40620</c:v>
                </c:pt>
                <c:pt idx="192">
                  <c:v>40621</c:v>
                </c:pt>
                <c:pt idx="193">
                  <c:v>40622</c:v>
                </c:pt>
                <c:pt idx="194">
                  <c:v>40623</c:v>
                </c:pt>
                <c:pt idx="195">
                  <c:v>40624</c:v>
                </c:pt>
                <c:pt idx="196">
                  <c:v>40625</c:v>
                </c:pt>
                <c:pt idx="197">
                  <c:v>40626</c:v>
                </c:pt>
                <c:pt idx="198">
                  <c:v>40627</c:v>
                </c:pt>
                <c:pt idx="199">
                  <c:v>40628</c:v>
                </c:pt>
                <c:pt idx="200">
                  <c:v>40629</c:v>
                </c:pt>
                <c:pt idx="201">
                  <c:v>40630</c:v>
                </c:pt>
                <c:pt idx="202">
                  <c:v>40631</c:v>
                </c:pt>
                <c:pt idx="203">
                  <c:v>40632</c:v>
                </c:pt>
                <c:pt idx="204">
                  <c:v>40633</c:v>
                </c:pt>
                <c:pt idx="205">
                  <c:v>40634</c:v>
                </c:pt>
                <c:pt idx="206">
                  <c:v>40635</c:v>
                </c:pt>
                <c:pt idx="207">
                  <c:v>40636</c:v>
                </c:pt>
                <c:pt idx="208">
                  <c:v>40637</c:v>
                </c:pt>
                <c:pt idx="209">
                  <c:v>40638</c:v>
                </c:pt>
                <c:pt idx="210">
                  <c:v>40639</c:v>
                </c:pt>
                <c:pt idx="211">
                  <c:v>40640</c:v>
                </c:pt>
                <c:pt idx="212">
                  <c:v>40641</c:v>
                </c:pt>
                <c:pt idx="213">
                  <c:v>40642</c:v>
                </c:pt>
                <c:pt idx="214">
                  <c:v>40643</c:v>
                </c:pt>
                <c:pt idx="215">
                  <c:v>40644</c:v>
                </c:pt>
                <c:pt idx="216">
                  <c:v>40645</c:v>
                </c:pt>
                <c:pt idx="217">
                  <c:v>40646</c:v>
                </c:pt>
                <c:pt idx="218">
                  <c:v>40647</c:v>
                </c:pt>
                <c:pt idx="219">
                  <c:v>40648</c:v>
                </c:pt>
                <c:pt idx="220">
                  <c:v>40649</c:v>
                </c:pt>
                <c:pt idx="221">
                  <c:v>40650</c:v>
                </c:pt>
                <c:pt idx="222">
                  <c:v>40651</c:v>
                </c:pt>
                <c:pt idx="223">
                  <c:v>40652</c:v>
                </c:pt>
                <c:pt idx="224">
                  <c:v>40653</c:v>
                </c:pt>
                <c:pt idx="225">
                  <c:v>40654</c:v>
                </c:pt>
                <c:pt idx="226">
                  <c:v>40655</c:v>
                </c:pt>
                <c:pt idx="227">
                  <c:v>40656</c:v>
                </c:pt>
                <c:pt idx="228">
                  <c:v>40657</c:v>
                </c:pt>
                <c:pt idx="229">
                  <c:v>40658</c:v>
                </c:pt>
                <c:pt idx="230">
                  <c:v>40659</c:v>
                </c:pt>
                <c:pt idx="231">
                  <c:v>40660</c:v>
                </c:pt>
                <c:pt idx="232">
                  <c:v>40661</c:v>
                </c:pt>
                <c:pt idx="233">
                  <c:v>40662</c:v>
                </c:pt>
                <c:pt idx="234">
                  <c:v>40663</c:v>
                </c:pt>
                <c:pt idx="235">
                  <c:v>40664</c:v>
                </c:pt>
                <c:pt idx="236">
                  <c:v>40665</c:v>
                </c:pt>
                <c:pt idx="237">
                  <c:v>40666</c:v>
                </c:pt>
                <c:pt idx="238">
                  <c:v>40667</c:v>
                </c:pt>
                <c:pt idx="239">
                  <c:v>40668</c:v>
                </c:pt>
                <c:pt idx="240">
                  <c:v>40669</c:v>
                </c:pt>
                <c:pt idx="241">
                  <c:v>40670</c:v>
                </c:pt>
                <c:pt idx="242">
                  <c:v>40671</c:v>
                </c:pt>
                <c:pt idx="243">
                  <c:v>40672</c:v>
                </c:pt>
                <c:pt idx="244">
                  <c:v>40673</c:v>
                </c:pt>
                <c:pt idx="245">
                  <c:v>40674</c:v>
                </c:pt>
                <c:pt idx="246">
                  <c:v>40675</c:v>
                </c:pt>
                <c:pt idx="247">
                  <c:v>40676</c:v>
                </c:pt>
                <c:pt idx="248">
                  <c:v>40677</c:v>
                </c:pt>
                <c:pt idx="249">
                  <c:v>40678</c:v>
                </c:pt>
                <c:pt idx="250">
                  <c:v>40679</c:v>
                </c:pt>
                <c:pt idx="251">
                  <c:v>40680</c:v>
                </c:pt>
                <c:pt idx="252">
                  <c:v>40681</c:v>
                </c:pt>
                <c:pt idx="253">
                  <c:v>40682</c:v>
                </c:pt>
                <c:pt idx="254">
                  <c:v>40683</c:v>
                </c:pt>
                <c:pt idx="255">
                  <c:v>40684</c:v>
                </c:pt>
                <c:pt idx="256">
                  <c:v>40685</c:v>
                </c:pt>
                <c:pt idx="257">
                  <c:v>40686</c:v>
                </c:pt>
                <c:pt idx="258">
                  <c:v>40687</c:v>
                </c:pt>
                <c:pt idx="259">
                  <c:v>40688</c:v>
                </c:pt>
                <c:pt idx="260">
                  <c:v>40689</c:v>
                </c:pt>
                <c:pt idx="261">
                  <c:v>40690</c:v>
                </c:pt>
                <c:pt idx="262">
                  <c:v>40691</c:v>
                </c:pt>
                <c:pt idx="263">
                  <c:v>40692</c:v>
                </c:pt>
                <c:pt idx="264">
                  <c:v>40693</c:v>
                </c:pt>
                <c:pt idx="265">
                  <c:v>40694</c:v>
                </c:pt>
                <c:pt idx="266">
                  <c:v>40695</c:v>
                </c:pt>
                <c:pt idx="267">
                  <c:v>40696</c:v>
                </c:pt>
                <c:pt idx="268">
                  <c:v>40697</c:v>
                </c:pt>
                <c:pt idx="269">
                  <c:v>40698</c:v>
                </c:pt>
                <c:pt idx="270">
                  <c:v>40699</c:v>
                </c:pt>
                <c:pt idx="271">
                  <c:v>40700</c:v>
                </c:pt>
                <c:pt idx="272">
                  <c:v>40701</c:v>
                </c:pt>
                <c:pt idx="273">
                  <c:v>40702</c:v>
                </c:pt>
                <c:pt idx="274">
                  <c:v>40703</c:v>
                </c:pt>
                <c:pt idx="275">
                  <c:v>40704</c:v>
                </c:pt>
              </c:numCache>
            </c:numRef>
          </c:cat>
          <c:val>
            <c:numRef>
              <c:f>[1]METEO_STATION!$L$9:$L$284</c:f>
              <c:numCache>
                <c:formatCode>General</c:formatCode>
                <c:ptCount val="276"/>
                <c:pt idx="0">
                  <c:v>14.1</c:v>
                </c:pt>
                <c:pt idx="1">
                  <c:v>15</c:v>
                </c:pt>
                <c:pt idx="2">
                  <c:v>15.2</c:v>
                </c:pt>
                <c:pt idx="3">
                  <c:v>11.5</c:v>
                </c:pt>
                <c:pt idx="4">
                  <c:v>15.7</c:v>
                </c:pt>
                <c:pt idx="5">
                  <c:v>14.7</c:v>
                </c:pt>
                <c:pt idx="6">
                  <c:v>10.1</c:v>
                </c:pt>
                <c:pt idx="7">
                  <c:v>12.1</c:v>
                </c:pt>
                <c:pt idx="8">
                  <c:v>14.8</c:v>
                </c:pt>
                <c:pt idx="9">
                  <c:v>15</c:v>
                </c:pt>
                <c:pt idx="10">
                  <c:v>13.4</c:v>
                </c:pt>
                <c:pt idx="11">
                  <c:v>8.6</c:v>
                </c:pt>
                <c:pt idx="12">
                  <c:v>7.9</c:v>
                </c:pt>
                <c:pt idx="13">
                  <c:v>17.7</c:v>
                </c:pt>
                <c:pt idx="14">
                  <c:v>13.7</c:v>
                </c:pt>
                <c:pt idx="15">
                  <c:v>14.6</c:v>
                </c:pt>
                <c:pt idx="16">
                  <c:v>14.4</c:v>
                </c:pt>
                <c:pt idx="17">
                  <c:v>13.5</c:v>
                </c:pt>
                <c:pt idx="18">
                  <c:v>9</c:v>
                </c:pt>
                <c:pt idx="19">
                  <c:v>6.5</c:v>
                </c:pt>
                <c:pt idx="20">
                  <c:v>10.7</c:v>
                </c:pt>
                <c:pt idx="21">
                  <c:v>6.8</c:v>
                </c:pt>
                <c:pt idx="22">
                  <c:v>10</c:v>
                </c:pt>
                <c:pt idx="23">
                  <c:v>9.4</c:v>
                </c:pt>
                <c:pt idx="24">
                  <c:v>14.7</c:v>
                </c:pt>
                <c:pt idx="25">
                  <c:v>17.9</c:v>
                </c:pt>
                <c:pt idx="26">
                  <c:v>13.9</c:v>
                </c:pt>
                <c:pt idx="27">
                  <c:v>10.9</c:v>
                </c:pt>
                <c:pt idx="28">
                  <c:v>15.4</c:v>
                </c:pt>
                <c:pt idx="29">
                  <c:v>15</c:v>
                </c:pt>
                <c:pt idx="30">
                  <c:v>17.7</c:v>
                </c:pt>
                <c:pt idx="31">
                  <c:v>17.5</c:v>
                </c:pt>
                <c:pt idx="32">
                  <c:v>14.5</c:v>
                </c:pt>
                <c:pt idx="33">
                  <c:v>13.9</c:v>
                </c:pt>
                <c:pt idx="34">
                  <c:v>13.2</c:v>
                </c:pt>
                <c:pt idx="35">
                  <c:v>12.7</c:v>
                </c:pt>
                <c:pt idx="36">
                  <c:v>11.6</c:v>
                </c:pt>
                <c:pt idx="37">
                  <c:v>7</c:v>
                </c:pt>
                <c:pt idx="38">
                  <c:v>6.9</c:v>
                </c:pt>
                <c:pt idx="39">
                  <c:v>7.9</c:v>
                </c:pt>
                <c:pt idx="40">
                  <c:v>5.5</c:v>
                </c:pt>
                <c:pt idx="41">
                  <c:v>4.1</c:v>
                </c:pt>
                <c:pt idx="42">
                  <c:v>10</c:v>
                </c:pt>
                <c:pt idx="43">
                  <c:v>2.6</c:v>
                </c:pt>
                <c:pt idx="44">
                  <c:v>3.8</c:v>
                </c:pt>
                <c:pt idx="45">
                  <c:v>8.4</c:v>
                </c:pt>
                <c:pt idx="46">
                  <c:v>10.1</c:v>
                </c:pt>
                <c:pt idx="47">
                  <c:v>7.1</c:v>
                </c:pt>
                <c:pt idx="48">
                  <c:v>3.5</c:v>
                </c:pt>
                <c:pt idx="49">
                  <c:v>0.6</c:v>
                </c:pt>
                <c:pt idx="50">
                  <c:v>4.2</c:v>
                </c:pt>
                <c:pt idx="51">
                  <c:v>6.3</c:v>
                </c:pt>
                <c:pt idx="52">
                  <c:v>10.6</c:v>
                </c:pt>
                <c:pt idx="53">
                  <c:v>8.4</c:v>
                </c:pt>
                <c:pt idx="54">
                  <c:v>9.6</c:v>
                </c:pt>
                <c:pt idx="55">
                  <c:v>9.6</c:v>
                </c:pt>
                <c:pt idx="56">
                  <c:v>12.4</c:v>
                </c:pt>
                <c:pt idx="57">
                  <c:v>11</c:v>
                </c:pt>
                <c:pt idx="58">
                  <c:v>14.1</c:v>
                </c:pt>
                <c:pt idx="59">
                  <c:v>12.9</c:v>
                </c:pt>
                <c:pt idx="60">
                  <c:v>7.5</c:v>
                </c:pt>
                <c:pt idx="61">
                  <c:v>3.5</c:v>
                </c:pt>
                <c:pt idx="62">
                  <c:v>7.5</c:v>
                </c:pt>
                <c:pt idx="63">
                  <c:v>8</c:v>
                </c:pt>
                <c:pt idx="64">
                  <c:v>2.2</c:v>
                </c:pt>
                <c:pt idx="65">
                  <c:v>11.3</c:v>
                </c:pt>
                <c:pt idx="66">
                  <c:v>5</c:v>
                </c:pt>
                <c:pt idx="67">
                  <c:v>10.8</c:v>
                </c:pt>
                <c:pt idx="68">
                  <c:v>8.6</c:v>
                </c:pt>
                <c:pt idx="69">
                  <c:v>6.9</c:v>
                </c:pt>
                <c:pt idx="70">
                  <c:v>-0.5</c:v>
                </c:pt>
                <c:pt idx="71">
                  <c:v>7</c:v>
                </c:pt>
                <c:pt idx="72">
                  <c:v>3.7</c:v>
                </c:pt>
                <c:pt idx="73">
                  <c:v>7.1</c:v>
                </c:pt>
                <c:pt idx="74">
                  <c:v>4.7</c:v>
                </c:pt>
                <c:pt idx="75">
                  <c:v>7.1</c:v>
                </c:pt>
                <c:pt idx="76">
                  <c:v>5</c:v>
                </c:pt>
                <c:pt idx="77">
                  <c:v>-0.8</c:v>
                </c:pt>
                <c:pt idx="78">
                  <c:v>1.2</c:v>
                </c:pt>
                <c:pt idx="79">
                  <c:v>1.1</c:v>
                </c:pt>
                <c:pt idx="80">
                  <c:v>-2.9</c:v>
                </c:pt>
                <c:pt idx="81">
                  <c:v>-3</c:v>
                </c:pt>
                <c:pt idx="82">
                  <c:v>-2.6</c:v>
                </c:pt>
                <c:pt idx="83">
                  <c:v>2.7</c:v>
                </c:pt>
                <c:pt idx="84">
                  <c:v>0.2</c:v>
                </c:pt>
                <c:pt idx="85">
                  <c:v>-3.5</c:v>
                </c:pt>
                <c:pt idx="86">
                  <c:v>-1.1</c:v>
                </c:pt>
                <c:pt idx="87">
                  <c:v>-1</c:v>
                </c:pt>
                <c:pt idx="88">
                  <c:v>1.5</c:v>
                </c:pt>
                <c:pt idx="89">
                  <c:v>9.8</c:v>
                </c:pt>
                <c:pt idx="90">
                  <c:v>6.8</c:v>
                </c:pt>
                <c:pt idx="91">
                  <c:v>11.4</c:v>
                </c:pt>
                <c:pt idx="92">
                  <c:v>4.2</c:v>
                </c:pt>
                <c:pt idx="93">
                  <c:v>-3.9</c:v>
                </c:pt>
                <c:pt idx="94">
                  <c:v>-3.9</c:v>
                </c:pt>
                <c:pt idx="95">
                  <c:v>-1.9</c:v>
                </c:pt>
                <c:pt idx="96">
                  <c:v>-3.5</c:v>
                </c:pt>
                <c:pt idx="97">
                  <c:v>-5.1</c:v>
                </c:pt>
                <c:pt idx="98">
                  <c:v>-3.4</c:v>
                </c:pt>
                <c:pt idx="99">
                  <c:v>-3.5</c:v>
                </c:pt>
                <c:pt idx="100">
                  <c:v>1.6</c:v>
                </c:pt>
                <c:pt idx="101">
                  <c:v>-4.6</c:v>
                </c:pt>
                <c:pt idx="102">
                  <c:v>-2.3</c:v>
                </c:pt>
                <c:pt idx="103">
                  <c:v>0.5</c:v>
                </c:pt>
                <c:pt idx="104">
                  <c:v>5.9</c:v>
                </c:pt>
                <c:pt idx="105">
                  <c:v>3.9</c:v>
                </c:pt>
                <c:pt idx="106">
                  <c:v>5.4</c:v>
                </c:pt>
                <c:pt idx="107">
                  <c:v>0.6</c:v>
                </c:pt>
                <c:pt idx="108">
                  <c:v>-0.8</c:v>
                </c:pt>
                <c:pt idx="109">
                  <c:v>-5.9</c:v>
                </c:pt>
                <c:pt idx="110">
                  <c:v>-6.7</c:v>
                </c:pt>
                <c:pt idx="111">
                  <c:v>2</c:v>
                </c:pt>
                <c:pt idx="112">
                  <c:v>4.8</c:v>
                </c:pt>
                <c:pt idx="113">
                  <c:v>6.4</c:v>
                </c:pt>
                <c:pt idx="114">
                  <c:v>9.5</c:v>
                </c:pt>
                <c:pt idx="115">
                  <c:v>3.1</c:v>
                </c:pt>
                <c:pt idx="116">
                  <c:v>1.3</c:v>
                </c:pt>
                <c:pt idx="117">
                  <c:v>1.2</c:v>
                </c:pt>
                <c:pt idx="118">
                  <c:v>0.1</c:v>
                </c:pt>
                <c:pt idx="119">
                  <c:v>2</c:v>
                </c:pt>
                <c:pt idx="120">
                  <c:v>6.7</c:v>
                </c:pt>
                <c:pt idx="121">
                  <c:v>9.8</c:v>
                </c:pt>
                <c:pt idx="122">
                  <c:v>7.9</c:v>
                </c:pt>
                <c:pt idx="123">
                  <c:v>6.1</c:v>
                </c:pt>
                <c:pt idx="124">
                  <c:v>-1.6</c:v>
                </c:pt>
                <c:pt idx="125">
                  <c:v>2.3</c:v>
                </c:pt>
                <c:pt idx="126">
                  <c:v>6.8</c:v>
                </c:pt>
                <c:pt idx="127">
                  <c:v>10</c:v>
                </c:pt>
                <c:pt idx="128">
                  <c:v>4.5</c:v>
                </c:pt>
                <c:pt idx="129">
                  <c:v>3</c:v>
                </c:pt>
                <c:pt idx="130">
                  <c:v>0.3</c:v>
                </c:pt>
                <c:pt idx="131">
                  <c:v>2.7</c:v>
                </c:pt>
                <c:pt idx="132">
                  <c:v>4.9</c:v>
                </c:pt>
                <c:pt idx="133">
                  <c:v>5.2</c:v>
                </c:pt>
                <c:pt idx="134">
                  <c:v>-2.1</c:v>
                </c:pt>
                <c:pt idx="135">
                  <c:v>-1.8</c:v>
                </c:pt>
                <c:pt idx="136">
                  <c:v>-4.1</c:v>
                </c:pt>
                <c:pt idx="137">
                  <c:v>-3.9</c:v>
                </c:pt>
                <c:pt idx="138">
                  <c:v>-6.5</c:v>
                </c:pt>
                <c:pt idx="139">
                  <c:v>-5.2</c:v>
                </c:pt>
                <c:pt idx="140">
                  <c:v>-3.9</c:v>
                </c:pt>
                <c:pt idx="141">
                  <c:v>-3.7</c:v>
                </c:pt>
                <c:pt idx="142">
                  <c:v>2.9</c:v>
                </c:pt>
                <c:pt idx="143">
                  <c:v>3.3</c:v>
                </c:pt>
                <c:pt idx="144">
                  <c:v>3</c:v>
                </c:pt>
                <c:pt idx="145">
                  <c:v>0.2</c:v>
                </c:pt>
                <c:pt idx="146">
                  <c:v>-2.1</c:v>
                </c:pt>
                <c:pt idx="147">
                  <c:v>-1.9</c:v>
                </c:pt>
                <c:pt idx="148">
                  <c:v>4.2</c:v>
                </c:pt>
                <c:pt idx="149">
                  <c:v>7.1</c:v>
                </c:pt>
                <c:pt idx="150">
                  <c:v>1.8</c:v>
                </c:pt>
                <c:pt idx="151">
                  <c:v>-1.9</c:v>
                </c:pt>
                <c:pt idx="152">
                  <c:v>-2.1</c:v>
                </c:pt>
                <c:pt idx="153">
                  <c:v>0.8</c:v>
                </c:pt>
                <c:pt idx="154">
                  <c:v>0.1</c:v>
                </c:pt>
                <c:pt idx="155">
                  <c:v>0.2</c:v>
                </c:pt>
                <c:pt idx="156">
                  <c:v>4.7</c:v>
                </c:pt>
                <c:pt idx="157">
                  <c:v>0.8</c:v>
                </c:pt>
                <c:pt idx="158">
                  <c:v>3.2</c:v>
                </c:pt>
                <c:pt idx="159">
                  <c:v>5.9</c:v>
                </c:pt>
                <c:pt idx="160">
                  <c:v>4</c:v>
                </c:pt>
                <c:pt idx="161">
                  <c:v>4.8</c:v>
                </c:pt>
                <c:pt idx="162">
                  <c:v>3.6</c:v>
                </c:pt>
                <c:pt idx="163">
                  <c:v>7.1</c:v>
                </c:pt>
                <c:pt idx="164">
                  <c:v>1.5</c:v>
                </c:pt>
                <c:pt idx="165">
                  <c:v>7.7</c:v>
                </c:pt>
                <c:pt idx="166">
                  <c:v>4.4</c:v>
                </c:pt>
                <c:pt idx="167">
                  <c:v>7.3</c:v>
                </c:pt>
                <c:pt idx="168">
                  <c:v>6.4</c:v>
                </c:pt>
                <c:pt idx="169">
                  <c:v>9.5</c:v>
                </c:pt>
                <c:pt idx="170">
                  <c:v>9.9</c:v>
                </c:pt>
                <c:pt idx="171">
                  <c:v>4.1</c:v>
                </c:pt>
                <c:pt idx="172">
                  <c:v>6.2</c:v>
                </c:pt>
                <c:pt idx="173">
                  <c:v>3.1</c:v>
                </c:pt>
                <c:pt idx="174">
                  <c:v>3.2</c:v>
                </c:pt>
                <c:pt idx="175">
                  <c:v>4.5</c:v>
                </c:pt>
                <c:pt idx="176">
                  <c:v>1.9</c:v>
                </c:pt>
                <c:pt idx="177">
                  <c:v>-0.5</c:v>
                </c:pt>
                <c:pt idx="178">
                  <c:v>0.4</c:v>
                </c:pt>
                <c:pt idx="179">
                  <c:v>-0.1</c:v>
                </c:pt>
                <c:pt idx="180">
                  <c:v>0.3</c:v>
                </c:pt>
                <c:pt idx="181">
                  <c:v>8.8</c:v>
                </c:pt>
                <c:pt idx="182">
                  <c:v>7</c:v>
                </c:pt>
                <c:pt idx="183">
                  <c:v>2.3</c:v>
                </c:pt>
                <c:pt idx="184">
                  <c:v>1.4</c:v>
                </c:pt>
                <c:pt idx="185">
                  <c:v>10</c:v>
                </c:pt>
                <c:pt idx="186">
                  <c:v>8.7</c:v>
                </c:pt>
                <c:pt idx="187">
                  <c:v>8.9</c:v>
                </c:pt>
                <c:pt idx="188">
                  <c:v>12.3</c:v>
                </c:pt>
                <c:pt idx="189">
                  <c:v>10.3</c:v>
                </c:pt>
                <c:pt idx="190">
                  <c:v>9.9</c:v>
                </c:pt>
                <c:pt idx="191">
                  <c:v>5.8</c:v>
                </c:pt>
                <c:pt idx="192">
                  <c:v>8.8</c:v>
                </c:pt>
                <c:pt idx="193">
                  <c:v>5.9</c:v>
                </c:pt>
                <c:pt idx="194">
                  <c:v>4.1</c:v>
                </c:pt>
                <c:pt idx="195">
                  <c:v>7.3</c:v>
                </c:pt>
                <c:pt idx="196">
                  <c:v>3.3</c:v>
                </c:pt>
                <c:pt idx="197">
                  <c:v>4.4</c:v>
                </c:pt>
                <c:pt idx="198">
                  <c:v>8.4</c:v>
                </c:pt>
                <c:pt idx="199">
                  <c:v>6.9</c:v>
                </c:pt>
                <c:pt idx="200">
                  <c:v>10.9</c:v>
                </c:pt>
                <c:pt idx="201">
                  <c:v>9.5</c:v>
                </c:pt>
                <c:pt idx="202">
                  <c:v>7.7</c:v>
                </c:pt>
                <c:pt idx="203">
                  <c:v>9</c:v>
                </c:pt>
                <c:pt idx="204">
                  <c:v>10.6</c:v>
                </c:pt>
                <c:pt idx="205">
                  <c:v>5.7</c:v>
                </c:pt>
                <c:pt idx="206">
                  <c:v>11.3</c:v>
                </c:pt>
                <c:pt idx="207">
                  <c:v>12.7</c:v>
                </c:pt>
                <c:pt idx="208">
                  <c:v>10</c:v>
                </c:pt>
                <c:pt idx="209">
                  <c:v>5.1</c:v>
                </c:pt>
                <c:pt idx="210">
                  <c:v>7.1</c:v>
                </c:pt>
                <c:pt idx="211">
                  <c:v>9.5</c:v>
                </c:pt>
                <c:pt idx="212">
                  <c:v>10.3</c:v>
                </c:pt>
                <c:pt idx="213">
                  <c:v>10.2</c:v>
                </c:pt>
                <c:pt idx="214">
                  <c:v>14</c:v>
                </c:pt>
                <c:pt idx="215">
                  <c:v>12.7</c:v>
                </c:pt>
                <c:pt idx="216">
                  <c:v>11.6</c:v>
                </c:pt>
                <c:pt idx="217">
                  <c:v>4.6</c:v>
                </c:pt>
                <c:pt idx="218">
                  <c:v>6.3</c:v>
                </c:pt>
                <c:pt idx="219">
                  <c:v>6.9</c:v>
                </c:pt>
                <c:pt idx="220">
                  <c:v>4.9</c:v>
                </c:pt>
                <c:pt idx="221">
                  <c:v>6</c:v>
                </c:pt>
                <c:pt idx="222">
                  <c:v>11.1</c:v>
                </c:pt>
                <c:pt idx="223">
                  <c:v>9.9</c:v>
                </c:pt>
                <c:pt idx="224">
                  <c:v>11.6</c:v>
                </c:pt>
                <c:pt idx="225">
                  <c:v>12.7</c:v>
                </c:pt>
                <c:pt idx="226">
                  <c:v>12.9</c:v>
                </c:pt>
                <c:pt idx="227">
                  <c:v>11.4</c:v>
                </c:pt>
                <c:pt idx="228">
                  <c:v>12.5</c:v>
                </c:pt>
                <c:pt idx="229">
                  <c:v>11.3</c:v>
                </c:pt>
                <c:pt idx="230">
                  <c:v>13.2</c:v>
                </c:pt>
                <c:pt idx="231">
                  <c:v>12.2</c:v>
                </c:pt>
                <c:pt idx="232">
                  <c:v>9.8</c:v>
                </c:pt>
                <c:pt idx="233">
                  <c:v>8.3</c:v>
                </c:pt>
                <c:pt idx="234">
                  <c:v>11.7</c:v>
                </c:pt>
                <c:pt idx="235">
                  <c:v>11.7</c:v>
                </c:pt>
                <c:pt idx="236">
                  <c:v>13</c:v>
                </c:pt>
                <c:pt idx="237">
                  <c:v>13.2</c:v>
                </c:pt>
                <c:pt idx="238">
                  <c:v>11.6</c:v>
                </c:pt>
                <c:pt idx="239">
                  <c:v>10.3</c:v>
                </c:pt>
                <c:pt idx="240">
                  <c:v>14.7</c:v>
                </c:pt>
                <c:pt idx="241">
                  <c:v>15.9</c:v>
                </c:pt>
                <c:pt idx="242">
                  <c:v>14.1</c:v>
                </c:pt>
                <c:pt idx="243">
                  <c:v>12.9</c:v>
                </c:pt>
                <c:pt idx="244">
                  <c:v>13.8</c:v>
                </c:pt>
                <c:pt idx="245">
                  <c:v>12.3</c:v>
                </c:pt>
                <c:pt idx="246">
                  <c:v>15.8</c:v>
                </c:pt>
                <c:pt idx="247">
                  <c:v>15.9</c:v>
                </c:pt>
                <c:pt idx="248">
                  <c:v>14.3</c:v>
                </c:pt>
                <c:pt idx="250">
                  <c:v>7.5</c:v>
                </c:pt>
                <c:pt idx="251">
                  <c:v>9.6</c:v>
                </c:pt>
                <c:pt idx="252">
                  <c:v>11.2</c:v>
                </c:pt>
                <c:pt idx="253">
                  <c:v>13.2</c:v>
                </c:pt>
                <c:pt idx="254">
                  <c:v>11.8</c:v>
                </c:pt>
                <c:pt idx="255">
                  <c:v>14.4</c:v>
                </c:pt>
                <c:pt idx="256">
                  <c:v>15.1</c:v>
                </c:pt>
                <c:pt idx="257">
                  <c:v>12.1</c:v>
                </c:pt>
                <c:pt idx="258">
                  <c:v>13.7</c:v>
                </c:pt>
                <c:pt idx="259">
                  <c:v>13.7</c:v>
                </c:pt>
                <c:pt idx="260">
                  <c:v>17.4</c:v>
                </c:pt>
                <c:pt idx="261">
                  <c:v>12.9</c:v>
                </c:pt>
                <c:pt idx="262">
                  <c:v>10.1</c:v>
                </c:pt>
                <c:pt idx="263">
                  <c:v>9.6</c:v>
                </c:pt>
                <c:pt idx="264">
                  <c:v>16.9</c:v>
                </c:pt>
                <c:pt idx="265">
                  <c:v>13.5</c:v>
                </c:pt>
                <c:pt idx="266">
                  <c:v>9.3</c:v>
                </c:pt>
                <c:pt idx="267">
                  <c:v>10.7</c:v>
                </c:pt>
                <c:pt idx="268">
                  <c:v>10.1</c:v>
                </c:pt>
                <c:pt idx="269">
                  <c:v>13.3</c:v>
                </c:pt>
                <c:pt idx="270">
                  <c:v>13.7</c:v>
                </c:pt>
                <c:pt idx="271">
                  <c:v>15.4</c:v>
                </c:pt>
                <c:pt idx="272">
                  <c:v>13.6</c:v>
                </c:pt>
                <c:pt idx="273">
                  <c:v>12.7</c:v>
                </c:pt>
                <c:pt idx="274">
                  <c:v>12</c:v>
                </c:pt>
                <c:pt idx="275">
                  <c:v>13.1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[1]METEO_STATION!$M$8</c:f>
              <c:strCache>
                <c:ptCount val="1"/>
                <c:pt idx="0">
                  <c:v>TX</c:v>
                </c:pt>
              </c:strCache>
            </c:strRef>
          </c:tx>
          <c:spPr>
            <a:solidFill>
              <a:srgbClr val="f5596f"/>
            </a:solidFill>
            <a:ln w="19080">
              <a:solidFill>
                <a:srgbClr val="f5596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[1]METEO_STATION!$N$9:$N$284</c:f>
              <c:numCache>
                <c:formatCode>General</c:formatCode>
                <c:ptCount val="276"/>
                <c:pt idx="0">
                  <c:v>40429</c:v>
                </c:pt>
                <c:pt idx="1">
                  <c:v>40430</c:v>
                </c:pt>
                <c:pt idx="2">
                  <c:v>40431</c:v>
                </c:pt>
                <c:pt idx="3">
                  <c:v>40432</c:v>
                </c:pt>
                <c:pt idx="4">
                  <c:v>40433</c:v>
                </c:pt>
                <c:pt idx="5">
                  <c:v>40434</c:v>
                </c:pt>
                <c:pt idx="6">
                  <c:v>40435</c:v>
                </c:pt>
                <c:pt idx="7">
                  <c:v>40436</c:v>
                </c:pt>
                <c:pt idx="8">
                  <c:v>40437</c:v>
                </c:pt>
                <c:pt idx="9">
                  <c:v>40438</c:v>
                </c:pt>
                <c:pt idx="10">
                  <c:v>40439</c:v>
                </c:pt>
                <c:pt idx="11">
                  <c:v>40440</c:v>
                </c:pt>
                <c:pt idx="12">
                  <c:v>40441</c:v>
                </c:pt>
                <c:pt idx="13">
                  <c:v>40442</c:v>
                </c:pt>
                <c:pt idx="14">
                  <c:v>40443</c:v>
                </c:pt>
                <c:pt idx="15">
                  <c:v>40444</c:v>
                </c:pt>
                <c:pt idx="16">
                  <c:v>40445</c:v>
                </c:pt>
                <c:pt idx="17">
                  <c:v>40446</c:v>
                </c:pt>
                <c:pt idx="18">
                  <c:v>40447</c:v>
                </c:pt>
                <c:pt idx="19">
                  <c:v>40448</c:v>
                </c:pt>
                <c:pt idx="20">
                  <c:v>40449</c:v>
                </c:pt>
                <c:pt idx="21">
                  <c:v>40450</c:v>
                </c:pt>
                <c:pt idx="22">
                  <c:v>40451</c:v>
                </c:pt>
                <c:pt idx="23">
                  <c:v>40452</c:v>
                </c:pt>
                <c:pt idx="24">
                  <c:v>40453</c:v>
                </c:pt>
                <c:pt idx="25">
                  <c:v>40454</c:v>
                </c:pt>
                <c:pt idx="26">
                  <c:v>40455</c:v>
                </c:pt>
                <c:pt idx="27">
                  <c:v>40456</c:v>
                </c:pt>
                <c:pt idx="28">
                  <c:v>40457</c:v>
                </c:pt>
                <c:pt idx="29">
                  <c:v>40458</c:v>
                </c:pt>
                <c:pt idx="30">
                  <c:v>40459</c:v>
                </c:pt>
                <c:pt idx="31">
                  <c:v>40460</c:v>
                </c:pt>
                <c:pt idx="32">
                  <c:v>40461</c:v>
                </c:pt>
                <c:pt idx="33">
                  <c:v>40462</c:v>
                </c:pt>
                <c:pt idx="34">
                  <c:v>40463</c:v>
                </c:pt>
                <c:pt idx="35">
                  <c:v>40464</c:v>
                </c:pt>
                <c:pt idx="36">
                  <c:v>40465</c:v>
                </c:pt>
                <c:pt idx="37">
                  <c:v>40466</c:v>
                </c:pt>
                <c:pt idx="38">
                  <c:v>40467</c:v>
                </c:pt>
                <c:pt idx="39">
                  <c:v>40468</c:v>
                </c:pt>
                <c:pt idx="40">
                  <c:v>40469</c:v>
                </c:pt>
                <c:pt idx="41">
                  <c:v>40470</c:v>
                </c:pt>
                <c:pt idx="42">
                  <c:v>40471</c:v>
                </c:pt>
                <c:pt idx="43">
                  <c:v>40472</c:v>
                </c:pt>
                <c:pt idx="44">
                  <c:v>40473</c:v>
                </c:pt>
                <c:pt idx="45">
                  <c:v>40474</c:v>
                </c:pt>
                <c:pt idx="46">
                  <c:v>40475</c:v>
                </c:pt>
                <c:pt idx="47">
                  <c:v>40476</c:v>
                </c:pt>
                <c:pt idx="48">
                  <c:v>40477</c:v>
                </c:pt>
                <c:pt idx="49">
                  <c:v>40478</c:v>
                </c:pt>
                <c:pt idx="50">
                  <c:v>40479</c:v>
                </c:pt>
                <c:pt idx="51">
                  <c:v>40480</c:v>
                </c:pt>
                <c:pt idx="52">
                  <c:v>40481</c:v>
                </c:pt>
                <c:pt idx="53">
                  <c:v>40482</c:v>
                </c:pt>
                <c:pt idx="54">
                  <c:v>40483</c:v>
                </c:pt>
                <c:pt idx="55">
                  <c:v>40484</c:v>
                </c:pt>
                <c:pt idx="56">
                  <c:v>40485</c:v>
                </c:pt>
                <c:pt idx="57">
                  <c:v>40486</c:v>
                </c:pt>
                <c:pt idx="58">
                  <c:v>40487</c:v>
                </c:pt>
                <c:pt idx="59">
                  <c:v>40488</c:v>
                </c:pt>
                <c:pt idx="60">
                  <c:v>40489</c:v>
                </c:pt>
                <c:pt idx="61">
                  <c:v>40490</c:v>
                </c:pt>
                <c:pt idx="62">
                  <c:v>40491</c:v>
                </c:pt>
                <c:pt idx="63">
                  <c:v>40492</c:v>
                </c:pt>
                <c:pt idx="64">
                  <c:v>40493</c:v>
                </c:pt>
                <c:pt idx="65">
                  <c:v>40494</c:v>
                </c:pt>
                <c:pt idx="66">
                  <c:v>40495</c:v>
                </c:pt>
                <c:pt idx="67">
                  <c:v>40496</c:v>
                </c:pt>
                <c:pt idx="68">
                  <c:v>40497</c:v>
                </c:pt>
                <c:pt idx="69">
                  <c:v>40498</c:v>
                </c:pt>
                <c:pt idx="70">
                  <c:v>40499</c:v>
                </c:pt>
                <c:pt idx="71">
                  <c:v>40500</c:v>
                </c:pt>
                <c:pt idx="72">
                  <c:v>40501</c:v>
                </c:pt>
                <c:pt idx="73">
                  <c:v>40502</c:v>
                </c:pt>
                <c:pt idx="74">
                  <c:v>40503</c:v>
                </c:pt>
                <c:pt idx="75">
                  <c:v>40504</c:v>
                </c:pt>
                <c:pt idx="76">
                  <c:v>40505</c:v>
                </c:pt>
                <c:pt idx="77">
                  <c:v>40506</c:v>
                </c:pt>
                <c:pt idx="78">
                  <c:v>40507</c:v>
                </c:pt>
                <c:pt idx="79">
                  <c:v>40508</c:v>
                </c:pt>
                <c:pt idx="80">
                  <c:v>40509</c:v>
                </c:pt>
                <c:pt idx="81">
                  <c:v>40510</c:v>
                </c:pt>
                <c:pt idx="82">
                  <c:v>40511</c:v>
                </c:pt>
                <c:pt idx="83">
                  <c:v>40512</c:v>
                </c:pt>
                <c:pt idx="84">
                  <c:v>40513</c:v>
                </c:pt>
                <c:pt idx="85">
                  <c:v>40514</c:v>
                </c:pt>
                <c:pt idx="86">
                  <c:v>40515</c:v>
                </c:pt>
                <c:pt idx="87">
                  <c:v>40516</c:v>
                </c:pt>
                <c:pt idx="88">
                  <c:v>40517</c:v>
                </c:pt>
                <c:pt idx="89">
                  <c:v>40518</c:v>
                </c:pt>
                <c:pt idx="90">
                  <c:v>40519</c:v>
                </c:pt>
                <c:pt idx="91">
                  <c:v>40520</c:v>
                </c:pt>
                <c:pt idx="92">
                  <c:v>40521</c:v>
                </c:pt>
                <c:pt idx="93">
                  <c:v>40522</c:v>
                </c:pt>
                <c:pt idx="94">
                  <c:v>40523</c:v>
                </c:pt>
                <c:pt idx="95">
                  <c:v>40524</c:v>
                </c:pt>
                <c:pt idx="96">
                  <c:v>40525</c:v>
                </c:pt>
                <c:pt idx="97">
                  <c:v>40526</c:v>
                </c:pt>
                <c:pt idx="98">
                  <c:v>40527</c:v>
                </c:pt>
                <c:pt idx="99">
                  <c:v>40528</c:v>
                </c:pt>
                <c:pt idx="100">
                  <c:v>40529</c:v>
                </c:pt>
                <c:pt idx="101">
                  <c:v>40530</c:v>
                </c:pt>
                <c:pt idx="102">
                  <c:v>40531</c:v>
                </c:pt>
                <c:pt idx="103">
                  <c:v>40532</c:v>
                </c:pt>
                <c:pt idx="104">
                  <c:v>40533</c:v>
                </c:pt>
                <c:pt idx="105">
                  <c:v>40534</c:v>
                </c:pt>
                <c:pt idx="106">
                  <c:v>40535</c:v>
                </c:pt>
                <c:pt idx="107">
                  <c:v>40536</c:v>
                </c:pt>
                <c:pt idx="108">
                  <c:v>40537</c:v>
                </c:pt>
                <c:pt idx="109">
                  <c:v>40538</c:v>
                </c:pt>
                <c:pt idx="110">
                  <c:v>40539</c:v>
                </c:pt>
                <c:pt idx="111">
                  <c:v>40540</c:v>
                </c:pt>
                <c:pt idx="112">
                  <c:v>40541</c:v>
                </c:pt>
                <c:pt idx="113">
                  <c:v>40542</c:v>
                </c:pt>
                <c:pt idx="114">
                  <c:v>40543</c:v>
                </c:pt>
                <c:pt idx="115">
                  <c:v>40544</c:v>
                </c:pt>
                <c:pt idx="116">
                  <c:v>40545</c:v>
                </c:pt>
                <c:pt idx="117">
                  <c:v>40546</c:v>
                </c:pt>
                <c:pt idx="118">
                  <c:v>40547</c:v>
                </c:pt>
                <c:pt idx="119">
                  <c:v>40548</c:v>
                </c:pt>
                <c:pt idx="120">
                  <c:v>40549</c:v>
                </c:pt>
                <c:pt idx="121">
                  <c:v>40550</c:v>
                </c:pt>
                <c:pt idx="122">
                  <c:v>40551</c:v>
                </c:pt>
                <c:pt idx="123">
                  <c:v>40552</c:v>
                </c:pt>
                <c:pt idx="124">
                  <c:v>40553</c:v>
                </c:pt>
                <c:pt idx="125">
                  <c:v>40554</c:v>
                </c:pt>
                <c:pt idx="126">
                  <c:v>40555</c:v>
                </c:pt>
                <c:pt idx="127">
                  <c:v>40556</c:v>
                </c:pt>
                <c:pt idx="128">
                  <c:v>40557</c:v>
                </c:pt>
                <c:pt idx="129">
                  <c:v>40558</c:v>
                </c:pt>
                <c:pt idx="130">
                  <c:v>40559</c:v>
                </c:pt>
                <c:pt idx="131">
                  <c:v>40560</c:v>
                </c:pt>
                <c:pt idx="132">
                  <c:v>40561</c:v>
                </c:pt>
                <c:pt idx="133">
                  <c:v>40562</c:v>
                </c:pt>
                <c:pt idx="134">
                  <c:v>40563</c:v>
                </c:pt>
                <c:pt idx="135">
                  <c:v>40564</c:v>
                </c:pt>
                <c:pt idx="136">
                  <c:v>40565</c:v>
                </c:pt>
                <c:pt idx="137">
                  <c:v>40566</c:v>
                </c:pt>
                <c:pt idx="138">
                  <c:v>40567</c:v>
                </c:pt>
                <c:pt idx="139">
                  <c:v>40568</c:v>
                </c:pt>
                <c:pt idx="140">
                  <c:v>40569</c:v>
                </c:pt>
                <c:pt idx="141">
                  <c:v>40570</c:v>
                </c:pt>
                <c:pt idx="142">
                  <c:v>40571</c:v>
                </c:pt>
                <c:pt idx="143">
                  <c:v>40572</c:v>
                </c:pt>
                <c:pt idx="144">
                  <c:v>40573</c:v>
                </c:pt>
                <c:pt idx="145">
                  <c:v>40574</c:v>
                </c:pt>
                <c:pt idx="146">
                  <c:v>40575</c:v>
                </c:pt>
                <c:pt idx="147">
                  <c:v>40576</c:v>
                </c:pt>
                <c:pt idx="148">
                  <c:v>40577</c:v>
                </c:pt>
                <c:pt idx="149">
                  <c:v>40578</c:v>
                </c:pt>
                <c:pt idx="150">
                  <c:v>40579</c:v>
                </c:pt>
                <c:pt idx="151">
                  <c:v>40580</c:v>
                </c:pt>
                <c:pt idx="152">
                  <c:v>40581</c:v>
                </c:pt>
                <c:pt idx="153">
                  <c:v>40582</c:v>
                </c:pt>
                <c:pt idx="154">
                  <c:v>40583</c:v>
                </c:pt>
                <c:pt idx="155">
                  <c:v>40584</c:v>
                </c:pt>
                <c:pt idx="156">
                  <c:v>40585</c:v>
                </c:pt>
                <c:pt idx="157">
                  <c:v>40586</c:v>
                </c:pt>
                <c:pt idx="158">
                  <c:v>40587</c:v>
                </c:pt>
                <c:pt idx="159">
                  <c:v>40588</c:v>
                </c:pt>
                <c:pt idx="160">
                  <c:v>40589</c:v>
                </c:pt>
                <c:pt idx="161">
                  <c:v>40590</c:v>
                </c:pt>
                <c:pt idx="162">
                  <c:v>40591</c:v>
                </c:pt>
                <c:pt idx="163">
                  <c:v>40592</c:v>
                </c:pt>
                <c:pt idx="164">
                  <c:v>40593</c:v>
                </c:pt>
                <c:pt idx="165">
                  <c:v>40594</c:v>
                </c:pt>
                <c:pt idx="166">
                  <c:v>40595</c:v>
                </c:pt>
                <c:pt idx="167">
                  <c:v>40596</c:v>
                </c:pt>
                <c:pt idx="168">
                  <c:v>40597</c:v>
                </c:pt>
                <c:pt idx="169">
                  <c:v>40598</c:v>
                </c:pt>
                <c:pt idx="170">
                  <c:v>40599</c:v>
                </c:pt>
                <c:pt idx="171">
                  <c:v>40600</c:v>
                </c:pt>
                <c:pt idx="172">
                  <c:v>40601</c:v>
                </c:pt>
                <c:pt idx="173">
                  <c:v>40602</c:v>
                </c:pt>
                <c:pt idx="174">
                  <c:v>40603</c:v>
                </c:pt>
                <c:pt idx="175">
                  <c:v>40604</c:v>
                </c:pt>
                <c:pt idx="176">
                  <c:v>40605</c:v>
                </c:pt>
                <c:pt idx="177">
                  <c:v>40606</c:v>
                </c:pt>
                <c:pt idx="178">
                  <c:v>40607</c:v>
                </c:pt>
                <c:pt idx="179">
                  <c:v>40608</c:v>
                </c:pt>
                <c:pt idx="180">
                  <c:v>40609</c:v>
                </c:pt>
                <c:pt idx="181">
                  <c:v>40610</c:v>
                </c:pt>
                <c:pt idx="182">
                  <c:v>40611</c:v>
                </c:pt>
                <c:pt idx="183">
                  <c:v>40612</c:v>
                </c:pt>
                <c:pt idx="184">
                  <c:v>40613</c:v>
                </c:pt>
                <c:pt idx="185">
                  <c:v>40614</c:v>
                </c:pt>
                <c:pt idx="186">
                  <c:v>40615</c:v>
                </c:pt>
                <c:pt idx="187">
                  <c:v>40616</c:v>
                </c:pt>
                <c:pt idx="188">
                  <c:v>40617</c:v>
                </c:pt>
                <c:pt idx="189">
                  <c:v>40618</c:v>
                </c:pt>
                <c:pt idx="190">
                  <c:v>40619</c:v>
                </c:pt>
                <c:pt idx="191">
                  <c:v>40620</c:v>
                </c:pt>
                <c:pt idx="192">
                  <c:v>40621</c:v>
                </c:pt>
                <c:pt idx="193">
                  <c:v>40622</c:v>
                </c:pt>
                <c:pt idx="194">
                  <c:v>40623</c:v>
                </c:pt>
                <c:pt idx="195">
                  <c:v>40624</c:v>
                </c:pt>
                <c:pt idx="196">
                  <c:v>40625</c:v>
                </c:pt>
                <c:pt idx="197">
                  <c:v>40626</c:v>
                </c:pt>
                <c:pt idx="198">
                  <c:v>40627</c:v>
                </c:pt>
                <c:pt idx="199">
                  <c:v>40628</c:v>
                </c:pt>
                <c:pt idx="200">
                  <c:v>40629</c:v>
                </c:pt>
                <c:pt idx="201">
                  <c:v>40630</c:v>
                </c:pt>
                <c:pt idx="202">
                  <c:v>40631</c:v>
                </c:pt>
                <c:pt idx="203">
                  <c:v>40632</c:v>
                </c:pt>
                <c:pt idx="204">
                  <c:v>40633</c:v>
                </c:pt>
                <c:pt idx="205">
                  <c:v>40634</c:v>
                </c:pt>
                <c:pt idx="206">
                  <c:v>40635</c:v>
                </c:pt>
                <c:pt idx="207">
                  <c:v>40636</c:v>
                </c:pt>
                <c:pt idx="208">
                  <c:v>40637</c:v>
                </c:pt>
                <c:pt idx="209">
                  <c:v>40638</c:v>
                </c:pt>
                <c:pt idx="210">
                  <c:v>40639</c:v>
                </c:pt>
                <c:pt idx="211">
                  <c:v>40640</c:v>
                </c:pt>
                <c:pt idx="212">
                  <c:v>40641</c:v>
                </c:pt>
                <c:pt idx="213">
                  <c:v>40642</c:v>
                </c:pt>
                <c:pt idx="214">
                  <c:v>40643</c:v>
                </c:pt>
                <c:pt idx="215">
                  <c:v>40644</c:v>
                </c:pt>
                <c:pt idx="216">
                  <c:v>40645</c:v>
                </c:pt>
                <c:pt idx="217">
                  <c:v>40646</c:v>
                </c:pt>
                <c:pt idx="218">
                  <c:v>40647</c:v>
                </c:pt>
                <c:pt idx="219">
                  <c:v>40648</c:v>
                </c:pt>
                <c:pt idx="220">
                  <c:v>40649</c:v>
                </c:pt>
                <c:pt idx="221">
                  <c:v>40650</c:v>
                </c:pt>
                <c:pt idx="222">
                  <c:v>40651</c:v>
                </c:pt>
                <c:pt idx="223">
                  <c:v>40652</c:v>
                </c:pt>
                <c:pt idx="224">
                  <c:v>40653</c:v>
                </c:pt>
                <c:pt idx="225">
                  <c:v>40654</c:v>
                </c:pt>
                <c:pt idx="226">
                  <c:v>40655</c:v>
                </c:pt>
                <c:pt idx="227">
                  <c:v>40656</c:v>
                </c:pt>
                <c:pt idx="228">
                  <c:v>40657</c:v>
                </c:pt>
                <c:pt idx="229">
                  <c:v>40658</c:v>
                </c:pt>
                <c:pt idx="230">
                  <c:v>40659</c:v>
                </c:pt>
                <c:pt idx="231">
                  <c:v>40660</c:v>
                </c:pt>
                <c:pt idx="232">
                  <c:v>40661</c:v>
                </c:pt>
                <c:pt idx="233">
                  <c:v>40662</c:v>
                </c:pt>
                <c:pt idx="234">
                  <c:v>40663</c:v>
                </c:pt>
                <c:pt idx="235">
                  <c:v>40664</c:v>
                </c:pt>
                <c:pt idx="236">
                  <c:v>40665</c:v>
                </c:pt>
                <c:pt idx="237">
                  <c:v>40666</c:v>
                </c:pt>
                <c:pt idx="238">
                  <c:v>40667</c:v>
                </c:pt>
                <c:pt idx="239">
                  <c:v>40668</c:v>
                </c:pt>
                <c:pt idx="240">
                  <c:v>40669</c:v>
                </c:pt>
                <c:pt idx="241">
                  <c:v>40670</c:v>
                </c:pt>
                <c:pt idx="242">
                  <c:v>40671</c:v>
                </c:pt>
                <c:pt idx="243">
                  <c:v>40672</c:v>
                </c:pt>
                <c:pt idx="244">
                  <c:v>40673</c:v>
                </c:pt>
                <c:pt idx="245">
                  <c:v>40674</c:v>
                </c:pt>
                <c:pt idx="246">
                  <c:v>40675</c:v>
                </c:pt>
                <c:pt idx="247">
                  <c:v>40676</c:v>
                </c:pt>
                <c:pt idx="248">
                  <c:v>40677</c:v>
                </c:pt>
                <c:pt idx="249">
                  <c:v>40678</c:v>
                </c:pt>
                <c:pt idx="250">
                  <c:v>40679</c:v>
                </c:pt>
                <c:pt idx="251">
                  <c:v>40680</c:v>
                </c:pt>
                <c:pt idx="252">
                  <c:v>40681</c:v>
                </c:pt>
                <c:pt idx="253">
                  <c:v>40682</c:v>
                </c:pt>
                <c:pt idx="254">
                  <c:v>40683</c:v>
                </c:pt>
                <c:pt idx="255">
                  <c:v>40684</c:v>
                </c:pt>
                <c:pt idx="256">
                  <c:v>40685</c:v>
                </c:pt>
                <c:pt idx="257">
                  <c:v>40686</c:v>
                </c:pt>
                <c:pt idx="258">
                  <c:v>40687</c:v>
                </c:pt>
                <c:pt idx="259">
                  <c:v>40688</c:v>
                </c:pt>
                <c:pt idx="260">
                  <c:v>40689</c:v>
                </c:pt>
                <c:pt idx="261">
                  <c:v>40690</c:v>
                </c:pt>
                <c:pt idx="262">
                  <c:v>40691</c:v>
                </c:pt>
                <c:pt idx="263">
                  <c:v>40692</c:v>
                </c:pt>
                <c:pt idx="264">
                  <c:v>40693</c:v>
                </c:pt>
                <c:pt idx="265">
                  <c:v>40694</c:v>
                </c:pt>
                <c:pt idx="266">
                  <c:v>40695</c:v>
                </c:pt>
                <c:pt idx="267">
                  <c:v>40696</c:v>
                </c:pt>
                <c:pt idx="268">
                  <c:v>40697</c:v>
                </c:pt>
                <c:pt idx="269">
                  <c:v>40698</c:v>
                </c:pt>
                <c:pt idx="270">
                  <c:v>40699</c:v>
                </c:pt>
                <c:pt idx="271">
                  <c:v>40700</c:v>
                </c:pt>
                <c:pt idx="272">
                  <c:v>40701</c:v>
                </c:pt>
                <c:pt idx="273">
                  <c:v>40702</c:v>
                </c:pt>
                <c:pt idx="274">
                  <c:v>40703</c:v>
                </c:pt>
                <c:pt idx="275">
                  <c:v>40704</c:v>
                </c:pt>
              </c:numCache>
            </c:numRef>
          </c:cat>
          <c:val>
            <c:numRef>
              <c:f>[1]METEO_STATION!$M$9:$M$284</c:f>
              <c:numCache>
                <c:formatCode>General</c:formatCode>
                <c:ptCount val="276"/>
                <c:pt idx="0">
                  <c:v>23.9</c:v>
                </c:pt>
                <c:pt idx="1">
                  <c:v>24</c:v>
                </c:pt>
                <c:pt idx="2">
                  <c:v>24.7</c:v>
                </c:pt>
                <c:pt idx="3">
                  <c:v>29.6</c:v>
                </c:pt>
                <c:pt idx="4">
                  <c:v>26.3</c:v>
                </c:pt>
                <c:pt idx="5">
                  <c:v>24.7</c:v>
                </c:pt>
                <c:pt idx="6">
                  <c:v>26.6</c:v>
                </c:pt>
                <c:pt idx="7">
                  <c:v>28.8</c:v>
                </c:pt>
                <c:pt idx="8">
                  <c:v>17.6</c:v>
                </c:pt>
                <c:pt idx="9">
                  <c:v>20.8</c:v>
                </c:pt>
                <c:pt idx="10">
                  <c:v>21.5</c:v>
                </c:pt>
                <c:pt idx="11">
                  <c:v>25.3</c:v>
                </c:pt>
                <c:pt idx="12">
                  <c:v>27.8</c:v>
                </c:pt>
                <c:pt idx="13">
                  <c:v>23.1</c:v>
                </c:pt>
                <c:pt idx="14">
                  <c:v>29.7</c:v>
                </c:pt>
                <c:pt idx="15">
                  <c:v>24</c:v>
                </c:pt>
                <c:pt idx="16">
                  <c:v>21.1</c:v>
                </c:pt>
                <c:pt idx="17">
                  <c:v>19.3</c:v>
                </c:pt>
                <c:pt idx="18">
                  <c:v>16.6</c:v>
                </c:pt>
                <c:pt idx="19">
                  <c:v>17.7</c:v>
                </c:pt>
                <c:pt idx="20">
                  <c:v>19.1</c:v>
                </c:pt>
                <c:pt idx="21">
                  <c:v>21.7</c:v>
                </c:pt>
                <c:pt idx="22">
                  <c:v>17.7</c:v>
                </c:pt>
                <c:pt idx="23">
                  <c:v>23.3</c:v>
                </c:pt>
                <c:pt idx="24">
                  <c:v>22.6</c:v>
                </c:pt>
                <c:pt idx="25">
                  <c:v>26.7</c:v>
                </c:pt>
                <c:pt idx="26">
                  <c:v>21</c:v>
                </c:pt>
                <c:pt idx="27">
                  <c:v>22.9</c:v>
                </c:pt>
                <c:pt idx="28">
                  <c:v>24.9</c:v>
                </c:pt>
                <c:pt idx="29">
                  <c:v>25</c:v>
                </c:pt>
                <c:pt idx="30">
                  <c:v>25.1</c:v>
                </c:pt>
                <c:pt idx="31">
                  <c:v>23.8</c:v>
                </c:pt>
                <c:pt idx="32">
                  <c:v>16.4</c:v>
                </c:pt>
                <c:pt idx="33">
                  <c:v>17.9</c:v>
                </c:pt>
                <c:pt idx="34">
                  <c:v>21.3</c:v>
                </c:pt>
                <c:pt idx="35">
                  <c:v>20.7</c:v>
                </c:pt>
                <c:pt idx="36">
                  <c:v>17.6</c:v>
                </c:pt>
                <c:pt idx="37">
                  <c:v>14.3</c:v>
                </c:pt>
                <c:pt idx="38">
                  <c:v>12.9</c:v>
                </c:pt>
                <c:pt idx="39">
                  <c:v>12.5</c:v>
                </c:pt>
                <c:pt idx="40">
                  <c:v>9.9</c:v>
                </c:pt>
                <c:pt idx="41">
                  <c:v>16.2</c:v>
                </c:pt>
                <c:pt idx="42">
                  <c:v>15.6</c:v>
                </c:pt>
                <c:pt idx="43">
                  <c:v>14.4</c:v>
                </c:pt>
                <c:pt idx="44">
                  <c:v>18.3</c:v>
                </c:pt>
                <c:pt idx="45">
                  <c:v>18.4</c:v>
                </c:pt>
                <c:pt idx="46">
                  <c:v>14.4</c:v>
                </c:pt>
                <c:pt idx="47">
                  <c:v>11.6</c:v>
                </c:pt>
                <c:pt idx="48">
                  <c:v>12.6</c:v>
                </c:pt>
                <c:pt idx="49">
                  <c:v>16.8</c:v>
                </c:pt>
                <c:pt idx="50">
                  <c:v>17.9</c:v>
                </c:pt>
                <c:pt idx="51">
                  <c:v>19</c:v>
                </c:pt>
                <c:pt idx="52">
                  <c:v>16.4</c:v>
                </c:pt>
                <c:pt idx="53">
                  <c:v>14.1</c:v>
                </c:pt>
                <c:pt idx="54">
                  <c:v>13.9</c:v>
                </c:pt>
                <c:pt idx="55">
                  <c:v>16.5</c:v>
                </c:pt>
                <c:pt idx="56">
                  <c:v>17.1</c:v>
                </c:pt>
                <c:pt idx="57">
                  <c:v>17.4</c:v>
                </c:pt>
                <c:pt idx="58">
                  <c:v>15.7</c:v>
                </c:pt>
                <c:pt idx="59">
                  <c:v>16.6</c:v>
                </c:pt>
                <c:pt idx="60">
                  <c:v>12.8</c:v>
                </c:pt>
                <c:pt idx="61">
                  <c:v>11.5</c:v>
                </c:pt>
                <c:pt idx="62">
                  <c:v>13.8</c:v>
                </c:pt>
                <c:pt idx="63">
                  <c:v>12</c:v>
                </c:pt>
                <c:pt idx="64">
                  <c:v>15.6</c:v>
                </c:pt>
                <c:pt idx="65">
                  <c:v>18.7</c:v>
                </c:pt>
                <c:pt idx="66">
                  <c:v>19.7</c:v>
                </c:pt>
                <c:pt idx="67">
                  <c:v>20.1</c:v>
                </c:pt>
                <c:pt idx="68">
                  <c:v>13</c:v>
                </c:pt>
                <c:pt idx="69">
                  <c:v>12.2</c:v>
                </c:pt>
                <c:pt idx="70">
                  <c:v>9.3</c:v>
                </c:pt>
                <c:pt idx="71">
                  <c:v>12</c:v>
                </c:pt>
                <c:pt idx="72">
                  <c:v>12.4</c:v>
                </c:pt>
                <c:pt idx="73">
                  <c:v>12.3</c:v>
                </c:pt>
                <c:pt idx="74">
                  <c:v>11.5</c:v>
                </c:pt>
                <c:pt idx="75">
                  <c:v>9.1</c:v>
                </c:pt>
                <c:pt idx="76">
                  <c:v>10</c:v>
                </c:pt>
                <c:pt idx="77">
                  <c:v>8.6</c:v>
                </c:pt>
                <c:pt idx="78">
                  <c:v>8.1</c:v>
                </c:pt>
                <c:pt idx="79">
                  <c:v>7.1</c:v>
                </c:pt>
                <c:pt idx="80">
                  <c:v>6.5</c:v>
                </c:pt>
                <c:pt idx="81">
                  <c:v>7.5</c:v>
                </c:pt>
                <c:pt idx="82">
                  <c:v>8.5</c:v>
                </c:pt>
                <c:pt idx="83">
                  <c:v>9.6</c:v>
                </c:pt>
                <c:pt idx="84">
                  <c:v>4.9</c:v>
                </c:pt>
                <c:pt idx="85">
                  <c:v>5.8</c:v>
                </c:pt>
                <c:pt idx="86">
                  <c:v>3.9</c:v>
                </c:pt>
                <c:pt idx="87">
                  <c:v>7.2</c:v>
                </c:pt>
                <c:pt idx="88">
                  <c:v>11.3</c:v>
                </c:pt>
                <c:pt idx="89">
                  <c:v>14.6</c:v>
                </c:pt>
                <c:pt idx="90">
                  <c:v>15.9</c:v>
                </c:pt>
                <c:pt idx="91">
                  <c:v>18.5</c:v>
                </c:pt>
                <c:pt idx="92">
                  <c:v>6.5</c:v>
                </c:pt>
                <c:pt idx="93">
                  <c:v>6.1</c:v>
                </c:pt>
                <c:pt idx="94">
                  <c:v>9.9</c:v>
                </c:pt>
                <c:pt idx="95">
                  <c:v>11</c:v>
                </c:pt>
                <c:pt idx="96">
                  <c:v>6.1</c:v>
                </c:pt>
                <c:pt idx="97">
                  <c:v>5.3</c:v>
                </c:pt>
                <c:pt idx="98">
                  <c:v>0.7</c:v>
                </c:pt>
                <c:pt idx="99">
                  <c:v>6.8</c:v>
                </c:pt>
                <c:pt idx="100">
                  <c:v>7.2</c:v>
                </c:pt>
                <c:pt idx="101">
                  <c:v>6.8</c:v>
                </c:pt>
                <c:pt idx="102">
                  <c:v>9.2</c:v>
                </c:pt>
                <c:pt idx="103">
                  <c:v>12</c:v>
                </c:pt>
                <c:pt idx="104">
                  <c:v>11.3</c:v>
                </c:pt>
                <c:pt idx="105">
                  <c:v>15.1</c:v>
                </c:pt>
                <c:pt idx="106">
                  <c:v>9.3</c:v>
                </c:pt>
                <c:pt idx="107">
                  <c:v>4</c:v>
                </c:pt>
                <c:pt idx="108">
                  <c:v>0.7</c:v>
                </c:pt>
                <c:pt idx="109">
                  <c:v>0.9</c:v>
                </c:pt>
                <c:pt idx="110">
                  <c:v>7.2</c:v>
                </c:pt>
                <c:pt idx="111">
                  <c:v>10.5</c:v>
                </c:pt>
                <c:pt idx="112">
                  <c:v>11</c:v>
                </c:pt>
                <c:pt idx="113">
                  <c:v>12.7</c:v>
                </c:pt>
                <c:pt idx="114">
                  <c:v>14.7</c:v>
                </c:pt>
                <c:pt idx="115">
                  <c:v>9.3</c:v>
                </c:pt>
                <c:pt idx="116">
                  <c:v>3.1</c:v>
                </c:pt>
                <c:pt idx="117">
                  <c:v>2.7</c:v>
                </c:pt>
                <c:pt idx="118">
                  <c:v>5.8</c:v>
                </c:pt>
                <c:pt idx="119">
                  <c:v>9.3</c:v>
                </c:pt>
                <c:pt idx="120">
                  <c:v>12.1</c:v>
                </c:pt>
                <c:pt idx="121">
                  <c:v>13.7</c:v>
                </c:pt>
                <c:pt idx="122">
                  <c:v>14</c:v>
                </c:pt>
                <c:pt idx="123">
                  <c:v>9.6</c:v>
                </c:pt>
                <c:pt idx="124">
                  <c:v>8.7</c:v>
                </c:pt>
                <c:pt idx="125">
                  <c:v>12.9</c:v>
                </c:pt>
                <c:pt idx="126">
                  <c:v>12.2</c:v>
                </c:pt>
                <c:pt idx="127">
                  <c:v>16</c:v>
                </c:pt>
                <c:pt idx="128">
                  <c:v>9.7</c:v>
                </c:pt>
                <c:pt idx="129">
                  <c:v>13.9</c:v>
                </c:pt>
                <c:pt idx="130">
                  <c:v>13</c:v>
                </c:pt>
                <c:pt idx="131">
                  <c:v>15.3</c:v>
                </c:pt>
                <c:pt idx="132">
                  <c:v>13.7</c:v>
                </c:pt>
                <c:pt idx="133">
                  <c:v>10.2</c:v>
                </c:pt>
                <c:pt idx="134">
                  <c:v>6.8</c:v>
                </c:pt>
                <c:pt idx="135">
                  <c:v>4</c:v>
                </c:pt>
                <c:pt idx="136">
                  <c:v>0.1</c:v>
                </c:pt>
                <c:pt idx="137">
                  <c:v>2.9</c:v>
                </c:pt>
                <c:pt idx="138">
                  <c:v>4.3</c:v>
                </c:pt>
                <c:pt idx="139">
                  <c:v>4.3</c:v>
                </c:pt>
                <c:pt idx="140">
                  <c:v>6.8</c:v>
                </c:pt>
                <c:pt idx="141">
                  <c:v>10.3</c:v>
                </c:pt>
                <c:pt idx="142">
                  <c:v>11.1</c:v>
                </c:pt>
                <c:pt idx="143">
                  <c:v>7.3</c:v>
                </c:pt>
                <c:pt idx="144">
                  <c:v>5.3</c:v>
                </c:pt>
                <c:pt idx="145">
                  <c:v>2.6</c:v>
                </c:pt>
                <c:pt idx="146">
                  <c:v>0.7</c:v>
                </c:pt>
                <c:pt idx="147">
                  <c:v>5.6</c:v>
                </c:pt>
                <c:pt idx="148">
                  <c:v>10.5</c:v>
                </c:pt>
                <c:pt idx="149">
                  <c:v>13.2</c:v>
                </c:pt>
                <c:pt idx="150">
                  <c:v>12.9</c:v>
                </c:pt>
                <c:pt idx="151">
                  <c:v>11.8</c:v>
                </c:pt>
                <c:pt idx="152">
                  <c:v>15.5</c:v>
                </c:pt>
                <c:pt idx="153">
                  <c:v>15.4</c:v>
                </c:pt>
                <c:pt idx="154">
                  <c:v>15.4</c:v>
                </c:pt>
                <c:pt idx="155">
                  <c:v>14.2</c:v>
                </c:pt>
                <c:pt idx="156">
                  <c:v>13.4</c:v>
                </c:pt>
                <c:pt idx="157">
                  <c:v>14.8</c:v>
                </c:pt>
                <c:pt idx="158">
                  <c:v>12.3</c:v>
                </c:pt>
                <c:pt idx="159">
                  <c:v>10.1</c:v>
                </c:pt>
                <c:pt idx="160">
                  <c:v>15.1</c:v>
                </c:pt>
                <c:pt idx="161">
                  <c:v>14</c:v>
                </c:pt>
                <c:pt idx="162">
                  <c:v>10.7</c:v>
                </c:pt>
                <c:pt idx="163">
                  <c:v>14</c:v>
                </c:pt>
                <c:pt idx="164">
                  <c:v>14</c:v>
                </c:pt>
                <c:pt idx="165">
                  <c:v>13.2</c:v>
                </c:pt>
                <c:pt idx="166">
                  <c:v>11.8</c:v>
                </c:pt>
                <c:pt idx="167">
                  <c:v>9.9</c:v>
                </c:pt>
                <c:pt idx="168">
                  <c:v>11.9</c:v>
                </c:pt>
                <c:pt idx="169">
                  <c:v>14.2</c:v>
                </c:pt>
                <c:pt idx="170">
                  <c:v>13.8</c:v>
                </c:pt>
                <c:pt idx="171">
                  <c:v>11.9</c:v>
                </c:pt>
                <c:pt idx="172">
                  <c:v>10.8</c:v>
                </c:pt>
                <c:pt idx="173">
                  <c:v>9.6</c:v>
                </c:pt>
                <c:pt idx="174">
                  <c:v>6.3</c:v>
                </c:pt>
                <c:pt idx="175">
                  <c:v>6</c:v>
                </c:pt>
                <c:pt idx="176">
                  <c:v>7</c:v>
                </c:pt>
                <c:pt idx="177">
                  <c:v>13.8</c:v>
                </c:pt>
                <c:pt idx="178">
                  <c:v>15.3</c:v>
                </c:pt>
                <c:pt idx="179">
                  <c:v>15.2</c:v>
                </c:pt>
                <c:pt idx="180">
                  <c:v>17.4</c:v>
                </c:pt>
                <c:pt idx="181">
                  <c:v>13.3</c:v>
                </c:pt>
                <c:pt idx="182">
                  <c:v>15.6</c:v>
                </c:pt>
                <c:pt idx="183">
                  <c:v>13.6</c:v>
                </c:pt>
                <c:pt idx="184">
                  <c:v>15.8</c:v>
                </c:pt>
                <c:pt idx="185">
                  <c:v>11.7</c:v>
                </c:pt>
                <c:pt idx="186">
                  <c:v>17</c:v>
                </c:pt>
                <c:pt idx="187">
                  <c:v>16.7</c:v>
                </c:pt>
                <c:pt idx="188">
                  <c:v>15.1</c:v>
                </c:pt>
                <c:pt idx="189">
                  <c:v>15.3</c:v>
                </c:pt>
                <c:pt idx="190">
                  <c:v>13.2</c:v>
                </c:pt>
                <c:pt idx="191">
                  <c:v>15.7</c:v>
                </c:pt>
                <c:pt idx="192">
                  <c:v>15.5</c:v>
                </c:pt>
                <c:pt idx="193">
                  <c:v>14.8</c:v>
                </c:pt>
                <c:pt idx="194">
                  <c:v>16.8</c:v>
                </c:pt>
                <c:pt idx="195">
                  <c:v>16</c:v>
                </c:pt>
                <c:pt idx="196">
                  <c:v>18.6</c:v>
                </c:pt>
                <c:pt idx="197">
                  <c:v>18.9</c:v>
                </c:pt>
                <c:pt idx="198">
                  <c:v>17.7</c:v>
                </c:pt>
                <c:pt idx="199">
                  <c:v>20.5</c:v>
                </c:pt>
                <c:pt idx="200">
                  <c:v>16.5</c:v>
                </c:pt>
                <c:pt idx="201">
                  <c:v>13.7</c:v>
                </c:pt>
                <c:pt idx="202">
                  <c:v>16.1</c:v>
                </c:pt>
                <c:pt idx="203">
                  <c:v>15.5</c:v>
                </c:pt>
                <c:pt idx="204">
                  <c:v>17.7</c:v>
                </c:pt>
                <c:pt idx="205">
                  <c:v>24.3</c:v>
                </c:pt>
                <c:pt idx="206">
                  <c:v>19.4</c:v>
                </c:pt>
                <c:pt idx="207">
                  <c:v>15.8</c:v>
                </c:pt>
                <c:pt idx="208">
                  <c:v>17.6</c:v>
                </c:pt>
                <c:pt idx="209">
                  <c:v>21.6</c:v>
                </c:pt>
                <c:pt idx="210">
                  <c:v>25.7</c:v>
                </c:pt>
                <c:pt idx="211">
                  <c:v>28.1</c:v>
                </c:pt>
                <c:pt idx="212">
                  <c:v>27.7</c:v>
                </c:pt>
                <c:pt idx="213">
                  <c:v>28.6</c:v>
                </c:pt>
                <c:pt idx="214">
                  <c:v>18.2</c:v>
                </c:pt>
                <c:pt idx="215">
                  <c:v>19.9</c:v>
                </c:pt>
                <c:pt idx="216">
                  <c:v>18.6</c:v>
                </c:pt>
                <c:pt idx="217">
                  <c:v>18.1</c:v>
                </c:pt>
                <c:pt idx="218">
                  <c:v>20.3</c:v>
                </c:pt>
                <c:pt idx="219">
                  <c:v>18.6</c:v>
                </c:pt>
                <c:pt idx="220">
                  <c:v>20.9</c:v>
                </c:pt>
                <c:pt idx="221">
                  <c:v>22.6</c:v>
                </c:pt>
                <c:pt idx="222">
                  <c:v>22.8</c:v>
                </c:pt>
                <c:pt idx="223">
                  <c:v>20.2</c:v>
                </c:pt>
                <c:pt idx="224">
                  <c:v>21.1</c:v>
                </c:pt>
                <c:pt idx="225">
                  <c:v>22</c:v>
                </c:pt>
                <c:pt idx="226">
                  <c:v>20</c:v>
                </c:pt>
                <c:pt idx="227">
                  <c:v>17.4</c:v>
                </c:pt>
                <c:pt idx="228">
                  <c:v>21.7</c:v>
                </c:pt>
                <c:pt idx="229">
                  <c:v>23</c:v>
                </c:pt>
                <c:pt idx="230">
                  <c:v>23</c:v>
                </c:pt>
                <c:pt idx="231">
                  <c:v>22.5</c:v>
                </c:pt>
                <c:pt idx="232">
                  <c:v>21.6</c:v>
                </c:pt>
                <c:pt idx="233">
                  <c:v>21.5</c:v>
                </c:pt>
                <c:pt idx="234">
                  <c:v>21.9</c:v>
                </c:pt>
                <c:pt idx="235">
                  <c:v>23.5</c:v>
                </c:pt>
                <c:pt idx="236">
                  <c:v>22.1</c:v>
                </c:pt>
                <c:pt idx="237">
                  <c:v>20.1</c:v>
                </c:pt>
                <c:pt idx="238">
                  <c:v>21.6</c:v>
                </c:pt>
                <c:pt idx="239">
                  <c:v>24.8</c:v>
                </c:pt>
                <c:pt idx="240">
                  <c:v>22.5</c:v>
                </c:pt>
                <c:pt idx="241">
                  <c:v>18.9</c:v>
                </c:pt>
                <c:pt idx="242">
                  <c:v>24.7</c:v>
                </c:pt>
                <c:pt idx="243">
                  <c:v>27.2</c:v>
                </c:pt>
                <c:pt idx="244">
                  <c:v>25.9</c:v>
                </c:pt>
                <c:pt idx="245">
                  <c:v>28.9</c:v>
                </c:pt>
                <c:pt idx="246">
                  <c:v>21.8</c:v>
                </c:pt>
                <c:pt idx="247">
                  <c:v>27.3</c:v>
                </c:pt>
                <c:pt idx="248">
                  <c:v>17</c:v>
                </c:pt>
                <c:pt idx="250">
                  <c:v>22.4</c:v>
                </c:pt>
                <c:pt idx="251">
                  <c:v>26.6</c:v>
                </c:pt>
                <c:pt idx="252">
                  <c:v>28.1</c:v>
                </c:pt>
                <c:pt idx="253">
                  <c:v>27.2</c:v>
                </c:pt>
                <c:pt idx="254">
                  <c:v>28.1</c:v>
                </c:pt>
                <c:pt idx="255">
                  <c:v>28.4</c:v>
                </c:pt>
                <c:pt idx="256">
                  <c:v>21.2</c:v>
                </c:pt>
                <c:pt idx="257">
                  <c:v>28.9</c:v>
                </c:pt>
                <c:pt idx="258">
                  <c:v>27.3</c:v>
                </c:pt>
                <c:pt idx="259">
                  <c:v>30.9</c:v>
                </c:pt>
                <c:pt idx="260">
                  <c:v>22.4</c:v>
                </c:pt>
                <c:pt idx="261">
                  <c:v>20.5</c:v>
                </c:pt>
                <c:pt idx="262">
                  <c:v>24.6</c:v>
                </c:pt>
                <c:pt idx="263">
                  <c:v>30</c:v>
                </c:pt>
                <c:pt idx="264">
                  <c:v>26</c:v>
                </c:pt>
                <c:pt idx="265">
                  <c:v>19.3</c:v>
                </c:pt>
                <c:pt idx="266">
                  <c:v>17.5</c:v>
                </c:pt>
                <c:pt idx="267">
                  <c:v>16.9</c:v>
                </c:pt>
                <c:pt idx="268">
                  <c:v>24.2</c:v>
                </c:pt>
                <c:pt idx="269">
                  <c:v>22.2</c:v>
                </c:pt>
                <c:pt idx="270">
                  <c:v>25.2</c:v>
                </c:pt>
                <c:pt idx="271">
                  <c:v>25.8</c:v>
                </c:pt>
                <c:pt idx="272">
                  <c:v>18.8</c:v>
                </c:pt>
                <c:pt idx="273">
                  <c:v>19.1</c:v>
                </c:pt>
                <c:pt idx="274">
                  <c:v>21.4</c:v>
                </c:pt>
                <c:pt idx="275">
                  <c:v>19.1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082017"/>
        <c:axId val="9245524"/>
      </c:lineChart>
      <c:dateAx>
        <c:axId val="750820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45524"/>
        <c:crosses val="autoZero"/>
        <c:auto val="1"/>
        <c:lblOffset val="100"/>
        <c:baseTimeUnit val="days"/>
        <c:noMultiLvlLbl val="0"/>
      </c:dateAx>
      <c:valAx>
        <c:axId val="9245524"/>
        <c:scaling>
          <c:orientation val="minMax"/>
          <c:max val="30"/>
          <c:min val="-7"/>
        </c:scaling>
        <c:delete val="0"/>
        <c:axPos val="l"/>
        <c:majorGridlines>
          <c:spPr>
            <a:ln w="648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0820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446775593373835"/>
          <c:y val="0.0230288836846214"/>
          <c:w val="0.806912946681257"/>
          <c:h val="0.955893832943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"pluviométrie (mm)"</c:f>
              <c:strCache>
                <c:ptCount val="1"/>
                <c:pt idx="0">
                  <c:v>pluviométrie (mm)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[1]METEO_STATION!$J$21:$J$284</c:f>
              <c:numCache>
                <c:formatCode>General</c:formatCode>
                <c:ptCount val="2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10.3</c:v>
                </c:pt>
                <c:pt idx="4">
                  <c:v>6.4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0</c:v>
                </c:pt>
                <c:pt idx="13">
                  <c:v>0</c:v>
                </c:pt>
                <c:pt idx="14">
                  <c:v>2.6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6.7</c:v>
                </c:pt>
                <c:pt idx="20">
                  <c:v>57.3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0.2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1.8</c:v>
                </c:pt>
                <c:pt idx="34">
                  <c:v>11.1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4.6</c:v>
                </c:pt>
                <c:pt idx="42">
                  <c:v>4.5</c:v>
                </c:pt>
                <c:pt idx="43">
                  <c:v>0</c:v>
                </c:pt>
                <c:pt idx="44">
                  <c:v>0.8</c:v>
                </c:pt>
                <c:pt idx="45">
                  <c:v>0.8</c:v>
                </c:pt>
                <c:pt idx="46">
                  <c:v>0.2</c:v>
                </c:pt>
                <c:pt idx="47">
                  <c:v>0.4</c:v>
                </c:pt>
                <c:pt idx="48">
                  <c:v>3.4</c:v>
                </c:pt>
                <c:pt idx="49">
                  <c:v>8.4</c:v>
                </c:pt>
                <c:pt idx="50">
                  <c:v>1.4</c:v>
                </c:pt>
                <c:pt idx="51">
                  <c:v>5.2</c:v>
                </c:pt>
                <c:pt idx="52">
                  <c:v>0.6</c:v>
                </c:pt>
                <c:pt idx="53">
                  <c:v>0.6</c:v>
                </c:pt>
                <c:pt idx="54">
                  <c:v>0.2</c:v>
                </c:pt>
                <c:pt idx="55">
                  <c:v>2.6</c:v>
                </c:pt>
                <c:pt idx="56">
                  <c:v>3</c:v>
                </c:pt>
                <c:pt idx="57">
                  <c:v>0</c:v>
                </c:pt>
                <c:pt idx="58">
                  <c:v>8.5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12.1</c:v>
                </c:pt>
                <c:pt idx="63">
                  <c:v>0.8</c:v>
                </c:pt>
                <c:pt idx="64">
                  <c:v>0</c:v>
                </c:pt>
                <c:pt idx="65">
                  <c:v>0</c:v>
                </c:pt>
                <c:pt idx="66">
                  <c:v>2.4</c:v>
                </c:pt>
                <c:pt idx="67">
                  <c:v>0</c:v>
                </c:pt>
                <c:pt idx="68">
                  <c:v>1.6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0.4</c:v>
                </c:pt>
                <c:pt idx="74">
                  <c:v>0.6</c:v>
                </c:pt>
                <c:pt idx="75">
                  <c:v>0.2</c:v>
                </c:pt>
                <c:pt idx="76">
                  <c:v>0.4</c:v>
                </c:pt>
                <c:pt idx="77">
                  <c:v>0.8</c:v>
                </c:pt>
                <c:pt idx="78">
                  <c:v>0.2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5.2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0.2</c:v>
                </c:pt>
                <c:pt idx="93">
                  <c:v>0.4</c:v>
                </c:pt>
                <c:pt idx="94">
                  <c:v>16.9</c:v>
                </c:pt>
                <c:pt idx="95">
                  <c:v>0.2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0.8</c:v>
                </c:pt>
                <c:pt idx="107">
                  <c:v>0.2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6.3</c:v>
                </c:pt>
                <c:pt idx="112">
                  <c:v>3.2</c:v>
                </c:pt>
                <c:pt idx="113">
                  <c:v>8</c:v>
                </c:pt>
                <c:pt idx="114">
                  <c:v>1.8</c:v>
                </c:pt>
                <c:pt idx="115">
                  <c:v>0.4</c:v>
                </c:pt>
                <c:pt idx="116">
                  <c:v>0.2</c:v>
                </c:pt>
                <c:pt idx="117">
                  <c:v>0</c:v>
                </c:pt>
                <c:pt idx="118">
                  <c:v>0.2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10.9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0.4</c:v>
                </c:pt>
                <c:pt idx="140">
                  <c:v>0.2</c:v>
                </c:pt>
                <c:pt idx="141">
                  <c:v>0.2</c:v>
                </c:pt>
                <c:pt idx="142">
                  <c:v>0.2</c:v>
                </c:pt>
                <c:pt idx="143">
                  <c:v>0</c:v>
                </c:pt>
                <c:pt idx="144">
                  <c:v>0</c:v>
                </c:pt>
                <c:pt idx="145">
                  <c:v>1.2</c:v>
                </c:pt>
                <c:pt idx="146">
                  <c:v>0.2</c:v>
                </c:pt>
                <c:pt idx="147">
                  <c:v>0.6</c:v>
                </c:pt>
                <c:pt idx="148">
                  <c:v>0.2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3.8</c:v>
                </c:pt>
                <c:pt idx="153">
                  <c:v>0</c:v>
                </c:pt>
                <c:pt idx="154">
                  <c:v>10.7</c:v>
                </c:pt>
                <c:pt idx="155">
                  <c:v>3.2</c:v>
                </c:pt>
                <c:pt idx="156">
                  <c:v>2.6</c:v>
                </c:pt>
                <c:pt idx="157">
                  <c:v>0.6</c:v>
                </c:pt>
                <c:pt idx="158">
                  <c:v>0</c:v>
                </c:pt>
                <c:pt idx="159">
                  <c:v>4</c:v>
                </c:pt>
                <c:pt idx="160">
                  <c:v>2</c:v>
                </c:pt>
                <c:pt idx="161">
                  <c:v>0.6</c:v>
                </c:pt>
                <c:pt idx="162">
                  <c:v>0.2</c:v>
                </c:pt>
                <c:pt idx="163">
                  <c:v>0</c:v>
                </c:pt>
                <c:pt idx="164">
                  <c:v>1.8</c:v>
                </c:pt>
                <c:pt idx="165">
                  <c:v>0.2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6.8</c:v>
                </c:pt>
                <c:pt idx="174">
                  <c:v>0</c:v>
                </c:pt>
                <c:pt idx="175">
                  <c:v>0</c:v>
                </c:pt>
                <c:pt idx="176">
                  <c:v>8.8</c:v>
                </c:pt>
                <c:pt idx="177">
                  <c:v>1.6</c:v>
                </c:pt>
                <c:pt idx="178">
                  <c:v>0</c:v>
                </c:pt>
                <c:pt idx="179">
                  <c:v>0.2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4.2</c:v>
                </c:pt>
                <c:pt idx="189">
                  <c:v>2.6</c:v>
                </c:pt>
                <c:pt idx="190">
                  <c:v>7.2</c:v>
                </c:pt>
                <c:pt idx="191">
                  <c:v>2</c:v>
                </c:pt>
                <c:pt idx="192">
                  <c:v>0.2</c:v>
                </c:pt>
                <c:pt idx="193">
                  <c:v>0.2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0.2</c:v>
                </c:pt>
                <c:pt idx="204">
                  <c:v>1.8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0.4</c:v>
                </c:pt>
                <c:pt idx="213">
                  <c:v>0</c:v>
                </c:pt>
                <c:pt idx="214">
                  <c:v>0</c:v>
                </c:pt>
                <c:pt idx="215">
                  <c:v>4.2</c:v>
                </c:pt>
                <c:pt idx="216">
                  <c:v>0</c:v>
                </c:pt>
                <c:pt idx="217">
                  <c:v>29.7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2.2</c:v>
                </c:pt>
                <c:pt idx="225">
                  <c:v>2.4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4.8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9.7</c:v>
                </c:pt>
                <c:pt idx="253">
                  <c:v>2.4</c:v>
                </c:pt>
                <c:pt idx="254">
                  <c:v>5</c:v>
                </c:pt>
                <c:pt idx="255">
                  <c:v>1.8</c:v>
                </c:pt>
                <c:pt idx="256">
                  <c:v>0</c:v>
                </c:pt>
                <c:pt idx="257">
                  <c:v>2.2</c:v>
                </c:pt>
                <c:pt idx="258">
                  <c:v>0</c:v>
                </c:pt>
                <c:pt idx="259">
                  <c:v>0</c:v>
                </c:pt>
                <c:pt idx="260">
                  <c:v>18</c:v>
                </c:pt>
                <c:pt idx="261">
                  <c:v>3.2</c:v>
                </c:pt>
                <c:pt idx="262">
                  <c:v>0.4</c:v>
                </c:pt>
                <c:pt idx="263">
                  <c:v>0.6</c:v>
                </c:pt>
              </c:numCache>
            </c:numRef>
          </c:val>
        </c:ser>
        <c:gapWidth val="150"/>
        <c:overlap val="0"/>
        <c:axId val="34301490"/>
        <c:axId val="34020969"/>
      </c:barChart>
      <c:lineChart>
        <c:grouping val="standard"/>
        <c:varyColors val="0"/>
        <c:ser>
          <c:idx val="1"/>
          <c:order val="1"/>
          <c:tx>
            <c:strRef>
              <c:f>"TM  (°C)"</c:f>
              <c:strCache>
                <c:ptCount val="1"/>
                <c:pt idx="0">
                  <c:v>TM  (°C)</c:v>
                </c:pt>
              </c:strCache>
            </c:strRef>
          </c:tx>
          <c:spPr>
            <a:solidFill>
              <a:srgbClr val="e46c0a"/>
            </a:solidFill>
            <a:ln w="22320">
              <a:solidFill>
                <a:srgbClr val="e46c0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[1]METEO_STATION!$K$9:$K$284</c:f>
              <c:numCache>
                <c:formatCode>General</c:formatCode>
                <c:ptCount val="276"/>
                <c:pt idx="0">
                  <c:v>18.2</c:v>
                </c:pt>
                <c:pt idx="1">
                  <c:v>18.5</c:v>
                </c:pt>
                <c:pt idx="2">
                  <c:v>19.4</c:v>
                </c:pt>
                <c:pt idx="3">
                  <c:v>20.9</c:v>
                </c:pt>
                <c:pt idx="4">
                  <c:v>21.1</c:v>
                </c:pt>
                <c:pt idx="5">
                  <c:v>19.1</c:v>
                </c:pt>
                <c:pt idx="6">
                  <c:v>18.9</c:v>
                </c:pt>
                <c:pt idx="7">
                  <c:v>20.7</c:v>
                </c:pt>
                <c:pt idx="8">
                  <c:v>16.1</c:v>
                </c:pt>
                <c:pt idx="9">
                  <c:v>17.4</c:v>
                </c:pt>
                <c:pt idx="10">
                  <c:v>16.3</c:v>
                </c:pt>
                <c:pt idx="11">
                  <c:v>15.4</c:v>
                </c:pt>
                <c:pt idx="12">
                  <c:v>18</c:v>
                </c:pt>
                <c:pt idx="13">
                  <c:v>19.4</c:v>
                </c:pt>
                <c:pt idx="14">
                  <c:v>21.2</c:v>
                </c:pt>
                <c:pt idx="15">
                  <c:v>19.7</c:v>
                </c:pt>
                <c:pt idx="16">
                  <c:v>16.3</c:v>
                </c:pt>
                <c:pt idx="17">
                  <c:v>14.9</c:v>
                </c:pt>
                <c:pt idx="18">
                  <c:v>12.7</c:v>
                </c:pt>
                <c:pt idx="19">
                  <c:v>12.5</c:v>
                </c:pt>
                <c:pt idx="20">
                  <c:v>13.9</c:v>
                </c:pt>
                <c:pt idx="21">
                  <c:v>14.3</c:v>
                </c:pt>
                <c:pt idx="22">
                  <c:v>14.2</c:v>
                </c:pt>
                <c:pt idx="23">
                  <c:v>16.1</c:v>
                </c:pt>
                <c:pt idx="24">
                  <c:v>18.3</c:v>
                </c:pt>
                <c:pt idx="25">
                  <c:v>21.5</c:v>
                </c:pt>
                <c:pt idx="26">
                  <c:v>16.7</c:v>
                </c:pt>
                <c:pt idx="27">
                  <c:v>17.3</c:v>
                </c:pt>
                <c:pt idx="28">
                  <c:v>19.2</c:v>
                </c:pt>
                <c:pt idx="29">
                  <c:v>20</c:v>
                </c:pt>
                <c:pt idx="30">
                  <c:v>20.4</c:v>
                </c:pt>
                <c:pt idx="31">
                  <c:v>19.3</c:v>
                </c:pt>
                <c:pt idx="32">
                  <c:v>15.5</c:v>
                </c:pt>
                <c:pt idx="33">
                  <c:v>15.3</c:v>
                </c:pt>
                <c:pt idx="34">
                  <c:v>16.3</c:v>
                </c:pt>
                <c:pt idx="35">
                  <c:v>16</c:v>
                </c:pt>
                <c:pt idx="36">
                  <c:v>13.5</c:v>
                </c:pt>
                <c:pt idx="37">
                  <c:v>9.5</c:v>
                </c:pt>
                <c:pt idx="38">
                  <c:v>9.7</c:v>
                </c:pt>
                <c:pt idx="39">
                  <c:v>9.2</c:v>
                </c:pt>
                <c:pt idx="40">
                  <c:v>6.7</c:v>
                </c:pt>
                <c:pt idx="41">
                  <c:v>10.6</c:v>
                </c:pt>
                <c:pt idx="42">
                  <c:v>11.2</c:v>
                </c:pt>
                <c:pt idx="43">
                  <c:v>8.4</c:v>
                </c:pt>
                <c:pt idx="44">
                  <c:v>11.5</c:v>
                </c:pt>
                <c:pt idx="45">
                  <c:v>12.9</c:v>
                </c:pt>
                <c:pt idx="46">
                  <c:v>11.1</c:v>
                </c:pt>
                <c:pt idx="47">
                  <c:v>8.4</c:v>
                </c:pt>
                <c:pt idx="48">
                  <c:v>7.1</c:v>
                </c:pt>
                <c:pt idx="49">
                  <c:v>7.5</c:v>
                </c:pt>
                <c:pt idx="50">
                  <c:v>9.6</c:v>
                </c:pt>
                <c:pt idx="51">
                  <c:v>15.2</c:v>
                </c:pt>
                <c:pt idx="52">
                  <c:v>13.1</c:v>
                </c:pt>
                <c:pt idx="53">
                  <c:v>10.9</c:v>
                </c:pt>
                <c:pt idx="54">
                  <c:v>12</c:v>
                </c:pt>
                <c:pt idx="55">
                  <c:v>12.9</c:v>
                </c:pt>
                <c:pt idx="56">
                  <c:v>14.5</c:v>
                </c:pt>
                <c:pt idx="57">
                  <c:v>14.2</c:v>
                </c:pt>
                <c:pt idx="58">
                  <c:v>14.6</c:v>
                </c:pt>
                <c:pt idx="59">
                  <c:v>14.1</c:v>
                </c:pt>
                <c:pt idx="60">
                  <c:v>9.9</c:v>
                </c:pt>
                <c:pt idx="61">
                  <c:v>7.9</c:v>
                </c:pt>
                <c:pt idx="62">
                  <c:v>10.5</c:v>
                </c:pt>
                <c:pt idx="63">
                  <c:v>9</c:v>
                </c:pt>
                <c:pt idx="64">
                  <c:v>9.4</c:v>
                </c:pt>
                <c:pt idx="65">
                  <c:v>14.2</c:v>
                </c:pt>
                <c:pt idx="66">
                  <c:v>12.5</c:v>
                </c:pt>
                <c:pt idx="67">
                  <c:v>13.7</c:v>
                </c:pt>
                <c:pt idx="68">
                  <c:v>9.6</c:v>
                </c:pt>
                <c:pt idx="69">
                  <c:v>7.7</c:v>
                </c:pt>
                <c:pt idx="70">
                  <c:v>5</c:v>
                </c:pt>
                <c:pt idx="71">
                  <c:v>9</c:v>
                </c:pt>
                <c:pt idx="72">
                  <c:v>8.4</c:v>
                </c:pt>
                <c:pt idx="73">
                  <c:v>8.9</c:v>
                </c:pt>
                <c:pt idx="74">
                  <c:v>8</c:v>
                </c:pt>
                <c:pt idx="75">
                  <c:v>7.7</c:v>
                </c:pt>
                <c:pt idx="76">
                  <c:v>6.2</c:v>
                </c:pt>
                <c:pt idx="77">
                  <c:v>2.9</c:v>
                </c:pt>
                <c:pt idx="78">
                  <c:v>4.7</c:v>
                </c:pt>
                <c:pt idx="79">
                  <c:v>2.7</c:v>
                </c:pt>
                <c:pt idx="80">
                  <c:v>2</c:v>
                </c:pt>
                <c:pt idx="81">
                  <c:v>2.5</c:v>
                </c:pt>
                <c:pt idx="82">
                  <c:v>3</c:v>
                </c:pt>
                <c:pt idx="83">
                  <c:v>5.2</c:v>
                </c:pt>
                <c:pt idx="84">
                  <c:v>1.7</c:v>
                </c:pt>
                <c:pt idx="85">
                  <c:v>1.4</c:v>
                </c:pt>
                <c:pt idx="86">
                  <c:v>1.8</c:v>
                </c:pt>
                <c:pt idx="87">
                  <c:v>2.5</c:v>
                </c:pt>
                <c:pt idx="88">
                  <c:v>8.4</c:v>
                </c:pt>
                <c:pt idx="89">
                  <c:v>11.2</c:v>
                </c:pt>
                <c:pt idx="90">
                  <c:v>12</c:v>
                </c:pt>
                <c:pt idx="91">
                  <c:v>13.8</c:v>
                </c:pt>
                <c:pt idx="92">
                  <c:v>4.8</c:v>
                </c:pt>
                <c:pt idx="93">
                  <c:v>0.4</c:v>
                </c:pt>
                <c:pt idx="94">
                  <c:v>1.7</c:v>
                </c:pt>
                <c:pt idx="95">
                  <c:v>3.2</c:v>
                </c:pt>
                <c:pt idx="96">
                  <c:v>0.4</c:v>
                </c:pt>
                <c:pt idx="97">
                  <c:v>-0.4</c:v>
                </c:pt>
                <c:pt idx="98">
                  <c:v>-2.1</c:v>
                </c:pt>
                <c:pt idx="99">
                  <c:v>1.4</c:v>
                </c:pt>
                <c:pt idx="100">
                  <c:v>3</c:v>
                </c:pt>
                <c:pt idx="101">
                  <c:v>0.5</c:v>
                </c:pt>
                <c:pt idx="102">
                  <c:v>2.8</c:v>
                </c:pt>
                <c:pt idx="103">
                  <c:v>6.1</c:v>
                </c:pt>
                <c:pt idx="104">
                  <c:v>8.3</c:v>
                </c:pt>
                <c:pt idx="105">
                  <c:v>9.5</c:v>
                </c:pt>
                <c:pt idx="106">
                  <c:v>7.1</c:v>
                </c:pt>
                <c:pt idx="107">
                  <c:v>2.1</c:v>
                </c:pt>
                <c:pt idx="108">
                  <c:v>-0.3</c:v>
                </c:pt>
                <c:pt idx="109">
                  <c:v>-3</c:v>
                </c:pt>
                <c:pt idx="110">
                  <c:v>0.6</c:v>
                </c:pt>
                <c:pt idx="111">
                  <c:v>6</c:v>
                </c:pt>
                <c:pt idx="112">
                  <c:v>8.2</c:v>
                </c:pt>
                <c:pt idx="113">
                  <c:v>10.4</c:v>
                </c:pt>
                <c:pt idx="114">
                  <c:v>10.4</c:v>
                </c:pt>
                <c:pt idx="115">
                  <c:v>6.3</c:v>
                </c:pt>
                <c:pt idx="116">
                  <c:v>2.6</c:v>
                </c:pt>
                <c:pt idx="117">
                  <c:v>1.8</c:v>
                </c:pt>
                <c:pt idx="118">
                  <c:v>2.6</c:v>
                </c:pt>
                <c:pt idx="119">
                  <c:v>5.9</c:v>
                </c:pt>
                <c:pt idx="120">
                  <c:v>10.3</c:v>
                </c:pt>
                <c:pt idx="121">
                  <c:v>11.3</c:v>
                </c:pt>
                <c:pt idx="122">
                  <c:v>11.3</c:v>
                </c:pt>
                <c:pt idx="123">
                  <c:v>7.1</c:v>
                </c:pt>
                <c:pt idx="124">
                  <c:v>3.2</c:v>
                </c:pt>
                <c:pt idx="125">
                  <c:v>8.2</c:v>
                </c:pt>
                <c:pt idx="126">
                  <c:v>9.6</c:v>
                </c:pt>
                <c:pt idx="127">
                  <c:v>11.3</c:v>
                </c:pt>
                <c:pt idx="128">
                  <c:v>6.4</c:v>
                </c:pt>
                <c:pt idx="129">
                  <c:v>6.8</c:v>
                </c:pt>
                <c:pt idx="130">
                  <c:v>7.9</c:v>
                </c:pt>
                <c:pt idx="131">
                  <c:v>9.1</c:v>
                </c:pt>
                <c:pt idx="132">
                  <c:v>8.5</c:v>
                </c:pt>
                <c:pt idx="133">
                  <c:v>6.4</c:v>
                </c:pt>
                <c:pt idx="134">
                  <c:v>1.9</c:v>
                </c:pt>
                <c:pt idx="135">
                  <c:v>0.4</c:v>
                </c:pt>
                <c:pt idx="136">
                  <c:v>-1.8</c:v>
                </c:pt>
                <c:pt idx="137">
                  <c:v>-1.1</c:v>
                </c:pt>
                <c:pt idx="138">
                  <c:v>-1.6</c:v>
                </c:pt>
                <c:pt idx="139">
                  <c:v>-0.1</c:v>
                </c:pt>
                <c:pt idx="140">
                  <c:v>1</c:v>
                </c:pt>
                <c:pt idx="141">
                  <c:v>3.9</c:v>
                </c:pt>
                <c:pt idx="142">
                  <c:v>7.5</c:v>
                </c:pt>
                <c:pt idx="143">
                  <c:v>5.1</c:v>
                </c:pt>
                <c:pt idx="144">
                  <c:v>4</c:v>
                </c:pt>
                <c:pt idx="145">
                  <c:v>1</c:v>
                </c:pt>
                <c:pt idx="146">
                  <c:v>-0.5</c:v>
                </c:pt>
                <c:pt idx="147">
                  <c:v>2</c:v>
                </c:pt>
                <c:pt idx="148">
                  <c:v>7.6</c:v>
                </c:pt>
                <c:pt idx="149">
                  <c:v>9.3</c:v>
                </c:pt>
                <c:pt idx="150">
                  <c:v>7</c:v>
                </c:pt>
                <c:pt idx="151">
                  <c:v>2.9</c:v>
                </c:pt>
                <c:pt idx="152">
                  <c:v>5.6</c:v>
                </c:pt>
                <c:pt idx="153">
                  <c:v>7.2</c:v>
                </c:pt>
                <c:pt idx="154">
                  <c:v>6.8</c:v>
                </c:pt>
                <c:pt idx="155">
                  <c:v>6.1</c:v>
                </c:pt>
                <c:pt idx="156">
                  <c:v>8.3</c:v>
                </c:pt>
                <c:pt idx="157">
                  <c:v>7.2</c:v>
                </c:pt>
                <c:pt idx="158">
                  <c:v>7</c:v>
                </c:pt>
                <c:pt idx="159">
                  <c:v>7.4</c:v>
                </c:pt>
                <c:pt idx="160">
                  <c:v>9.4</c:v>
                </c:pt>
                <c:pt idx="161">
                  <c:v>9</c:v>
                </c:pt>
                <c:pt idx="162">
                  <c:v>7.7</c:v>
                </c:pt>
                <c:pt idx="163">
                  <c:v>9.1</c:v>
                </c:pt>
                <c:pt idx="164">
                  <c:v>7.3</c:v>
                </c:pt>
                <c:pt idx="165">
                  <c:v>9</c:v>
                </c:pt>
                <c:pt idx="166">
                  <c:v>9.2</c:v>
                </c:pt>
                <c:pt idx="167">
                  <c:v>8.5</c:v>
                </c:pt>
                <c:pt idx="168">
                  <c:v>9</c:v>
                </c:pt>
                <c:pt idx="169">
                  <c:v>11.1</c:v>
                </c:pt>
                <c:pt idx="170">
                  <c:v>10.7</c:v>
                </c:pt>
                <c:pt idx="171">
                  <c:v>9.3</c:v>
                </c:pt>
                <c:pt idx="172">
                  <c:v>7.2</c:v>
                </c:pt>
                <c:pt idx="173">
                  <c:v>6.1</c:v>
                </c:pt>
                <c:pt idx="174">
                  <c:v>4.7</c:v>
                </c:pt>
                <c:pt idx="175">
                  <c:v>4.7</c:v>
                </c:pt>
                <c:pt idx="176">
                  <c:v>3.7</c:v>
                </c:pt>
                <c:pt idx="177">
                  <c:v>6.8</c:v>
                </c:pt>
                <c:pt idx="178">
                  <c:v>8.1</c:v>
                </c:pt>
                <c:pt idx="179">
                  <c:v>7.4</c:v>
                </c:pt>
                <c:pt idx="180">
                  <c:v>9.1</c:v>
                </c:pt>
                <c:pt idx="181">
                  <c:v>10.2</c:v>
                </c:pt>
                <c:pt idx="182">
                  <c:v>10.4</c:v>
                </c:pt>
                <c:pt idx="183">
                  <c:v>7.7</c:v>
                </c:pt>
                <c:pt idx="184">
                  <c:v>8.3</c:v>
                </c:pt>
                <c:pt idx="185">
                  <c:v>10.9</c:v>
                </c:pt>
                <c:pt idx="186">
                  <c:v>12.2</c:v>
                </c:pt>
                <c:pt idx="187">
                  <c:v>13.3</c:v>
                </c:pt>
                <c:pt idx="188">
                  <c:v>13.2</c:v>
                </c:pt>
                <c:pt idx="189">
                  <c:v>11.8</c:v>
                </c:pt>
                <c:pt idx="190">
                  <c:v>10.9</c:v>
                </c:pt>
                <c:pt idx="191">
                  <c:v>11.1</c:v>
                </c:pt>
                <c:pt idx="192">
                  <c:v>11.6</c:v>
                </c:pt>
                <c:pt idx="193">
                  <c:v>10.1</c:v>
                </c:pt>
                <c:pt idx="194">
                  <c:v>10.2</c:v>
                </c:pt>
                <c:pt idx="195">
                  <c:v>11.5</c:v>
                </c:pt>
                <c:pt idx="196">
                  <c:v>12.1</c:v>
                </c:pt>
                <c:pt idx="197">
                  <c:v>12.7</c:v>
                </c:pt>
                <c:pt idx="198">
                  <c:v>12.1</c:v>
                </c:pt>
                <c:pt idx="199">
                  <c:v>13.6</c:v>
                </c:pt>
                <c:pt idx="200">
                  <c:v>12.6</c:v>
                </c:pt>
                <c:pt idx="201">
                  <c:v>11.4</c:v>
                </c:pt>
                <c:pt idx="202">
                  <c:v>11.1</c:v>
                </c:pt>
                <c:pt idx="203">
                  <c:v>11.9</c:v>
                </c:pt>
                <c:pt idx="204">
                  <c:v>13.7</c:v>
                </c:pt>
                <c:pt idx="205">
                  <c:v>15.3</c:v>
                </c:pt>
                <c:pt idx="206">
                  <c:v>14.7</c:v>
                </c:pt>
                <c:pt idx="207">
                  <c:v>13.6</c:v>
                </c:pt>
                <c:pt idx="208">
                  <c:v>12.8</c:v>
                </c:pt>
                <c:pt idx="209">
                  <c:v>13.4</c:v>
                </c:pt>
                <c:pt idx="210">
                  <c:v>16.8</c:v>
                </c:pt>
                <c:pt idx="211">
                  <c:v>18.9</c:v>
                </c:pt>
                <c:pt idx="212">
                  <c:v>19.1</c:v>
                </c:pt>
                <c:pt idx="213">
                  <c:v>19.1</c:v>
                </c:pt>
                <c:pt idx="214">
                  <c:v>14.9</c:v>
                </c:pt>
                <c:pt idx="215">
                  <c:v>15.3</c:v>
                </c:pt>
                <c:pt idx="216">
                  <c:v>13.2</c:v>
                </c:pt>
                <c:pt idx="217">
                  <c:v>11.9</c:v>
                </c:pt>
                <c:pt idx="218">
                  <c:v>13.7</c:v>
                </c:pt>
                <c:pt idx="219">
                  <c:v>12.9</c:v>
                </c:pt>
                <c:pt idx="220">
                  <c:v>13.4</c:v>
                </c:pt>
                <c:pt idx="221">
                  <c:v>14.8</c:v>
                </c:pt>
                <c:pt idx="222">
                  <c:v>16.1</c:v>
                </c:pt>
                <c:pt idx="223">
                  <c:v>14.9</c:v>
                </c:pt>
                <c:pt idx="224">
                  <c:v>15.8</c:v>
                </c:pt>
                <c:pt idx="225">
                  <c:v>16.7</c:v>
                </c:pt>
                <c:pt idx="226">
                  <c:v>15.6</c:v>
                </c:pt>
                <c:pt idx="227">
                  <c:v>13.4</c:v>
                </c:pt>
                <c:pt idx="228">
                  <c:v>16.3</c:v>
                </c:pt>
                <c:pt idx="229">
                  <c:v>15.8</c:v>
                </c:pt>
                <c:pt idx="230">
                  <c:v>17.2</c:v>
                </c:pt>
                <c:pt idx="231">
                  <c:v>16.8</c:v>
                </c:pt>
                <c:pt idx="232">
                  <c:v>15.6</c:v>
                </c:pt>
                <c:pt idx="233">
                  <c:v>15.2</c:v>
                </c:pt>
                <c:pt idx="234">
                  <c:v>16.7</c:v>
                </c:pt>
                <c:pt idx="235">
                  <c:v>17.4</c:v>
                </c:pt>
                <c:pt idx="236">
                  <c:v>16.8</c:v>
                </c:pt>
                <c:pt idx="237">
                  <c:v>15.9</c:v>
                </c:pt>
                <c:pt idx="238">
                  <c:v>16</c:v>
                </c:pt>
                <c:pt idx="239">
                  <c:v>17.7</c:v>
                </c:pt>
                <c:pt idx="240">
                  <c:v>18.2</c:v>
                </c:pt>
                <c:pt idx="241">
                  <c:v>17</c:v>
                </c:pt>
                <c:pt idx="242">
                  <c:v>19.5</c:v>
                </c:pt>
                <c:pt idx="243">
                  <c:v>19.6</c:v>
                </c:pt>
                <c:pt idx="244">
                  <c:v>19</c:v>
                </c:pt>
                <c:pt idx="245">
                  <c:v>20.9</c:v>
                </c:pt>
                <c:pt idx="246">
                  <c:v>18.8</c:v>
                </c:pt>
                <c:pt idx="247">
                  <c:v>21</c:v>
                </c:pt>
                <c:pt idx="248">
                  <c:v>15.1</c:v>
                </c:pt>
                <c:pt idx="249">
                  <c:v>0</c:v>
                </c:pt>
                <c:pt idx="250">
                  <c:v>16.1</c:v>
                </c:pt>
                <c:pt idx="251">
                  <c:v>19.2</c:v>
                </c:pt>
                <c:pt idx="252">
                  <c:v>20.1</c:v>
                </c:pt>
                <c:pt idx="253">
                  <c:v>19.5</c:v>
                </c:pt>
                <c:pt idx="254">
                  <c:v>20.7</c:v>
                </c:pt>
                <c:pt idx="255">
                  <c:v>21.7</c:v>
                </c:pt>
                <c:pt idx="256">
                  <c:v>18.2</c:v>
                </c:pt>
                <c:pt idx="257">
                  <c:v>21</c:v>
                </c:pt>
                <c:pt idx="258">
                  <c:v>20.9</c:v>
                </c:pt>
                <c:pt idx="259">
                  <c:v>22.9</c:v>
                </c:pt>
                <c:pt idx="260">
                  <c:v>19.6</c:v>
                </c:pt>
                <c:pt idx="261">
                  <c:v>16.3</c:v>
                </c:pt>
                <c:pt idx="262">
                  <c:v>18</c:v>
                </c:pt>
                <c:pt idx="263">
                  <c:v>21</c:v>
                </c:pt>
                <c:pt idx="264">
                  <c:v>20.1</c:v>
                </c:pt>
                <c:pt idx="265">
                  <c:v>15.3</c:v>
                </c:pt>
                <c:pt idx="266">
                  <c:v>12.9</c:v>
                </c:pt>
                <c:pt idx="267">
                  <c:v>13.3</c:v>
                </c:pt>
                <c:pt idx="268">
                  <c:v>17.2</c:v>
                </c:pt>
                <c:pt idx="269">
                  <c:v>17.6</c:v>
                </c:pt>
                <c:pt idx="270">
                  <c:v>19</c:v>
                </c:pt>
                <c:pt idx="271">
                  <c:v>19.6</c:v>
                </c:pt>
                <c:pt idx="272">
                  <c:v>15.4</c:v>
                </c:pt>
                <c:pt idx="273">
                  <c:v>15.1</c:v>
                </c:pt>
                <c:pt idx="274">
                  <c:v>17</c:v>
                </c:pt>
                <c:pt idx="275">
                  <c:v>15.7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301490"/>
        <c:axId val="34020969"/>
      </c:lineChart>
      <c:dateAx>
        <c:axId val="34301490"/>
        <c:scaling>
          <c:orientation val="minMax"/>
        </c:scaling>
        <c:delete val="0"/>
        <c:axPos val="b"/>
        <c:numFmt formatCode="dd/mm/yy;@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020969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  <c:noMultiLvlLbl val="0"/>
      </c:dateAx>
      <c:valAx>
        <c:axId val="34020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3014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9253486464315"/>
          <c:y val="0.023373886387585"/>
          <c:w val="0.806890894175554"/>
          <c:h val="0.955838681866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"pluviométrie (mm)"</c:f>
              <c:strCache>
                <c:ptCount val="1"/>
                <c:pt idx="0">
                  <c:v>pluviométrie (mm)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[1]METEO_STATION!$J$21:$J$284</c:f>
              <c:numCache>
                <c:formatCode>General</c:formatCode>
                <c:ptCount val="2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10.3</c:v>
                </c:pt>
                <c:pt idx="4">
                  <c:v>6.4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0</c:v>
                </c:pt>
                <c:pt idx="13">
                  <c:v>0</c:v>
                </c:pt>
                <c:pt idx="14">
                  <c:v>2.6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6.7</c:v>
                </c:pt>
                <c:pt idx="20">
                  <c:v>57.3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0.2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1.8</c:v>
                </c:pt>
                <c:pt idx="34">
                  <c:v>11.1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4.6</c:v>
                </c:pt>
                <c:pt idx="42">
                  <c:v>4.5</c:v>
                </c:pt>
                <c:pt idx="43">
                  <c:v>0</c:v>
                </c:pt>
                <c:pt idx="44">
                  <c:v>0.8</c:v>
                </c:pt>
                <c:pt idx="45">
                  <c:v>0.8</c:v>
                </c:pt>
                <c:pt idx="46">
                  <c:v>0.2</c:v>
                </c:pt>
                <c:pt idx="47">
                  <c:v>0.4</c:v>
                </c:pt>
                <c:pt idx="48">
                  <c:v>3.4</c:v>
                </c:pt>
                <c:pt idx="49">
                  <c:v>8.4</c:v>
                </c:pt>
                <c:pt idx="50">
                  <c:v>1.4</c:v>
                </c:pt>
                <c:pt idx="51">
                  <c:v>5.2</c:v>
                </c:pt>
                <c:pt idx="52">
                  <c:v>0.6</c:v>
                </c:pt>
                <c:pt idx="53">
                  <c:v>0.6</c:v>
                </c:pt>
                <c:pt idx="54">
                  <c:v>0.2</c:v>
                </c:pt>
                <c:pt idx="55">
                  <c:v>2.6</c:v>
                </c:pt>
                <c:pt idx="56">
                  <c:v>3</c:v>
                </c:pt>
                <c:pt idx="57">
                  <c:v>0</c:v>
                </c:pt>
                <c:pt idx="58">
                  <c:v>8.5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12.1</c:v>
                </c:pt>
                <c:pt idx="63">
                  <c:v>0.8</c:v>
                </c:pt>
                <c:pt idx="64">
                  <c:v>0</c:v>
                </c:pt>
                <c:pt idx="65">
                  <c:v>0</c:v>
                </c:pt>
                <c:pt idx="66">
                  <c:v>2.4</c:v>
                </c:pt>
                <c:pt idx="67">
                  <c:v>0</c:v>
                </c:pt>
                <c:pt idx="68">
                  <c:v>1.6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0.4</c:v>
                </c:pt>
                <c:pt idx="74">
                  <c:v>0.6</c:v>
                </c:pt>
                <c:pt idx="75">
                  <c:v>0.2</c:v>
                </c:pt>
                <c:pt idx="76">
                  <c:v>0.4</c:v>
                </c:pt>
                <c:pt idx="77">
                  <c:v>0.8</c:v>
                </c:pt>
                <c:pt idx="78">
                  <c:v>0.2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5.2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0.2</c:v>
                </c:pt>
                <c:pt idx="93">
                  <c:v>0.4</c:v>
                </c:pt>
                <c:pt idx="94">
                  <c:v>16.9</c:v>
                </c:pt>
                <c:pt idx="95">
                  <c:v>0.2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0.8</c:v>
                </c:pt>
                <c:pt idx="107">
                  <c:v>0.2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6.3</c:v>
                </c:pt>
                <c:pt idx="112">
                  <c:v>3.2</c:v>
                </c:pt>
                <c:pt idx="113">
                  <c:v>8</c:v>
                </c:pt>
                <c:pt idx="114">
                  <c:v>1.8</c:v>
                </c:pt>
                <c:pt idx="115">
                  <c:v>0.4</c:v>
                </c:pt>
                <c:pt idx="116">
                  <c:v>0.2</c:v>
                </c:pt>
                <c:pt idx="117">
                  <c:v>0</c:v>
                </c:pt>
                <c:pt idx="118">
                  <c:v>0.2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10.9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0.4</c:v>
                </c:pt>
                <c:pt idx="140">
                  <c:v>0.2</c:v>
                </c:pt>
                <c:pt idx="141">
                  <c:v>0.2</c:v>
                </c:pt>
                <c:pt idx="142">
                  <c:v>0.2</c:v>
                </c:pt>
                <c:pt idx="143">
                  <c:v>0</c:v>
                </c:pt>
                <c:pt idx="144">
                  <c:v>0</c:v>
                </c:pt>
                <c:pt idx="145">
                  <c:v>1.2</c:v>
                </c:pt>
                <c:pt idx="146">
                  <c:v>0.2</c:v>
                </c:pt>
                <c:pt idx="147">
                  <c:v>0.6</c:v>
                </c:pt>
                <c:pt idx="148">
                  <c:v>0.2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3.8</c:v>
                </c:pt>
                <c:pt idx="153">
                  <c:v>0</c:v>
                </c:pt>
                <c:pt idx="154">
                  <c:v>10.7</c:v>
                </c:pt>
                <c:pt idx="155">
                  <c:v>3.2</c:v>
                </c:pt>
                <c:pt idx="156">
                  <c:v>2.6</c:v>
                </c:pt>
                <c:pt idx="157">
                  <c:v>0.6</c:v>
                </c:pt>
                <c:pt idx="158">
                  <c:v>0</c:v>
                </c:pt>
                <c:pt idx="159">
                  <c:v>4</c:v>
                </c:pt>
                <c:pt idx="160">
                  <c:v>2</c:v>
                </c:pt>
                <c:pt idx="161">
                  <c:v>0.6</c:v>
                </c:pt>
                <c:pt idx="162">
                  <c:v>0.2</c:v>
                </c:pt>
                <c:pt idx="163">
                  <c:v>0</c:v>
                </c:pt>
                <c:pt idx="164">
                  <c:v>1.8</c:v>
                </c:pt>
                <c:pt idx="165">
                  <c:v>0.2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6.8</c:v>
                </c:pt>
                <c:pt idx="174">
                  <c:v>0</c:v>
                </c:pt>
                <c:pt idx="175">
                  <c:v>0</c:v>
                </c:pt>
                <c:pt idx="176">
                  <c:v>8.8</c:v>
                </c:pt>
                <c:pt idx="177">
                  <c:v>1.6</c:v>
                </c:pt>
                <c:pt idx="178">
                  <c:v>0</c:v>
                </c:pt>
                <c:pt idx="179">
                  <c:v>0.2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4.2</c:v>
                </c:pt>
                <c:pt idx="189">
                  <c:v>2.6</c:v>
                </c:pt>
                <c:pt idx="190">
                  <c:v>7.2</c:v>
                </c:pt>
                <c:pt idx="191">
                  <c:v>2</c:v>
                </c:pt>
                <c:pt idx="192">
                  <c:v>0.2</c:v>
                </c:pt>
                <c:pt idx="193">
                  <c:v>0.2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0.2</c:v>
                </c:pt>
                <c:pt idx="204">
                  <c:v>1.8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0.4</c:v>
                </c:pt>
                <c:pt idx="213">
                  <c:v>0</c:v>
                </c:pt>
                <c:pt idx="214">
                  <c:v>0</c:v>
                </c:pt>
                <c:pt idx="215">
                  <c:v>4.2</c:v>
                </c:pt>
                <c:pt idx="216">
                  <c:v>0</c:v>
                </c:pt>
                <c:pt idx="217">
                  <c:v>29.7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2.2</c:v>
                </c:pt>
                <c:pt idx="225">
                  <c:v>2.4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4.8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9.7</c:v>
                </c:pt>
                <c:pt idx="253">
                  <c:v>2.4</c:v>
                </c:pt>
                <c:pt idx="254">
                  <c:v>5</c:v>
                </c:pt>
                <c:pt idx="255">
                  <c:v>1.8</c:v>
                </c:pt>
                <c:pt idx="256">
                  <c:v>0</c:v>
                </c:pt>
                <c:pt idx="257">
                  <c:v>2.2</c:v>
                </c:pt>
                <c:pt idx="258">
                  <c:v>0</c:v>
                </c:pt>
                <c:pt idx="259">
                  <c:v>0</c:v>
                </c:pt>
                <c:pt idx="260">
                  <c:v>18</c:v>
                </c:pt>
                <c:pt idx="261">
                  <c:v>3.2</c:v>
                </c:pt>
                <c:pt idx="262">
                  <c:v>0.4</c:v>
                </c:pt>
                <c:pt idx="263">
                  <c:v>0.6</c:v>
                </c:pt>
              </c:numCache>
            </c:numRef>
          </c:val>
        </c:ser>
        <c:gapWidth val="150"/>
        <c:overlap val="0"/>
        <c:axId val="58735325"/>
        <c:axId val="309489"/>
      </c:barChart>
      <c:lineChart>
        <c:grouping val="standard"/>
        <c:varyColors val="0"/>
        <c:ser>
          <c:idx val="1"/>
          <c:order val="1"/>
          <c:tx>
            <c:strRef>
              <c:f>"TM  (°C)"</c:f>
              <c:strCache>
                <c:ptCount val="1"/>
                <c:pt idx="0">
                  <c:v>TM  (°C)</c:v>
                </c:pt>
              </c:strCache>
            </c:strRef>
          </c:tx>
          <c:spPr>
            <a:solidFill>
              <a:srgbClr val="e46c0a"/>
            </a:solidFill>
            <a:ln w="22320">
              <a:solidFill>
                <a:srgbClr val="e46c0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[1]METEO_STATION!$K$9:$K$284</c:f>
              <c:numCache>
                <c:formatCode>General</c:formatCode>
                <c:ptCount val="276"/>
                <c:pt idx="0">
                  <c:v>18.2</c:v>
                </c:pt>
                <c:pt idx="1">
                  <c:v>18.5</c:v>
                </c:pt>
                <c:pt idx="2">
                  <c:v>19.4</c:v>
                </c:pt>
                <c:pt idx="3">
                  <c:v>20.9</c:v>
                </c:pt>
                <c:pt idx="4">
                  <c:v>21.1</c:v>
                </c:pt>
                <c:pt idx="5">
                  <c:v>19.1</c:v>
                </c:pt>
                <c:pt idx="6">
                  <c:v>18.9</c:v>
                </c:pt>
                <c:pt idx="7">
                  <c:v>20.7</c:v>
                </c:pt>
                <c:pt idx="8">
                  <c:v>16.1</c:v>
                </c:pt>
                <c:pt idx="9">
                  <c:v>17.4</c:v>
                </c:pt>
                <c:pt idx="10">
                  <c:v>16.3</c:v>
                </c:pt>
                <c:pt idx="11">
                  <c:v>15.4</c:v>
                </c:pt>
                <c:pt idx="12">
                  <c:v>18</c:v>
                </c:pt>
                <c:pt idx="13">
                  <c:v>19.4</c:v>
                </c:pt>
                <c:pt idx="14">
                  <c:v>21.2</c:v>
                </c:pt>
                <c:pt idx="15">
                  <c:v>19.7</c:v>
                </c:pt>
                <c:pt idx="16">
                  <c:v>16.3</c:v>
                </c:pt>
                <c:pt idx="17">
                  <c:v>14.9</c:v>
                </c:pt>
                <c:pt idx="18">
                  <c:v>12.7</c:v>
                </c:pt>
                <c:pt idx="19">
                  <c:v>12.5</c:v>
                </c:pt>
                <c:pt idx="20">
                  <c:v>13.9</c:v>
                </c:pt>
                <c:pt idx="21">
                  <c:v>14.3</c:v>
                </c:pt>
                <c:pt idx="22">
                  <c:v>14.2</c:v>
                </c:pt>
                <c:pt idx="23">
                  <c:v>16.1</c:v>
                </c:pt>
                <c:pt idx="24">
                  <c:v>18.3</c:v>
                </c:pt>
                <c:pt idx="25">
                  <c:v>21.5</c:v>
                </c:pt>
                <c:pt idx="26">
                  <c:v>16.7</c:v>
                </c:pt>
                <c:pt idx="27">
                  <c:v>17.3</c:v>
                </c:pt>
                <c:pt idx="28">
                  <c:v>19.2</c:v>
                </c:pt>
                <c:pt idx="29">
                  <c:v>20</c:v>
                </c:pt>
                <c:pt idx="30">
                  <c:v>20.4</c:v>
                </c:pt>
                <c:pt idx="31">
                  <c:v>19.3</c:v>
                </c:pt>
                <c:pt idx="32">
                  <c:v>15.5</c:v>
                </c:pt>
                <c:pt idx="33">
                  <c:v>15.3</c:v>
                </c:pt>
                <c:pt idx="34">
                  <c:v>16.3</c:v>
                </c:pt>
                <c:pt idx="35">
                  <c:v>16</c:v>
                </c:pt>
                <c:pt idx="36">
                  <c:v>13.5</c:v>
                </c:pt>
                <c:pt idx="37">
                  <c:v>9.5</c:v>
                </c:pt>
                <c:pt idx="38">
                  <c:v>9.7</c:v>
                </c:pt>
                <c:pt idx="39">
                  <c:v>9.2</c:v>
                </c:pt>
                <c:pt idx="40">
                  <c:v>6.7</c:v>
                </c:pt>
                <c:pt idx="41">
                  <c:v>10.6</c:v>
                </c:pt>
                <c:pt idx="42">
                  <c:v>11.2</c:v>
                </c:pt>
                <c:pt idx="43">
                  <c:v>8.4</c:v>
                </c:pt>
                <c:pt idx="44">
                  <c:v>11.5</c:v>
                </c:pt>
                <c:pt idx="45">
                  <c:v>12.9</c:v>
                </c:pt>
                <c:pt idx="46">
                  <c:v>11.1</c:v>
                </c:pt>
                <c:pt idx="47">
                  <c:v>8.4</c:v>
                </c:pt>
                <c:pt idx="48">
                  <c:v>7.1</c:v>
                </c:pt>
                <c:pt idx="49">
                  <c:v>7.5</c:v>
                </c:pt>
                <c:pt idx="50">
                  <c:v>9.6</c:v>
                </c:pt>
                <c:pt idx="51">
                  <c:v>15.2</c:v>
                </c:pt>
                <c:pt idx="52">
                  <c:v>13.1</c:v>
                </c:pt>
                <c:pt idx="53">
                  <c:v>10.9</c:v>
                </c:pt>
                <c:pt idx="54">
                  <c:v>12</c:v>
                </c:pt>
                <c:pt idx="55">
                  <c:v>12.9</c:v>
                </c:pt>
                <c:pt idx="56">
                  <c:v>14.5</c:v>
                </c:pt>
                <c:pt idx="57">
                  <c:v>14.2</c:v>
                </c:pt>
                <c:pt idx="58">
                  <c:v>14.6</c:v>
                </c:pt>
                <c:pt idx="59">
                  <c:v>14.1</c:v>
                </c:pt>
                <c:pt idx="60">
                  <c:v>9.9</c:v>
                </c:pt>
                <c:pt idx="61">
                  <c:v>7.9</c:v>
                </c:pt>
                <c:pt idx="62">
                  <c:v>10.5</c:v>
                </c:pt>
                <c:pt idx="63">
                  <c:v>9</c:v>
                </c:pt>
                <c:pt idx="64">
                  <c:v>9.4</c:v>
                </c:pt>
                <c:pt idx="65">
                  <c:v>14.2</c:v>
                </c:pt>
                <c:pt idx="66">
                  <c:v>12.5</c:v>
                </c:pt>
                <c:pt idx="67">
                  <c:v>13.7</c:v>
                </c:pt>
                <c:pt idx="68">
                  <c:v>9.6</c:v>
                </c:pt>
                <c:pt idx="69">
                  <c:v>7.7</c:v>
                </c:pt>
                <c:pt idx="70">
                  <c:v>5</c:v>
                </c:pt>
                <c:pt idx="71">
                  <c:v>9</c:v>
                </c:pt>
                <c:pt idx="72">
                  <c:v>8.4</c:v>
                </c:pt>
                <c:pt idx="73">
                  <c:v>8.9</c:v>
                </c:pt>
                <c:pt idx="74">
                  <c:v>8</c:v>
                </c:pt>
                <c:pt idx="75">
                  <c:v>7.7</c:v>
                </c:pt>
                <c:pt idx="76">
                  <c:v>6.2</c:v>
                </c:pt>
                <c:pt idx="77">
                  <c:v>2.9</c:v>
                </c:pt>
                <c:pt idx="78">
                  <c:v>4.7</c:v>
                </c:pt>
                <c:pt idx="79">
                  <c:v>2.7</c:v>
                </c:pt>
                <c:pt idx="80">
                  <c:v>2</c:v>
                </c:pt>
                <c:pt idx="81">
                  <c:v>2.5</c:v>
                </c:pt>
                <c:pt idx="82">
                  <c:v>3</c:v>
                </c:pt>
                <c:pt idx="83">
                  <c:v>5.2</c:v>
                </c:pt>
                <c:pt idx="84">
                  <c:v>1.7</c:v>
                </c:pt>
                <c:pt idx="85">
                  <c:v>1.4</c:v>
                </c:pt>
                <c:pt idx="86">
                  <c:v>1.8</c:v>
                </c:pt>
                <c:pt idx="87">
                  <c:v>2.5</c:v>
                </c:pt>
                <c:pt idx="88">
                  <c:v>8.4</c:v>
                </c:pt>
                <c:pt idx="89">
                  <c:v>11.2</c:v>
                </c:pt>
                <c:pt idx="90">
                  <c:v>12</c:v>
                </c:pt>
                <c:pt idx="91">
                  <c:v>13.8</c:v>
                </c:pt>
                <c:pt idx="92">
                  <c:v>4.8</c:v>
                </c:pt>
                <c:pt idx="93">
                  <c:v>0.4</c:v>
                </c:pt>
                <c:pt idx="94">
                  <c:v>1.7</c:v>
                </c:pt>
                <c:pt idx="95">
                  <c:v>3.2</c:v>
                </c:pt>
                <c:pt idx="96">
                  <c:v>0.4</c:v>
                </c:pt>
                <c:pt idx="97">
                  <c:v>-0.4</c:v>
                </c:pt>
                <c:pt idx="98">
                  <c:v>-2.1</c:v>
                </c:pt>
                <c:pt idx="99">
                  <c:v>1.4</c:v>
                </c:pt>
                <c:pt idx="100">
                  <c:v>3</c:v>
                </c:pt>
                <c:pt idx="101">
                  <c:v>0.5</c:v>
                </c:pt>
                <c:pt idx="102">
                  <c:v>2.8</c:v>
                </c:pt>
                <c:pt idx="103">
                  <c:v>6.1</c:v>
                </c:pt>
                <c:pt idx="104">
                  <c:v>8.3</c:v>
                </c:pt>
                <c:pt idx="105">
                  <c:v>9.5</c:v>
                </c:pt>
                <c:pt idx="106">
                  <c:v>7.1</c:v>
                </c:pt>
                <c:pt idx="107">
                  <c:v>2.1</c:v>
                </c:pt>
                <c:pt idx="108">
                  <c:v>-0.3</c:v>
                </c:pt>
                <c:pt idx="109">
                  <c:v>-3</c:v>
                </c:pt>
                <c:pt idx="110">
                  <c:v>0.6</c:v>
                </c:pt>
                <c:pt idx="111">
                  <c:v>6</c:v>
                </c:pt>
                <c:pt idx="112">
                  <c:v>8.2</c:v>
                </c:pt>
                <c:pt idx="113">
                  <c:v>10.4</c:v>
                </c:pt>
                <c:pt idx="114">
                  <c:v>10.4</c:v>
                </c:pt>
                <c:pt idx="115">
                  <c:v>6.3</c:v>
                </c:pt>
                <c:pt idx="116">
                  <c:v>2.6</c:v>
                </c:pt>
                <c:pt idx="117">
                  <c:v>1.8</c:v>
                </c:pt>
                <c:pt idx="118">
                  <c:v>2.6</c:v>
                </c:pt>
                <c:pt idx="119">
                  <c:v>5.9</c:v>
                </c:pt>
                <c:pt idx="120">
                  <c:v>10.3</c:v>
                </c:pt>
                <c:pt idx="121">
                  <c:v>11.3</c:v>
                </c:pt>
                <c:pt idx="122">
                  <c:v>11.3</c:v>
                </c:pt>
                <c:pt idx="123">
                  <c:v>7.1</c:v>
                </c:pt>
                <c:pt idx="124">
                  <c:v>3.2</c:v>
                </c:pt>
                <c:pt idx="125">
                  <c:v>8.2</c:v>
                </c:pt>
                <c:pt idx="126">
                  <c:v>9.6</c:v>
                </c:pt>
                <c:pt idx="127">
                  <c:v>11.3</c:v>
                </c:pt>
                <c:pt idx="128">
                  <c:v>6.4</c:v>
                </c:pt>
                <c:pt idx="129">
                  <c:v>6.8</c:v>
                </c:pt>
                <c:pt idx="130">
                  <c:v>7.9</c:v>
                </c:pt>
                <c:pt idx="131">
                  <c:v>9.1</c:v>
                </c:pt>
                <c:pt idx="132">
                  <c:v>8.5</c:v>
                </c:pt>
                <c:pt idx="133">
                  <c:v>6.4</c:v>
                </c:pt>
                <c:pt idx="134">
                  <c:v>1.9</c:v>
                </c:pt>
                <c:pt idx="135">
                  <c:v>0.4</c:v>
                </c:pt>
                <c:pt idx="136">
                  <c:v>-1.8</c:v>
                </c:pt>
                <c:pt idx="137">
                  <c:v>-1.1</c:v>
                </c:pt>
                <c:pt idx="138">
                  <c:v>-1.6</c:v>
                </c:pt>
                <c:pt idx="139">
                  <c:v>-0.1</c:v>
                </c:pt>
                <c:pt idx="140">
                  <c:v>1</c:v>
                </c:pt>
                <c:pt idx="141">
                  <c:v>3.9</c:v>
                </c:pt>
                <c:pt idx="142">
                  <c:v>7.5</c:v>
                </c:pt>
                <c:pt idx="143">
                  <c:v>5.1</c:v>
                </c:pt>
                <c:pt idx="144">
                  <c:v>4</c:v>
                </c:pt>
                <c:pt idx="145">
                  <c:v>1</c:v>
                </c:pt>
                <c:pt idx="146">
                  <c:v>-0.5</c:v>
                </c:pt>
                <c:pt idx="147">
                  <c:v>2</c:v>
                </c:pt>
                <c:pt idx="148">
                  <c:v>7.6</c:v>
                </c:pt>
                <c:pt idx="149">
                  <c:v>9.3</c:v>
                </c:pt>
                <c:pt idx="150">
                  <c:v>7</c:v>
                </c:pt>
                <c:pt idx="151">
                  <c:v>2.9</c:v>
                </c:pt>
                <c:pt idx="152">
                  <c:v>5.6</c:v>
                </c:pt>
                <c:pt idx="153">
                  <c:v>7.2</c:v>
                </c:pt>
                <c:pt idx="154">
                  <c:v>6.8</c:v>
                </c:pt>
                <c:pt idx="155">
                  <c:v>6.1</c:v>
                </c:pt>
                <c:pt idx="156">
                  <c:v>8.3</c:v>
                </c:pt>
                <c:pt idx="157">
                  <c:v>7.2</c:v>
                </c:pt>
                <c:pt idx="158">
                  <c:v>7</c:v>
                </c:pt>
                <c:pt idx="159">
                  <c:v>7.4</c:v>
                </c:pt>
                <c:pt idx="160">
                  <c:v>9.4</c:v>
                </c:pt>
                <c:pt idx="161">
                  <c:v>9</c:v>
                </c:pt>
                <c:pt idx="162">
                  <c:v>7.7</c:v>
                </c:pt>
                <c:pt idx="163">
                  <c:v>9.1</c:v>
                </c:pt>
                <c:pt idx="164">
                  <c:v>7.3</c:v>
                </c:pt>
                <c:pt idx="165">
                  <c:v>9</c:v>
                </c:pt>
                <c:pt idx="166">
                  <c:v>9.2</c:v>
                </c:pt>
                <c:pt idx="167">
                  <c:v>8.5</c:v>
                </c:pt>
                <c:pt idx="168">
                  <c:v>9</c:v>
                </c:pt>
                <c:pt idx="169">
                  <c:v>11.1</c:v>
                </c:pt>
                <c:pt idx="170">
                  <c:v>10.7</c:v>
                </c:pt>
                <c:pt idx="171">
                  <c:v>9.3</c:v>
                </c:pt>
                <c:pt idx="172">
                  <c:v>7.2</c:v>
                </c:pt>
                <c:pt idx="173">
                  <c:v>6.1</c:v>
                </c:pt>
                <c:pt idx="174">
                  <c:v>4.7</c:v>
                </c:pt>
                <c:pt idx="175">
                  <c:v>4.7</c:v>
                </c:pt>
                <c:pt idx="176">
                  <c:v>3.7</c:v>
                </c:pt>
                <c:pt idx="177">
                  <c:v>6.8</c:v>
                </c:pt>
                <c:pt idx="178">
                  <c:v>8.1</c:v>
                </c:pt>
                <c:pt idx="179">
                  <c:v>7.4</c:v>
                </c:pt>
                <c:pt idx="180">
                  <c:v>9.1</c:v>
                </c:pt>
                <c:pt idx="181">
                  <c:v>10.2</c:v>
                </c:pt>
                <c:pt idx="182">
                  <c:v>10.4</c:v>
                </c:pt>
                <c:pt idx="183">
                  <c:v>7.7</c:v>
                </c:pt>
                <c:pt idx="184">
                  <c:v>8.3</c:v>
                </c:pt>
                <c:pt idx="185">
                  <c:v>10.9</c:v>
                </c:pt>
                <c:pt idx="186">
                  <c:v>12.2</c:v>
                </c:pt>
                <c:pt idx="187">
                  <c:v>13.3</c:v>
                </c:pt>
                <c:pt idx="188">
                  <c:v>13.2</c:v>
                </c:pt>
                <c:pt idx="189">
                  <c:v>11.8</c:v>
                </c:pt>
                <c:pt idx="190">
                  <c:v>10.9</c:v>
                </c:pt>
                <c:pt idx="191">
                  <c:v>11.1</c:v>
                </c:pt>
                <c:pt idx="192">
                  <c:v>11.6</c:v>
                </c:pt>
                <c:pt idx="193">
                  <c:v>10.1</c:v>
                </c:pt>
                <c:pt idx="194">
                  <c:v>10.2</c:v>
                </c:pt>
                <c:pt idx="195">
                  <c:v>11.5</c:v>
                </c:pt>
                <c:pt idx="196">
                  <c:v>12.1</c:v>
                </c:pt>
                <c:pt idx="197">
                  <c:v>12.7</c:v>
                </c:pt>
                <c:pt idx="198">
                  <c:v>12.1</c:v>
                </c:pt>
                <c:pt idx="199">
                  <c:v>13.6</c:v>
                </c:pt>
                <c:pt idx="200">
                  <c:v>12.6</c:v>
                </c:pt>
                <c:pt idx="201">
                  <c:v>11.4</c:v>
                </c:pt>
                <c:pt idx="202">
                  <c:v>11.1</c:v>
                </c:pt>
                <c:pt idx="203">
                  <c:v>11.9</c:v>
                </c:pt>
                <c:pt idx="204">
                  <c:v>13.7</c:v>
                </c:pt>
                <c:pt idx="205">
                  <c:v>15.3</c:v>
                </c:pt>
                <c:pt idx="206">
                  <c:v>14.7</c:v>
                </c:pt>
                <c:pt idx="207">
                  <c:v>13.6</c:v>
                </c:pt>
                <c:pt idx="208">
                  <c:v>12.8</c:v>
                </c:pt>
                <c:pt idx="209">
                  <c:v>13.4</c:v>
                </c:pt>
                <c:pt idx="210">
                  <c:v>16.8</c:v>
                </c:pt>
                <c:pt idx="211">
                  <c:v>18.9</c:v>
                </c:pt>
                <c:pt idx="212">
                  <c:v>19.1</c:v>
                </c:pt>
                <c:pt idx="213">
                  <c:v>19.1</c:v>
                </c:pt>
                <c:pt idx="214">
                  <c:v>14.9</c:v>
                </c:pt>
                <c:pt idx="215">
                  <c:v>15.3</c:v>
                </c:pt>
                <c:pt idx="216">
                  <c:v>13.2</c:v>
                </c:pt>
                <c:pt idx="217">
                  <c:v>11.9</c:v>
                </c:pt>
                <c:pt idx="218">
                  <c:v>13.7</c:v>
                </c:pt>
                <c:pt idx="219">
                  <c:v>12.9</c:v>
                </c:pt>
                <c:pt idx="220">
                  <c:v>13.4</c:v>
                </c:pt>
                <c:pt idx="221">
                  <c:v>14.8</c:v>
                </c:pt>
                <c:pt idx="222">
                  <c:v>16.1</c:v>
                </c:pt>
                <c:pt idx="223">
                  <c:v>14.9</c:v>
                </c:pt>
                <c:pt idx="224">
                  <c:v>15.8</c:v>
                </c:pt>
                <c:pt idx="225">
                  <c:v>16.7</c:v>
                </c:pt>
                <c:pt idx="226">
                  <c:v>15.6</c:v>
                </c:pt>
                <c:pt idx="227">
                  <c:v>13.4</c:v>
                </c:pt>
                <c:pt idx="228">
                  <c:v>16.3</c:v>
                </c:pt>
                <c:pt idx="229">
                  <c:v>15.8</c:v>
                </c:pt>
                <c:pt idx="230">
                  <c:v>17.2</c:v>
                </c:pt>
                <c:pt idx="231">
                  <c:v>16.8</c:v>
                </c:pt>
                <c:pt idx="232">
                  <c:v>15.6</c:v>
                </c:pt>
                <c:pt idx="233">
                  <c:v>15.2</c:v>
                </c:pt>
                <c:pt idx="234">
                  <c:v>16.7</c:v>
                </c:pt>
                <c:pt idx="235">
                  <c:v>17.4</c:v>
                </c:pt>
                <c:pt idx="236">
                  <c:v>16.8</c:v>
                </c:pt>
                <c:pt idx="237">
                  <c:v>15.9</c:v>
                </c:pt>
                <c:pt idx="238">
                  <c:v>16</c:v>
                </c:pt>
                <c:pt idx="239">
                  <c:v>17.7</c:v>
                </c:pt>
                <c:pt idx="240">
                  <c:v>18.2</c:v>
                </c:pt>
                <c:pt idx="241">
                  <c:v>17</c:v>
                </c:pt>
                <c:pt idx="242">
                  <c:v>19.5</c:v>
                </c:pt>
                <c:pt idx="243">
                  <c:v>19.6</c:v>
                </c:pt>
                <c:pt idx="244">
                  <c:v>19</c:v>
                </c:pt>
                <c:pt idx="245">
                  <c:v>20.9</c:v>
                </c:pt>
                <c:pt idx="246">
                  <c:v>18.8</c:v>
                </c:pt>
                <c:pt idx="247">
                  <c:v>21</c:v>
                </c:pt>
                <c:pt idx="248">
                  <c:v>15.1</c:v>
                </c:pt>
                <c:pt idx="249">
                  <c:v>0</c:v>
                </c:pt>
                <c:pt idx="250">
                  <c:v>16.1</c:v>
                </c:pt>
                <c:pt idx="251">
                  <c:v>19.2</c:v>
                </c:pt>
                <c:pt idx="252">
                  <c:v>20.1</c:v>
                </c:pt>
                <c:pt idx="253">
                  <c:v>19.5</c:v>
                </c:pt>
                <c:pt idx="254">
                  <c:v>20.7</c:v>
                </c:pt>
                <c:pt idx="255">
                  <c:v>21.7</c:v>
                </c:pt>
                <c:pt idx="256">
                  <c:v>18.2</c:v>
                </c:pt>
                <c:pt idx="257">
                  <c:v>21</c:v>
                </c:pt>
                <c:pt idx="258">
                  <c:v>20.9</c:v>
                </c:pt>
                <c:pt idx="259">
                  <c:v>22.9</c:v>
                </c:pt>
                <c:pt idx="260">
                  <c:v>19.6</c:v>
                </c:pt>
                <c:pt idx="261">
                  <c:v>16.3</c:v>
                </c:pt>
                <c:pt idx="262">
                  <c:v>18</c:v>
                </c:pt>
                <c:pt idx="263">
                  <c:v>21</c:v>
                </c:pt>
                <c:pt idx="264">
                  <c:v>20.1</c:v>
                </c:pt>
                <c:pt idx="265">
                  <c:v>15.3</c:v>
                </c:pt>
                <c:pt idx="266">
                  <c:v>12.9</c:v>
                </c:pt>
                <c:pt idx="267">
                  <c:v>13.3</c:v>
                </c:pt>
                <c:pt idx="268">
                  <c:v>17.2</c:v>
                </c:pt>
                <c:pt idx="269">
                  <c:v>17.6</c:v>
                </c:pt>
                <c:pt idx="270">
                  <c:v>19</c:v>
                </c:pt>
                <c:pt idx="271">
                  <c:v>19.6</c:v>
                </c:pt>
                <c:pt idx="272">
                  <c:v>15.4</c:v>
                </c:pt>
                <c:pt idx="273">
                  <c:v>15.1</c:v>
                </c:pt>
                <c:pt idx="274">
                  <c:v>17</c:v>
                </c:pt>
                <c:pt idx="275">
                  <c:v>15.7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735325"/>
        <c:axId val="309489"/>
      </c:lineChart>
      <c:dateAx>
        <c:axId val="58735325"/>
        <c:scaling>
          <c:orientation val="minMax"/>
        </c:scaling>
        <c:delete val="0"/>
        <c:axPos val="b"/>
        <c:numFmt formatCode="dd/mm/yy;@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9489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  <c:noMultiLvlLbl val="0"/>
      </c:dateAx>
      <c:valAx>
        <c:axId val="309489"/>
        <c:scaling>
          <c:orientation val="minMax"/>
          <c:max val="60"/>
          <c:min val="-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7353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657351738680889"/>
          <c:y val="0.256391881405852"/>
          <c:w val="0.29301322862643"/>
          <c:h val="0.12222437472923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80209510890045"/>
          <c:y val="0.0172944678230524"/>
          <c:w val="0.860200467254503"/>
          <c:h val="0.9576105922200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"précipitations  (mm)"</c:f>
              <c:strCache>
                <c:ptCount val="1"/>
                <c:pt idx="0">
                  <c:v>précipitations  (mm)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'[1]Humidité et Température Sol'!$X$2:$X$277</c:f>
              <c:numCache>
                <c:formatCode>General</c:formatCode>
                <c:ptCount val="276"/>
                <c:pt idx="0">
                  <c:v>1.8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3.6</c:v>
                </c:pt>
                <c:pt idx="9">
                  <c:v>3.8</c:v>
                </c:pt>
                <c:pt idx="10">
                  <c:v>0.4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10.3</c:v>
                </c:pt>
                <c:pt idx="16">
                  <c:v>6.4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</c:v>
                </c:pt>
                <c:pt idx="24">
                  <c:v>0</c:v>
                </c:pt>
                <c:pt idx="25">
                  <c:v>0</c:v>
                </c:pt>
                <c:pt idx="26">
                  <c:v>2.6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6.7</c:v>
                </c:pt>
                <c:pt idx="32">
                  <c:v>57.3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0.2</c:v>
                </c:pt>
                <c:pt idx="37">
                  <c:v>0</c:v>
                </c:pt>
                <c:pt idx="38">
                  <c:v>0.2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</c:v>
                </c:pt>
                <c:pt idx="43">
                  <c:v>0</c:v>
                </c:pt>
                <c:pt idx="44">
                  <c:v>0</c:v>
                </c:pt>
                <c:pt idx="45">
                  <c:v>1.8</c:v>
                </c:pt>
                <c:pt idx="46">
                  <c:v>11.1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4.6</c:v>
                </c:pt>
                <c:pt idx="54">
                  <c:v>4.5</c:v>
                </c:pt>
                <c:pt idx="55">
                  <c:v>0</c:v>
                </c:pt>
                <c:pt idx="56">
                  <c:v>0.8</c:v>
                </c:pt>
                <c:pt idx="57">
                  <c:v>0.8</c:v>
                </c:pt>
                <c:pt idx="58">
                  <c:v>0.2</c:v>
                </c:pt>
                <c:pt idx="59">
                  <c:v>0.4</c:v>
                </c:pt>
                <c:pt idx="60">
                  <c:v>3.4</c:v>
                </c:pt>
                <c:pt idx="61">
                  <c:v>8.4</c:v>
                </c:pt>
                <c:pt idx="62">
                  <c:v>1.4</c:v>
                </c:pt>
                <c:pt idx="63">
                  <c:v>5.2</c:v>
                </c:pt>
                <c:pt idx="64">
                  <c:v>0.6</c:v>
                </c:pt>
                <c:pt idx="65">
                  <c:v>0.6</c:v>
                </c:pt>
                <c:pt idx="66">
                  <c:v>0.2</c:v>
                </c:pt>
                <c:pt idx="67">
                  <c:v>2.6</c:v>
                </c:pt>
                <c:pt idx="68">
                  <c:v>3</c:v>
                </c:pt>
                <c:pt idx="69">
                  <c:v>0</c:v>
                </c:pt>
                <c:pt idx="70">
                  <c:v>8.5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12.1</c:v>
                </c:pt>
                <c:pt idx="75">
                  <c:v>0.8</c:v>
                </c:pt>
                <c:pt idx="76">
                  <c:v>0</c:v>
                </c:pt>
                <c:pt idx="77">
                  <c:v>0</c:v>
                </c:pt>
                <c:pt idx="78">
                  <c:v>2.4</c:v>
                </c:pt>
                <c:pt idx="79">
                  <c:v>0</c:v>
                </c:pt>
                <c:pt idx="80">
                  <c:v>1.6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0.4</c:v>
                </c:pt>
                <c:pt idx="86">
                  <c:v>0.6</c:v>
                </c:pt>
                <c:pt idx="87">
                  <c:v>0.2</c:v>
                </c:pt>
                <c:pt idx="88">
                  <c:v>0.4</c:v>
                </c:pt>
                <c:pt idx="89">
                  <c:v>0.8</c:v>
                </c:pt>
                <c:pt idx="90">
                  <c:v>0.2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5.2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0.2</c:v>
                </c:pt>
                <c:pt idx="105">
                  <c:v>0.4</c:v>
                </c:pt>
                <c:pt idx="106">
                  <c:v>16.9</c:v>
                </c:pt>
                <c:pt idx="107">
                  <c:v>0.2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0.8</c:v>
                </c:pt>
                <c:pt idx="119">
                  <c:v>0.2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6.3</c:v>
                </c:pt>
                <c:pt idx="124">
                  <c:v>3.2</c:v>
                </c:pt>
                <c:pt idx="125">
                  <c:v>8</c:v>
                </c:pt>
                <c:pt idx="126">
                  <c:v>1.8</c:v>
                </c:pt>
                <c:pt idx="127">
                  <c:v>0.4</c:v>
                </c:pt>
                <c:pt idx="128">
                  <c:v>0.2</c:v>
                </c:pt>
                <c:pt idx="129">
                  <c:v>0</c:v>
                </c:pt>
                <c:pt idx="130">
                  <c:v>0.2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10.9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0.4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</c:v>
                </c:pt>
                <c:pt idx="156">
                  <c:v>0</c:v>
                </c:pt>
                <c:pt idx="157">
                  <c:v>1.2</c:v>
                </c:pt>
                <c:pt idx="158">
                  <c:v>0.2</c:v>
                </c:pt>
                <c:pt idx="159">
                  <c:v>0.6</c:v>
                </c:pt>
                <c:pt idx="160">
                  <c:v>0.2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3.8</c:v>
                </c:pt>
                <c:pt idx="165">
                  <c:v>0</c:v>
                </c:pt>
                <c:pt idx="166">
                  <c:v>10.7</c:v>
                </c:pt>
                <c:pt idx="167">
                  <c:v>3.2</c:v>
                </c:pt>
                <c:pt idx="168">
                  <c:v>2.6</c:v>
                </c:pt>
                <c:pt idx="169">
                  <c:v>0.6</c:v>
                </c:pt>
                <c:pt idx="170">
                  <c:v>0</c:v>
                </c:pt>
                <c:pt idx="171">
                  <c:v>4</c:v>
                </c:pt>
                <c:pt idx="172">
                  <c:v>2</c:v>
                </c:pt>
                <c:pt idx="173">
                  <c:v>0.6</c:v>
                </c:pt>
                <c:pt idx="174">
                  <c:v>0.2</c:v>
                </c:pt>
                <c:pt idx="175">
                  <c:v>0</c:v>
                </c:pt>
                <c:pt idx="176">
                  <c:v>1.8</c:v>
                </c:pt>
                <c:pt idx="177">
                  <c:v>0.2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6.8</c:v>
                </c:pt>
                <c:pt idx="186">
                  <c:v>0</c:v>
                </c:pt>
                <c:pt idx="187">
                  <c:v>0</c:v>
                </c:pt>
                <c:pt idx="188">
                  <c:v>8.8</c:v>
                </c:pt>
                <c:pt idx="189">
                  <c:v>1.6</c:v>
                </c:pt>
                <c:pt idx="190">
                  <c:v>0</c:v>
                </c:pt>
                <c:pt idx="191">
                  <c:v>0.2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4.2</c:v>
                </c:pt>
                <c:pt idx="201">
                  <c:v>2.6</c:v>
                </c:pt>
                <c:pt idx="202">
                  <c:v>7.2</c:v>
                </c:pt>
                <c:pt idx="203">
                  <c:v>2</c:v>
                </c:pt>
                <c:pt idx="204">
                  <c:v>0.2</c:v>
                </c:pt>
                <c:pt idx="205">
                  <c:v>0.2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0.2</c:v>
                </c:pt>
                <c:pt idx="216">
                  <c:v>1.8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0.4</c:v>
                </c:pt>
                <c:pt idx="225">
                  <c:v>0</c:v>
                </c:pt>
                <c:pt idx="226">
                  <c:v>0</c:v>
                </c:pt>
                <c:pt idx="227">
                  <c:v>4.2</c:v>
                </c:pt>
                <c:pt idx="228">
                  <c:v>0</c:v>
                </c:pt>
                <c:pt idx="229">
                  <c:v>29.7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2.2</c:v>
                </c:pt>
                <c:pt idx="237">
                  <c:v>2.4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4.8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9.7</c:v>
                </c:pt>
                <c:pt idx="265">
                  <c:v>2.4</c:v>
                </c:pt>
                <c:pt idx="266">
                  <c:v>5</c:v>
                </c:pt>
                <c:pt idx="267">
                  <c:v>1.8</c:v>
                </c:pt>
                <c:pt idx="268">
                  <c:v>0</c:v>
                </c:pt>
                <c:pt idx="269">
                  <c:v>2.2</c:v>
                </c:pt>
                <c:pt idx="270">
                  <c:v>0</c:v>
                </c:pt>
                <c:pt idx="271">
                  <c:v>0</c:v>
                </c:pt>
                <c:pt idx="272">
                  <c:v>18</c:v>
                </c:pt>
                <c:pt idx="273">
                  <c:v>3.2</c:v>
                </c:pt>
                <c:pt idx="274">
                  <c:v>0.4</c:v>
                </c:pt>
                <c:pt idx="275">
                  <c:v>0.6</c:v>
                </c:pt>
              </c:numCache>
            </c:numRef>
          </c:val>
        </c:ser>
        <c:gapWidth val="150"/>
        <c:overlap val="0"/>
        <c:axId val="16687083"/>
        <c:axId val="21432541"/>
      </c:barChart>
      <c:lineChart>
        <c:grouping val="standard"/>
        <c:varyColors val="0"/>
        <c:ser>
          <c:idx val="1"/>
          <c:order val="1"/>
          <c:tx>
            <c:strRef>
              <c:f>"H(%) 0-20"</c:f>
              <c:strCache>
                <c:ptCount val="1"/>
                <c:pt idx="0">
                  <c:v>H(%) 0-20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'[1]Humidité et Température Sol'!$T$2:$T$277</c:f>
              <c:numCache>
                <c:formatCode>General</c:formatCode>
                <c:ptCount val="276"/>
                <c:pt idx="29">
                  <c:v>34.75</c:v>
                </c:pt>
                <c:pt idx="30">
                  <c:v>34.85</c:v>
                </c:pt>
                <c:pt idx="31">
                  <c:v>34.8333333333333</c:v>
                </c:pt>
                <c:pt idx="32">
                  <c:v>48.9166666666667</c:v>
                </c:pt>
                <c:pt idx="33">
                  <c:v>68.1166666666667</c:v>
                </c:pt>
                <c:pt idx="34">
                  <c:v>48.2166666666667</c:v>
                </c:pt>
                <c:pt idx="35">
                  <c:v>44.8166666666667</c:v>
                </c:pt>
                <c:pt idx="36">
                  <c:v>43.85</c:v>
                </c:pt>
                <c:pt idx="37">
                  <c:v>43.1666666666667</c:v>
                </c:pt>
                <c:pt idx="38">
                  <c:v>42.7</c:v>
                </c:pt>
                <c:pt idx="39">
                  <c:v>42.3333333333333</c:v>
                </c:pt>
                <c:pt idx="40">
                  <c:v>42.1833333333333</c:v>
                </c:pt>
                <c:pt idx="41">
                  <c:v>41.5666666666667</c:v>
                </c:pt>
                <c:pt idx="42">
                  <c:v>41.2</c:v>
                </c:pt>
                <c:pt idx="43">
                  <c:v>40.8166666666667</c:v>
                </c:pt>
                <c:pt idx="44">
                  <c:v>40.4166666666667</c:v>
                </c:pt>
                <c:pt idx="45">
                  <c:v>39.9166666666667</c:v>
                </c:pt>
                <c:pt idx="46">
                  <c:v>41.4833333333333</c:v>
                </c:pt>
                <c:pt idx="47">
                  <c:v>44.7833333333333</c:v>
                </c:pt>
                <c:pt idx="48">
                  <c:v>43.65</c:v>
                </c:pt>
                <c:pt idx="49">
                  <c:v>42.65</c:v>
                </c:pt>
                <c:pt idx="50">
                  <c:v>42.2</c:v>
                </c:pt>
                <c:pt idx="51">
                  <c:v>41.8666666666667</c:v>
                </c:pt>
                <c:pt idx="52">
                  <c:v>41.5166666666667</c:v>
                </c:pt>
                <c:pt idx="53">
                  <c:v>41.3833333333333</c:v>
                </c:pt>
                <c:pt idx="54">
                  <c:v>42.4166666666667</c:v>
                </c:pt>
                <c:pt idx="55">
                  <c:v>43.1166666666667</c:v>
                </c:pt>
                <c:pt idx="56">
                  <c:v>42.85</c:v>
                </c:pt>
                <c:pt idx="57">
                  <c:v>42.7166666666667</c:v>
                </c:pt>
                <c:pt idx="58">
                  <c:v>42.5333333333333</c:v>
                </c:pt>
                <c:pt idx="59">
                  <c:v>42.4666666666667</c:v>
                </c:pt>
                <c:pt idx="60">
                  <c:v>42.35</c:v>
                </c:pt>
                <c:pt idx="61">
                  <c:v>42.4333333333333</c:v>
                </c:pt>
                <c:pt idx="62">
                  <c:v>45.2333333333333</c:v>
                </c:pt>
                <c:pt idx="63">
                  <c:v>44.6833333333333</c:v>
                </c:pt>
                <c:pt idx="64">
                  <c:v>44.8</c:v>
                </c:pt>
                <c:pt idx="65">
                  <c:v>44.0666666666667</c:v>
                </c:pt>
                <c:pt idx="66">
                  <c:v>43.8666666666667</c:v>
                </c:pt>
                <c:pt idx="67">
                  <c:v>43.6333333333333</c:v>
                </c:pt>
                <c:pt idx="68">
                  <c:v>46.4166666666667</c:v>
                </c:pt>
                <c:pt idx="69">
                  <c:v>45.0666666666667</c:v>
                </c:pt>
                <c:pt idx="70">
                  <c:v>46.9166666666667</c:v>
                </c:pt>
                <c:pt idx="71">
                  <c:v>48.75</c:v>
                </c:pt>
                <c:pt idx="72">
                  <c:v>45.1833333333333</c:v>
                </c:pt>
                <c:pt idx="73">
                  <c:v>44.8166666666667</c:v>
                </c:pt>
                <c:pt idx="74">
                  <c:v>44.7166666666667</c:v>
                </c:pt>
                <c:pt idx="75">
                  <c:v>62.45</c:v>
                </c:pt>
                <c:pt idx="76">
                  <c:v>46.75</c:v>
                </c:pt>
                <c:pt idx="77">
                  <c:v>45.8833333333333</c:v>
                </c:pt>
                <c:pt idx="78">
                  <c:v>45.3833333333333</c:v>
                </c:pt>
                <c:pt idx="79">
                  <c:v>45.55</c:v>
                </c:pt>
                <c:pt idx="80">
                  <c:v>45.3666666666667</c:v>
                </c:pt>
                <c:pt idx="81">
                  <c:v>45.2666666666667</c:v>
                </c:pt>
                <c:pt idx="82">
                  <c:v>45.1833333333333</c:v>
                </c:pt>
                <c:pt idx="83">
                  <c:v>45.0166666666667</c:v>
                </c:pt>
                <c:pt idx="84">
                  <c:v>44.8666666666667</c:v>
                </c:pt>
                <c:pt idx="85">
                  <c:v>45.25</c:v>
                </c:pt>
                <c:pt idx="86">
                  <c:v>44.8333333333333</c:v>
                </c:pt>
                <c:pt idx="87">
                  <c:v>44.9166666666667</c:v>
                </c:pt>
                <c:pt idx="88">
                  <c:v>44.55</c:v>
                </c:pt>
                <c:pt idx="89">
                  <c:v>44.45</c:v>
                </c:pt>
                <c:pt idx="90">
                  <c:v>44.4166666666667</c:v>
                </c:pt>
                <c:pt idx="91">
                  <c:v>44.3</c:v>
                </c:pt>
                <c:pt idx="92">
                  <c:v>44.2666666666667</c:v>
                </c:pt>
                <c:pt idx="93">
                  <c:v>44.7166666666667</c:v>
                </c:pt>
                <c:pt idx="94">
                  <c:v>44.85</c:v>
                </c:pt>
                <c:pt idx="95">
                  <c:v>45</c:v>
                </c:pt>
                <c:pt idx="96">
                  <c:v>44.7</c:v>
                </c:pt>
                <c:pt idx="97">
                  <c:v>44.4666666666667</c:v>
                </c:pt>
                <c:pt idx="98">
                  <c:v>44.6333333333333</c:v>
                </c:pt>
                <c:pt idx="99">
                  <c:v>44.55</c:v>
                </c:pt>
                <c:pt idx="100">
                  <c:v>44.7166666666667</c:v>
                </c:pt>
                <c:pt idx="101">
                  <c:v>45.2833333333333</c:v>
                </c:pt>
                <c:pt idx="102">
                  <c:v>45.25</c:v>
                </c:pt>
                <c:pt idx="103">
                  <c:v>44.1333333333333</c:v>
                </c:pt>
                <c:pt idx="104">
                  <c:v>44.1</c:v>
                </c:pt>
                <c:pt idx="105">
                  <c:v>44.0666666666667</c:v>
                </c:pt>
                <c:pt idx="106">
                  <c:v>58.3</c:v>
                </c:pt>
                <c:pt idx="107">
                  <c:v>55.15</c:v>
                </c:pt>
                <c:pt idx="108">
                  <c:v>47.3166666666667</c:v>
                </c:pt>
                <c:pt idx="109">
                  <c:v>46.65</c:v>
                </c:pt>
                <c:pt idx="110">
                  <c:v>46.4</c:v>
                </c:pt>
                <c:pt idx="111">
                  <c:v>45.9</c:v>
                </c:pt>
                <c:pt idx="112">
                  <c:v>45.6833333333333</c:v>
                </c:pt>
                <c:pt idx="113">
                  <c:v>45.4833333333333</c:v>
                </c:pt>
                <c:pt idx="114">
                  <c:v>45.4166666666667</c:v>
                </c:pt>
                <c:pt idx="115">
                  <c:v>45.4333333333333</c:v>
                </c:pt>
                <c:pt idx="116">
                  <c:v>45.6166666666667</c:v>
                </c:pt>
                <c:pt idx="117">
                  <c:v>46.45</c:v>
                </c:pt>
                <c:pt idx="118">
                  <c:v>46.8666666666667</c:v>
                </c:pt>
                <c:pt idx="119">
                  <c:v>46.9666666666667</c:v>
                </c:pt>
                <c:pt idx="120">
                  <c:v>47.05</c:v>
                </c:pt>
                <c:pt idx="121">
                  <c:v>47.4666666666667</c:v>
                </c:pt>
                <c:pt idx="122">
                  <c:v>47.5833333333333</c:v>
                </c:pt>
                <c:pt idx="123">
                  <c:v>48.1</c:v>
                </c:pt>
                <c:pt idx="124">
                  <c:v>47.9666666666667</c:v>
                </c:pt>
                <c:pt idx="125">
                  <c:v>58.0166666666667</c:v>
                </c:pt>
                <c:pt idx="126">
                  <c:v>53.5833333333333</c:v>
                </c:pt>
                <c:pt idx="127">
                  <c:v>50.9</c:v>
                </c:pt>
                <c:pt idx="128">
                  <c:v>50.0666666666667</c:v>
                </c:pt>
                <c:pt idx="129">
                  <c:v>49.6333333333333</c:v>
                </c:pt>
                <c:pt idx="130">
                  <c:v>49.35</c:v>
                </c:pt>
                <c:pt idx="131">
                  <c:v>49.1166666666667</c:v>
                </c:pt>
                <c:pt idx="132">
                  <c:v>48.9666666666667</c:v>
                </c:pt>
                <c:pt idx="133">
                  <c:v>48.8333333333333</c:v>
                </c:pt>
                <c:pt idx="134">
                  <c:v>48.7666666666667</c:v>
                </c:pt>
                <c:pt idx="135">
                  <c:v>48.6833333333333</c:v>
                </c:pt>
                <c:pt idx="136">
                  <c:v>48.6</c:v>
                </c:pt>
                <c:pt idx="137">
                  <c:v>48.5666666666667</c:v>
                </c:pt>
                <c:pt idx="138">
                  <c:v>48.45</c:v>
                </c:pt>
                <c:pt idx="139">
                  <c:v>48.3333333333333</c:v>
                </c:pt>
                <c:pt idx="140">
                  <c:v>48.2666666666667</c:v>
                </c:pt>
                <c:pt idx="141">
                  <c:v>48.1833333333333</c:v>
                </c:pt>
                <c:pt idx="142">
                  <c:v>48.05</c:v>
                </c:pt>
                <c:pt idx="143">
                  <c:v>51.0333333333333</c:v>
                </c:pt>
                <c:pt idx="144">
                  <c:v>55.9833333333333</c:v>
                </c:pt>
                <c:pt idx="145">
                  <c:v>50.7666666666667</c:v>
                </c:pt>
                <c:pt idx="146">
                  <c:v>49.7666666666667</c:v>
                </c:pt>
                <c:pt idx="147">
                  <c:v>49.4</c:v>
                </c:pt>
                <c:pt idx="148">
                  <c:v>49.1</c:v>
                </c:pt>
                <c:pt idx="149">
                  <c:v>48.85</c:v>
                </c:pt>
                <c:pt idx="150">
                  <c:v>48.6666666666667</c:v>
                </c:pt>
                <c:pt idx="151">
                  <c:v>48.5666666666667</c:v>
                </c:pt>
                <c:pt idx="152">
                  <c:v>48.4333333333333</c:v>
                </c:pt>
                <c:pt idx="153">
                  <c:v>48.25</c:v>
                </c:pt>
                <c:pt idx="154">
                  <c:v>48.05</c:v>
                </c:pt>
                <c:pt idx="155">
                  <c:v>47.8666666666667</c:v>
                </c:pt>
                <c:pt idx="156">
                  <c:v>47.7333333333333</c:v>
                </c:pt>
                <c:pt idx="157">
                  <c:v>47.5166666666667</c:v>
                </c:pt>
                <c:pt idx="158">
                  <c:v>47.2666666666667</c:v>
                </c:pt>
                <c:pt idx="159">
                  <c:v>47.2333333333333</c:v>
                </c:pt>
                <c:pt idx="160">
                  <c:v>47.0333333333333</c:v>
                </c:pt>
                <c:pt idx="161">
                  <c:v>46.8666666666667</c:v>
                </c:pt>
                <c:pt idx="162">
                  <c:v>46.7666666666667</c:v>
                </c:pt>
                <c:pt idx="163">
                  <c:v>46.6166666666667</c:v>
                </c:pt>
                <c:pt idx="164">
                  <c:v>46.5333333333333</c:v>
                </c:pt>
                <c:pt idx="165">
                  <c:v>46.4333333333333</c:v>
                </c:pt>
                <c:pt idx="166">
                  <c:v>48.5833333333333</c:v>
                </c:pt>
                <c:pt idx="167">
                  <c:v>61.0833333333333</c:v>
                </c:pt>
                <c:pt idx="168">
                  <c:v>54.3</c:v>
                </c:pt>
                <c:pt idx="169">
                  <c:v>59.7833333333333</c:v>
                </c:pt>
                <c:pt idx="170">
                  <c:v>51.7166666666667</c:v>
                </c:pt>
                <c:pt idx="171">
                  <c:v>50.0833333333333</c:v>
                </c:pt>
                <c:pt idx="172">
                  <c:v>53.75</c:v>
                </c:pt>
                <c:pt idx="173">
                  <c:v>61.6666666666667</c:v>
                </c:pt>
                <c:pt idx="174">
                  <c:v>52.4333333333333</c:v>
                </c:pt>
                <c:pt idx="175">
                  <c:v>50.8333333333333</c:v>
                </c:pt>
                <c:pt idx="176">
                  <c:v>50.2166666666667</c:v>
                </c:pt>
                <c:pt idx="177">
                  <c:v>49.7333333333333</c:v>
                </c:pt>
                <c:pt idx="178">
                  <c:v>49.3833333333333</c:v>
                </c:pt>
                <c:pt idx="179">
                  <c:v>49.0666666666667</c:v>
                </c:pt>
                <c:pt idx="180">
                  <c:v>49.1166666666667</c:v>
                </c:pt>
                <c:pt idx="181">
                  <c:v>48.6833333333333</c:v>
                </c:pt>
                <c:pt idx="182">
                  <c:v>48.1166666666667</c:v>
                </c:pt>
                <c:pt idx="183">
                  <c:v>47.5666666666667</c:v>
                </c:pt>
                <c:pt idx="184">
                  <c:v>47.0333333333333</c:v>
                </c:pt>
                <c:pt idx="185">
                  <c:v>46.9666666666667</c:v>
                </c:pt>
                <c:pt idx="186">
                  <c:v>48.9333333333333</c:v>
                </c:pt>
                <c:pt idx="187">
                  <c:v>46.8166666666667</c:v>
                </c:pt>
                <c:pt idx="188">
                  <c:v>46.0166666666667</c:v>
                </c:pt>
                <c:pt idx="189">
                  <c:v>48.9333333333333</c:v>
                </c:pt>
                <c:pt idx="190">
                  <c:v>47.6166666666667</c:v>
                </c:pt>
                <c:pt idx="191">
                  <c:v>46.7666666666667</c:v>
                </c:pt>
                <c:pt idx="192">
                  <c:v>46.0666666666667</c:v>
                </c:pt>
                <c:pt idx="193">
                  <c:v>45.4</c:v>
                </c:pt>
                <c:pt idx="194">
                  <c:v>42.9833333333333</c:v>
                </c:pt>
                <c:pt idx="195">
                  <c:v>34.2833333333333</c:v>
                </c:pt>
                <c:pt idx="196">
                  <c:v>33.4833333333333</c:v>
                </c:pt>
                <c:pt idx="197">
                  <c:v>33.3833333333333</c:v>
                </c:pt>
                <c:pt idx="198">
                  <c:v>32.8833333333333</c:v>
                </c:pt>
                <c:pt idx="199">
                  <c:v>32.2</c:v>
                </c:pt>
                <c:pt idx="200">
                  <c:v>32.4166666666667</c:v>
                </c:pt>
                <c:pt idx="201">
                  <c:v>32.3166666666667</c:v>
                </c:pt>
                <c:pt idx="202">
                  <c:v>32.1333333333333</c:v>
                </c:pt>
                <c:pt idx="203">
                  <c:v>32</c:v>
                </c:pt>
                <c:pt idx="204">
                  <c:v>32.0333333333333</c:v>
                </c:pt>
                <c:pt idx="205">
                  <c:v>31.95</c:v>
                </c:pt>
                <c:pt idx="206">
                  <c:v>31.7333333333333</c:v>
                </c:pt>
                <c:pt idx="207">
                  <c:v>31.5</c:v>
                </c:pt>
                <c:pt idx="208">
                  <c:v>31.35</c:v>
                </c:pt>
                <c:pt idx="209">
                  <c:v>31</c:v>
                </c:pt>
                <c:pt idx="210">
                  <c:v>30.6</c:v>
                </c:pt>
                <c:pt idx="211">
                  <c:v>30.1</c:v>
                </c:pt>
                <c:pt idx="212">
                  <c:v>29.6</c:v>
                </c:pt>
                <c:pt idx="213">
                  <c:v>29.0333333333333</c:v>
                </c:pt>
                <c:pt idx="214">
                  <c:v>28.8166666666667</c:v>
                </c:pt>
                <c:pt idx="215">
                  <c:v>28.45</c:v>
                </c:pt>
                <c:pt idx="216">
                  <c:v>28.0666666666667</c:v>
                </c:pt>
                <c:pt idx="217">
                  <c:v>27.5833333333333</c:v>
                </c:pt>
                <c:pt idx="218">
                  <c:v>27.05</c:v>
                </c:pt>
                <c:pt idx="219">
                  <c:v>26.4333333333333</c:v>
                </c:pt>
                <c:pt idx="220">
                  <c:v>25.95</c:v>
                </c:pt>
                <c:pt idx="221">
                  <c:v>25.5333333333333</c:v>
                </c:pt>
                <c:pt idx="222">
                  <c:v>25.1</c:v>
                </c:pt>
                <c:pt idx="223">
                  <c:v>24.5666666666667</c:v>
                </c:pt>
                <c:pt idx="224">
                  <c:v>24.05</c:v>
                </c:pt>
                <c:pt idx="225">
                  <c:v>23.6333333333333</c:v>
                </c:pt>
                <c:pt idx="226">
                  <c:v>23.2333333333333</c:v>
                </c:pt>
                <c:pt idx="227">
                  <c:v>22.9333333333333</c:v>
                </c:pt>
                <c:pt idx="228">
                  <c:v>22.8666666666667</c:v>
                </c:pt>
                <c:pt idx="229">
                  <c:v>22.7</c:v>
                </c:pt>
                <c:pt idx="230">
                  <c:v>22.6666666666667</c:v>
                </c:pt>
                <c:pt idx="231">
                  <c:v>22.5666666666667</c:v>
                </c:pt>
                <c:pt idx="232">
                  <c:v>22.35</c:v>
                </c:pt>
                <c:pt idx="233">
                  <c:v>22.1</c:v>
                </c:pt>
                <c:pt idx="234">
                  <c:v>21.9166666666667</c:v>
                </c:pt>
                <c:pt idx="235">
                  <c:v>21.75</c:v>
                </c:pt>
                <c:pt idx="236">
                  <c:v>21.6166666666667</c:v>
                </c:pt>
                <c:pt idx="237">
                  <c:v>21.5166666666667</c:v>
                </c:pt>
                <c:pt idx="238">
                  <c:v>21.4333333333333</c:v>
                </c:pt>
                <c:pt idx="239">
                  <c:v>21.2833333333333</c:v>
                </c:pt>
                <c:pt idx="240">
                  <c:v>21.2166666666667</c:v>
                </c:pt>
                <c:pt idx="241">
                  <c:v>21.1333333333333</c:v>
                </c:pt>
                <c:pt idx="242">
                  <c:v>21.05</c:v>
                </c:pt>
                <c:pt idx="243">
                  <c:v>21.0166666666667</c:v>
                </c:pt>
                <c:pt idx="244">
                  <c:v>20.95</c:v>
                </c:pt>
                <c:pt idx="245">
                  <c:v>20.8666666666667</c:v>
                </c:pt>
                <c:pt idx="246">
                  <c:v>20.8166666666667</c:v>
                </c:pt>
                <c:pt idx="247">
                  <c:v>20.8</c:v>
                </c:pt>
                <c:pt idx="248">
                  <c:v>20.7666666666667</c:v>
                </c:pt>
                <c:pt idx="249">
                  <c:v>20.7</c:v>
                </c:pt>
                <c:pt idx="250">
                  <c:v>20.6333333333333</c:v>
                </c:pt>
                <c:pt idx="251">
                  <c:v>20.65</c:v>
                </c:pt>
                <c:pt idx="252">
                  <c:v>20.6833333333333</c:v>
                </c:pt>
                <c:pt idx="253">
                  <c:v>20.75</c:v>
                </c:pt>
                <c:pt idx="254">
                  <c:v>20.75</c:v>
                </c:pt>
                <c:pt idx="255">
                  <c:v>20.7666666666667</c:v>
                </c:pt>
                <c:pt idx="256">
                  <c:v>20.7666666666667</c:v>
                </c:pt>
                <c:pt idx="257">
                  <c:v>20.7</c:v>
                </c:pt>
                <c:pt idx="258">
                  <c:v>20.75</c:v>
                </c:pt>
                <c:pt idx="259">
                  <c:v>20.7833333333333</c:v>
                </c:pt>
                <c:pt idx="260">
                  <c:v>20.8166666666667</c:v>
                </c:pt>
                <c:pt idx="261">
                  <c:v>20.7166666666667</c:v>
                </c:pt>
                <c:pt idx="262">
                  <c:v>20.6666666666667</c:v>
                </c:pt>
                <c:pt idx="263">
                  <c:v>20.7</c:v>
                </c:pt>
                <c:pt idx="264">
                  <c:v>20.7833333333333</c:v>
                </c:pt>
                <c:pt idx="265">
                  <c:v>26.2166666666667</c:v>
                </c:pt>
                <c:pt idx="266">
                  <c:v>24.7833333333333</c:v>
                </c:pt>
                <c:pt idx="267">
                  <c:v>23.85</c:v>
                </c:pt>
                <c:pt idx="268">
                  <c:v>23.55</c:v>
                </c:pt>
                <c:pt idx="269">
                  <c:v>23.5333333333333</c:v>
                </c:pt>
                <c:pt idx="270">
                  <c:v>23.5333333333333</c:v>
                </c:pt>
                <c:pt idx="271">
                  <c:v>23.5833333333333</c:v>
                </c:pt>
                <c:pt idx="272">
                  <c:v>23.6166666666667</c:v>
                </c:pt>
                <c:pt idx="273">
                  <c:v>23.525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"H(%) 20-40"</c:f>
              <c:strCache>
                <c:ptCount val="1"/>
                <c:pt idx="0">
                  <c:v>H(%) 20-40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'[1]Humidité et Température Sol'!$U$2:$U$277</c:f>
              <c:numCache>
                <c:formatCode>General</c:formatCode>
                <c:ptCount val="276"/>
                <c:pt idx="29">
                  <c:v>32.55</c:v>
                </c:pt>
                <c:pt idx="30">
                  <c:v>33.1666666666667</c:v>
                </c:pt>
                <c:pt idx="31">
                  <c:v>33.4</c:v>
                </c:pt>
                <c:pt idx="32">
                  <c:v>45.5666666666667</c:v>
                </c:pt>
                <c:pt idx="33">
                  <c:v>69.7</c:v>
                </c:pt>
                <c:pt idx="34">
                  <c:v>62.8166666666667</c:v>
                </c:pt>
                <c:pt idx="35">
                  <c:v>47.5833333333333</c:v>
                </c:pt>
                <c:pt idx="36">
                  <c:v>45.9333333333333</c:v>
                </c:pt>
                <c:pt idx="37">
                  <c:v>45.15</c:v>
                </c:pt>
                <c:pt idx="38">
                  <c:v>44.6666666666667</c:v>
                </c:pt>
                <c:pt idx="39">
                  <c:v>44.3166666666667</c:v>
                </c:pt>
                <c:pt idx="40">
                  <c:v>43.9666666666667</c:v>
                </c:pt>
                <c:pt idx="41">
                  <c:v>43.7166666666667</c:v>
                </c:pt>
                <c:pt idx="42">
                  <c:v>43.4833333333333</c:v>
                </c:pt>
                <c:pt idx="43">
                  <c:v>43.2333333333333</c:v>
                </c:pt>
                <c:pt idx="44">
                  <c:v>43.0166666666667</c:v>
                </c:pt>
                <c:pt idx="45">
                  <c:v>42.8</c:v>
                </c:pt>
                <c:pt idx="46">
                  <c:v>43.1166666666667</c:v>
                </c:pt>
                <c:pt idx="47">
                  <c:v>44.45</c:v>
                </c:pt>
                <c:pt idx="48">
                  <c:v>43.85</c:v>
                </c:pt>
                <c:pt idx="49">
                  <c:v>43.4</c:v>
                </c:pt>
                <c:pt idx="50">
                  <c:v>43.4333333333333</c:v>
                </c:pt>
                <c:pt idx="51">
                  <c:v>43.3166666666667</c:v>
                </c:pt>
                <c:pt idx="52">
                  <c:v>43.2333333333333</c:v>
                </c:pt>
                <c:pt idx="53">
                  <c:v>43.0333333333333</c:v>
                </c:pt>
                <c:pt idx="54">
                  <c:v>43.05</c:v>
                </c:pt>
                <c:pt idx="55">
                  <c:v>43.6</c:v>
                </c:pt>
                <c:pt idx="56">
                  <c:v>43.6</c:v>
                </c:pt>
                <c:pt idx="57">
                  <c:v>43.7333333333333</c:v>
                </c:pt>
                <c:pt idx="58">
                  <c:v>43.9</c:v>
                </c:pt>
                <c:pt idx="59">
                  <c:v>44</c:v>
                </c:pt>
                <c:pt idx="60">
                  <c:v>44.0333333333333</c:v>
                </c:pt>
                <c:pt idx="61">
                  <c:v>44.1</c:v>
                </c:pt>
                <c:pt idx="62">
                  <c:v>46.65</c:v>
                </c:pt>
                <c:pt idx="63">
                  <c:v>46.6833333333333</c:v>
                </c:pt>
                <c:pt idx="64">
                  <c:v>47.0166666666667</c:v>
                </c:pt>
                <c:pt idx="65">
                  <c:v>46.1666666666667</c:v>
                </c:pt>
                <c:pt idx="66">
                  <c:v>45.6833333333333</c:v>
                </c:pt>
                <c:pt idx="67">
                  <c:v>45.4333333333333</c:v>
                </c:pt>
                <c:pt idx="68">
                  <c:v>48.2833333333333</c:v>
                </c:pt>
                <c:pt idx="69">
                  <c:v>47.55</c:v>
                </c:pt>
                <c:pt idx="70">
                  <c:v>50.7166666666667</c:v>
                </c:pt>
                <c:pt idx="71">
                  <c:v>62.8333333333333</c:v>
                </c:pt>
                <c:pt idx="72">
                  <c:v>48.2</c:v>
                </c:pt>
                <c:pt idx="73">
                  <c:v>47.0666666666667</c:v>
                </c:pt>
                <c:pt idx="74">
                  <c:v>46.8166666666667</c:v>
                </c:pt>
                <c:pt idx="75">
                  <c:v>69.1</c:v>
                </c:pt>
                <c:pt idx="76">
                  <c:v>51.0833333333333</c:v>
                </c:pt>
                <c:pt idx="77">
                  <c:v>48.5666666666667</c:v>
                </c:pt>
                <c:pt idx="78">
                  <c:v>47.95</c:v>
                </c:pt>
                <c:pt idx="79">
                  <c:v>47.75</c:v>
                </c:pt>
                <c:pt idx="80">
                  <c:v>47.8</c:v>
                </c:pt>
                <c:pt idx="81">
                  <c:v>47.3666666666667</c:v>
                </c:pt>
                <c:pt idx="82">
                  <c:v>47.25</c:v>
                </c:pt>
                <c:pt idx="83">
                  <c:v>47.0833333333333</c:v>
                </c:pt>
                <c:pt idx="84">
                  <c:v>46.8833333333333</c:v>
                </c:pt>
                <c:pt idx="85">
                  <c:v>46.9666666666667</c:v>
                </c:pt>
                <c:pt idx="86">
                  <c:v>46.7666666666667</c:v>
                </c:pt>
                <c:pt idx="87">
                  <c:v>46.6833333333333</c:v>
                </c:pt>
                <c:pt idx="88">
                  <c:v>46.65</c:v>
                </c:pt>
                <c:pt idx="89">
                  <c:v>46.1166666666667</c:v>
                </c:pt>
                <c:pt idx="90">
                  <c:v>46.0333333333333</c:v>
                </c:pt>
                <c:pt idx="91">
                  <c:v>46</c:v>
                </c:pt>
                <c:pt idx="92">
                  <c:v>45.8166666666667</c:v>
                </c:pt>
                <c:pt idx="93">
                  <c:v>45.8</c:v>
                </c:pt>
                <c:pt idx="94">
                  <c:v>45.85</c:v>
                </c:pt>
                <c:pt idx="95">
                  <c:v>45.65</c:v>
                </c:pt>
                <c:pt idx="96">
                  <c:v>45.5833333333333</c:v>
                </c:pt>
                <c:pt idx="97">
                  <c:v>45.5833333333333</c:v>
                </c:pt>
                <c:pt idx="98">
                  <c:v>45.5</c:v>
                </c:pt>
                <c:pt idx="99">
                  <c:v>45.5166666666667</c:v>
                </c:pt>
                <c:pt idx="100">
                  <c:v>45.4333333333333</c:v>
                </c:pt>
                <c:pt idx="101">
                  <c:v>45.4</c:v>
                </c:pt>
                <c:pt idx="102">
                  <c:v>45.4166666666667</c:v>
                </c:pt>
                <c:pt idx="103">
                  <c:v>45.5</c:v>
                </c:pt>
                <c:pt idx="104">
                  <c:v>45.5</c:v>
                </c:pt>
                <c:pt idx="105">
                  <c:v>45.5</c:v>
                </c:pt>
                <c:pt idx="106">
                  <c:v>58.85</c:v>
                </c:pt>
                <c:pt idx="107">
                  <c:v>53.5</c:v>
                </c:pt>
                <c:pt idx="108">
                  <c:v>49.5166666666667</c:v>
                </c:pt>
                <c:pt idx="109">
                  <c:v>48.0166666666667</c:v>
                </c:pt>
                <c:pt idx="110">
                  <c:v>47.6166666666667</c:v>
                </c:pt>
                <c:pt idx="111">
                  <c:v>47.4666666666667</c:v>
                </c:pt>
                <c:pt idx="112">
                  <c:v>46.3</c:v>
                </c:pt>
                <c:pt idx="113">
                  <c:v>46.5</c:v>
                </c:pt>
                <c:pt idx="114">
                  <c:v>46.45</c:v>
                </c:pt>
                <c:pt idx="115">
                  <c:v>46.3333333333333</c:v>
                </c:pt>
                <c:pt idx="116">
                  <c:v>46.2666666666667</c:v>
                </c:pt>
                <c:pt idx="117">
                  <c:v>46.2</c:v>
                </c:pt>
                <c:pt idx="118">
                  <c:v>46.15</c:v>
                </c:pt>
                <c:pt idx="119">
                  <c:v>46.1</c:v>
                </c:pt>
                <c:pt idx="120">
                  <c:v>46</c:v>
                </c:pt>
                <c:pt idx="121">
                  <c:v>45.9666666666667</c:v>
                </c:pt>
                <c:pt idx="122">
                  <c:v>45.9</c:v>
                </c:pt>
                <c:pt idx="123">
                  <c:v>45.9</c:v>
                </c:pt>
                <c:pt idx="124">
                  <c:v>45.8166666666667</c:v>
                </c:pt>
                <c:pt idx="125">
                  <c:v>59.75</c:v>
                </c:pt>
                <c:pt idx="126">
                  <c:v>55.8833333333333</c:v>
                </c:pt>
                <c:pt idx="127">
                  <c:v>48.6</c:v>
                </c:pt>
                <c:pt idx="128">
                  <c:v>47.6833333333333</c:v>
                </c:pt>
                <c:pt idx="129">
                  <c:v>47.2833333333333</c:v>
                </c:pt>
                <c:pt idx="130">
                  <c:v>47.05</c:v>
                </c:pt>
                <c:pt idx="131">
                  <c:v>46.8833333333333</c:v>
                </c:pt>
                <c:pt idx="132">
                  <c:v>46.75</c:v>
                </c:pt>
                <c:pt idx="133">
                  <c:v>46.6666666666667</c:v>
                </c:pt>
                <c:pt idx="134">
                  <c:v>46.5666666666667</c:v>
                </c:pt>
                <c:pt idx="135">
                  <c:v>46.4833333333333</c:v>
                </c:pt>
                <c:pt idx="136">
                  <c:v>46.4</c:v>
                </c:pt>
                <c:pt idx="137">
                  <c:v>46.3666666666667</c:v>
                </c:pt>
                <c:pt idx="138">
                  <c:v>46.3</c:v>
                </c:pt>
                <c:pt idx="139">
                  <c:v>46.2833333333333</c:v>
                </c:pt>
                <c:pt idx="140">
                  <c:v>46.2</c:v>
                </c:pt>
                <c:pt idx="141">
                  <c:v>46.1833333333333</c:v>
                </c:pt>
                <c:pt idx="142">
                  <c:v>46.1</c:v>
                </c:pt>
                <c:pt idx="143">
                  <c:v>46.1</c:v>
                </c:pt>
                <c:pt idx="144">
                  <c:v>46.1</c:v>
                </c:pt>
                <c:pt idx="145">
                  <c:v>46.2</c:v>
                </c:pt>
                <c:pt idx="146">
                  <c:v>46.2666666666667</c:v>
                </c:pt>
                <c:pt idx="147">
                  <c:v>46.3</c:v>
                </c:pt>
                <c:pt idx="148">
                  <c:v>46.2833333333333</c:v>
                </c:pt>
                <c:pt idx="149">
                  <c:v>46.25</c:v>
                </c:pt>
                <c:pt idx="150">
                  <c:v>46.2</c:v>
                </c:pt>
                <c:pt idx="151">
                  <c:v>46.1833333333333</c:v>
                </c:pt>
                <c:pt idx="152">
                  <c:v>46.1166666666667</c:v>
                </c:pt>
                <c:pt idx="153">
                  <c:v>46.1166666666667</c:v>
                </c:pt>
                <c:pt idx="154">
                  <c:v>45.9666666666667</c:v>
                </c:pt>
                <c:pt idx="155">
                  <c:v>45.8666666666667</c:v>
                </c:pt>
                <c:pt idx="156">
                  <c:v>45.7833333333333</c:v>
                </c:pt>
                <c:pt idx="157">
                  <c:v>45.7</c:v>
                </c:pt>
                <c:pt idx="158">
                  <c:v>45.6666666666667</c:v>
                </c:pt>
                <c:pt idx="159">
                  <c:v>45.6</c:v>
                </c:pt>
                <c:pt idx="160">
                  <c:v>45.5666666666667</c:v>
                </c:pt>
                <c:pt idx="161">
                  <c:v>45.4666666666667</c:v>
                </c:pt>
                <c:pt idx="162">
                  <c:v>45.4</c:v>
                </c:pt>
                <c:pt idx="163">
                  <c:v>45.4166666666667</c:v>
                </c:pt>
                <c:pt idx="164">
                  <c:v>45.2</c:v>
                </c:pt>
                <c:pt idx="165">
                  <c:v>45.1333333333333</c:v>
                </c:pt>
                <c:pt idx="166">
                  <c:v>45.1</c:v>
                </c:pt>
                <c:pt idx="167">
                  <c:v>45.5666666666667</c:v>
                </c:pt>
                <c:pt idx="168">
                  <c:v>45.95</c:v>
                </c:pt>
                <c:pt idx="169">
                  <c:v>46.1666666666667</c:v>
                </c:pt>
                <c:pt idx="170">
                  <c:v>46.2833333333333</c:v>
                </c:pt>
                <c:pt idx="171">
                  <c:v>46.2</c:v>
                </c:pt>
                <c:pt idx="172">
                  <c:v>46.0833333333333</c:v>
                </c:pt>
                <c:pt idx="173">
                  <c:v>46.15</c:v>
                </c:pt>
                <c:pt idx="174">
                  <c:v>46.4166666666667</c:v>
                </c:pt>
                <c:pt idx="175">
                  <c:v>46.3</c:v>
                </c:pt>
                <c:pt idx="176">
                  <c:v>46.2166666666667</c:v>
                </c:pt>
                <c:pt idx="177">
                  <c:v>46.1166666666667</c:v>
                </c:pt>
                <c:pt idx="178">
                  <c:v>45.8666666666667</c:v>
                </c:pt>
                <c:pt idx="179">
                  <c:v>45.7666666666667</c:v>
                </c:pt>
                <c:pt idx="180">
                  <c:v>45.6666666666667</c:v>
                </c:pt>
                <c:pt idx="181">
                  <c:v>45.5333333333333</c:v>
                </c:pt>
                <c:pt idx="182">
                  <c:v>45.3666666666667</c:v>
                </c:pt>
                <c:pt idx="183">
                  <c:v>45.4166666666667</c:v>
                </c:pt>
                <c:pt idx="184">
                  <c:v>45.2333333333333</c:v>
                </c:pt>
                <c:pt idx="185">
                  <c:v>45.1</c:v>
                </c:pt>
                <c:pt idx="186">
                  <c:v>45.0666666666667</c:v>
                </c:pt>
                <c:pt idx="187">
                  <c:v>44.9333333333333</c:v>
                </c:pt>
                <c:pt idx="188">
                  <c:v>44.8</c:v>
                </c:pt>
                <c:pt idx="189">
                  <c:v>44.7166666666667</c:v>
                </c:pt>
                <c:pt idx="190">
                  <c:v>44.6666666666667</c:v>
                </c:pt>
                <c:pt idx="191">
                  <c:v>44.5166666666667</c:v>
                </c:pt>
                <c:pt idx="192">
                  <c:v>44.35</c:v>
                </c:pt>
                <c:pt idx="193">
                  <c:v>44.1333333333333</c:v>
                </c:pt>
                <c:pt idx="194">
                  <c:v>43.9166666666667</c:v>
                </c:pt>
                <c:pt idx="195">
                  <c:v>43.5833333333333</c:v>
                </c:pt>
                <c:pt idx="196">
                  <c:v>43.1666666666667</c:v>
                </c:pt>
                <c:pt idx="197">
                  <c:v>42.6</c:v>
                </c:pt>
                <c:pt idx="198">
                  <c:v>42.0166666666667</c:v>
                </c:pt>
                <c:pt idx="199">
                  <c:v>41.5166666666667</c:v>
                </c:pt>
                <c:pt idx="200">
                  <c:v>41.1166666666667</c:v>
                </c:pt>
                <c:pt idx="201">
                  <c:v>40.9666666666667</c:v>
                </c:pt>
                <c:pt idx="202">
                  <c:v>40.8666666666667</c:v>
                </c:pt>
                <c:pt idx="203">
                  <c:v>40.9166666666667</c:v>
                </c:pt>
                <c:pt idx="204">
                  <c:v>40.5</c:v>
                </c:pt>
                <c:pt idx="205">
                  <c:v>40.1333333333333</c:v>
                </c:pt>
                <c:pt idx="206">
                  <c:v>39.8</c:v>
                </c:pt>
                <c:pt idx="207">
                  <c:v>39.55</c:v>
                </c:pt>
                <c:pt idx="208">
                  <c:v>39.3833333333333</c:v>
                </c:pt>
                <c:pt idx="209">
                  <c:v>38.9833333333333</c:v>
                </c:pt>
                <c:pt idx="210">
                  <c:v>38.4333333333333</c:v>
                </c:pt>
                <c:pt idx="211">
                  <c:v>37.7</c:v>
                </c:pt>
                <c:pt idx="212">
                  <c:v>37</c:v>
                </c:pt>
                <c:pt idx="213">
                  <c:v>36.15</c:v>
                </c:pt>
                <c:pt idx="214">
                  <c:v>35.4</c:v>
                </c:pt>
                <c:pt idx="215">
                  <c:v>35.15</c:v>
                </c:pt>
                <c:pt idx="216">
                  <c:v>34.6166666666667</c:v>
                </c:pt>
                <c:pt idx="217">
                  <c:v>33.8666666666667</c:v>
                </c:pt>
                <c:pt idx="218">
                  <c:v>33.0166666666667</c:v>
                </c:pt>
                <c:pt idx="219">
                  <c:v>32.1</c:v>
                </c:pt>
                <c:pt idx="220">
                  <c:v>31.25</c:v>
                </c:pt>
                <c:pt idx="221">
                  <c:v>30.3</c:v>
                </c:pt>
                <c:pt idx="222">
                  <c:v>29.4</c:v>
                </c:pt>
                <c:pt idx="223">
                  <c:v>28.6166666666667</c:v>
                </c:pt>
                <c:pt idx="224">
                  <c:v>27.9166666666667</c:v>
                </c:pt>
                <c:pt idx="225">
                  <c:v>27.2833333333333</c:v>
                </c:pt>
                <c:pt idx="226">
                  <c:v>26.6666666666667</c:v>
                </c:pt>
                <c:pt idx="227">
                  <c:v>26.3</c:v>
                </c:pt>
                <c:pt idx="228">
                  <c:v>26.2</c:v>
                </c:pt>
                <c:pt idx="229">
                  <c:v>25.95</c:v>
                </c:pt>
                <c:pt idx="230">
                  <c:v>25.8666666666667</c:v>
                </c:pt>
                <c:pt idx="231">
                  <c:v>25.75</c:v>
                </c:pt>
                <c:pt idx="232">
                  <c:v>25.5</c:v>
                </c:pt>
                <c:pt idx="233">
                  <c:v>25.1333333333333</c:v>
                </c:pt>
                <c:pt idx="234">
                  <c:v>24.8</c:v>
                </c:pt>
                <c:pt idx="235">
                  <c:v>24.5</c:v>
                </c:pt>
                <c:pt idx="236">
                  <c:v>24.2333333333333</c:v>
                </c:pt>
                <c:pt idx="237">
                  <c:v>24.0666666666667</c:v>
                </c:pt>
                <c:pt idx="238">
                  <c:v>23.95</c:v>
                </c:pt>
                <c:pt idx="239">
                  <c:v>23.75</c:v>
                </c:pt>
                <c:pt idx="240">
                  <c:v>23.6</c:v>
                </c:pt>
                <c:pt idx="241">
                  <c:v>23.4833333333333</c:v>
                </c:pt>
                <c:pt idx="242">
                  <c:v>23.3666666666667</c:v>
                </c:pt>
                <c:pt idx="243">
                  <c:v>23.2333333333333</c:v>
                </c:pt>
                <c:pt idx="244">
                  <c:v>23.1333333333333</c:v>
                </c:pt>
                <c:pt idx="245">
                  <c:v>22.9833333333333</c:v>
                </c:pt>
                <c:pt idx="246">
                  <c:v>22.9166666666667</c:v>
                </c:pt>
                <c:pt idx="247">
                  <c:v>22.85</c:v>
                </c:pt>
                <c:pt idx="248">
                  <c:v>22.8</c:v>
                </c:pt>
                <c:pt idx="249">
                  <c:v>22.75</c:v>
                </c:pt>
                <c:pt idx="250">
                  <c:v>22.6833333333333</c:v>
                </c:pt>
                <c:pt idx="251">
                  <c:v>22.7</c:v>
                </c:pt>
                <c:pt idx="252">
                  <c:v>22.75</c:v>
                </c:pt>
                <c:pt idx="253">
                  <c:v>22.8</c:v>
                </c:pt>
                <c:pt idx="254">
                  <c:v>22.9</c:v>
                </c:pt>
                <c:pt idx="255">
                  <c:v>22.9</c:v>
                </c:pt>
                <c:pt idx="256">
                  <c:v>22.95</c:v>
                </c:pt>
                <c:pt idx="257">
                  <c:v>22.9</c:v>
                </c:pt>
                <c:pt idx="258">
                  <c:v>22.9</c:v>
                </c:pt>
                <c:pt idx="259">
                  <c:v>23</c:v>
                </c:pt>
                <c:pt idx="260">
                  <c:v>23</c:v>
                </c:pt>
                <c:pt idx="261">
                  <c:v>22.9333333333333</c:v>
                </c:pt>
                <c:pt idx="262">
                  <c:v>22.9</c:v>
                </c:pt>
                <c:pt idx="263">
                  <c:v>22.9</c:v>
                </c:pt>
                <c:pt idx="264">
                  <c:v>23</c:v>
                </c:pt>
                <c:pt idx="265">
                  <c:v>23</c:v>
                </c:pt>
                <c:pt idx="266">
                  <c:v>22.9333333333333</c:v>
                </c:pt>
                <c:pt idx="267">
                  <c:v>22.8333333333333</c:v>
                </c:pt>
                <c:pt idx="268">
                  <c:v>22.8166666666667</c:v>
                </c:pt>
                <c:pt idx="269">
                  <c:v>22.9</c:v>
                </c:pt>
                <c:pt idx="270">
                  <c:v>22.9333333333333</c:v>
                </c:pt>
                <c:pt idx="271">
                  <c:v>23</c:v>
                </c:pt>
                <c:pt idx="272">
                  <c:v>23.0833333333333</c:v>
                </c:pt>
                <c:pt idx="273">
                  <c:v>23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"T °C 0-20"</c:f>
              <c:strCache>
                <c:ptCount val="1"/>
                <c:pt idx="0">
                  <c:v>T °C 0-20</c:v>
                </c:pt>
              </c:strCache>
            </c:strRef>
          </c:tx>
          <c:spPr>
            <a:solidFill>
              <a:srgbClr val="98b855"/>
            </a:solidFill>
            <a:ln w="223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'[1]Humidité et Température Sol'!$V$2:$V$277</c:f>
              <c:numCache>
                <c:formatCode>General</c:formatCode>
                <c:ptCount val="276"/>
                <c:pt idx="29">
                  <c:v>20.1</c:v>
                </c:pt>
                <c:pt idx="30">
                  <c:v>19.15</c:v>
                </c:pt>
                <c:pt idx="31">
                  <c:v>19.15</c:v>
                </c:pt>
                <c:pt idx="32">
                  <c:v>18.0333333333333</c:v>
                </c:pt>
                <c:pt idx="33">
                  <c:v>16.45</c:v>
                </c:pt>
                <c:pt idx="34">
                  <c:v>15.9166666666667</c:v>
                </c:pt>
                <c:pt idx="35">
                  <c:v>16.4333333333333</c:v>
                </c:pt>
                <c:pt idx="36">
                  <c:v>15.65</c:v>
                </c:pt>
                <c:pt idx="37">
                  <c:v>13.4666666666667</c:v>
                </c:pt>
                <c:pt idx="38">
                  <c:v>11.9</c:v>
                </c:pt>
                <c:pt idx="39">
                  <c:v>11.9166666666667</c:v>
                </c:pt>
                <c:pt idx="40">
                  <c:v>10.7166666666667</c:v>
                </c:pt>
                <c:pt idx="41">
                  <c:v>10.1166666666667</c:v>
                </c:pt>
                <c:pt idx="42">
                  <c:v>11.7166666666667</c:v>
                </c:pt>
                <c:pt idx="43">
                  <c:v>10.85</c:v>
                </c:pt>
                <c:pt idx="44">
                  <c:v>10.6833333333333</c:v>
                </c:pt>
                <c:pt idx="45">
                  <c:v>12.4</c:v>
                </c:pt>
                <c:pt idx="46">
                  <c:v>12.6</c:v>
                </c:pt>
                <c:pt idx="47">
                  <c:v>11.0833333333333</c:v>
                </c:pt>
                <c:pt idx="48">
                  <c:v>9.25</c:v>
                </c:pt>
                <c:pt idx="49">
                  <c:v>8.88333333333333</c:v>
                </c:pt>
                <c:pt idx="50">
                  <c:v>9.8</c:v>
                </c:pt>
                <c:pt idx="51">
                  <c:v>11.05</c:v>
                </c:pt>
                <c:pt idx="52">
                  <c:v>12.35</c:v>
                </c:pt>
                <c:pt idx="53">
                  <c:v>11.4666666666667</c:v>
                </c:pt>
                <c:pt idx="54">
                  <c:v>11.7166666666667</c:v>
                </c:pt>
                <c:pt idx="55">
                  <c:v>12.15</c:v>
                </c:pt>
                <c:pt idx="56">
                  <c:v>12.8333333333333</c:v>
                </c:pt>
                <c:pt idx="57">
                  <c:v>13.6</c:v>
                </c:pt>
                <c:pt idx="58">
                  <c:v>13.9</c:v>
                </c:pt>
                <c:pt idx="59">
                  <c:v>13.9833333333333</c:v>
                </c:pt>
                <c:pt idx="60">
                  <c:v>13.2166666666667</c:v>
                </c:pt>
                <c:pt idx="61">
                  <c:v>10.6833333333333</c:v>
                </c:pt>
                <c:pt idx="62">
                  <c:v>10.4666666666667</c:v>
                </c:pt>
                <c:pt idx="63">
                  <c:v>10.3333333333333</c:v>
                </c:pt>
                <c:pt idx="64">
                  <c:v>9.7</c:v>
                </c:pt>
                <c:pt idx="65">
                  <c:v>11.6333333333333</c:v>
                </c:pt>
                <c:pt idx="66">
                  <c:v>11.6333333333333</c:v>
                </c:pt>
                <c:pt idx="67">
                  <c:v>12.3333333333333</c:v>
                </c:pt>
                <c:pt idx="68">
                  <c:v>11.75</c:v>
                </c:pt>
                <c:pt idx="69">
                  <c:v>10.6166666666667</c:v>
                </c:pt>
                <c:pt idx="70">
                  <c:v>8.6</c:v>
                </c:pt>
                <c:pt idx="71">
                  <c:v>9.11666666666667</c:v>
                </c:pt>
                <c:pt idx="72">
                  <c:v>9.1</c:v>
                </c:pt>
                <c:pt idx="73">
                  <c:v>9.33333333333333</c:v>
                </c:pt>
                <c:pt idx="74">
                  <c:v>9.35</c:v>
                </c:pt>
                <c:pt idx="75">
                  <c:v>9.31666666666667</c:v>
                </c:pt>
                <c:pt idx="76">
                  <c:v>8.76666666666667</c:v>
                </c:pt>
                <c:pt idx="77">
                  <c:v>7.38333333333333</c:v>
                </c:pt>
                <c:pt idx="78">
                  <c:v>7</c:v>
                </c:pt>
                <c:pt idx="79">
                  <c:v>6.58333333333333</c:v>
                </c:pt>
                <c:pt idx="80">
                  <c:v>5.28333333333333</c:v>
                </c:pt>
                <c:pt idx="81">
                  <c:v>5.16666666666667</c:v>
                </c:pt>
                <c:pt idx="82">
                  <c:v>4.86666666666667</c:v>
                </c:pt>
                <c:pt idx="83">
                  <c:v>5.11666666666667</c:v>
                </c:pt>
                <c:pt idx="84">
                  <c:v>5.21666666666667</c:v>
                </c:pt>
                <c:pt idx="85">
                  <c:v>4.28333333333333</c:v>
                </c:pt>
                <c:pt idx="86">
                  <c:v>4.28333333333333</c:v>
                </c:pt>
                <c:pt idx="87">
                  <c:v>4.06666666666667</c:v>
                </c:pt>
                <c:pt idx="88">
                  <c:v>4.93333333333333</c:v>
                </c:pt>
                <c:pt idx="89">
                  <c:v>7.33333333333333</c:v>
                </c:pt>
                <c:pt idx="90">
                  <c:v>8.86666666666667</c:v>
                </c:pt>
                <c:pt idx="91">
                  <c:v>9.85</c:v>
                </c:pt>
                <c:pt idx="92">
                  <c:v>8.96666666666667</c:v>
                </c:pt>
                <c:pt idx="93">
                  <c:v>5.85</c:v>
                </c:pt>
                <c:pt idx="94">
                  <c:v>4.31666666666667</c:v>
                </c:pt>
                <c:pt idx="95">
                  <c:v>4.33333333333333</c:v>
                </c:pt>
                <c:pt idx="96">
                  <c:v>3.98333333333333</c:v>
                </c:pt>
                <c:pt idx="97">
                  <c:v>3.2</c:v>
                </c:pt>
                <c:pt idx="98">
                  <c:v>2.51666666666667</c:v>
                </c:pt>
                <c:pt idx="99">
                  <c:v>1.91666666666667</c:v>
                </c:pt>
                <c:pt idx="100">
                  <c:v>3.36666666666667</c:v>
                </c:pt>
                <c:pt idx="101">
                  <c:v>2.78333333333333</c:v>
                </c:pt>
                <c:pt idx="102">
                  <c:v>3.06666666666667</c:v>
                </c:pt>
                <c:pt idx="103">
                  <c:v>4.58333333333333</c:v>
                </c:pt>
                <c:pt idx="104">
                  <c:v>5.76666666666667</c:v>
                </c:pt>
                <c:pt idx="105">
                  <c:v>6.83333333333333</c:v>
                </c:pt>
                <c:pt idx="106">
                  <c:v>7.56666666666667</c:v>
                </c:pt>
                <c:pt idx="107">
                  <c:v>5.38333333333333</c:v>
                </c:pt>
                <c:pt idx="108">
                  <c:v>3.73333333333333</c:v>
                </c:pt>
                <c:pt idx="109">
                  <c:v>2.26666666666667</c:v>
                </c:pt>
                <c:pt idx="110">
                  <c:v>1.66666666666667</c:v>
                </c:pt>
                <c:pt idx="111">
                  <c:v>2.46666666666667</c:v>
                </c:pt>
                <c:pt idx="112">
                  <c:v>4.56666666666667</c:v>
                </c:pt>
                <c:pt idx="113">
                  <c:v>6.45</c:v>
                </c:pt>
                <c:pt idx="114">
                  <c:v>7.76666666666667</c:v>
                </c:pt>
                <c:pt idx="115">
                  <c:v>6.88333333333333</c:v>
                </c:pt>
                <c:pt idx="116">
                  <c:v>6.21666666666667</c:v>
                </c:pt>
                <c:pt idx="117">
                  <c:v>4.76666666666667</c:v>
                </c:pt>
                <c:pt idx="118">
                  <c:v>4.3</c:v>
                </c:pt>
                <c:pt idx="119">
                  <c:v>4.53333333333333</c:v>
                </c:pt>
                <c:pt idx="120">
                  <c:v>6.63333333333333</c:v>
                </c:pt>
                <c:pt idx="121">
                  <c:v>8.2</c:v>
                </c:pt>
                <c:pt idx="122">
                  <c:v>8.65</c:v>
                </c:pt>
                <c:pt idx="123">
                  <c:v>8.61666666666667</c:v>
                </c:pt>
                <c:pt idx="124">
                  <c:v>6.15</c:v>
                </c:pt>
                <c:pt idx="125">
                  <c:v>6.35</c:v>
                </c:pt>
                <c:pt idx="126">
                  <c:v>7.7</c:v>
                </c:pt>
                <c:pt idx="127">
                  <c:v>8.95</c:v>
                </c:pt>
                <c:pt idx="128">
                  <c:v>7.88333333333333</c:v>
                </c:pt>
                <c:pt idx="129">
                  <c:v>7.45</c:v>
                </c:pt>
                <c:pt idx="130">
                  <c:v>6.96666666666667</c:v>
                </c:pt>
                <c:pt idx="131">
                  <c:v>7.6</c:v>
                </c:pt>
                <c:pt idx="132">
                  <c:v>7.61666666666667</c:v>
                </c:pt>
                <c:pt idx="133">
                  <c:v>7.56666666666667</c:v>
                </c:pt>
                <c:pt idx="134">
                  <c:v>5.26666666666667</c:v>
                </c:pt>
                <c:pt idx="135">
                  <c:v>3.93333333333333</c:v>
                </c:pt>
                <c:pt idx="136">
                  <c:v>2.66666666666667</c:v>
                </c:pt>
                <c:pt idx="137">
                  <c:v>2.28333333333333</c:v>
                </c:pt>
                <c:pt idx="138">
                  <c:v>1.98333333333333</c:v>
                </c:pt>
                <c:pt idx="139">
                  <c:v>1.91666666666667</c:v>
                </c:pt>
                <c:pt idx="140">
                  <c:v>2.4</c:v>
                </c:pt>
                <c:pt idx="141">
                  <c:v>2.56666666666667</c:v>
                </c:pt>
                <c:pt idx="142">
                  <c:v>4.1</c:v>
                </c:pt>
                <c:pt idx="143">
                  <c:v>5.16666666666667</c:v>
                </c:pt>
                <c:pt idx="144">
                  <c:v>4.96666666666667</c:v>
                </c:pt>
                <c:pt idx="145">
                  <c:v>4.5</c:v>
                </c:pt>
                <c:pt idx="146">
                  <c:v>3.28333333333333</c:v>
                </c:pt>
                <c:pt idx="147">
                  <c:v>2.76666666666667</c:v>
                </c:pt>
                <c:pt idx="148">
                  <c:v>4.36666666666667</c:v>
                </c:pt>
                <c:pt idx="149">
                  <c:v>6.11666666666667</c:v>
                </c:pt>
                <c:pt idx="150">
                  <c:v>6.23333333333333</c:v>
                </c:pt>
                <c:pt idx="151">
                  <c:v>5.21666666666667</c:v>
                </c:pt>
                <c:pt idx="152">
                  <c:v>5.08333333333333</c:v>
                </c:pt>
                <c:pt idx="153">
                  <c:v>6.05</c:v>
                </c:pt>
                <c:pt idx="154">
                  <c:v>6.2</c:v>
                </c:pt>
                <c:pt idx="155">
                  <c:v>6.3</c:v>
                </c:pt>
                <c:pt idx="156">
                  <c:v>6.63333333333333</c:v>
                </c:pt>
                <c:pt idx="157">
                  <c:v>6.86666666666667</c:v>
                </c:pt>
                <c:pt idx="158">
                  <c:v>7.11666666666667</c:v>
                </c:pt>
                <c:pt idx="159">
                  <c:v>7.3</c:v>
                </c:pt>
                <c:pt idx="160">
                  <c:v>7.03333333333333</c:v>
                </c:pt>
                <c:pt idx="161">
                  <c:v>7.6</c:v>
                </c:pt>
                <c:pt idx="162">
                  <c:v>7.41666666666667</c:v>
                </c:pt>
                <c:pt idx="163">
                  <c:v>7.86666666666667</c:v>
                </c:pt>
                <c:pt idx="164">
                  <c:v>7.06666666666667</c:v>
                </c:pt>
                <c:pt idx="165">
                  <c:v>8.2</c:v>
                </c:pt>
                <c:pt idx="166">
                  <c:v>7.76666666666667</c:v>
                </c:pt>
                <c:pt idx="167">
                  <c:v>8.5</c:v>
                </c:pt>
                <c:pt idx="168">
                  <c:v>8.1</c:v>
                </c:pt>
                <c:pt idx="169">
                  <c:v>9.15</c:v>
                </c:pt>
                <c:pt idx="170">
                  <c:v>9.75</c:v>
                </c:pt>
                <c:pt idx="171">
                  <c:v>8.78333333333333</c:v>
                </c:pt>
                <c:pt idx="172">
                  <c:v>8.48333333333333</c:v>
                </c:pt>
                <c:pt idx="173">
                  <c:v>7.28333333333333</c:v>
                </c:pt>
                <c:pt idx="174">
                  <c:v>6.46666666666667</c:v>
                </c:pt>
                <c:pt idx="175">
                  <c:v>6.11666666666667</c:v>
                </c:pt>
                <c:pt idx="176">
                  <c:v>5.68333333333333</c:v>
                </c:pt>
                <c:pt idx="177">
                  <c:v>5.45</c:v>
                </c:pt>
                <c:pt idx="178">
                  <c:v>6.06666666666667</c:v>
                </c:pt>
                <c:pt idx="179">
                  <c:v>6.53333333333333</c:v>
                </c:pt>
                <c:pt idx="180">
                  <c:v>6.28333333333333</c:v>
                </c:pt>
                <c:pt idx="181">
                  <c:v>7.76666666666667</c:v>
                </c:pt>
                <c:pt idx="182">
                  <c:v>8.08333333333333</c:v>
                </c:pt>
                <c:pt idx="183">
                  <c:v>7.63333333333333</c:v>
                </c:pt>
                <c:pt idx="184">
                  <c:v>7.28333333333333</c:v>
                </c:pt>
                <c:pt idx="185">
                  <c:v>8.4</c:v>
                </c:pt>
                <c:pt idx="186">
                  <c:v>9.31666666666667</c:v>
                </c:pt>
                <c:pt idx="187">
                  <c:v>9.96666666666667</c:v>
                </c:pt>
                <c:pt idx="188">
                  <c:v>10.6166666666667</c:v>
                </c:pt>
                <c:pt idx="189">
                  <c:v>10.65</c:v>
                </c:pt>
                <c:pt idx="190">
                  <c:v>10.4833333333333</c:v>
                </c:pt>
                <c:pt idx="191">
                  <c:v>9.73333333333333</c:v>
                </c:pt>
                <c:pt idx="192">
                  <c:v>10.2333333333333</c:v>
                </c:pt>
                <c:pt idx="193">
                  <c:v>9.91666666666667</c:v>
                </c:pt>
                <c:pt idx="194">
                  <c:v>9.06666666666667</c:v>
                </c:pt>
                <c:pt idx="195">
                  <c:v>9.23333333333333</c:v>
                </c:pt>
                <c:pt idx="196">
                  <c:v>9.16666666666667</c:v>
                </c:pt>
                <c:pt idx="197">
                  <c:v>9.38333333333334</c:v>
                </c:pt>
                <c:pt idx="198">
                  <c:v>9.98333333333333</c:v>
                </c:pt>
                <c:pt idx="199">
                  <c:v>10.6</c:v>
                </c:pt>
                <c:pt idx="200">
                  <c:v>11.1166666666667</c:v>
                </c:pt>
                <c:pt idx="201">
                  <c:v>10.9666666666667</c:v>
                </c:pt>
                <c:pt idx="202">
                  <c:v>10.6666666666667</c:v>
                </c:pt>
                <c:pt idx="203">
                  <c:v>10.5333333333333</c:v>
                </c:pt>
                <c:pt idx="204">
                  <c:v>11.2333333333333</c:v>
                </c:pt>
                <c:pt idx="205">
                  <c:v>11.4333333333333</c:v>
                </c:pt>
                <c:pt idx="206">
                  <c:v>12.3166666666667</c:v>
                </c:pt>
                <c:pt idx="207">
                  <c:v>12.5666666666667</c:v>
                </c:pt>
                <c:pt idx="208">
                  <c:v>12.05</c:v>
                </c:pt>
                <c:pt idx="209">
                  <c:v>11.0166666666667</c:v>
                </c:pt>
                <c:pt idx="210">
                  <c:v>11.1666666666667</c:v>
                </c:pt>
                <c:pt idx="211">
                  <c:v>12.4166666666667</c:v>
                </c:pt>
                <c:pt idx="212">
                  <c:v>13.3333333333333</c:v>
                </c:pt>
                <c:pt idx="213">
                  <c:v>13.5666666666667</c:v>
                </c:pt>
                <c:pt idx="214">
                  <c:v>13.8833333333333</c:v>
                </c:pt>
                <c:pt idx="215">
                  <c:v>13.5166666666667</c:v>
                </c:pt>
                <c:pt idx="216">
                  <c:v>13.2333333333333</c:v>
                </c:pt>
                <c:pt idx="217">
                  <c:v>11.5833333333333</c:v>
                </c:pt>
                <c:pt idx="218">
                  <c:v>11.2333333333333</c:v>
                </c:pt>
                <c:pt idx="219">
                  <c:v>11.55</c:v>
                </c:pt>
                <c:pt idx="220">
                  <c:v>11.3666666666667</c:v>
                </c:pt>
                <c:pt idx="221">
                  <c:v>11.6</c:v>
                </c:pt>
                <c:pt idx="222">
                  <c:v>12.95</c:v>
                </c:pt>
                <c:pt idx="223">
                  <c:v>13.0666666666667</c:v>
                </c:pt>
                <c:pt idx="224">
                  <c:v>13.3333333333333</c:v>
                </c:pt>
                <c:pt idx="225">
                  <c:v>13.8666666666667</c:v>
                </c:pt>
                <c:pt idx="226">
                  <c:v>14.1666666666667</c:v>
                </c:pt>
                <c:pt idx="227">
                  <c:v>13.6166666666667</c:v>
                </c:pt>
                <c:pt idx="228">
                  <c:v>13.8166666666667</c:v>
                </c:pt>
                <c:pt idx="229">
                  <c:v>14.2166666666667</c:v>
                </c:pt>
                <c:pt idx="230">
                  <c:v>14.65</c:v>
                </c:pt>
                <c:pt idx="231">
                  <c:v>15.0333333333333</c:v>
                </c:pt>
                <c:pt idx="232">
                  <c:v>14.5166666666667</c:v>
                </c:pt>
                <c:pt idx="233">
                  <c:v>13.9833333333333</c:v>
                </c:pt>
                <c:pt idx="234">
                  <c:v>14.7833333333333</c:v>
                </c:pt>
                <c:pt idx="235">
                  <c:v>15.3</c:v>
                </c:pt>
                <c:pt idx="236">
                  <c:v>15.8333333333333</c:v>
                </c:pt>
                <c:pt idx="237">
                  <c:v>15.5833333333333</c:v>
                </c:pt>
                <c:pt idx="238">
                  <c:v>15.0666666666667</c:v>
                </c:pt>
                <c:pt idx="239">
                  <c:v>15.1333333333333</c:v>
                </c:pt>
                <c:pt idx="240">
                  <c:v>16.4</c:v>
                </c:pt>
                <c:pt idx="241">
                  <c:v>16.1666666666667</c:v>
                </c:pt>
                <c:pt idx="242">
                  <c:v>16.5</c:v>
                </c:pt>
                <c:pt idx="243">
                  <c:v>17.3333333333333</c:v>
                </c:pt>
                <c:pt idx="244">
                  <c:v>17.8666666666667</c:v>
                </c:pt>
                <c:pt idx="245">
                  <c:v>18.0333333333333</c:v>
                </c:pt>
                <c:pt idx="246">
                  <c:v>18.3166666666667</c:v>
                </c:pt>
                <c:pt idx="247">
                  <c:v>18.6666666666667</c:v>
                </c:pt>
                <c:pt idx="248">
                  <c:v>17.9166666666667</c:v>
                </c:pt>
                <c:pt idx="249">
                  <c:v>15.6166666666667</c:v>
                </c:pt>
                <c:pt idx="250">
                  <c:v>14.8666666666667</c:v>
                </c:pt>
                <c:pt idx="251">
                  <c:v>15.9166666666667</c:v>
                </c:pt>
                <c:pt idx="252">
                  <c:v>17.2166666666667</c:v>
                </c:pt>
                <c:pt idx="253">
                  <c:v>18.2166666666667</c:v>
                </c:pt>
                <c:pt idx="254">
                  <c:v>18.2666666666667</c:v>
                </c:pt>
                <c:pt idx="255">
                  <c:v>19.3166666666667</c:v>
                </c:pt>
                <c:pt idx="256">
                  <c:v>18.95</c:v>
                </c:pt>
                <c:pt idx="257">
                  <c:v>18.3833333333333</c:v>
                </c:pt>
                <c:pt idx="258">
                  <c:v>19.3166666666667</c:v>
                </c:pt>
                <c:pt idx="259">
                  <c:v>20.2333333333333</c:v>
                </c:pt>
                <c:pt idx="260">
                  <c:v>19.8666666666667</c:v>
                </c:pt>
                <c:pt idx="261">
                  <c:v>18.55</c:v>
                </c:pt>
                <c:pt idx="262">
                  <c:v>18.1666666666667</c:v>
                </c:pt>
                <c:pt idx="263">
                  <c:v>18.9166666666667</c:v>
                </c:pt>
                <c:pt idx="264">
                  <c:v>19.9666666666667</c:v>
                </c:pt>
                <c:pt idx="265">
                  <c:v>18.1666666666667</c:v>
                </c:pt>
                <c:pt idx="266">
                  <c:v>15.6</c:v>
                </c:pt>
                <c:pt idx="267">
                  <c:v>14.85</c:v>
                </c:pt>
                <c:pt idx="268">
                  <c:v>16.1666666666667</c:v>
                </c:pt>
                <c:pt idx="269">
                  <c:v>16.9666666666667</c:v>
                </c:pt>
                <c:pt idx="270">
                  <c:v>17.4166666666667</c:v>
                </c:pt>
                <c:pt idx="271">
                  <c:v>18.1333333333333</c:v>
                </c:pt>
                <c:pt idx="272">
                  <c:v>17.7</c:v>
                </c:pt>
                <c:pt idx="273">
                  <c:v>15.925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"T°C 20-40"</c:f>
              <c:strCache>
                <c:ptCount val="1"/>
                <c:pt idx="0">
                  <c:v>T°C 20-40</c:v>
                </c:pt>
              </c:strCache>
            </c:strRef>
          </c:tx>
          <c:spPr>
            <a:solidFill>
              <a:srgbClr val="7d5fa0"/>
            </a:solidFill>
            <a:ln w="223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'[1]Humidité et Température Sol'!$W$2:$W$277</c:f>
              <c:numCache>
                <c:formatCode>General</c:formatCode>
                <c:ptCount val="276"/>
                <c:pt idx="29">
                  <c:v>8.9</c:v>
                </c:pt>
                <c:pt idx="30">
                  <c:v>18.25</c:v>
                </c:pt>
                <c:pt idx="31">
                  <c:v>18.4666666666667</c:v>
                </c:pt>
                <c:pt idx="32">
                  <c:v>18.25</c:v>
                </c:pt>
                <c:pt idx="33">
                  <c:v>17</c:v>
                </c:pt>
                <c:pt idx="34">
                  <c:v>16.3333333333333</c:v>
                </c:pt>
                <c:pt idx="35">
                  <c:v>16.4</c:v>
                </c:pt>
                <c:pt idx="36">
                  <c:v>16.2</c:v>
                </c:pt>
                <c:pt idx="37">
                  <c:v>15.1166666666667</c:v>
                </c:pt>
                <c:pt idx="38">
                  <c:v>13.8666666666667</c:v>
                </c:pt>
                <c:pt idx="39">
                  <c:v>13.2166666666667</c:v>
                </c:pt>
                <c:pt idx="40">
                  <c:v>12.55</c:v>
                </c:pt>
                <c:pt idx="41">
                  <c:v>11.6833333333333</c:v>
                </c:pt>
                <c:pt idx="42">
                  <c:v>12.1833333333333</c:v>
                </c:pt>
                <c:pt idx="43">
                  <c:v>12.0833333333333</c:v>
                </c:pt>
                <c:pt idx="44">
                  <c:v>11.7333333333333</c:v>
                </c:pt>
                <c:pt idx="45">
                  <c:v>12.2666666666667</c:v>
                </c:pt>
                <c:pt idx="46">
                  <c:v>12.8333333333333</c:v>
                </c:pt>
                <c:pt idx="47">
                  <c:v>12.3</c:v>
                </c:pt>
                <c:pt idx="48">
                  <c:v>11.05</c:v>
                </c:pt>
                <c:pt idx="49">
                  <c:v>10.3166666666667</c:v>
                </c:pt>
                <c:pt idx="50">
                  <c:v>10.5</c:v>
                </c:pt>
                <c:pt idx="51">
                  <c:v>11.0833333333333</c:v>
                </c:pt>
                <c:pt idx="52">
                  <c:v>11.9166666666667</c:v>
                </c:pt>
                <c:pt idx="53">
                  <c:v>11.9333333333333</c:v>
                </c:pt>
                <c:pt idx="54">
                  <c:v>11.8166666666667</c:v>
                </c:pt>
                <c:pt idx="55">
                  <c:v>11.9833333333333</c:v>
                </c:pt>
                <c:pt idx="56">
                  <c:v>12.3666666666667</c:v>
                </c:pt>
                <c:pt idx="57">
                  <c:v>12.9</c:v>
                </c:pt>
                <c:pt idx="58">
                  <c:v>13.3333333333333</c:v>
                </c:pt>
                <c:pt idx="59">
                  <c:v>13.5</c:v>
                </c:pt>
                <c:pt idx="60">
                  <c:v>13.4333333333333</c:v>
                </c:pt>
                <c:pt idx="61">
                  <c:v>12.2166666666667</c:v>
                </c:pt>
                <c:pt idx="62">
                  <c:v>11.3</c:v>
                </c:pt>
                <c:pt idx="63">
                  <c:v>11.1</c:v>
                </c:pt>
                <c:pt idx="64">
                  <c:v>10.65</c:v>
                </c:pt>
                <c:pt idx="65">
                  <c:v>11.0666666666667</c:v>
                </c:pt>
                <c:pt idx="66">
                  <c:v>11.6333333333333</c:v>
                </c:pt>
                <c:pt idx="67">
                  <c:v>11.9166666666667</c:v>
                </c:pt>
                <c:pt idx="68">
                  <c:v>12</c:v>
                </c:pt>
                <c:pt idx="69">
                  <c:v>11.4333333333333</c:v>
                </c:pt>
                <c:pt idx="70">
                  <c:v>10.4166666666667</c:v>
                </c:pt>
                <c:pt idx="71">
                  <c:v>9.86666666666667</c:v>
                </c:pt>
                <c:pt idx="72">
                  <c:v>9.83333333333333</c:v>
                </c:pt>
                <c:pt idx="73">
                  <c:v>9.86666666666667</c:v>
                </c:pt>
                <c:pt idx="74">
                  <c:v>9.86666666666667</c:v>
                </c:pt>
                <c:pt idx="75">
                  <c:v>9.83333333333333</c:v>
                </c:pt>
                <c:pt idx="76">
                  <c:v>9.53333333333333</c:v>
                </c:pt>
                <c:pt idx="77">
                  <c:v>8.9</c:v>
                </c:pt>
                <c:pt idx="78">
                  <c:v>8.26666666666667</c:v>
                </c:pt>
                <c:pt idx="79">
                  <c:v>7.91666666666667</c:v>
                </c:pt>
                <c:pt idx="80">
                  <c:v>7.18333333333333</c:v>
                </c:pt>
                <c:pt idx="81">
                  <c:v>6.68333333333333</c:v>
                </c:pt>
                <c:pt idx="82">
                  <c:v>6.38333333333333</c:v>
                </c:pt>
                <c:pt idx="83">
                  <c:v>6.21666666666667</c:v>
                </c:pt>
                <c:pt idx="84">
                  <c:v>6.38333333333333</c:v>
                </c:pt>
                <c:pt idx="85">
                  <c:v>5.83333333333333</c:v>
                </c:pt>
                <c:pt idx="86">
                  <c:v>5.6</c:v>
                </c:pt>
                <c:pt idx="87">
                  <c:v>5.31666666666667</c:v>
                </c:pt>
                <c:pt idx="88">
                  <c:v>5.51666666666667</c:v>
                </c:pt>
                <c:pt idx="89">
                  <c:v>6.55</c:v>
                </c:pt>
                <c:pt idx="90">
                  <c:v>7.78333333333333</c:v>
                </c:pt>
                <c:pt idx="91">
                  <c:v>8.75</c:v>
                </c:pt>
                <c:pt idx="92">
                  <c:v>9.1</c:v>
                </c:pt>
                <c:pt idx="93">
                  <c:v>7.68333333333333</c:v>
                </c:pt>
                <c:pt idx="94">
                  <c:v>6.31666666666667</c:v>
                </c:pt>
                <c:pt idx="95">
                  <c:v>5.7</c:v>
                </c:pt>
                <c:pt idx="96">
                  <c:v>5.5</c:v>
                </c:pt>
                <c:pt idx="97">
                  <c:v>4.85</c:v>
                </c:pt>
                <c:pt idx="98">
                  <c:v>4.35</c:v>
                </c:pt>
                <c:pt idx="99">
                  <c:v>3.78333333333333</c:v>
                </c:pt>
                <c:pt idx="100">
                  <c:v>3.91666666666667</c:v>
                </c:pt>
                <c:pt idx="101">
                  <c:v>4.11666666666667</c:v>
                </c:pt>
                <c:pt idx="102">
                  <c:v>3.93333333333333</c:v>
                </c:pt>
                <c:pt idx="103">
                  <c:v>4.55</c:v>
                </c:pt>
                <c:pt idx="104">
                  <c:v>5.31666666666667</c:v>
                </c:pt>
                <c:pt idx="105">
                  <c:v>6.13333333333333</c:v>
                </c:pt>
                <c:pt idx="106">
                  <c:v>6.91666666666667</c:v>
                </c:pt>
                <c:pt idx="107">
                  <c:v>6.45</c:v>
                </c:pt>
                <c:pt idx="108">
                  <c:v>5.3</c:v>
                </c:pt>
                <c:pt idx="109">
                  <c:v>4.21666666666667</c:v>
                </c:pt>
                <c:pt idx="110">
                  <c:v>3.46666666666667</c:v>
                </c:pt>
                <c:pt idx="111">
                  <c:v>3.28333333333333</c:v>
                </c:pt>
                <c:pt idx="112">
                  <c:v>4.23333333333333</c:v>
                </c:pt>
                <c:pt idx="113">
                  <c:v>5.46666666666667</c:v>
                </c:pt>
                <c:pt idx="114">
                  <c:v>6.55</c:v>
                </c:pt>
                <c:pt idx="115">
                  <c:v>6.88333333333333</c:v>
                </c:pt>
                <c:pt idx="116">
                  <c:v>6.58333333333333</c:v>
                </c:pt>
                <c:pt idx="117">
                  <c:v>5.75</c:v>
                </c:pt>
                <c:pt idx="118">
                  <c:v>5.18333333333333</c:v>
                </c:pt>
                <c:pt idx="119">
                  <c:v>5.06666666666667</c:v>
                </c:pt>
                <c:pt idx="120">
                  <c:v>5.78333333333333</c:v>
                </c:pt>
                <c:pt idx="121">
                  <c:v>7</c:v>
                </c:pt>
                <c:pt idx="122">
                  <c:v>7.68333333333333</c:v>
                </c:pt>
                <c:pt idx="123">
                  <c:v>8</c:v>
                </c:pt>
                <c:pt idx="124">
                  <c:v>7.2</c:v>
                </c:pt>
                <c:pt idx="125">
                  <c:v>6.53333333333333</c:v>
                </c:pt>
                <c:pt idx="126">
                  <c:v>7.21666666666667</c:v>
                </c:pt>
                <c:pt idx="127">
                  <c:v>7.86666666666667</c:v>
                </c:pt>
                <c:pt idx="128">
                  <c:v>7.98333333333333</c:v>
                </c:pt>
                <c:pt idx="129">
                  <c:v>7.56666666666667</c:v>
                </c:pt>
                <c:pt idx="130">
                  <c:v>7.28333333333333</c:v>
                </c:pt>
                <c:pt idx="131">
                  <c:v>7.36666666666667</c:v>
                </c:pt>
                <c:pt idx="132">
                  <c:v>7.51666666666667</c:v>
                </c:pt>
                <c:pt idx="133">
                  <c:v>7.55</c:v>
                </c:pt>
                <c:pt idx="134">
                  <c:v>6.81666666666667</c:v>
                </c:pt>
                <c:pt idx="135">
                  <c:v>5.58333333333333</c:v>
                </c:pt>
                <c:pt idx="136">
                  <c:v>4.55</c:v>
                </c:pt>
                <c:pt idx="137">
                  <c:v>3.76666666666667</c:v>
                </c:pt>
                <c:pt idx="138">
                  <c:v>3.46666666666667</c:v>
                </c:pt>
                <c:pt idx="139">
                  <c:v>3.18333333333333</c:v>
                </c:pt>
                <c:pt idx="140">
                  <c:v>3.15</c:v>
                </c:pt>
                <c:pt idx="141">
                  <c:v>3.33333333333333</c:v>
                </c:pt>
                <c:pt idx="142">
                  <c:v>3.93333333333333</c:v>
                </c:pt>
                <c:pt idx="143">
                  <c:v>4.78333333333333</c:v>
                </c:pt>
                <c:pt idx="144">
                  <c:v>5.01666666666667</c:v>
                </c:pt>
                <c:pt idx="145">
                  <c:v>4.91666666666667</c:v>
                </c:pt>
                <c:pt idx="146">
                  <c:v>4.3</c:v>
                </c:pt>
                <c:pt idx="147">
                  <c:v>3.68333333333333</c:v>
                </c:pt>
                <c:pt idx="148">
                  <c:v>4.1</c:v>
                </c:pt>
                <c:pt idx="149">
                  <c:v>5.2</c:v>
                </c:pt>
                <c:pt idx="150">
                  <c:v>5.88333333333333</c:v>
                </c:pt>
                <c:pt idx="151">
                  <c:v>5.65</c:v>
                </c:pt>
                <c:pt idx="152">
                  <c:v>5.3</c:v>
                </c:pt>
                <c:pt idx="153">
                  <c:v>5.71666666666667</c:v>
                </c:pt>
                <c:pt idx="154">
                  <c:v>5.95</c:v>
                </c:pt>
                <c:pt idx="155">
                  <c:v>6.16666666666667</c:v>
                </c:pt>
                <c:pt idx="156">
                  <c:v>6.31666666666667</c:v>
                </c:pt>
                <c:pt idx="157">
                  <c:v>6.51666666666667</c:v>
                </c:pt>
                <c:pt idx="158">
                  <c:v>6.78333333333333</c:v>
                </c:pt>
                <c:pt idx="159">
                  <c:v>6.91666666666667</c:v>
                </c:pt>
                <c:pt idx="160">
                  <c:v>6.83333333333333</c:v>
                </c:pt>
                <c:pt idx="161">
                  <c:v>7.15</c:v>
                </c:pt>
                <c:pt idx="162">
                  <c:v>7.21666666666667</c:v>
                </c:pt>
                <c:pt idx="163">
                  <c:v>7.31666666666667</c:v>
                </c:pt>
                <c:pt idx="164">
                  <c:v>7.23333333333333</c:v>
                </c:pt>
                <c:pt idx="165">
                  <c:v>7.48333333333333</c:v>
                </c:pt>
                <c:pt idx="166">
                  <c:v>7.6</c:v>
                </c:pt>
                <c:pt idx="167">
                  <c:v>7.85</c:v>
                </c:pt>
                <c:pt idx="168">
                  <c:v>7.78333333333333</c:v>
                </c:pt>
                <c:pt idx="169">
                  <c:v>8.16666666666667</c:v>
                </c:pt>
                <c:pt idx="170">
                  <c:v>8.73333333333333</c:v>
                </c:pt>
                <c:pt idx="171">
                  <c:v>8.66666666666667</c:v>
                </c:pt>
                <c:pt idx="172">
                  <c:v>8.43333333333334</c:v>
                </c:pt>
                <c:pt idx="173">
                  <c:v>7.75</c:v>
                </c:pt>
                <c:pt idx="174">
                  <c:v>7.21666666666667</c:v>
                </c:pt>
                <c:pt idx="175">
                  <c:v>6.75</c:v>
                </c:pt>
                <c:pt idx="176">
                  <c:v>6.38333333333333</c:v>
                </c:pt>
                <c:pt idx="177">
                  <c:v>6.03333333333333</c:v>
                </c:pt>
                <c:pt idx="178">
                  <c:v>6.23333333333333</c:v>
                </c:pt>
                <c:pt idx="179">
                  <c:v>6.48333333333333</c:v>
                </c:pt>
                <c:pt idx="180">
                  <c:v>6.5</c:v>
                </c:pt>
                <c:pt idx="181">
                  <c:v>7.01666666666667</c:v>
                </c:pt>
                <c:pt idx="182">
                  <c:v>7.45</c:v>
                </c:pt>
                <c:pt idx="183">
                  <c:v>7.51666666666667</c:v>
                </c:pt>
                <c:pt idx="184">
                  <c:v>7.26666666666667</c:v>
                </c:pt>
                <c:pt idx="185">
                  <c:v>7.73333333333333</c:v>
                </c:pt>
                <c:pt idx="186">
                  <c:v>8.23333333333333</c:v>
                </c:pt>
                <c:pt idx="187">
                  <c:v>8.86666666666667</c:v>
                </c:pt>
                <c:pt idx="188">
                  <c:v>9.43333333333333</c:v>
                </c:pt>
                <c:pt idx="189">
                  <c:v>9.71666666666667</c:v>
                </c:pt>
                <c:pt idx="190">
                  <c:v>9.81666666666667</c:v>
                </c:pt>
                <c:pt idx="191">
                  <c:v>9.46666666666667</c:v>
                </c:pt>
                <c:pt idx="192">
                  <c:v>9.51666666666667</c:v>
                </c:pt>
                <c:pt idx="193">
                  <c:v>9.55</c:v>
                </c:pt>
                <c:pt idx="194">
                  <c:v>9.18333333333333</c:v>
                </c:pt>
                <c:pt idx="195">
                  <c:v>9</c:v>
                </c:pt>
                <c:pt idx="196">
                  <c:v>8.93333333333333</c:v>
                </c:pt>
                <c:pt idx="197">
                  <c:v>8.95</c:v>
                </c:pt>
                <c:pt idx="198">
                  <c:v>9.26666666666667</c:v>
                </c:pt>
                <c:pt idx="199">
                  <c:v>9.66666666666667</c:v>
                </c:pt>
                <c:pt idx="200">
                  <c:v>10.1833333333333</c:v>
                </c:pt>
                <c:pt idx="201">
                  <c:v>10.2833333333333</c:v>
                </c:pt>
                <c:pt idx="202">
                  <c:v>10.2</c:v>
                </c:pt>
                <c:pt idx="203">
                  <c:v>10.1</c:v>
                </c:pt>
                <c:pt idx="204">
                  <c:v>10.3333333333333</c:v>
                </c:pt>
                <c:pt idx="205">
                  <c:v>10.6</c:v>
                </c:pt>
                <c:pt idx="206">
                  <c:v>11.1</c:v>
                </c:pt>
                <c:pt idx="207">
                  <c:v>11.5333333333333</c:v>
                </c:pt>
                <c:pt idx="208">
                  <c:v>11.4</c:v>
                </c:pt>
                <c:pt idx="209">
                  <c:v>10.9</c:v>
                </c:pt>
                <c:pt idx="210">
                  <c:v>10.6666666666667</c:v>
                </c:pt>
                <c:pt idx="211">
                  <c:v>11.2333333333333</c:v>
                </c:pt>
                <c:pt idx="212">
                  <c:v>11.9666666666667</c:v>
                </c:pt>
                <c:pt idx="213">
                  <c:v>12.3666666666667</c:v>
                </c:pt>
                <c:pt idx="214">
                  <c:v>12.8166666666667</c:v>
                </c:pt>
                <c:pt idx="215">
                  <c:v>12.6333333333333</c:v>
                </c:pt>
                <c:pt idx="216">
                  <c:v>12.6</c:v>
                </c:pt>
                <c:pt idx="217">
                  <c:v>11.85</c:v>
                </c:pt>
                <c:pt idx="218">
                  <c:v>11.2666666666667</c:v>
                </c:pt>
                <c:pt idx="219">
                  <c:v>11.2333333333333</c:v>
                </c:pt>
                <c:pt idx="220">
                  <c:v>11.1666666666667</c:v>
                </c:pt>
                <c:pt idx="221">
                  <c:v>11.15</c:v>
                </c:pt>
                <c:pt idx="222">
                  <c:v>11.8333333333333</c:v>
                </c:pt>
                <c:pt idx="223">
                  <c:v>12.2666666666667</c:v>
                </c:pt>
                <c:pt idx="224">
                  <c:v>12.4</c:v>
                </c:pt>
                <c:pt idx="225">
                  <c:v>12.7333333333333</c:v>
                </c:pt>
                <c:pt idx="226">
                  <c:v>13.1</c:v>
                </c:pt>
                <c:pt idx="227">
                  <c:v>13.0666666666667</c:v>
                </c:pt>
                <c:pt idx="228">
                  <c:v>12.9166666666667</c:v>
                </c:pt>
                <c:pt idx="229">
                  <c:v>13.1833333333333</c:v>
                </c:pt>
                <c:pt idx="230">
                  <c:v>13.4666666666667</c:v>
                </c:pt>
                <c:pt idx="231">
                  <c:v>13.8</c:v>
                </c:pt>
                <c:pt idx="232">
                  <c:v>13.7333333333333</c:v>
                </c:pt>
                <c:pt idx="233">
                  <c:v>13.4666666666667</c:v>
                </c:pt>
                <c:pt idx="234">
                  <c:v>13.65</c:v>
                </c:pt>
                <c:pt idx="235">
                  <c:v>14.0333333333333</c:v>
                </c:pt>
                <c:pt idx="236">
                  <c:v>14.5166666666667</c:v>
                </c:pt>
                <c:pt idx="237">
                  <c:v>14.5833333333333</c:v>
                </c:pt>
                <c:pt idx="238">
                  <c:v>14.2833333333333</c:v>
                </c:pt>
                <c:pt idx="239">
                  <c:v>14.2</c:v>
                </c:pt>
                <c:pt idx="240">
                  <c:v>14.8333333333333</c:v>
                </c:pt>
                <c:pt idx="241">
                  <c:v>15.2</c:v>
                </c:pt>
                <c:pt idx="242">
                  <c:v>15.05</c:v>
                </c:pt>
                <c:pt idx="243">
                  <c:v>15.6333333333333</c:v>
                </c:pt>
                <c:pt idx="244">
                  <c:v>16.1833333333333</c:v>
                </c:pt>
                <c:pt idx="245">
                  <c:v>16.4166666666667</c:v>
                </c:pt>
                <c:pt idx="246">
                  <c:v>16.85</c:v>
                </c:pt>
                <c:pt idx="247">
                  <c:v>16.7833333333333</c:v>
                </c:pt>
                <c:pt idx="248">
                  <c:v>17.15</c:v>
                </c:pt>
                <c:pt idx="249">
                  <c:v>15.65</c:v>
                </c:pt>
                <c:pt idx="250">
                  <c:v>14.8166666666667</c:v>
                </c:pt>
                <c:pt idx="251">
                  <c:v>15</c:v>
                </c:pt>
                <c:pt idx="252">
                  <c:v>15.7333333333333</c:v>
                </c:pt>
                <c:pt idx="253">
                  <c:v>16.4833333333333</c:v>
                </c:pt>
                <c:pt idx="254">
                  <c:v>16.8333333333333</c:v>
                </c:pt>
                <c:pt idx="255">
                  <c:v>17.35</c:v>
                </c:pt>
                <c:pt idx="256">
                  <c:v>17.7333333333333</c:v>
                </c:pt>
                <c:pt idx="257">
                  <c:v>17.1333333333333</c:v>
                </c:pt>
                <c:pt idx="258">
                  <c:v>17.6666666666667</c:v>
                </c:pt>
                <c:pt idx="259">
                  <c:v>18.2166666666667</c:v>
                </c:pt>
                <c:pt idx="260">
                  <c:v>18.6833333333333</c:v>
                </c:pt>
                <c:pt idx="261">
                  <c:v>17.8833333333333</c:v>
                </c:pt>
                <c:pt idx="262">
                  <c:v>17.4</c:v>
                </c:pt>
                <c:pt idx="263">
                  <c:v>17.75</c:v>
                </c:pt>
                <c:pt idx="264">
                  <c:v>18.6333333333333</c:v>
                </c:pt>
                <c:pt idx="265">
                  <c:v>18.0833333333333</c:v>
                </c:pt>
                <c:pt idx="266">
                  <c:v>16.5333333333333</c:v>
                </c:pt>
                <c:pt idx="267">
                  <c:v>15.4</c:v>
                </c:pt>
                <c:pt idx="268">
                  <c:v>15.4666666666667</c:v>
                </c:pt>
                <c:pt idx="269">
                  <c:v>16.2333333333333</c:v>
                </c:pt>
                <c:pt idx="270">
                  <c:v>16.4166666666667</c:v>
                </c:pt>
                <c:pt idx="271">
                  <c:v>16.9166666666667</c:v>
                </c:pt>
                <c:pt idx="272">
                  <c:v>17.2166666666667</c:v>
                </c:pt>
                <c:pt idx="273">
                  <c:v>16.4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"TM"</c:f>
              <c:strCache>
                <c:ptCount val="1"/>
                <c:pt idx="0">
                  <c:v>TM</c:v>
                </c:pt>
              </c:strCache>
            </c:strRef>
          </c:tx>
          <c:spPr>
            <a:solidFill>
              <a:srgbClr val="46aac4"/>
            </a:solidFill>
            <a:ln w="223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'[1]Humidité et Température Sol'!$Y$2:$Y$277</c:f>
              <c:numCache>
                <c:formatCode>General</c:formatCode>
                <c:ptCount val="276"/>
                <c:pt idx="0">
                  <c:v>18.2</c:v>
                </c:pt>
                <c:pt idx="1">
                  <c:v>18.5</c:v>
                </c:pt>
                <c:pt idx="2">
                  <c:v>19.4</c:v>
                </c:pt>
                <c:pt idx="3">
                  <c:v>20.9</c:v>
                </c:pt>
                <c:pt idx="4">
                  <c:v>21.1</c:v>
                </c:pt>
                <c:pt idx="5">
                  <c:v>19.1</c:v>
                </c:pt>
                <c:pt idx="6">
                  <c:v>18.9</c:v>
                </c:pt>
                <c:pt idx="7">
                  <c:v>20.7</c:v>
                </c:pt>
                <c:pt idx="8">
                  <c:v>16.1</c:v>
                </c:pt>
                <c:pt idx="9">
                  <c:v>17.4</c:v>
                </c:pt>
                <c:pt idx="10">
                  <c:v>16.3</c:v>
                </c:pt>
                <c:pt idx="11">
                  <c:v>15.4</c:v>
                </c:pt>
                <c:pt idx="12">
                  <c:v>18</c:v>
                </c:pt>
                <c:pt idx="13">
                  <c:v>19.4</c:v>
                </c:pt>
                <c:pt idx="14">
                  <c:v>21.2</c:v>
                </c:pt>
                <c:pt idx="15">
                  <c:v>19.7</c:v>
                </c:pt>
                <c:pt idx="16">
                  <c:v>16.3</c:v>
                </c:pt>
                <c:pt idx="17">
                  <c:v>14.9</c:v>
                </c:pt>
                <c:pt idx="18">
                  <c:v>12.7</c:v>
                </c:pt>
                <c:pt idx="19">
                  <c:v>12.5</c:v>
                </c:pt>
                <c:pt idx="20">
                  <c:v>13.9</c:v>
                </c:pt>
                <c:pt idx="21">
                  <c:v>14.3</c:v>
                </c:pt>
                <c:pt idx="22">
                  <c:v>14.2</c:v>
                </c:pt>
                <c:pt idx="23">
                  <c:v>16.1</c:v>
                </c:pt>
                <c:pt idx="24">
                  <c:v>18.3</c:v>
                </c:pt>
                <c:pt idx="25">
                  <c:v>21.5</c:v>
                </c:pt>
                <c:pt idx="26">
                  <c:v>16.7</c:v>
                </c:pt>
                <c:pt idx="27">
                  <c:v>17.3</c:v>
                </c:pt>
                <c:pt idx="28">
                  <c:v>19.2</c:v>
                </c:pt>
                <c:pt idx="29">
                  <c:v>20</c:v>
                </c:pt>
                <c:pt idx="30">
                  <c:v>20.4</c:v>
                </c:pt>
                <c:pt idx="31">
                  <c:v>19.3</c:v>
                </c:pt>
                <c:pt idx="32">
                  <c:v>15.5</c:v>
                </c:pt>
                <c:pt idx="33">
                  <c:v>15.3</c:v>
                </c:pt>
                <c:pt idx="34">
                  <c:v>16.3</c:v>
                </c:pt>
                <c:pt idx="35">
                  <c:v>16</c:v>
                </c:pt>
                <c:pt idx="36">
                  <c:v>13.5</c:v>
                </c:pt>
                <c:pt idx="37">
                  <c:v>9.5</c:v>
                </c:pt>
                <c:pt idx="38">
                  <c:v>9.7</c:v>
                </c:pt>
                <c:pt idx="39">
                  <c:v>9.2</c:v>
                </c:pt>
                <c:pt idx="40">
                  <c:v>6.7</c:v>
                </c:pt>
                <c:pt idx="41">
                  <c:v>10.6</c:v>
                </c:pt>
                <c:pt idx="42">
                  <c:v>11.2</c:v>
                </c:pt>
                <c:pt idx="43">
                  <c:v>8.4</c:v>
                </c:pt>
                <c:pt idx="44">
                  <c:v>11.5</c:v>
                </c:pt>
                <c:pt idx="45">
                  <c:v>12.9</c:v>
                </c:pt>
                <c:pt idx="46">
                  <c:v>11.1</c:v>
                </c:pt>
                <c:pt idx="47">
                  <c:v>8.4</c:v>
                </c:pt>
                <c:pt idx="48">
                  <c:v>7.1</c:v>
                </c:pt>
                <c:pt idx="49">
                  <c:v>7.5</c:v>
                </c:pt>
                <c:pt idx="50">
                  <c:v>9.6</c:v>
                </c:pt>
                <c:pt idx="51">
                  <c:v>15.2</c:v>
                </c:pt>
                <c:pt idx="52">
                  <c:v>13.1</c:v>
                </c:pt>
                <c:pt idx="53">
                  <c:v>10.9</c:v>
                </c:pt>
                <c:pt idx="54">
                  <c:v>12</c:v>
                </c:pt>
                <c:pt idx="55">
                  <c:v>12.9</c:v>
                </c:pt>
                <c:pt idx="56">
                  <c:v>14.5</c:v>
                </c:pt>
                <c:pt idx="57">
                  <c:v>14.2</c:v>
                </c:pt>
                <c:pt idx="58">
                  <c:v>14.6</c:v>
                </c:pt>
                <c:pt idx="59">
                  <c:v>14.1</c:v>
                </c:pt>
                <c:pt idx="60">
                  <c:v>9.9</c:v>
                </c:pt>
                <c:pt idx="61">
                  <c:v>7.9</c:v>
                </c:pt>
                <c:pt idx="62">
                  <c:v>10.5</c:v>
                </c:pt>
                <c:pt idx="63">
                  <c:v>9</c:v>
                </c:pt>
                <c:pt idx="64">
                  <c:v>9.4</c:v>
                </c:pt>
                <c:pt idx="65">
                  <c:v>14.2</c:v>
                </c:pt>
                <c:pt idx="66">
                  <c:v>12.5</c:v>
                </c:pt>
                <c:pt idx="67">
                  <c:v>13.7</c:v>
                </c:pt>
                <c:pt idx="68">
                  <c:v>9.6</c:v>
                </c:pt>
                <c:pt idx="69">
                  <c:v>7.7</c:v>
                </c:pt>
                <c:pt idx="70">
                  <c:v>5</c:v>
                </c:pt>
                <c:pt idx="71">
                  <c:v>9</c:v>
                </c:pt>
                <c:pt idx="72">
                  <c:v>8.4</c:v>
                </c:pt>
                <c:pt idx="73">
                  <c:v>8.9</c:v>
                </c:pt>
                <c:pt idx="74">
                  <c:v>8</c:v>
                </c:pt>
                <c:pt idx="75">
                  <c:v>7.7</c:v>
                </c:pt>
                <c:pt idx="76">
                  <c:v>6.2</c:v>
                </c:pt>
                <c:pt idx="77">
                  <c:v>2.9</c:v>
                </c:pt>
                <c:pt idx="78">
                  <c:v>4.7</c:v>
                </c:pt>
                <c:pt idx="79">
                  <c:v>2.7</c:v>
                </c:pt>
                <c:pt idx="80">
                  <c:v>2</c:v>
                </c:pt>
                <c:pt idx="81">
                  <c:v>2.5</c:v>
                </c:pt>
                <c:pt idx="82">
                  <c:v>3</c:v>
                </c:pt>
                <c:pt idx="83">
                  <c:v>5.2</c:v>
                </c:pt>
                <c:pt idx="84">
                  <c:v>1.7</c:v>
                </c:pt>
                <c:pt idx="85">
                  <c:v>1.4</c:v>
                </c:pt>
                <c:pt idx="86">
                  <c:v>1.8</c:v>
                </c:pt>
                <c:pt idx="87">
                  <c:v>2.5</c:v>
                </c:pt>
                <c:pt idx="88">
                  <c:v>8.4</c:v>
                </c:pt>
                <c:pt idx="89">
                  <c:v>11.2</c:v>
                </c:pt>
                <c:pt idx="90">
                  <c:v>12</c:v>
                </c:pt>
                <c:pt idx="91">
                  <c:v>13.8</c:v>
                </c:pt>
                <c:pt idx="92">
                  <c:v>4.8</c:v>
                </c:pt>
                <c:pt idx="93">
                  <c:v>0.4</c:v>
                </c:pt>
                <c:pt idx="94">
                  <c:v>1.7</c:v>
                </c:pt>
                <c:pt idx="95">
                  <c:v>3.2</c:v>
                </c:pt>
                <c:pt idx="96">
                  <c:v>0.4</c:v>
                </c:pt>
                <c:pt idx="97">
                  <c:v>-0.4</c:v>
                </c:pt>
                <c:pt idx="98">
                  <c:v>-2.1</c:v>
                </c:pt>
                <c:pt idx="99">
                  <c:v>1.4</c:v>
                </c:pt>
                <c:pt idx="100">
                  <c:v>3</c:v>
                </c:pt>
                <c:pt idx="101">
                  <c:v>0.5</c:v>
                </c:pt>
                <c:pt idx="102">
                  <c:v>2.8</c:v>
                </c:pt>
                <c:pt idx="103">
                  <c:v>6.1</c:v>
                </c:pt>
                <c:pt idx="104">
                  <c:v>8.3</c:v>
                </c:pt>
                <c:pt idx="105">
                  <c:v>9.5</c:v>
                </c:pt>
                <c:pt idx="106">
                  <c:v>7.1</c:v>
                </c:pt>
                <c:pt idx="107">
                  <c:v>2.1</c:v>
                </c:pt>
                <c:pt idx="108">
                  <c:v>-0.3</c:v>
                </c:pt>
                <c:pt idx="109">
                  <c:v>-3</c:v>
                </c:pt>
                <c:pt idx="110">
                  <c:v>0.6</c:v>
                </c:pt>
                <c:pt idx="111">
                  <c:v>6</c:v>
                </c:pt>
                <c:pt idx="112">
                  <c:v>8.2</c:v>
                </c:pt>
                <c:pt idx="113">
                  <c:v>10.4</c:v>
                </c:pt>
                <c:pt idx="114">
                  <c:v>10.4</c:v>
                </c:pt>
                <c:pt idx="115">
                  <c:v>6.3</c:v>
                </c:pt>
                <c:pt idx="116">
                  <c:v>2.6</c:v>
                </c:pt>
                <c:pt idx="117">
                  <c:v>1.8</c:v>
                </c:pt>
                <c:pt idx="118">
                  <c:v>2.6</c:v>
                </c:pt>
                <c:pt idx="119">
                  <c:v>5.9</c:v>
                </c:pt>
                <c:pt idx="120">
                  <c:v>10.3</c:v>
                </c:pt>
                <c:pt idx="121">
                  <c:v>11.3</c:v>
                </c:pt>
                <c:pt idx="122">
                  <c:v>11.3</c:v>
                </c:pt>
                <c:pt idx="123">
                  <c:v>7.1</c:v>
                </c:pt>
                <c:pt idx="124">
                  <c:v>3.2</c:v>
                </c:pt>
                <c:pt idx="125">
                  <c:v>8.2</c:v>
                </c:pt>
                <c:pt idx="126">
                  <c:v>9.6</c:v>
                </c:pt>
                <c:pt idx="127">
                  <c:v>11.3</c:v>
                </c:pt>
                <c:pt idx="128">
                  <c:v>6.4</c:v>
                </c:pt>
                <c:pt idx="129">
                  <c:v>6.8</c:v>
                </c:pt>
                <c:pt idx="130">
                  <c:v>7.9</c:v>
                </c:pt>
                <c:pt idx="131">
                  <c:v>9.1</c:v>
                </c:pt>
                <c:pt idx="132">
                  <c:v>8.5</c:v>
                </c:pt>
                <c:pt idx="133">
                  <c:v>6.4</c:v>
                </c:pt>
                <c:pt idx="134">
                  <c:v>1.9</c:v>
                </c:pt>
                <c:pt idx="135">
                  <c:v>0.4</c:v>
                </c:pt>
                <c:pt idx="136">
                  <c:v>-1.8</c:v>
                </c:pt>
                <c:pt idx="137">
                  <c:v>-1.1</c:v>
                </c:pt>
                <c:pt idx="138">
                  <c:v>-1.6</c:v>
                </c:pt>
                <c:pt idx="139">
                  <c:v>-0.1</c:v>
                </c:pt>
                <c:pt idx="140">
                  <c:v>1</c:v>
                </c:pt>
                <c:pt idx="141">
                  <c:v>3.9</c:v>
                </c:pt>
                <c:pt idx="142">
                  <c:v>7.5</c:v>
                </c:pt>
                <c:pt idx="143">
                  <c:v>5.1</c:v>
                </c:pt>
                <c:pt idx="144">
                  <c:v>4</c:v>
                </c:pt>
                <c:pt idx="145">
                  <c:v>1</c:v>
                </c:pt>
                <c:pt idx="146">
                  <c:v>-0.5</c:v>
                </c:pt>
                <c:pt idx="147">
                  <c:v>2</c:v>
                </c:pt>
                <c:pt idx="148">
                  <c:v>7.6</c:v>
                </c:pt>
                <c:pt idx="149">
                  <c:v>9.3</c:v>
                </c:pt>
                <c:pt idx="150">
                  <c:v>7</c:v>
                </c:pt>
                <c:pt idx="151">
                  <c:v>2.9</c:v>
                </c:pt>
                <c:pt idx="152">
                  <c:v>5.6</c:v>
                </c:pt>
                <c:pt idx="153">
                  <c:v>7.2</c:v>
                </c:pt>
                <c:pt idx="154">
                  <c:v>6.8</c:v>
                </c:pt>
                <c:pt idx="155">
                  <c:v>6.1</c:v>
                </c:pt>
                <c:pt idx="156">
                  <c:v>8.3</c:v>
                </c:pt>
                <c:pt idx="157">
                  <c:v>7.2</c:v>
                </c:pt>
                <c:pt idx="158">
                  <c:v>7</c:v>
                </c:pt>
                <c:pt idx="159">
                  <c:v>7.4</c:v>
                </c:pt>
                <c:pt idx="160">
                  <c:v>9.4</c:v>
                </c:pt>
                <c:pt idx="161">
                  <c:v>9</c:v>
                </c:pt>
                <c:pt idx="162">
                  <c:v>7.7</c:v>
                </c:pt>
                <c:pt idx="163">
                  <c:v>9.1</c:v>
                </c:pt>
                <c:pt idx="164">
                  <c:v>7.3</c:v>
                </c:pt>
                <c:pt idx="165">
                  <c:v>9</c:v>
                </c:pt>
                <c:pt idx="166">
                  <c:v>9.2</c:v>
                </c:pt>
                <c:pt idx="167">
                  <c:v>8.5</c:v>
                </c:pt>
                <c:pt idx="168">
                  <c:v>9</c:v>
                </c:pt>
                <c:pt idx="169">
                  <c:v>11.1</c:v>
                </c:pt>
                <c:pt idx="170">
                  <c:v>10.7</c:v>
                </c:pt>
                <c:pt idx="171">
                  <c:v>9.3</c:v>
                </c:pt>
                <c:pt idx="172">
                  <c:v>7.2</c:v>
                </c:pt>
                <c:pt idx="173">
                  <c:v>6.1</c:v>
                </c:pt>
                <c:pt idx="174">
                  <c:v>4.7</c:v>
                </c:pt>
                <c:pt idx="175">
                  <c:v>4.7</c:v>
                </c:pt>
                <c:pt idx="176">
                  <c:v>3.7</c:v>
                </c:pt>
                <c:pt idx="177">
                  <c:v>6.8</c:v>
                </c:pt>
                <c:pt idx="178">
                  <c:v>8.1</c:v>
                </c:pt>
                <c:pt idx="179">
                  <c:v>7.4</c:v>
                </c:pt>
                <c:pt idx="180">
                  <c:v>9.1</c:v>
                </c:pt>
                <c:pt idx="181">
                  <c:v>10.2</c:v>
                </c:pt>
                <c:pt idx="182">
                  <c:v>10.4</c:v>
                </c:pt>
                <c:pt idx="183">
                  <c:v>7.7</c:v>
                </c:pt>
                <c:pt idx="184">
                  <c:v>8.3</c:v>
                </c:pt>
                <c:pt idx="185">
                  <c:v>10.9</c:v>
                </c:pt>
                <c:pt idx="186">
                  <c:v>12.2</c:v>
                </c:pt>
                <c:pt idx="187">
                  <c:v>13.3</c:v>
                </c:pt>
                <c:pt idx="188">
                  <c:v>13.2</c:v>
                </c:pt>
                <c:pt idx="189">
                  <c:v>11.8</c:v>
                </c:pt>
                <c:pt idx="190">
                  <c:v>10.9</c:v>
                </c:pt>
                <c:pt idx="191">
                  <c:v>11.1</c:v>
                </c:pt>
                <c:pt idx="192">
                  <c:v>11.6</c:v>
                </c:pt>
                <c:pt idx="193">
                  <c:v>10.1</c:v>
                </c:pt>
                <c:pt idx="194">
                  <c:v>10.2</c:v>
                </c:pt>
                <c:pt idx="195">
                  <c:v>11.5</c:v>
                </c:pt>
                <c:pt idx="196">
                  <c:v>12.1</c:v>
                </c:pt>
                <c:pt idx="197">
                  <c:v>12.7</c:v>
                </c:pt>
                <c:pt idx="198">
                  <c:v>12.1</c:v>
                </c:pt>
                <c:pt idx="199">
                  <c:v>13.6</c:v>
                </c:pt>
                <c:pt idx="200">
                  <c:v>12.6</c:v>
                </c:pt>
                <c:pt idx="201">
                  <c:v>11.4</c:v>
                </c:pt>
                <c:pt idx="202">
                  <c:v>11.1</c:v>
                </c:pt>
                <c:pt idx="203">
                  <c:v>11.9</c:v>
                </c:pt>
                <c:pt idx="204">
                  <c:v>13.7</c:v>
                </c:pt>
                <c:pt idx="205">
                  <c:v>15.3</c:v>
                </c:pt>
                <c:pt idx="206">
                  <c:v>14.7</c:v>
                </c:pt>
                <c:pt idx="207">
                  <c:v>13.6</c:v>
                </c:pt>
                <c:pt idx="208">
                  <c:v>12.8</c:v>
                </c:pt>
                <c:pt idx="209">
                  <c:v>13.4</c:v>
                </c:pt>
                <c:pt idx="210">
                  <c:v>16.8</c:v>
                </c:pt>
                <c:pt idx="211">
                  <c:v>18.9</c:v>
                </c:pt>
                <c:pt idx="212">
                  <c:v>19.1</c:v>
                </c:pt>
                <c:pt idx="213">
                  <c:v>19.1</c:v>
                </c:pt>
                <c:pt idx="214">
                  <c:v>14.9</c:v>
                </c:pt>
                <c:pt idx="215">
                  <c:v>15.3</c:v>
                </c:pt>
                <c:pt idx="216">
                  <c:v>13.2</c:v>
                </c:pt>
                <c:pt idx="217">
                  <c:v>11.9</c:v>
                </c:pt>
                <c:pt idx="218">
                  <c:v>13.7</c:v>
                </c:pt>
                <c:pt idx="219">
                  <c:v>12.9</c:v>
                </c:pt>
                <c:pt idx="220">
                  <c:v>13.4</c:v>
                </c:pt>
                <c:pt idx="221">
                  <c:v>14.8</c:v>
                </c:pt>
                <c:pt idx="222">
                  <c:v>16.1</c:v>
                </c:pt>
                <c:pt idx="223">
                  <c:v>14.9</c:v>
                </c:pt>
                <c:pt idx="224">
                  <c:v>15.8</c:v>
                </c:pt>
                <c:pt idx="225">
                  <c:v>16.7</c:v>
                </c:pt>
                <c:pt idx="226">
                  <c:v>15.6</c:v>
                </c:pt>
                <c:pt idx="227">
                  <c:v>13.4</c:v>
                </c:pt>
                <c:pt idx="228">
                  <c:v>16.3</c:v>
                </c:pt>
                <c:pt idx="229">
                  <c:v>15.8</c:v>
                </c:pt>
                <c:pt idx="230">
                  <c:v>17.2</c:v>
                </c:pt>
                <c:pt idx="231">
                  <c:v>16.8</c:v>
                </c:pt>
                <c:pt idx="232">
                  <c:v>15.6</c:v>
                </c:pt>
                <c:pt idx="233">
                  <c:v>15.2</c:v>
                </c:pt>
                <c:pt idx="234">
                  <c:v>16.7</c:v>
                </c:pt>
                <c:pt idx="235">
                  <c:v>17.4</c:v>
                </c:pt>
                <c:pt idx="236">
                  <c:v>16.8</c:v>
                </c:pt>
                <c:pt idx="237">
                  <c:v>15.9</c:v>
                </c:pt>
                <c:pt idx="238">
                  <c:v>16</c:v>
                </c:pt>
                <c:pt idx="239">
                  <c:v>17.7</c:v>
                </c:pt>
                <c:pt idx="240">
                  <c:v>18.2</c:v>
                </c:pt>
                <c:pt idx="241">
                  <c:v>17</c:v>
                </c:pt>
                <c:pt idx="242">
                  <c:v>19.5</c:v>
                </c:pt>
                <c:pt idx="243">
                  <c:v>19.6</c:v>
                </c:pt>
                <c:pt idx="244">
                  <c:v>19</c:v>
                </c:pt>
                <c:pt idx="245">
                  <c:v>20.9</c:v>
                </c:pt>
                <c:pt idx="246">
                  <c:v>18.8</c:v>
                </c:pt>
                <c:pt idx="247">
                  <c:v>21</c:v>
                </c:pt>
                <c:pt idx="248">
                  <c:v>15.1</c:v>
                </c:pt>
                <c:pt idx="250">
                  <c:v>16.1</c:v>
                </c:pt>
                <c:pt idx="251">
                  <c:v>19.2</c:v>
                </c:pt>
                <c:pt idx="252">
                  <c:v>20.1</c:v>
                </c:pt>
                <c:pt idx="253">
                  <c:v>19.5</c:v>
                </c:pt>
                <c:pt idx="254">
                  <c:v>20.7</c:v>
                </c:pt>
                <c:pt idx="255">
                  <c:v>21.7</c:v>
                </c:pt>
                <c:pt idx="256">
                  <c:v>18.2</c:v>
                </c:pt>
                <c:pt idx="257">
                  <c:v>21</c:v>
                </c:pt>
                <c:pt idx="258">
                  <c:v>20.9</c:v>
                </c:pt>
                <c:pt idx="259">
                  <c:v>22.9</c:v>
                </c:pt>
                <c:pt idx="260">
                  <c:v>19.6</c:v>
                </c:pt>
                <c:pt idx="261">
                  <c:v>16.3</c:v>
                </c:pt>
                <c:pt idx="262">
                  <c:v>18</c:v>
                </c:pt>
                <c:pt idx="263">
                  <c:v>21</c:v>
                </c:pt>
                <c:pt idx="264">
                  <c:v>20.1</c:v>
                </c:pt>
                <c:pt idx="265">
                  <c:v>15.3</c:v>
                </c:pt>
                <c:pt idx="266">
                  <c:v>12.9</c:v>
                </c:pt>
                <c:pt idx="267">
                  <c:v>13.3</c:v>
                </c:pt>
                <c:pt idx="268">
                  <c:v>17.2</c:v>
                </c:pt>
                <c:pt idx="269">
                  <c:v>17.6</c:v>
                </c:pt>
                <c:pt idx="270">
                  <c:v>19</c:v>
                </c:pt>
                <c:pt idx="271">
                  <c:v>19.6</c:v>
                </c:pt>
                <c:pt idx="272">
                  <c:v>15.4</c:v>
                </c:pt>
                <c:pt idx="273">
                  <c:v>15.1</c:v>
                </c:pt>
                <c:pt idx="274">
                  <c:v>17</c:v>
                </c:pt>
                <c:pt idx="275">
                  <c:v>15.7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687083"/>
        <c:axId val="21432541"/>
      </c:lineChart>
      <c:catAx>
        <c:axId val="16687083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432541"/>
        <c:crosses val="autoZero"/>
        <c:auto val="1"/>
        <c:lblAlgn val="ctr"/>
        <c:lblOffset val="100"/>
        <c:noMultiLvlLbl val="0"/>
      </c:catAx>
      <c:valAx>
        <c:axId val="214325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6870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9037181927768"/>
          <c:y val="0.415546757791637"/>
          <c:w val="0.10962818072232"/>
          <c:h val="0.27788073888305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33</xdr:col>
      <xdr:colOff>33480</xdr:colOff>
      <xdr:row>10</xdr:row>
      <xdr:rowOff>116280</xdr:rowOff>
    </xdr:from>
    <xdr:to>
      <xdr:col>43</xdr:col>
      <xdr:colOff>523800</xdr:colOff>
      <xdr:row>37</xdr:row>
      <xdr:rowOff>115920</xdr:rowOff>
    </xdr:to>
    <xdr:graphicFrame>
      <xdr:nvGraphicFramePr>
        <xdr:cNvPr id="0" name="Graphique 2"/>
        <xdr:cNvGraphicFramePr/>
      </xdr:nvGraphicFramePr>
      <xdr:xfrm>
        <a:off x="24126480" y="1685880"/>
        <a:ext cx="7748640" cy="411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32</xdr:col>
      <xdr:colOff>181080</xdr:colOff>
      <xdr:row>48</xdr:row>
      <xdr:rowOff>68760</xdr:rowOff>
    </xdr:from>
    <xdr:to>
      <xdr:col>45</xdr:col>
      <xdr:colOff>285480</xdr:colOff>
      <xdr:row>84</xdr:row>
      <xdr:rowOff>115920</xdr:rowOff>
    </xdr:to>
    <xdr:graphicFrame>
      <xdr:nvGraphicFramePr>
        <xdr:cNvPr id="1" name="Graphique 3"/>
        <xdr:cNvGraphicFramePr/>
      </xdr:nvGraphicFramePr>
      <xdr:xfrm>
        <a:off x="23548320" y="7429680"/>
        <a:ext cx="9540000" cy="553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445320</xdr:colOff>
      <xdr:row>46</xdr:row>
      <xdr:rowOff>11520</xdr:rowOff>
    </xdr:from>
    <xdr:to>
      <xdr:col>11</xdr:col>
      <xdr:colOff>478440</xdr:colOff>
      <xdr:row>69</xdr:row>
      <xdr:rowOff>45000</xdr:rowOff>
    </xdr:to>
    <xdr:graphicFrame>
      <xdr:nvGraphicFramePr>
        <xdr:cNvPr id="2" name="Graphique 1"/>
        <xdr:cNvGraphicFramePr/>
      </xdr:nvGraphicFramePr>
      <xdr:xfrm>
        <a:off x="4128840" y="7860240"/>
        <a:ext cx="4388040" cy="37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691920</xdr:colOff>
      <xdr:row>2</xdr:row>
      <xdr:rowOff>84600</xdr:rowOff>
    </xdr:from>
    <xdr:to>
      <xdr:col>14</xdr:col>
      <xdr:colOff>410400</xdr:colOff>
      <xdr:row>43</xdr:row>
      <xdr:rowOff>87120</xdr:rowOff>
    </xdr:to>
    <xdr:graphicFrame>
      <xdr:nvGraphicFramePr>
        <xdr:cNvPr id="3" name="Graphique 2"/>
        <xdr:cNvGraphicFramePr/>
      </xdr:nvGraphicFramePr>
      <xdr:xfrm>
        <a:off x="1417680" y="435240"/>
        <a:ext cx="9553320" cy="70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12</xdr:col>
      <xdr:colOff>76320</xdr:colOff>
      <xdr:row>11</xdr:row>
      <xdr:rowOff>218160</xdr:rowOff>
    </xdr:from>
    <xdr:to>
      <xdr:col>15</xdr:col>
      <xdr:colOff>28440</xdr:colOff>
      <xdr:row>12</xdr:row>
      <xdr:rowOff>42120</xdr:rowOff>
    </xdr:to>
    <xdr:sp>
      <xdr:nvSpPr>
        <xdr:cNvPr id="4" name="ZoneTexte 2"/>
        <xdr:cNvSpPr/>
      </xdr:nvSpPr>
      <xdr:spPr>
        <a:xfrm>
          <a:off x="3759840" y="3400200"/>
          <a:ext cx="823320" cy="114120"/>
        </a:xfrm>
        <a:prstGeom prst="rect">
          <a:avLst/>
        </a:prstGeom>
        <a:solidFill>
          <a:srgbClr val="99ff33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fr-FR" sz="1400" strike="noStrike" u="none">
              <a:solidFill>
                <a:schemeClr val="dk1"/>
              </a:solidFill>
              <a:effectLst/>
              <a:uFillTx/>
              <a:latin typeface="Calibri"/>
            </a:rPr>
            <a:t>AM 1</a:t>
          </a:r>
          <a:endParaRPr b="0" lang="fr-FR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30</xdr:col>
      <xdr:colOff>98280</xdr:colOff>
      <xdr:row>11</xdr:row>
      <xdr:rowOff>189720</xdr:rowOff>
    </xdr:from>
    <xdr:to>
      <xdr:col>33</xdr:col>
      <xdr:colOff>50400</xdr:colOff>
      <xdr:row>12</xdr:row>
      <xdr:rowOff>13680</xdr:rowOff>
    </xdr:to>
    <xdr:sp>
      <xdr:nvSpPr>
        <xdr:cNvPr id="5" name="ZoneTexte 3"/>
        <xdr:cNvSpPr/>
      </xdr:nvSpPr>
      <xdr:spPr>
        <a:xfrm>
          <a:off x="9408600" y="3371760"/>
          <a:ext cx="986760" cy="114120"/>
        </a:xfrm>
        <a:prstGeom prst="rect">
          <a:avLst/>
        </a:prstGeom>
        <a:solidFill>
          <a:srgbClr val="99ff33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fr-FR" sz="1400" strike="noStrike" u="none">
              <a:solidFill>
                <a:schemeClr val="dk1"/>
              </a:solidFill>
              <a:effectLst/>
              <a:uFillTx/>
              <a:latin typeface="Calibri"/>
            </a:rPr>
            <a:t>AM 2</a:t>
          </a:r>
          <a:endParaRPr b="0" lang="fr-FR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48</xdr:col>
      <xdr:colOff>104760</xdr:colOff>
      <xdr:row>11</xdr:row>
      <xdr:rowOff>208800</xdr:rowOff>
    </xdr:from>
    <xdr:to>
      <xdr:col>51</xdr:col>
      <xdr:colOff>60120</xdr:colOff>
      <xdr:row>12</xdr:row>
      <xdr:rowOff>32760</xdr:rowOff>
    </xdr:to>
    <xdr:sp>
      <xdr:nvSpPr>
        <xdr:cNvPr id="6" name="ZoneTexte 4"/>
        <xdr:cNvSpPr/>
      </xdr:nvSpPr>
      <xdr:spPr>
        <a:xfrm>
          <a:off x="15530760" y="3390840"/>
          <a:ext cx="990000" cy="114120"/>
        </a:xfrm>
        <a:prstGeom prst="rect">
          <a:avLst/>
        </a:prstGeom>
        <a:solidFill>
          <a:srgbClr val="99ff33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fr-FR" sz="1400" strike="noStrike" u="none">
              <a:solidFill>
                <a:schemeClr val="dk1"/>
              </a:solidFill>
              <a:effectLst/>
              <a:uFillTx/>
              <a:latin typeface="Calibri"/>
            </a:rPr>
            <a:t>AM 3</a:t>
          </a:r>
          <a:endParaRPr b="0" lang="fr-FR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49</xdr:col>
      <xdr:colOff>142920</xdr:colOff>
      <xdr:row>4</xdr:row>
      <xdr:rowOff>211680</xdr:rowOff>
    </xdr:from>
    <xdr:to>
      <xdr:col>52</xdr:col>
      <xdr:colOff>95040</xdr:colOff>
      <xdr:row>5</xdr:row>
      <xdr:rowOff>35280</xdr:rowOff>
    </xdr:to>
    <xdr:sp>
      <xdr:nvSpPr>
        <xdr:cNvPr id="7" name="ZoneTexte 5"/>
        <xdr:cNvSpPr/>
      </xdr:nvSpPr>
      <xdr:spPr>
        <a:xfrm>
          <a:off x="15913800" y="1362240"/>
          <a:ext cx="986400" cy="113760"/>
        </a:xfrm>
        <a:prstGeom prst="rect">
          <a:avLst/>
        </a:prstGeom>
        <a:solidFill>
          <a:srgbClr val="99ff33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fr-FR" sz="1400" strike="noStrike" u="none">
              <a:solidFill>
                <a:schemeClr val="dk1"/>
              </a:solidFill>
              <a:effectLst/>
              <a:uFillTx/>
              <a:latin typeface="Calibri"/>
            </a:rPr>
            <a:t>AM 2</a:t>
          </a:r>
          <a:endParaRPr b="0" lang="fr-FR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30</xdr:col>
      <xdr:colOff>19080</xdr:colOff>
      <xdr:row>4</xdr:row>
      <xdr:rowOff>192600</xdr:rowOff>
    </xdr:from>
    <xdr:to>
      <xdr:col>32</xdr:col>
      <xdr:colOff>190080</xdr:colOff>
      <xdr:row>5</xdr:row>
      <xdr:rowOff>16200</xdr:rowOff>
    </xdr:to>
    <xdr:sp>
      <xdr:nvSpPr>
        <xdr:cNvPr id="8" name="ZoneTexte 6"/>
        <xdr:cNvSpPr/>
      </xdr:nvSpPr>
      <xdr:spPr>
        <a:xfrm>
          <a:off x="9329400" y="1343160"/>
          <a:ext cx="860760" cy="113760"/>
        </a:xfrm>
        <a:prstGeom prst="rect">
          <a:avLst/>
        </a:prstGeom>
        <a:solidFill>
          <a:srgbClr val="99ff33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fr-FR" sz="1400" strike="noStrike" u="none">
              <a:solidFill>
                <a:schemeClr val="dk1"/>
              </a:solidFill>
              <a:effectLst/>
              <a:uFillTx/>
              <a:latin typeface="Calibri"/>
            </a:rPr>
            <a:t>AM 1</a:t>
          </a:r>
          <a:endParaRPr b="0" lang="fr-FR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12</xdr:col>
      <xdr:colOff>171360</xdr:colOff>
      <xdr:row>4</xdr:row>
      <xdr:rowOff>211680</xdr:rowOff>
    </xdr:from>
    <xdr:to>
      <xdr:col>15</xdr:col>
      <xdr:colOff>123480</xdr:colOff>
      <xdr:row>5</xdr:row>
      <xdr:rowOff>35280</xdr:rowOff>
    </xdr:to>
    <xdr:sp>
      <xdr:nvSpPr>
        <xdr:cNvPr id="9" name="ZoneTexte 7"/>
        <xdr:cNvSpPr/>
      </xdr:nvSpPr>
      <xdr:spPr>
        <a:xfrm>
          <a:off x="3854880" y="1362240"/>
          <a:ext cx="823320" cy="113760"/>
        </a:xfrm>
        <a:prstGeom prst="rect">
          <a:avLst/>
        </a:prstGeom>
        <a:solidFill>
          <a:srgbClr val="99ff33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fr-FR" sz="1400" strike="noStrike" u="none">
              <a:solidFill>
                <a:schemeClr val="dk1"/>
              </a:solidFill>
              <a:effectLst/>
              <a:uFillTx/>
              <a:latin typeface="Calibri"/>
            </a:rPr>
            <a:t>AM 3</a:t>
          </a:r>
          <a:endParaRPr b="0" lang="fr-FR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29</xdr:col>
      <xdr:colOff>148320</xdr:colOff>
      <xdr:row>9</xdr:row>
      <xdr:rowOff>202680</xdr:rowOff>
    </xdr:from>
    <xdr:to>
      <xdr:col>31</xdr:col>
      <xdr:colOff>63360</xdr:colOff>
      <xdr:row>10</xdr:row>
      <xdr:rowOff>229680</xdr:rowOff>
    </xdr:to>
    <xdr:sp>
      <xdr:nvSpPr>
        <xdr:cNvPr id="10" name="Ellipse 12"/>
        <xdr:cNvSpPr/>
      </xdr:nvSpPr>
      <xdr:spPr>
        <a:xfrm>
          <a:off x="9113760" y="2804400"/>
          <a:ext cx="604800" cy="317160"/>
        </a:xfrm>
        <a:prstGeom prst="ellipse">
          <a:avLst/>
        </a:prstGeom>
        <a:noFill/>
        <a:ln w="31750">
          <a:solidFill>
            <a:srgbClr val="3a5f8b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</xdr:col>
      <xdr:colOff>0</xdr:colOff>
      <xdr:row>31</xdr:row>
      <xdr:rowOff>60120</xdr:rowOff>
    </xdr:from>
    <xdr:to>
      <xdr:col>5</xdr:col>
      <xdr:colOff>105480</xdr:colOff>
      <xdr:row>33</xdr:row>
      <xdr:rowOff>60840</xdr:rowOff>
    </xdr:to>
    <xdr:sp>
      <xdr:nvSpPr>
        <xdr:cNvPr id="11" name="Ellipse 14"/>
        <xdr:cNvSpPr/>
      </xdr:nvSpPr>
      <xdr:spPr>
        <a:xfrm>
          <a:off x="1487880" y="7324560"/>
          <a:ext cx="314280" cy="305640"/>
        </a:xfrm>
        <a:prstGeom prst="ellipse">
          <a:avLst/>
        </a:prstGeom>
        <a:noFill/>
        <a:ln w="31750">
          <a:solidFill>
            <a:srgbClr val="3a5f8b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40320</xdr:colOff>
      <xdr:row>23</xdr:row>
      <xdr:rowOff>129240</xdr:rowOff>
    </xdr:from>
    <xdr:to>
      <xdr:col>18</xdr:col>
      <xdr:colOff>183960</xdr:colOff>
      <xdr:row>24</xdr:row>
      <xdr:rowOff>82440</xdr:rowOff>
    </xdr:to>
    <xdr:sp>
      <xdr:nvSpPr>
        <xdr:cNvPr id="12" name="Ellipse 15"/>
        <xdr:cNvSpPr/>
      </xdr:nvSpPr>
      <xdr:spPr>
        <a:xfrm>
          <a:off x="5466240" y="5945760"/>
          <a:ext cx="143640" cy="143640"/>
        </a:xfrm>
        <a:prstGeom prst="ellipse">
          <a:avLst/>
        </a:prstGeom>
        <a:solidFill>
          <a:srgbClr val="ffff00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50760</xdr:colOff>
      <xdr:row>20</xdr:row>
      <xdr:rowOff>64440</xdr:rowOff>
    </xdr:from>
    <xdr:to>
      <xdr:col>18</xdr:col>
      <xdr:colOff>194400</xdr:colOff>
      <xdr:row>21</xdr:row>
      <xdr:rowOff>17640</xdr:rowOff>
    </xdr:to>
    <xdr:sp>
      <xdr:nvSpPr>
        <xdr:cNvPr id="13" name="Ellipse 16"/>
        <xdr:cNvSpPr/>
      </xdr:nvSpPr>
      <xdr:spPr>
        <a:xfrm>
          <a:off x="5476680" y="5309640"/>
          <a:ext cx="143640" cy="143640"/>
        </a:xfrm>
        <a:prstGeom prst="ellipse">
          <a:avLst/>
        </a:prstGeom>
        <a:solidFill>
          <a:srgbClr val="ff66ff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30</xdr:col>
      <xdr:colOff>105840</xdr:colOff>
      <xdr:row>12</xdr:row>
      <xdr:rowOff>239400</xdr:rowOff>
    </xdr:from>
    <xdr:to>
      <xdr:col>31</xdr:col>
      <xdr:colOff>25200</xdr:colOff>
      <xdr:row>13</xdr:row>
      <xdr:rowOff>87480</xdr:rowOff>
    </xdr:to>
    <xdr:sp>
      <xdr:nvSpPr>
        <xdr:cNvPr id="14" name="Ellipse 18"/>
        <xdr:cNvSpPr/>
      </xdr:nvSpPr>
      <xdr:spPr>
        <a:xfrm>
          <a:off x="9416160" y="3711600"/>
          <a:ext cx="264240" cy="138240"/>
        </a:xfrm>
        <a:prstGeom prst="ellipse">
          <a:avLst/>
        </a:prstGeom>
        <a:solidFill>
          <a:srgbClr val="ffff00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22</xdr:col>
      <xdr:colOff>103680</xdr:colOff>
      <xdr:row>8</xdr:row>
      <xdr:rowOff>47520</xdr:rowOff>
    </xdr:from>
    <xdr:to>
      <xdr:col>23</xdr:col>
      <xdr:colOff>31320</xdr:colOff>
      <xdr:row>8</xdr:row>
      <xdr:rowOff>172080</xdr:rowOff>
    </xdr:to>
    <xdr:sp>
      <xdr:nvSpPr>
        <xdr:cNvPr id="15" name="Ellipse 19"/>
        <xdr:cNvSpPr/>
      </xdr:nvSpPr>
      <xdr:spPr>
        <a:xfrm>
          <a:off x="6728040" y="2359080"/>
          <a:ext cx="236160" cy="124560"/>
        </a:xfrm>
        <a:prstGeom prst="ellipse">
          <a:avLst/>
        </a:prstGeom>
        <a:solidFill>
          <a:srgbClr val="ffff00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57240</xdr:colOff>
      <xdr:row>28</xdr:row>
      <xdr:rowOff>0</xdr:rowOff>
    </xdr:from>
    <xdr:to>
      <xdr:col>18</xdr:col>
      <xdr:colOff>200880</xdr:colOff>
      <xdr:row>28</xdr:row>
      <xdr:rowOff>143640</xdr:rowOff>
    </xdr:to>
    <xdr:sp>
      <xdr:nvSpPr>
        <xdr:cNvPr id="16" name="Ellipse 20"/>
        <xdr:cNvSpPr/>
      </xdr:nvSpPr>
      <xdr:spPr>
        <a:xfrm>
          <a:off x="5483160" y="6769080"/>
          <a:ext cx="14364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6</xdr:col>
      <xdr:colOff>101520</xdr:colOff>
      <xdr:row>12</xdr:row>
      <xdr:rowOff>214200</xdr:rowOff>
    </xdr:from>
    <xdr:to>
      <xdr:col>7</xdr:col>
      <xdr:colOff>29160</xdr:colOff>
      <xdr:row>13</xdr:row>
      <xdr:rowOff>67680</xdr:rowOff>
    </xdr:to>
    <xdr:sp>
      <xdr:nvSpPr>
        <xdr:cNvPr id="17" name="Ellipse 21"/>
        <xdr:cNvSpPr/>
      </xdr:nvSpPr>
      <xdr:spPr>
        <a:xfrm>
          <a:off x="2079720" y="3686400"/>
          <a:ext cx="208800" cy="143640"/>
        </a:xfrm>
        <a:prstGeom prst="ellipse">
          <a:avLst/>
        </a:prstGeom>
        <a:solidFill>
          <a:srgbClr val="ffff00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12</xdr:col>
      <xdr:colOff>108000</xdr:colOff>
      <xdr:row>12</xdr:row>
      <xdr:rowOff>230040</xdr:rowOff>
    </xdr:from>
    <xdr:to>
      <xdr:col>13</xdr:col>
      <xdr:colOff>35640</xdr:colOff>
      <xdr:row>13</xdr:row>
      <xdr:rowOff>83520</xdr:rowOff>
    </xdr:to>
    <xdr:sp>
      <xdr:nvSpPr>
        <xdr:cNvPr id="18" name="Ellipse 22"/>
        <xdr:cNvSpPr/>
      </xdr:nvSpPr>
      <xdr:spPr>
        <a:xfrm>
          <a:off x="3791520" y="3702240"/>
          <a:ext cx="209160" cy="143640"/>
        </a:xfrm>
        <a:prstGeom prst="ellipse">
          <a:avLst/>
        </a:prstGeom>
        <a:solidFill>
          <a:srgbClr val="ffff00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24</xdr:col>
      <xdr:colOff>101520</xdr:colOff>
      <xdr:row>12</xdr:row>
      <xdr:rowOff>214200</xdr:rowOff>
    </xdr:from>
    <xdr:to>
      <xdr:col>25</xdr:col>
      <xdr:colOff>29160</xdr:colOff>
      <xdr:row>13</xdr:row>
      <xdr:rowOff>67680</xdr:rowOff>
    </xdr:to>
    <xdr:sp>
      <xdr:nvSpPr>
        <xdr:cNvPr id="19" name="Ellipse 23"/>
        <xdr:cNvSpPr/>
      </xdr:nvSpPr>
      <xdr:spPr>
        <a:xfrm>
          <a:off x="7379280" y="3686400"/>
          <a:ext cx="236160" cy="143640"/>
        </a:xfrm>
        <a:prstGeom prst="ellipse">
          <a:avLst/>
        </a:prstGeom>
        <a:solidFill>
          <a:srgbClr val="ffff00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42</xdr:col>
      <xdr:colOff>114480</xdr:colOff>
      <xdr:row>12</xdr:row>
      <xdr:rowOff>214200</xdr:rowOff>
    </xdr:from>
    <xdr:to>
      <xdr:col>43</xdr:col>
      <xdr:colOff>42120</xdr:colOff>
      <xdr:row>13</xdr:row>
      <xdr:rowOff>67680</xdr:rowOff>
    </xdr:to>
    <xdr:sp>
      <xdr:nvSpPr>
        <xdr:cNvPr id="20" name="Ellipse 24"/>
        <xdr:cNvSpPr/>
      </xdr:nvSpPr>
      <xdr:spPr>
        <a:xfrm>
          <a:off x="13507920" y="3686400"/>
          <a:ext cx="272520" cy="143640"/>
        </a:xfrm>
        <a:prstGeom prst="ellipse">
          <a:avLst/>
        </a:prstGeom>
        <a:solidFill>
          <a:srgbClr val="ffff00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48</xdr:col>
      <xdr:colOff>101520</xdr:colOff>
      <xdr:row>12</xdr:row>
      <xdr:rowOff>214200</xdr:rowOff>
    </xdr:from>
    <xdr:to>
      <xdr:col>49</xdr:col>
      <xdr:colOff>29160</xdr:colOff>
      <xdr:row>13</xdr:row>
      <xdr:rowOff>67680</xdr:rowOff>
    </xdr:to>
    <xdr:sp>
      <xdr:nvSpPr>
        <xdr:cNvPr id="21" name="Ellipse 25"/>
        <xdr:cNvSpPr/>
      </xdr:nvSpPr>
      <xdr:spPr>
        <a:xfrm>
          <a:off x="15527520" y="3686400"/>
          <a:ext cx="272520" cy="143640"/>
        </a:xfrm>
        <a:prstGeom prst="ellipse">
          <a:avLst/>
        </a:prstGeom>
        <a:solidFill>
          <a:srgbClr val="ffff00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12</xdr:col>
      <xdr:colOff>101520</xdr:colOff>
      <xdr:row>8</xdr:row>
      <xdr:rowOff>34920</xdr:rowOff>
    </xdr:from>
    <xdr:to>
      <xdr:col>13</xdr:col>
      <xdr:colOff>29160</xdr:colOff>
      <xdr:row>8</xdr:row>
      <xdr:rowOff>178560</xdr:rowOff>
    </xdr:to>
    <xdr:sp>
      <xdr:nvSpPr>
        <xdr:cNvPr id="22" name="Ellipse 26"/>
        <xdr:cNvSpPr/>
      </xdr:nvSpPr>
      <xdr:spPr>
        <a:xfrm>
          <a:off x="3785040" y="2346480"/>
          <a:ext cx="209160" cy="143640"/>
        </a:xfrm>
        <a:prstGeom prst="ellipse">
          <a:avLst/>
        </a:prstGeom>
        <a:solidFill>
          <a:srgbClr val="ffff00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40</xdr:col>
      <xdr:colOff>101520</xdr:colOff>
      <xdr:row>8</xdr:row>
      <xdr:rowOff>34920</xdr:rowOff>
    </xdr:from>
    <xdr:to>
      <xdr:col>41</xdr:col>
      <xdr:colOff>29160</xdr:colOff>
      <xdr:row>8</xdr:row>
      <xdr:rowOff>178560</xdr:rowOff>
    </xdr:to>
    <xdr:sp>
      <xdr:nvSpPr>
        <xdr:cNvPr id="23" name="Ellipse 28"/>
        <xdr:cNvSpPr/>
      </xdr:nvSpPr>
      <xdr:spPr>
        <a:xfrm>
          <a:off x="12805200" y="2346480"/>
          <a:ext cx="272520" cy="143640"/>
        </a:xfrm>
        <a:prstGeom prst="ellipse">
          <a:avLst/>
        </a:prstGeom>
        <a:solidFill>
          <a:srgbClr val="ffff00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48</xdr:col>
      <xdr:colOff>114480</xdr:colOff>
      <xdr:row>8</xdr:row>
      <xdr:rowOff>34920</xdr:rowOff>
    </xdr:from>
    <xdr:to>
      <xdr:col>49</xdr:col>
      <xdr:colOff>42120</xdr:colOff>
      <xdr:row>8</xdr:row>
      <xdr:rowOff>178560</xdr:rowOff>
    </xdr:to>
    <xdr:sp>
      <xdr:nvSpPr>
        <xdr:cNvPr id="24" name="Ellipse 29"/>
        <xdr:cNvSpPr/>
      </xdr:nvSpPr>
      <xdr:spPr>
        <a:xfrm>
          <a:off x="15540480" y="2346480"/>
          <a:ext cx="272520" cy="143640"/>
        </a:xfrm>
        <a:prstGeom prst="ellipse">
          <a:avLst/>
        </a:prstGeom>
        <a:solidFill>
          <a:srgbClr val="ffff00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58</xdr:col>
      <xdr:colOff>101520</xdr:colOff>
      <xdr:row>8</xdr:row>
      <xdr:rowOff>22320</xdr:rowOff>
    </xdr:from>
    <xdr:to>
      <xdr:col>59</xdr:col>
      <xdr:colOff>29160</xdr:colOff>
      <xdr:row>8</xdr:row>
      <xdr:rowOff>165960</xdr:rowOff>
    </xdr:to>
    <xdr:sp>
      <xdr:nvSpPr>
        <xdr:cNvPr id="25" name="Ellipse 30"/>
        <xdr:cNvSpPr/>
      </xdr:nvSpPr>
      <xdr:spPr>
        <a:xfrm>
          <a:off x="18939600" y="2333880"/>
          <a:ext cx="272160" cy="143640"/>
        </a:xfrm>
        <a:prstGeom prst="ellipse">
          <a:avLst/>
        </a:prstGeom>
        <a:solidFill>
          <a:srgbClr val="ffff00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18</xdr:col>
      <xdr:colOff>50760</xdr:colOff>
      <xdr:row>13</xdr:row>
      <xdr:rowOff>266760</xdr:rowOff>
    </xdr:from>
    <xdr:to>
      <xdr:col>18</xdr:col>
      <xdr:colOff>194400</xdr:colOff>
      <xdr:row>14</xdr:row>
      <xdr:rowOff>130320</xdr:rowOff>
    </xdr:to>
    <xdr:sp>
      <xdr:nvSpPr>
        <xdr:cNvPr id="26" name="Ellipse 31"/>
        <xdr:cNvSpPr/>
      </xdr:nvSpPr>
      <xdr:spPr>
        <a:xfrm>
          <a:off x="5476680" y="4029120"/>
          <a:ext cx="143640" cy="143640"/>
        </a:xfrm>
        <a:prstGeom prst="ellipse">
          <a:avLst/>
        </a:prstGeom>
        <a:solidFill>
          <a:srgbClr val="ff66ff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47</xdr:col>
      <xdr:colOff>38160</xdr:colOff>
      <xdr:row>6</xdr:row>
      <xdr:rowOff>256680</xdr:rowOff>
    </xdr:from>
    <xdr:to>
      <xdr:col>47</xdr:col>
      <xdr:colOff>181800</xdr:colOff>
      <xdr:row>7</xdr:row>
      <xdr:rowOff>110160</xdr:rowOff>
    </xdr:to>
    <xdr:sp>
      <xdr:nvSpPr>
        <xdr:cNvPr id="27" name="Ellipse 32"/>
        <xdr:cNvSpPr/>
      </xdr:nvSpPr>
      <xdr:spPr>
        <a:xfrm>
          <a:off x="15119280" y="1987560"/>
          <a:ext cx="143640" cy="143640"/>
        </a:xfrm>
        <a:prstGeom prst="ellipse">
          <a:avLst/>
        </a:prstGeom>
        <a:solidFill>
          <a:srgbClr val="ff66ff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</xdr:col>
      <xdr:colOff>177840</xdr:colOff>
      <xdr:row>12</xdr:row>
      <xdr:rowOff>226800</xdr:rowOff>
    </xdr:from>
    <xdr:to>
      <xdr:col>6</xdr:col>
      <xdr:colOff>105480</xdr:colOff>
      <xdr:row>13</xdr:row>
      <xdr:rowOff>80280</xdr:rowOff>
    </xdr:to>
    <xdr:sp>
      <xdr:nvSpPr>
        <xdr:cNvPr id="28" name="Ellipse 43"/>
        <xdr:cNvSpPr/>
      </xdr:nvSpPr>
      <xdr:spPr>
        <a:xfrm>
          <a:off x="1874520" y="3699000"/>
          <a:ext cx="20916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23</xdr:col>
      <xdr:colOff>203040</xdr:colOff>
      <xdr:row>12</xdr:row>
      <xdr:rowOff>226800</xdr:rowOff>
    </xdr:from>
    <xdr:to>
      <xdr:col>24</xdr:col>
      <xdr:colOff>130680</xdr:colOff>
      <xdr:row>13</xdr:row>
      <xdr:rowOff>80280</xdr:rowOff>
    </xdr:to>
    <xdr:sp>
      <xdr:nvSpPr>
        <xdr:cNvPr id="29" name="Ellipse 45"/>
        <xdr:cNvSpPr/>
      </xdr:nvSpPr>
      <xdr:spPr>
        <a:xfrm>
          <a:off x="7135920" y="3699000"/>
          <a:ext cx="27252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41</xdr:col>
      <xdr:colOff>203040</xdr:colOff>
      <xdr:row>12</xdr:row>
      <xdr:rowOff>214200</xdr:rowOff>
    </xdr:from>
    <xdr:to>
      <xdr:col>42</xdr:col>
      <xdr:colOff>130680</xdr:colOff>
      <xdr:row>13</xdr:row>
      <xdr:rowOff>67680</xdr:rowOff>
    </xdr:to>
    <xdr:sp>
      <xdr:nvSpPr>
        <xdr:cNvPr id="30" name="Ellipse 47"/>
        <xdr:cNvSpPr/>
      </xdr:nvSpPr>
      <xdr:spPr>
        <a:xfrm>
          <a:off x="13251600" y="3686400"/>
          <a:ext cx="27252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47</xdr:col>
      <xdr:colOff>203040</xdr:colOff>
      <xdr:row>12</xdr:row>
      <xdr:rowOff>214200</xdr:rowOff>
    </xdr:from>
    <xdr:to>
      <xdr:col>48</xdr:col>
      <xdr:colOff>130680</xdr:colOff>
      <xdr:row>13</xdr:row>
      <xdr:rowOff>67680</xdr:rowOff>
    </xdr:to>
    <xdr:sp>
      <xdr:nvSpPr>
        <xdr:cNvPr id="31" name="Ellipse 48"/>
        <xdr:cNvSpPr/>
      </xdr:nvSpPr>
      <xdr:spPr>
        <a:xfrm>
          <a:off x="15284160" y="3686400"/>
          <a:ext cx="27252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190440</xdr:colOff>
      <xdr:row>8</xdr:row>
      <xdr:rowOff>22320</xdr:rowOff>
    </xdr:from>
    <xdr:to>
      <xdr:col>12</xdr:col>
      <xdr:colOff>118080</xdr:colOff>
      <xdr:row>8</xdr:row>
      <xdr:rowOff>165960</xdr:rowOff>
    </xdr:to>
    <xdr:sp>
      <xdr:nvSpPr>
        <xdr:cNvPr id="32" name="Ellipse 49"/>
        <xdr:cNvSpPr/>
      </xdr:nvSpPr>
      <xdr:spPr>
        <a:xfrm>
          <a:off x="3592800" y="2333880"/>
          <a:ext cx="20880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21</xdr:col>
      <xdr:colOff>203040</xdr:colOff>
      <xdr:row>8</xdr:row>
      <xdr:rowOff>34920</xdr:rowOff>
    </xdr:from>
    <xdr:to>
      <xdr:col>22</xdr:col>
      <xdr:colOff>130680</xdr:colOff>
      <xdr:row>8</xdr:row>
      <xdr:rowOff>178560</xdr:rowOff>
    </xdr:to>
    <xdr:sp>
      <xdr:nvSpPr>
        <xdr:cNvPr id="33" name="Ellipse 50"/>
        <xdr:cNvSpPr/>
      </xdr:nvSpPr>
      <xdr:spPr>
        <a:xfrm>
          <a:off x="6518880" y="2346480"/>
          <a:ext cx="23616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29</xdr:col>
      <xdr:colOff>190440</xdr:colOff>
      <xdr:row>8</xdr:row>
      <xdr:rowOff>34920</xdr:rowOff>
    </xdr:from>
    <xdr:to>
      <xdr:col>30</xdr:col>
      <xdr:colOff>118080</xdr:colOff>
      <xdr:row>8</xdr:row>
      <xdr:rowOff>178560</xdr:rowOff>
    </xdr:to>
    <xdr:sp>
      <xdr:nvSpPr>
        <xdr:cNvPr id="34" name="Ellipse 51"/>
        <xdr:cNvSpPr/>
      </xdr:nvSpPr>
      <xdr:spPr>
        <a:xfrm>
          <a:off x="9155880" y="2346480"/>
          <a:ext cx="27252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39</xdr:col>
      <xdr:colOff>203040</xdr:colOff>
      <xdr:row>8</xdr:row>
      <xdr:rowOff>34920</xdr:rowOff>
    </xdr:from>
    <xdr:to>
      <xdr:col>40</xdr:col>
      <xdr:colOff>130680</xdr:colOff>
      <xdr:row>8</xdr:row>
      <xdr:rowOff>178560</xdr:rowOff>
    </xdr:to>
    <xdr:sp>
      <xdr:nvSpPr>
        <xdr:cNvPr id="35" name="Ellipse 52"/>
        <xdr:cNvSpPr/>
      </xdr:nvSpPr>
      <xdr:spPr>
        <a:xfrm>
          <a:off x="12562200" y="2346480"/>
          <a:ext cx="27216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47</xdr:col>
      <xdr:colOff>203040</xdr:colOff>
      <xdr:row>8</xdr:row>
      <xdr:rowOff>22320</xdr:rowOff>
    </xdr:from>
    <xdr:to>
      <xdr:col>48</xdr:col>
      <xdr:colOff>130680</xdr:colOff>
      <xdr:row>8</xdr:row>
      <xdr:rowOff>165960</xdr:rowOff>
    </xdr:to>
    <xdr:sp>
      <xdr:nvSpPr>
        <xdr:cNvPr id="36" name="Ellipse 53"/>
        <xdr:cNvSpPr/>
      </xdr:nvSpPr>
      <xdr:spPr>
        <a:xfrm>
          <a:off x="15284160" y="2333880"/>
          <a:ext cx="27252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57</xdr:col>
      <xdr:colOff>203040</xdr:colOff>
      <xdr:row>8</xdr:row>
      <xdr:rowOff>22320</xdr:rowOff>
    </xdr:from>
    <xdr:to>
      <xdr:col>58</xdr:col>
      <xdr:colOff>130680</xdr:colOff>
      <xdr:row>8</xdr:row>
      <xdr:rowOff>165960</xdr:rowOff>
    </xdr:to>
    <xdr:sp>
      <xdr:nvSpPr>
        <xdr:cNvPr id="37" name="Ellipse 54"/>
        <xdr:cNvSpPr/>
      </xdr:nvSpPr>
      <xdr:spPr>
        <a:xfrm>
          <a:off x="18696240" y="2333880"/>
          <a:ext cx="27252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15</xdr:col>
      <xdr:colOff>50760</xdr:colOff>
      <xdr:row>11</xdr:row>
      <xdr:rowOff>173880</xdr:rowOff>
    </xdr:from>
    <xdr:to>
      <xdr:col>15</xdr:col>
      <xdr:colOff>194400</xdr:colOff>
      <xdr:row>12</xdr:row>
      <xdr:rowOff>27360</xdr:rowOff>
    </xdr:to>
    <xdr:sp>
      <xdr:nvSpPr>
        <xdr:cNvPr id="38" name="Ellipse 63"/>
        <xdr:cNvSpPr/>
      </xdr:nvSpPr>
      <xdr:spPr>
        <a:xfrm>
          <a:off x="4605480" y="3355920"/>
          <a:ext cx="14364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22</xdr:col>
      <xdr:colOff>38160</xdr:colOff>
      <xdr:row>11</xdr:row>
      <xdr:rowOff>173880</xdr:rowOff>
    </xdr:from>
    <xdr:to>
      <xdr:col>22</xdr:col>
      <xdr:colOff>181800</xdr:colOff>
      <xdr:row>12</xdr:row>
      <xdr:rowOff>27360</xdr:rowOff>
    </xdr:to>
    <xdr:sp>
      <xdr:nvSpPr>
        <xdr:cNvPr id="39" name="Ellipse 64"/>
        <xdr:cNvSpPr/>
      </xdr:nvSpPr>
      <xdr:spPr>
        <a:xfrm>
          <a:off x="6662520" y="3355920"/>
          <a:ext cx="14364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33</xdr:col>
      <xdr:colOff>50760</xdr:colOff>
      <xdr:row>11</xdr:row>
      <xdr:rowOff>161280</xdr:rowOff>
    </xdr:from>
    <xdr:to>
      <xdr:col>33</xdr:col>
      <xdr:colOff>194400</xdr:colOff>
      <xdr:row>12</xdr:row>
      <xdr:rowOff>14760</xdr:rowOff>
    </xdr:to>
    <xdr:sp>
      <xdr:nvSpPr>
        <xdr:cNvPr id="40" name="Ellipse 65"/>
        <xdr:cNvSpPr/>
      </xdr:nvSpPr>
      <xdr:spPr>
        <a:xfrm>
          <a:off x="10395720" y="3343320"/>
          <a:ext cx="14364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40</xdr:col>
      <xdr:colOff>50760</xdr:colOff>
      <xdr:row>11</xdr:row>
      <xdr:rowOff>173880</xdr:rowOff>
    </xdr:from>
    <xdr:to>
      <xdr:col>40</xdr:col>
      <xdr:colOff>194400</xdr:colOff>
      <xdr:row>12</xdr:row>
      <xdr:rowOff>27360</xdr:rowOff>
    </xdr:to>
    <xdr:sp>
      <xdr:nvSpPr>
        <xdr:cNvPr id="41" name="Ellipse 66"/>
        <xdr:cNvSpPr/>
      </xdr:nvSpPr>
      <xdr:spPr>
        <a:xfrm>
          <a:off x="12754440" y="3355920"/>
          <a:ext cx="14364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51</xdr:col>
      <xdr:colOff>50760</xdr:colOff>
      <xdr:row>11</xdr:row>
      <xdr:rowOff>161280</xdr:rowOff>
    </xdr:from>
    <xdr:to>
      <xdr:col>51</xdr:col>
      <xdr:colOff>194400</xdr:colOff>
      <xdr:row>12</xdr:row>
      <xdr:rowOff>14760</xdr:rowOff>
    </xdr:to>
    <xdr:sp>
      <xdr:nvSpPr>
        <xdr:cNvPr id="42" name="Ellipse 67"/>
        <xdr:cNvSpPr/>
      </xdr:nvSpPr>
      <xdr:spPr>
        <a:xfrm>
          <a:off x="16511400" y="3343320"/>
          <a:ext cx="14364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58</xdr:col>
      <xdr:colOff>50760</xdr:colOff>
      <xdr:row>11</xdr:row>
      <xdr:rowOff>161280</xdr:rowOff>
    </xdr:from>
    <xdr:to>
      <xdr:col>58</xdr:col>
      <xdr:colOff>194400</xdr:colOff>
      <xdr:row>12</xdr:row>
      <xdr:rowOff>14760</xdr:rowOff>
    </xdr:to>
    <xdr:sp>
      <xdr:nvSpPr>
        <xdr:cNvPr id="43" name="Ellipse 68"/>
        <xdr:cNvSpPr/>
      </xdr:nvSpPr>
      <xdr:spPr>
        <a:xfrm>
          <a:off x="18888840" y="3343320"/>
          <a:ext cx="14364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8</xdr:col>
      <xdr:colOff>38160</xdr:colOff>
      <xdr:row>3</xdr:row>
      <xdr:rowOff>133560</xdr:rowOff>
    </xdr:from>
    <xdr:to>
      <xdr:col>8</xdr:col>
      <xdr:colOff>181800</xdr:colOff>
      <xdr:row>3</xdr:row>
      <xdr:rowOff>277200</xdr:rowOff>
    </xdr:to>
    <xdr:sp>
      <xdr:nvSpPr>
        <xdr:cNvPr id="44" name="Ellipse 69"/>
        <xdr:cNvSpPr/>
      </xdr:nvSpPr>
      <xdr:spPr>
        <a:xfrm>
          <a:off x="2596680" y="993960"/>
          <a:ext cx="14364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14</xdr:col>
      <xdr:colOff>50760</xdr:colOff>
      <xdr:row>2</xdr:row>
      <xdr:rowOff>77760</xdr:rowOff>
    </xdr:from>
    <xdr:to>
      <xdr:col>14</xdr:col>
      <xdr:colOff>194400</xdr:colOff>
      <xdr:row>2</xdr:row>
      <xdr:rowOff>221400</xdr:rowOff>
    </xdr:to>
    <xdr:sp>
      <xdr:nvSpPr>
        <xdr:cNvPr id="45" name="Ellipse 70"/>
        <xdr:cNvSpPr/>
      </xdr:nvSpPr>
      <xdr:spPr>
        <a:xfrm>
          <a:off x="4324320" y="648000"/>
          <a:ext cx="14364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26</xdr:col>
      <xdr:colOff>50760</xdr:colOff>
      <xdr:row>3</xdr:row>
      <xdr:rowOff>133560</xdr:rowOff>
    </xdr:from>
    <xdr:to>
      <xdr:col>26</xdr:col>
      <xdr:colOff>194400</xdr:colOff>
      <xdr:row>3</xdr:row>
      <xdr:rowOff>277200</xdr:rowOff>
    </xdr:to>
    <xdr:sp>
      <xdr:nvSpPr>
        <xdr:cNvPr id="46" name="Ellipse 71"/>
        <xdr:cNvSpPr/>
      </xdr:nvSpPr>
      <xdr:spPr>
        <a:xfrm>
          <a:off x="7981920" y="993960"/>
          <a:ext cx="14364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32</xdr:col>
      <xdr:colOff>50760</xdr:colOff>
      <xdr:row>2</xdr:row>
      <xdr:rowOff>90360</xdr:rowOff>
    </xdr:from>
    <xdr:to>
      <xdr:col>32</xdr:col>
      <xdr:colOff>194400</xdr:colOff>
      <xdr:row>2</xdr:row>
      <xdr:rowOff>234000</xdr:rowOff>
    </xdr:to>
    <xdr:sp>
      <xdr:nvSpPr>
        <xdr:cNvPr id="47" name="Ellipse 72"/>
        <xdr:cNvSpPr/>
      </xdr:nvSpPr>
      <xdr:spPr>
        <a:xfrm>
          <a:off x="10050840" y="660600"/>
          <a:ext cx="14364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44</xdr:col>
      <xdr:colOff>50760</xdr:colOff>
      <xdr:row>3</xdr:row>
      <xdr:rowOff>120960</xdr:rowOff>
    </xdr:from>
    <xdr:to>
      <xdr:col>44</xdr:col>
      <xdr:colOff>194400</xdr:colOff>
      <xdr:row>3</xdr:row>
      <xdr:rowOff>264600</xdr:rowOff>
    </xdr:to>
    <xdr:sp>
      <xdr:nvSpPr>
        <xdr:cNvPr id="48" name="Ellipse 73"/>
        <xdr:cNvSpPr/>
      </xdr:nvSpPr>
      <xdr:spPr>
        <a:xfrm>
          <a:off x="14133960" y="981360"/>
          <a:ext cx="14364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50</xdr:col>
      <xdr:colOff>50760</xdr:colOff>
      <xdr:row>2</xdr:row>
      <xdr:rowOff>90360</xdr:rowOff>
    </xdr:from>
    <xdr:to>
      <xdr:col>50</xdr:col>
      <xdr:colOff>194400</xdr:colOff>
      <xdr:row>2</xdr:row>
      <xdr:rowOff>234000</xdr:rowOff>
    </xdr:to>
    <xdr:sp>
      <xdr:nvSpPr>
        <xdr:cNvPr id="49" name="Ellipse 74"/>
        <xdr:cNvSpPr/>
      </xdr:nvSpPr>
      <xdr:spPr>
        <a:xfrm>
          <a:off x="16166520" y="660600"/>
          <a:ext cx="143640" cy="143640"/>
        </a:xfrm>
        <a:prstGeom prst="ellipse">
          <a:avLst/>
        </a:prstGeom>
        <a:solidFill>
          <a:srgbClr val="66ff66"/>
        </a:solidFill>
        <a:ln w="25400">
          <a:solidFill>
            <a:srgbClr val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Donn&#233;es%20exp&#233;rimentales%202010_2011_Md11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tocole agronomique"/>
      <sheetName val="Plan d'accès"/>
      <sheetName val="Plan de masse"/>
      <sheetName val="Liste Génotypes"/>
      <sheetName val="Plan détail"/>
      <sheetName val="Suivi cultural"/>
      <sheetName val="Données corrigées V4"/>
      <sheetName val="Graphes"/>
      <sheetName val="Humidité et Température Sol"/>
      <sheetName val="METEO_STATION"/>
      <sheetName val="Reliquat azote semis"/>
      <sheetName val="Reliquat azote sortie hiver"/>
      <sheetName val="Reliquat azote récolte"/>
      <sheetName val="INN %N"/>
      <sheetName val="INN  res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jacques.dupond@email.com" TargetMode="External"/><Relationship Id="rId3" Type="http://schemas.openxmlformats.org/officeDocument/2006/relationships/hyperlink" Target="http://urgi.versailles.inra.fr/Species/Wheat/Sequence-Repository" TargetMode="External"/><Relationship Id="rId4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nathalie.nesi@rennes.inra.fr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5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5"/>
  <sheetViews>
    <sheetView showFormulas="false" showGridLines="true" showRowColHeaders="true" showZeros="true" rightToLeft="false" tabSelected="false" showOutlineSymbols="true" defaultGridColor="true" view="normal" topLeftCell="A49" colorId="64" zoomScale="90" zoomScaleNormal="90" zoomScalePageLayoutView="100" workbookViewId="0">
      <selection pane="topLeft" activeCell="C76" activeCellId="0" sqref="C76"/>
    </sheetView>
  </sheetViews>
  <sheetFormatPr defaultColWidth="11.43359375" defaultRowHeight="12.75" customHeight="true" zeroHeight="false" outlineLevelRow="0" outlineLevelCol="0"/>
  <cols>
    <col collapsed="false" customWidth="true" hidden="false" outlineLevel="0" max="1" min="1" style="1" width="31.14"/>
    <col collapsed="false" customWidth="true" hidden="false" outlineLevel="0" max="2" min="2" style="1" width="28.43"/>
    <col collapsed="false" customWidth="true" hidden="false" outlineLevel="0" max="3" min="3" style="1" width="35"/>
    <col collapsed="false" customWidth="true" hidden="false" outlineLevel="0" max="4" min="4" style="1" width="36.29"/>
    <col collapsed="false" customWidth="true" hidden="false" outlineLevel="0" max="5" min="5" style="1" width="31"/>
    <col collapsed="false" customWidth="true" hidden="false" outlineLevel="0" max="6" min="6" style="1" width="26.57"/>
    <col collapsed="false" customWidth="true" hidden="false" outlineLevel="0" max="7" min="7" style="1" width="24.86"/>
    <col collapsed="false" customWidth="true" hidden="false" outlineLevel="0" max="8" min="8" style="1" width="37.71"/>
    <col collapsed="false" customWidth="true" hidden="false" outlineLevel="0" max="9" min="9" style="1" width="21.14"/>
    <col collapsed="false" customWidth="true" hidden="false" outlineLevel="0" max="10" min="10" style="1" width="19"/>
    <col collapsed="false" customWidth="true" hidden="false" outlineLevel="0" max="11" min="11" style="1" width="18"/>
    <col collapsed="false" customWidth="true" hidden="false" outlineLevel="0" max="12" min="12" style="1" width="20.71"/>
    <col collapsed="false" customWidth="true" hidden="false" outlineLevel="0" max="13" min="13" style="1" width="23.86"/>
    <col collapsed="false" customWidth="true" hidden="false" outlineLevel="0" max="14" min="14" style="1" width="27.71"/>
    <col collapsed="false" customWidth="true" hidden="false" outlineLevel="0" max="15" min="15" style="1" width="28"/>
    <col collapsed="false" customWidth="true" hidden="false" outlineLevel="0" max="16" min="16" style="1" width="15.29"/>
    <col collapsed="false" customWidth="true" hidden="false" outlineLevel="0" max="17" min="17" style="1" width="17.43"/>
    <col collapsed="false" customWidth="true" hidden="false" outlineLevel="0" max="18" min="18" style="1" width="26.43"/>
    <col collapsed="false" customWidth="true" hidden="false" outlineLevel="0" max="19" min="19" style="1" width="15.57"/>
    <col collapsed="false" customWidth="true" hidden="false" outlineLevel="0" max="20" min="20" style="1" width="13.57"/>
    <col collapsed="false" customWidth="true" hidden="false" outlineLevel="0" max="21" min="21" style="1" width="15.86"/>
    <col collapsed="false" customWidth="true" hidden="false" outlineLevel="0" max="23" min="22" style="1" width="12.57"/>
    <col collapsed="false" customWidth="false" hidden="false" outlineLevel="0" max="24" min="24" style="1" width="11.43"/>
    <col collapsed="false" customWidth="true" hidden="false" outlineLevel="0" max="25" min="25" style="1" width="12.57"/>
    <col collapsed="false" customWidth="false" hidden="false" outlineLevel="0" max="16384" min="26" style="1" width="11.43"/>
  </cols>
  <sheetData>
    <row r="1" customFormat="false" ht="12.75" hidden="false" customHeight="false" outlineLevel="0" collapsed="false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</row>
    <row r="2" customFormat="false" ht="12.75" hidden="false" customHeight="false" outlineLevel="0" collapsed="false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</row>
    <row r="3" customFormat="false" ht="12.75" hidden="false" customHeight="false" outlineLevel="0" collapsed="false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</row>
    <row r="4" customFormat="false" ht="12.75" hidden="false" customHeight="false" outlineLevel="0" collapsed="false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</row>
    <row r="5" customFormat="false" ht="12.75" hidden="false" customHeight="false" outlineLevel="0" collapsed="false">
      <c r="A5" s="8" t="s">
        <v>5</v>
      </c>
      <c r="B5" s="8"/>
      <c r="C5" s="8"/>
      <c r="D5" s="8"/>
      <c r="E5" s="8"/>
      <c r="F5" s="9"/>
      <c r="G5" s="9"/>
      <c r="H5" s="9"/>
      <c r="I5" s="9"/>
      <c r="J5" s="5"/>
      <c r="K5" s="5"/>
      <c r="L5" s="5"/>
    </row>
    <row r="6" customFormat="false" ht="12.75" hidden="false" customHeight="false" outlineLevel="0" collapsed="false">
      <c r="A6" s="5"/>
      <c r="B6" s="5"/>
      <c r="C6" s="5"/>
      <c r="D6" s="5"/>
      <c r="E6" s="5"/>
      <c r="F6" s="9"/>
      <c r="G6" s="9"/>
      <c r="H6" s="9"/>
      <c r="I6" s="9"/>
      <c r="J6" s="5"/>
      <c r="K6" s="5"/>
      <c r="L6" s="5"/>
    </row>
    <row r="7" customFormat="false" ht="12.75" hidden="false" customHeight="false" outlineLevel="0" collapsed="false">
      <c r="A7" s="10" t="s">
        <v>6</v>
      </c>
      <c r="B7" s="11" t="s">
        <v>7</v>
      </c>
      <c r="C7" s="11"/>
      <c r="D7" s="11"/>
      <c r="E7" s="11"/>
      <c r="F7" s="9"/>
      <c r="G7" s="9"/>
      <c r="H7" s="9"/>
      <c r="I7" s="9"/>
      <c r="J7" s="5"/>
      <c r="K7" s="5"/>
      <c r="L7" s="5"/>
    </row>
    <row r="8" customFormat="false" ht="12.75" hidden="false" customHeight="false" outlineLevel="0" collapsed="false">
      <c r="A8" s="10"/>
      <c r="B8" s="12" t="s">
        <v>8</v>
      </c>
      <c r="C8" s="12"/>
      <c r="D8" s="12"/>
      <c r="E8" s="12"/>
      <c r="F8" s="9"/>
      <c r="G8" s="9"/>
      <c r="H8" s="9"/>
      <c r="I8" s="9"/>
      <c r="J8" s="5"/>
      <c r="K8" s="5"/>
      <c r="L8" s="5"/>
    </row>
    <row r="9" customFormat="false" ht="12.75" hidden="false" customHeight="false" outlineLevel="0" collapsed="false">
      <c r="A9" s="10"/>
      <c r="B9" s="13" t="s">
        <v>9</v>
      </c>
      <c r="C9" s="13"/>
      <c r="D9" s="13"/>
      <c r="E9" s="13"/>
      <c r="F9" s="14"/>
      <c r="G9" s="14"/>
      <c r="H9" s="14"/>
      <c r="I9" s="9"/>
      <c r="J9" s="5"/>
      <c r="K9" s="5"/>
      <c r="L9" s="5"/>
    </row>
    <row r="10" customFormat="false" ht="12.75" hidden="false" customHeight="false" outlineLevel="0" collapsed="false">
      <c r="A10" s="5"/>
      <c r="B10" s="5"/>
      <c r="C10" s="5"/>
      <c r="D10" s="5"/>
      <c r="E10" s="5"/>
      <c r="F10" s="9"/>
      <c r="G10" s="9"/>
      <c r="H10" s="9"/>
      <c r="I10" s="9"/>
      <c r="J10" s="5"/>
      <c r="K10" s="5"/>
      <c r="L10" s="5"/>
    </row>
    <row r="11" customFormat="false" ht="12.75" hidden="false" customHeight="false" outlineLevel="0" collapsed="false">
      <c r="A11" s="15" t="s">
        <v>10</v>
      </c>
      <c r="B11" s="5"/>
      <c r="C11" s="5"/>
      <c r="D11" s="5"/>
      <c r="E11" s="5"/>
      <c r="F11" s="9"/>
      <c r="G11" s="9"/>
      <c r="H11" s="9"/>
      <c r="I11" s="9"/>
      <c r="J11" s="5"/>
      <c r="K11" s="5"/>
      <c r="L11" s="5"/>
    </row>
    <row r="12" customFormat="false" ht="12.75" hidden="false" customHeight="false" outlineLevel="0" collapsed="false">
      <c r="A12" s="15"/>
      <c r="B12" s="5"/>
      <c r="C12" s="5"/>
      <c r="D12" s="5"/>
      <c r="E12" s="5"/>
      <c r="F12" s="9"/>
      <c r="G12" s="9"/>
      <c r="H12" s="9"/>
      <c r="I12" s="9"/>
      <c r="J12" s="5"/>
      <c r="K12" s="5"/>
      <c r="L12" s="5"/>
    </row>
    <row r="13" customFormat="false" ht="12.75" hidden="false" customHeight="false" outlineLevel="0" collapsed="false">
      <c r="A13" s="1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2.75" hidden="false" customHeight="false" outlineLevel="0" collapsed="false">
      <c r="A14" s="17" t="s">
        <v>11</v>
      </c>
      <c r="B14" s="15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12.75" hidden="false" customHeight="false" outlineLevel="0" collapsed="false">
      <c r="A15" s="18"/>
      <c r="B15" s="19" t="s">
        <v>13</v>
      </c>
      <c r="C15" s="19" t="s">
        <v>14</v>
      </c>
      <c r="D15" s="20" t="s">
        <v>15</v>
      </c>
      <c r="E15" s="20" t="s">
        <v>16</v>
      </c>
      <c r="F15" s="20" t="s">
        <v>17</v>
      </c>
      <c r="G15" s="20" t="s">
        <v>18</v>
      </c>
      <c r="H15" s="20" t="s">
        <v>19</v>
      </c>
      <c r="I15" s="21" t="s">
        <v>20</v>
      </c>
      <c r="J15" s="22" t="s">
        <v>21</v>
      </c>
      <c r="K15" s="22" t="s">
        <v>22</v>
      </c>
      <c r="L15" s="20" t="s">
        <v>23</v>
      </c>
      <c r="M15" s="20" t="s">
        <v>24</v>
      </c>
      <c r="N15" s="20" t="s">
        <v>25</v>
      </c>
      <c r="O15" s="20" t="s">
        <v>26</v>
      </c>
      <c r="P15" s="20" t="s">
        <v>27</v>
      </c>
      <c r="Q15" s="20" t="s">
        <v>28</v>
      </c>
    </row>
    <row r="16" s="30" customFormat="true" ht="70.5" hidden="false" customHeight="true" outlineLevel="0" collapsed="false">
      <c r="A16" s="23" t="s">
        <v>29</v>
      </c>
      <c r="B16" s="24" t="s">
        <v>30</v>
      </c>
      <c r="C16" s="24" t="s">
        <v>31</v>
      </c>
      <c r="D16" s="25" t="s">
        <v>32</v>
      </c>
      <c r="E16" s="25" t="s">
        <v>33</v>
      </c>
      <c r="F16" s="26" t="s">
        <v>34</v>
      </c>
      <c r="G16" s="24" t="s">
        <v>35</v>
      </c>
      <c r="H16" s="27" t="s">
        <v>36</v>
      </c>
      <c r="I16" s="28" t="s">
        <v>37</v>
      </c>
      <c r="J16" s="28" t="s">
        <v>38</v>
      </c>
      <c r="K16" s="28" t="s">
        <v>39</v>
      </c>
      <c r="L16" s="28" t="s">
        <v>40</v>
      </c>
      <c r="M16" s="28" t="s">
        <v>41</v>
      </c>
      <c r="N16" s="29" t="s">
        <v>42</v>
      </c>
      <c r="O16" s="28" t="s">
        <v>43</v>
      </c>
      <c r="P16" s="28" t="s">
        <v>44</v>
      </c>
      <c r="Q16" s="28" t="s">
        <v>45</v>
      </c>
    </row>
    <row r="17" customFormat="false" ht="24.05" hidden="false" customHeight="false" outlineLevel="0" collapsed="false">
      <c r="A17" s="31" t="s">
        <v>46</v>
      </c>
      <c r="B17" s="32" t="s">
        <v>47</v>
      </c>
      <c r="C17" s="32" t="s">
        <v>48</v>
      </c>
      <c r="D17" s="33" t="s">
        <v>49</v>
      </c>
      <c r="E17" s="33" t="s">
        <v>50</v>
      </c>
      <c r="F17" s="33" t="s">
        <v>51</v>
      </c>
      <c r="G17" s="32" t="s">
        <v>52</v>
      </c>
      <c r="H17" s="34" t="n">
        <v>2012</v>
      </c>
      <c r="I17" s="33" t="s">
        <v>53</v>
      </c>
      <c r="J17" s="35" t="s">
        <v>54</v>
      </c>
      <c r="K17" s="35" t="s">
        <v>55</v>
      </c>
      <c r="L17" s="35"/>
      <c r="M17" s="35"/>
      <c r="N17" s="36" t="s">
        <v>56</v>
      </c>
      <c r="O17" s="35"/>
      <c r="P17" s="35" t="s">
        <v>57</v>
      </c>
      <c r="Q17" s="35" t="s">
        <v>58</v>
      </c>
    </row>
    <row r="18" s="40" customFormat="true" ht="35.5" hidden="false" customHeight="false" outlineLevel="0" collapsed="false">
      <c r="A18" s="31" t="s">
        <v>59</v>
      </c>
      <c r="B18" s="37" t="s">
        <v>60</v>
      </c>
      <c r="C18" s="37" t="s">
        <v>60</v>
      </c>
      <c r="D18" s="37" t="s">
        <v>61</v>
      </c>
      <c r="E18" s="37" t="s">
        <v>61</v>
      </c>
      <c r="F18" s="37" t="s">
        <v>60</v>
      </c>
      <c r="G18" s="37" t="s">
        <v>60</v>
      </c>
      <c r="H18" s="38" t="s">
        <v>60</v>
      </c>
      <c r="I18" s="37" t="s">
        <v>62</v>
      </c>
      <c r="J18" s="37" t="s">
        <v>60</v>
      </c>
      <c r="K18" s="37" t="s">
        <v>60</v>
      </c>
      <c r="L18" s="39" t="s">
        <v>60</v>
      </c>
      <c r="M18" s="39" t="s">
        <v>60</v>
      </c>
      <c r="N18" s="39" t="s">
        <v>60</v>
      </c>
      <c r="O18" s="39" t="s">
        <v>60</v>
      </c>
      <c r="P18" s="39" t="s">
        <v>60</v>
      </c>
      <c r="Q18" s="39" t="s">
        <v>60</v>
      </c>
    </row>
    <row r="19" customFormat="false" ht="12.75" hidden="false" customHeight="false" outlineLevel="0" collapsed="false">
      <c r="A19" s="41"/>
      <c r="B19" s="42"/>
      <c r="C19" s="42"/>
      <c r="D19" s="42"/>
      <c r="E19" s="42"/>
      <c r="F19" s="42"/>
      <c r="G19" s="42"/>
      <c r="H19" s="42"/>
      <c r="I19" s="43"/>
      <c r="J19" s="43"/>
      <c r="K19" s="43"/>
      <c r="L19" s="43"/>
      <c r="M19" s="43"/>
      <c r="N19" s="43"/>
      <c r="O19" s="43"/>
      <c r="P19" s="9"/>
    </row>
    <row r="20" customFormat="false" ht="12.75" hidden="false" customHeight="false" outlineLevel="0" collapsed="false">
      <c r="A20" s="44"/>
      <c r="B20" s="45"/>
      <c r="C20" s="45"/>
      <c r="D20" s="45"/>
      <c r="E20" s="45"/>
      <c r="F20" s="45"/>
    </row>
    <row r="21" s="49" customFormat="true" ht="12.75" hidden="false" customHeight="true" outlineLevel="0" collapsed="false">
      <c r="A21" s="46" t="s">
        <v>63</v>
      </c>
      <c r="B21" s="47" t="s">
        <v>64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</row>
    <row r="22" customFormat="false" ht="12.75" hidden="false" customHeight="false" outlineLevel="0" collapsed="false">
      <c r="A22" s="50"/>
      <c r="B22" s="19" t="s">
        <v>65</v>
      </c>
      <c r="C22" s="20" t="s">
        <v>66</v>
      </c>
      <c r="D22" s="20" t="s">
        <v>67</v>
      </c>
      <c r="E22" s="20" t="s">
        <v>68</v>
      </c>
      <c r="F22" s="51" t="s">
        <v>69</v>
      </c>
      <c r="G22" s="51" t="s">
        <v>70</v>
      </c>
      <c r="H22" s="52" t="s">
        <v>71</v>
      </c>
      <c r="I22" s="20" t="s">
        <v>72</v>
      </c>
      <c r="J22" s="20" t="s">
        <v>73</v>
      </c>
      <c r="K22" s="20" t="s">
        <v>74</v>
      </c>
      <c r="L22" s="20" t="s">
        <v>75</v>
      </c>
      <c r="M22" s="20" t="s">
        <v>76</v>
      </c>
    </row>
    <row r="23" customFormat="false" ht="69.85" hidden="false" customHeight="false" outlineLevel="0" collapsed="false">
      <c r="A23" s="53" t="s">
        <v>29</v>
      </c>
      <c r="B23" s="24" t="s">
        <v>77</v>
      </c>
      <c r="C23" s="28" t="s">
        <v>78</v>
      </c>
      <c r="D23" s="28" t="s">
        <v>79</v>
      </c>
      <c r="E23" s="28" t="s">
        <v>80</v>
      </c>
      <c r="F23" s="54" t="s">
        <v>81</v>
      </c>
      <c r="G23" s="54" t="s">
        <v>82</v>
      </c>
      <c r="H23" s="54" t="s">
        <v>83</v>
      </c>
      <c r="I23" s="28" t="s">
        <v>84</v>
      </c>
      <c r="J23" s="28" t="s">
        <v>85</v>
      </c>
      <c r="K23" s="28" t="s">
        <v>86</v>
      </c>
      <c r="L23" s="25" t="s">
        <v>87</v>
      </c>
      <c r="M23" s="28" t="s">
        <v>88</v>
      </c>
    </row>
    <row r="24" customFormat="false" ht="12.75" hidden="false" customHeight="false" outlineLevel="0" collapsed="false">
      <c r="A24" s="55" t="s">
        <v>89</v>
      </c>
      <c r="B24" s="32" t="s">
        <v>90</v>
      </c>
      <c r="C24" s="35"/>
      <c r="D24" s="35"/>
      <c r="E24" s="35"/>
      <c r="F24" s="56"/>
      <c r="G24" s="56"/>
      <c r="H24" s="56" t="s">
        <v>91</v>
      </c>
      <c r="I24" s="35" t="s">
        <v>92</v>
      </c>
      <c r="J24" s="35" t="s">
        <v>93</v>
      </c>
      <c r="K24" s="35"/>
      <c r="L24" s="35"/>
      <c r="M24" s="35"/>
    </row>
    <row r="25" customFormat="false" ht="46.95" hidden="false" customHeight="false" outlineLevel="0" collapsed="false">
      <c r="A25" s="31" t="s">
        <v>59</v>
      </c>
      <c r="B25" s="37" t="s">
        <v>60</v>
      </c>
      <c r="C25" s="37" t="s">
        <v>62</v>
      </c>
      <c r="D25" s="37" t="s">
        <v>62</v>
      </c>
      <c r="E25" s="57" t="s">
        <v>62</v>
      </c>
      <c r="F25" s="58" t="s">
        <v>60</v>
      </c>
      <c r="G25" s="58" t="s">
        <v>60</v>
      </c>
      <c r="H25" s="58" t="s">
        <v>60</v>
      </c>
      <c r="I25" s="37" t="s">
        <v>94</v>
      </c>
      <c r="J25" s="57" t="s">
        <v>60</v>
      </c>
      <c r="K25" s="57" t="s">
        <v>60</v>
      </c>
      <c r="L25" s="37" t="s">
        <v>60</v>
      </c>
      <c r="M25" s="37" t="s">
        <v>60</v>
      </c>
    </row>
    <row r="26" customFormat="false" ht="12.75" hidden="false" customHeight="false" outlineLevel="0" collapsed="false">
      <c r="A26" s="41"/>
      <c r="B26" s="48"/>
      <c r="C26" s="45"/>
      <c r="D26" s="59"/>
      <c r="E26" s="45"/>
      <c r="F26" s="45"/>
      <c r="G26" s="45"/>
      <c r="H26" s="45"/>
      <c r="I26" s="45"/>
      <c r="J26" s="45"/>
    </row>
    <row r="27" customFormat="false" ht="12.75" hidden="false" customHeight="false" outlineLevel="0" collapsed="false">
      <c r="A27" s="9"/>
      <c r="B27" s="60"/>
      <c r="C27" s="9"/>
      <c r="D27" s="5"/>
      <c r="E27" s="5"/>
      <c r="F27" s="5"/>
      <c r="G27" s="5"/>
      <c r="H27" s="5"/>
    </row>
    <row r="28" customFormat="false" ht="12.75" hidden="false" customHeight="false" outlineLevel="0" collapsed="false">
      <c r="A28" s="61" t="s">
        <v>95</v>
      </c>
      <c r="B28" s="15" t="s">
        <v>96</v>
      </c>
      <c r="C28" s="9"/>
      <c r="D28" s="5"/>
      <c r="E28" s="5"/>
      <c r="F28" s="5"/>
      <c r="G28" s="5"/>
      <c r="H28" s="5"/>
    </row>
    <row r="29" customFormat="false" ht="12.75" hidden="false" customHeight="false" outlineLevel="0" collapsed="false">
      <c r="A29" s="50"/>
      <c r="B29" s="62" t="s">
        <v>97</v>
      </c>
      <c r="C29" s="62" t="s">
        <v>98</v>
      </c>
      <c r="D29" s="62" t="s">
        <v>99</v>
      </c>
      <c r="E29" s="63" t="s">
        <v>100</v>
      </c>
      <c r="F29" s="63" t="s">
        <v>101</v>
      </c>
      <c r="G29" s="62" t="s">
        <v>102</v>
      </c>
      <c r="H29" s="62" t="s">
        <v>103</v>
      </c>
      <c r="I29" s="63" t="s">
        <v>104</v>
      </c>
    </row>
    <row r="30" customFormat="false" ht="63.75" hidden="false" customHeight="true" outlineLevel="0" collapsed="false">
      <c r="A30" s="23" t="s">
        <v>29</v>
      </c>
      <c r="B30" s="25" t="s">
        <v>105</v>
      </c>
      <c r="C30" s="25" t="s">
        <v>106</v>
      </c>
      <c r="D30" s="25" t="s">
        <v>107</v>
      </c>
      <c r="E30" s="25" t="s">
        <v>108</v>
      </c>
      <c r="F30" s="25" t="s">
        <v>109</v>
      </c>
      <c r="G30" s="25" t="s">
        <v>110</v>
      </c>
      <c r="H30" s="25" t="s">
        <v>111</v>
      </c>
      <c r="I30" s="25" t="s">
        <v>112</v>
      </c>
    </row>
    <row r="31" customFormat="false" ht="12.75" hidden="false" customHeight="true" outlineLevel="0" collapsed="false">
      <c r="A31" s="55" t="s">
        <v>89</v>
      </c>
      <c r="B31" s="37" t="s">
        <v>113</v>
      </c>
      <c r="C31" s="37" t="s">
        <v>114</v>
      </c>
      <c r="D31" s="37" t="s">
        <v>115</v>
      </c>
      <c r="E31" s="37" t="s">
        <v>116</v>
      </c>
      <c r="F31" s="37" t="s">
        <v>117</v>
      </c>
      <c r="G31" s="64" t="s">
        <v>118</v>
      </c>
      <c r="H31" s="37" t="s">
        <v>119</v>
      </c>
      <c r="I31" s="37" t="s">
        <v>120</v>
      </c>
    </row>
    <row r="32" customFormat="false" ht="12.75" hidden="false" customHeight="false" outlineLevel="0" collapsed="false">
      <c r="A32" s="31" t="s">
        <v>59</v>
      </c>
      <c r="B32" s="37" t="s">
        <v>60</v>
      </c>
      <c r="C32" s="37" t="s">
        <v>60</v>
      </c>
      <c r="D32" s="37" t="s">
        <v>60</v>
      </c>
      <c r="E32" s="65" t="s">
        <v>121</v>
      </c>
      <c r="F32" s="65" t="s">
        <v>122</v>
      </c>
      <c r="G32" s="37" t="s">
        <v>60</v>
      </c>
      <c r="H32" s="37" t="s">
        <v>60</v>
      </c>
      <c r="I32" s="37" t="s">
        <v>60</v>
      </c>
    </row>
    <row r="33" s="67" customFormat="true" ht="12.75" hidden="false" customHeight="false" outlineLevel="0" collapsed="false">
      <c r="A33" s="41"/>
      <c r="B33" s="66"/>
      <c r="C33" s="66"/>
      <c r="D33" s="66"/>
      <c r="E33" s="45"/>
      <c r="F33" s="45"/>
      <c r="G33" s="45"/>
      <c r="H33" s="45"/>
      <c r="I33" s="45"/>
    </row>
    <row r="34" customFormat="false" ht="12.75" hidden="false" customHeight="false" outlineLevel="0" collapsed="false">
      <c r="A34" s="68"/>
      <c r="B34" s="42"/>
      <c r="C34" s="42"/>
      <c r="D34" s="42"/>
      <c r="E34" s="9"/>
      <c r="F34" s="9"/>
      <c r="G34" s="42"/>
      <c r="H34" s="42"/>
    </row>
    <row r="35" customFormat="false" ht="12.75" hidden="false" customHeight="false" outlineLevel="0" collapsed="false">
      <c r="A35" s="69" t="s">
        <v>123</v>
      </c>
      <c r="B35" s="70" t="s">
        <v>124</v>
      </c>
      <c r="C35" s="42"/>
      <c r="D35" s="42"/>
      <c r="E35" s="9"/>
      <c r="F35" s="9"/>
      <c r="G35" s="42"/>
      <c r="H35" s="42"/>
    </row>
    <row r="36" customFormat="false" ht="12.75" hidden="false" customHeight="false" outlineLevel="0" collapsed="false">
      <c r="B36" s="71" t="s">
        <v>125</v>
      </c>
      <c r="C36" s="42"/>
      <c r="D36" s="42"/>
      <c r="E36" s="9"/>
      <c r="F36" s="9"/>
      <c r="G36" s="42"/>
      <c r="H36" s="42"/>
    </row>
    <row r="37" customFormat="false" ht="12.75" hidden="false" customHeight="false" outlineLevel="0" collapsed="false">
      <c r="A37" s="50"/>
      <c r="B37" s="72" t="s">
        <v>126</v>
      </c>
      <c r="C37" s="72" t="s">
        <v>127</v>
      </c>
      <c r="D37" s="73" t="s">
        <v>128</v>
      </c>
      <c r="E37" s="73" t="s">
        <v>29</v>
      </c>
      <c r="F37" s="73" t="s">
        <v>129</v>
      </c>
      <c r="G37" s="73" t="s">
        <v>130</v>
      </c>
      <c r="H37" s="74" t="s">
        <v>131</v>
      </c>
      <c r="I37" s="73" t="s">
        <v>74</v>
      </c>
    </row>
    <row r="38" customFormat="false" ht="63.75" hidden="false" customHeight="true" outlineLevel="0" collapsed="false">
      <c r="A38" s="23" t="s">
        <v>29</v>
      </c>
      <c r="B38" s="28" t="s">
        <v>132</v>
      </c>
      <c r="C38" s="75" t="s">
        <v>133</v>
      </c>
      <c r="D38" s="25" t="s">
        <v>134</v>
      </c>
      <c r="E38" s="24" t="s">
        <v>135</v>
      </c>
      <c r="F38" s="25" t="s">
        <v>136</v>
      </c>
      <c r="G38" s="24" t="s">
        <v>137</v>
      </c>
      <c r="H38" s="76" t="s">
        <v>138</v>
      </c>
      <c r="I38" s="28" t="s">
        <v>139</v>
      </c>
    </row>
    <row r="39" customFormat="false" ht="12.75" hidden="false" customHeight="true" outlineLevel="0" collapsed="false">
      <c r="A39" s="55" t="s">
        <v>89</v>
      </c>
      <c r="B39" s="56" t="s">
        <v>140</v>
      </c>
      <c r="C39" s="77" t="s">
        <v>141</v>
      </c>
      <c r="D39" s="78" t="s">
        <v>142</v>
      </c>
      <c r="E39" s="37"/>
      <c r="F39" s="37" t="s">
        <v>143</v>
      </c>
      <c r="G39" s="37"/>
      <c r="H39" s="79"/>
      <c r="I39" s="37"/>
    </row>
    <row r="40" customFormat="false" ht="12.75" hidden="false" customHeight="false" outlineLevel="0" collapsed="false">
      <c r="A40" s="31" t="s">
        <v>59</v>
      </c>
      <c r="B40" s="56" t="s">
        <v>60</v>
      </c>
      <c r="C40" s="37" t="s">
        <v>60</v>
      </c>
      <c r="D40" s="37" t="s">
        <v>60</v>
      </c>
      <c r="E40" s="37" t="s">
        <v>60</v>
      </c>
      <c r="F40" s="37" t="s">
        <v>60</v>
      </c>
      <c r="G40" s="37" t="s">
        <v>60</v>
      </c>
      <c r="H40" s="38" t="s">
        <v>60</v>
      </c>
      <c r="I40" s="37" t="s">
        <v>60</v>
      </c>
    </row>
    <row r="41" customFormat="false" ht="12.75" hidden="false" customHeight="false" outlineLevel="0" collapsed="false">
      <c r="A41" s="41"/>
      <c r="B41" s="42"/>
      <c r="C41" s="42"/>
      <c r="D41" s="42"/>
      <c r="E41" s="9"/>
      <c r="F41" s="9"/>
      <c r="G41" s="42"/>
      <c r="H41" s="42"/>
      <c r="I41" s="42"/>
      <c r="J41" s="42"/>
      <c r="K41" s="42"/>
      <c r="L41" s="42"/>
      <c r="M41" s="9"/>
      <c r="N41" s="42"/>
      <c r="O41" s="42"/>
    </row>
    <row r="42" customFormat="false" ht="12.75" hidden="false" customHeight="false" outlineLevel="0" collapsed="false">
      <c r="A42" s="68"/>
      <c r="B42" s="42"/>
      <c r="C42" s="42"/>
      <c r="D42" s="42"/>
      <c r="E42" s="9"/>
      <c r="F42" s="9"/>
      <c r="G42" s="42"/>
      <c r="H42" s="42"/>
      <c r="I42" s="42"/>
      <c r="J42" s="42"/>
      <c r="K42" s="42"/>
      <c r="L42" s="42"/>
      <c r="M42" s="9"/>
      <c r="N42" s="42"/>
      <c r="O42" s="42"/>
    </row>
    <row r="43" customFormat="false" ht="12.75" hidden="false" customHeight="false" outlineLevel="0" collapsed="false">
      <c r="A43" s="69" t="s">
        <v>144</v>
      </c>
      <c r="B43" s="70" t="s">
        <v>145</v>
      </c>
      <c r="C43" s="42"/>
      <c r="D43" s="42"/>
      <c r="E43" s="9"/>
      <c r="F43" s="42"/>
      <c r="G43" s="42"/>
      <c r="H43" s="42"/>
      <c r="I43" s="9"/>
      <c r="J43" s="42"/>
      <c r="K43" s="42"/>
    </row>
    <row r="44" customFormat="false" ht="12.75" hidden="false" customHeight="false" outlineLevel="0" collapsed="false">
      <c r="A44" s="50"/>
      <c r="B44" s="80" t="s">
        <v>146</v>
      </c>
      <c r="C44" s="80" t="s">
        <v>147</v>
      </c>
      <c r="D44" s="80" t="s">
        <v>148</v>
      </c>
      <c r="E44" s="81" t="s">
        <v>149</v>
      </c>
      <c r="F44" s="80" t="s">
        <v>150</v>
      </c>
    </row>
    <row r="45" customFormat="false" ht="63.75" hidden="false" customHeight="true" outlineLevel="0" collapsed="false">
      <c r="A45" s="23" t="s">
        <v>29</v>
      </c>
      <c r="B45" s="25" t="s">
        <v>151</v>
      </c>
      <c r="C45" s="25" t="s">
        <v>152</v>
      </c>
      <c r="D45" s="25" t="s">
        <v>153</v>
      </c>
      <c r="E45" s="82" t="s">
        <v>154</v>
      </c>
      <c r="F45" s="25" t="s">
        <v>155</v>
      </c>
    </row>
    <row r="46" customFormat="false" ht="12.75" hidden="false" customHeight="true" outlineLevel="0" collapsed="false">
      <c r="A46" s="55" t="s">
        <v>89</v>
      </c>
      <c r="B46" s="83" t="s">
        <v>156</v>
      </c>
      <c r="C46" s="77" t="s">
        <v>157</v>
      </c>
      <c r="D46" s="77" t="s">
        <v>158</v>
      </c>
      <c r="E46" s="82"/>
      <c r="F46" s="77" t="s">
        <v>159</v>
      </c>
    </row>
    <row r="47" customFormat="false" ht="12.75" hidden="false" customHeight="false" outlineLevel="0" collapsed="false">
      <c r="A47" s="31" t="s">
        <v>59</v>
      </c>
      <c r="B47" s="37" t="s">
        <v>60</v>
      </c>
      <c r="C47" s="37" t="s">
        <v>60</v>
      </c>
      <c r="D47" s="37" t="s">
        <v>60</v>
      </c>
      <c r="E47" s="82" t="s">
        <v>60</v>
      </c>
      <c r="F47" s="65" t="s">
        <v>60</v>
      </c>
    </row>
    <row r="48" customFormat="false" ht="12.75" hidden="false" customHeight="false" outlineLevel="0" collapsed="false">
      <c r="A48" s="41"/>
    </row>
    <row r="49" s="85" customFormat="true" ht="12.75" hidden="false" customHeight="true" outlineLevel="0" collapsed="false">
      <c r="A49" s="84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</row>
    <row r="50" customFormat="false" ht="12.75" hidden="false" customHeight="true" outlineLevel="0" collapsed="false">
      <c r="A50" s="86" t="s">
        <v>160</v>
      </c>
      <c r="B50" s="47" t="s">
        <v>161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</row>
    <row r="51" customFormat="false" ht="12.75" hidden="false" customHeight="true" outlineLevel="0" collapsed="false">
      <c r="A51" s="84"/>
      <c r="B51" s="47" t="s">
        <v>162</v>
      </c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</row>
    <row r="52" customFormat="false" ht="12.75" hidden="false" customHeight="false" outlineLevel="0" collapsed="false">
      <c r="A52" s="50"/>
      <c r="B52" s="19" t="s">
        <v>163</v>
      </c>
      <c r="C52" s="19" t="s">
        <v>164</v>
      </c>
      <c r="D52" s="19" t="s">
        <v>165</v>
      </c>
      <c r="E52" s="20" t="s">
        <v>166</v>
      </c>
    </row>
    <row r="53" customFormat="false" ht="63.75" hidden="false" customHeight="true" outlineLevel="0" collapsed="false">
      <c r="A53" s="23" t="s">
        <v>29</v>
      </c>
      <c r="B53" s="25" t="s">
        <v>167</v>
      </c>
      <c r="C53" s="25" t="s">
        <v>168</v>
      </c>
      <c r="D53" s="25" t="s">
        <v>169</v>
      </c>
      <c r="E53" s="25" t="s">
        <v>170</v>
      </c>
    </row>
    <row r="54" customFormat="false" ht="35.5" hidden="false" customHeight="false" outlineLevel="0" collapsed="false">
      <c r="A54" s="55" t="s">
        <v>89</v>
      </c>
      <c r="B54" s="87" t="s">
        <v>171</v>
      </c>
      <c r="C54" s="87" t="s">
        <v>172</v>
      </c>
      <c r="D54" s="87" t="s">
        <v>173</v>
      </c>
      <c r="E54" s="83" t="s">
        <v>174</v>
      </c>
    </row>
    <row r="55" customFormat="false" ht="12.75" hidden="false" customHeight="false" outlineLevel="0" collapsed="false">
      <c r="A55" s="31" t="s">
        <v>59</v>
      </c>
      <c r="B55" s="37" t="s">
        <v>60</v>
      </c>
      <c r="C55" s="37" t="s">
        <v>60</v>
      </c>
      <c r="D55" s="37" t="s">
        <v>60</v>
      </c>
      <c r="E55" s="65" t="s">
        <v>60</v>
      </c>
    </row>
    <row r="56" s="49" customFormat="true" ht="12.75" hidden="false" customHeight="false" outlineLevel="0" collapsed="false">
      <c r="A56" s="41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</row>
    <row r="57" customFormat="false" ht="12.75" hidden="false" customHeight="true" outlineLevel="0" collapsed="false">
      <c r="A57" s="84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</row>
    <row r="58" customFormat="false" ht="12.75" hidden="false" customHeight="true" outlineLevel="0" collapsed="false">
      <c r="A58" s="86" t="s">
        <v>175</v>
      </c>
      <c r="B58" s="47" t="s">
        <v>176</v>
      </c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</row>
    <row r="59" customFormat="false" ht="12.75" hidden="false" customHeight="true" outlineLevel="0" collapsed="false">
      <c r="A59" s="84"/>
      <c r="B59" s="47" t="s">
        <v>177</v>
      </c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</row>
    <row r="60" customFormat="false" ht="12.75" hidden="false" customHeight="false" outlineLevel="0" collapsed="false">
      <c r="A60" s="50"/>
      <c r="B60" s="72" t="s">
        <v>178</v>
      </c>
      <c r="C60" s="73" t="s">
        <v>179</v>
      </c>
      <c r="D60" s="73" t="s">
        <v>29</v>
      </c>
      <c r="E60" s="73" t="s">
        <v>180</v>
      </c>
    </row>
    <row r="61" customFormat="false" ht="63.75" hidden="false" customHeight="true" outlineLevel="0" collapsed="false">
      <c r="A61" s="23" t="s">
        <v>29</v>
      </c>
      <c r="B61" s="25" t="s">
        <v>181</v>
      </c>
      <c r="C61" s="25" t="s">
        <v>182</v>
      </c>
      <c r="D61" s="25" t="s">
        <v>183</v>
      </c>
      <c r="E61" s="23" t="s">
        <v>184</v>
      </c>
    </row>
    <row r="62" customFormat="false" ht="12.75" hidden="false" customHeight="true" outlineLevel="0" collapsed="false">
      <c r="A62" s="88" t="s">
        <v>89</v>
      </c>
      <c r="B62" s="25" t="s">
        <v>185</v>
      </c>
      <c r="C62" s="25" t="s">
        <v>186</v>
      </c>
      <c r="D62" s="25"/>
      <c r="E62" s="25"/>
    </row>
    <row r="63" customFormat="false" ht="12.75" hidden="false" customHeight="false" outlineLevel="0" collapsed="false">
      <c r="A63" s="88"/>
      <c r="B63" s="87" t="s">
        <v>187</v>
      </c>
      <c r="C63" s="87" t="s">
        <v>187</v>
      </c>
      <c r="E63" s="87" t="s">
        <v>185</v>
      </c>
    </row>
    <row r="64" customFormat="false" ht="12.75" hidden="false" customHeight="false" outlineLevel="0" collapsed="false">
      <c r="A64" s="31" t="s">
        <v>59</v>
      </c>
      <c r="B64" s="37" t="s">
        <v>60</v>
      </c>
      <c r="C64" s="37" t="s">
        <v>60</v>
      </c>
      <c r="D64" s="37" t="s">
        <v>60</v>
      </c>
      <c r="E64" s="65" t="s">
        <v>60</v>
      </c>
    </row>
    <row r="65" s="49" customFormat="true" ht="12.75" hidden="false" customHeight="false" outlineLevel="0" collapsed="false">
      <c r="A65" s="41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</row>
    <row r="66" s="49" customFormat="true" ht="12.75" hidden="false" customHeight="true" outlineLevel="0" collapsed="false">
      <c r="A66" s="84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</row>
    <row r="67" customFormat="false" ht="12.75" hidden="false" customHeight="true" outlineLevel="0" collapsed="false">
      <c r="A67" s="86" t="s">
        <v>188</v>
      </c>
      <c r="B67" s="47" t="s">
        <v>189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</row>
    <row r="68" customFormat="false" ht="12.75" hidden="false" customHeight="false" outlineLevel="0" collapsed="false">
      <c r="A68" s="50"/>
      <c r="B68" s="89" t="s">
        <v>150</v>
      </c>
      <c r="C68" s="90" t="s">
        <v>190</v>
      </c>
      <c r="D68" s="90" t="s">
        <v>191</v>
      </c>
      <c r="E68" s="91" t="s">
        <v>21</v>
      </c>
      <c r="F68" s="91" t="s">
        <v>22</v>
      </c>
      <c r="G68" s="91" t="s">
        <v>192</v>
      </c>
      <c r="H68" s="22" t="s">
        <v>193</v>
      </c>
      <c r="I68" s="92" t="s">
        <v>194</v>
      </c>
      <c r="J68" s="20" t="s">
        <v>195</v>
      </c>
    </row>
    <row r="69" customFormat="false" ht="52.5" hidden="false" customHeight="true" outlineLevel="0" collapsed="false">
      <c r="A69" s="23" t="s">
        <v>29</v>
      </c>
      <c r="B69" s="25" t="s">
        <v>196</v>
      </c>
      <c r="C69" s="93" t="s">
        <v>197</v>
      </c>
      <c r="D69" s="93" t="s">
        <v>198</v>
      </c>
      <c r="E69" s="32" t="s">
        <v>199</v>
      </c>
      <c r="F69" s="32" t="s">
        <v>200</v>
      </c>
      <c r="G69" s="32" t="s">
        <v>201</v>
      </c>
      <c r="H69" s="32" t="s">
        <v>202</v>
      </c>
      <c r="I69" s="94" t="s">
        <v>203</v>
      </c>
      <c r="J69" s="93" t="s">
        <v>203</v>
      </c>
      <c r="K69" s="95"/>
      <c r="L69" s="95"/>
    </row>
    <row r="70" customFormat="false" ht="35.5" hidden="false" customHeight="false" outlineLevel="0" collapsed="false">
      <c r="A70" s="23"/>
      <c r="B70" s="25"/>
      <c r="C70" s="96" t="s">
        <v>204</v>
      </c>
      <c r="D70" s="96" t="s">
        <v>205</v>
      </c>
      <c r="E70" s="32"/>
      <c r="F70" s="32"/>
      <c r="G70" s="32"/>
      <c r="H70" s="32"/>
      <c r="I70" s="96" t="s">
        <v>206</v>
      </c>
      <c r="J70" s="96" t="s">
        <v>207</v>
      </c>
      <c r="K70" s="45"/>
      <c r="L70" s="45"/>
    </row>
    <row r="71" customFormat="false" ht="24.05" hidden="false" customHeight="false" outlineLevel="0" collapsed="false">
      <c r="A71" s="55" t="s">
        <v>89</v>
      </c>
      <c r="B71" s="77" t="s">
        <v>159</v>
      </c>
      <c r="C71" s="96" t="s">
        <v>208</v>
      </c>
      <c r="D71" s="96" t="s">
        <v>209</v>
      </c>
      <c r="E71" s="25" t="n">
        <v>1</v>
      </c>
      <c r="F71" s="56" t="n">
        <v>3</v>
      </c>
      <c r="G71" s="56"/>
      <c r="H71" s="56"/>
      <c r="I71" s="96" t="s">
        <v>210</v>
      </c>
      <c r="J71" s="96" t="s">
        <v>211</v>
      </c>
      <c r="K71" s="45"/>
      <c r="L71" s="45"/>
    </row>
    <row r="72" customFormat="false" ht="12.75" hidden="false" customHeight="false" outlineLevel="0" collapsed="false">
      <c r="A72" s="31" t="s">
        <v>59</v>
      </c>
      <c r="B72" s="37" t="s">
        <v>60</v>
      </c>
      <c r="C72" s="37" t="s">
        <v>60</v>
      </c>
      <c r="D72" s="37" t="s">
        <v>60</v>
      </c>
      <c r="E72" s="65" t="s">
        <v>60</v>
      </c>
      <c r="F72" s="65" t="s">
        <v>60</v>
      </c>
      <c r="G72" s="56" t="s">
        <v>62</v>
      </c>
      <c r="H72" s="56" t="s">
        <v>62</v>
      </c>
      <c r="I72" s="97" t="s">
        <v>212</v>
      </c>
      <c r="J72" s="56" t="s">
        <v>213</v>
      </c>
      <c r="K72" s="45"/>
      <c r="L72" s="45"/>
    </row>
    <row r="73" customFormat="false" ht="12.75" hidden="false" customHeight="false" outlineLevel="0" collapsed="false">
      <c r="A73" s="68"/>
      <c r="B73" s="42"/>
      <c r="C73" s="42"/>
      <c r="D73" s="42"/>
      <c r="E73" s="9"/>
      <c r="F73" s="45"/>
      <c r="G73" s="45"/>
      <c r="H73" s="45"/>
      <c r="I73" s="45"/>
      <c r="J73" s="45"/>
      <c r="K73" s="45"/>
      <c r="L73" s="45"/>
    </row>
    <row r="74" customFormat="false" ht="12.75" hidden="false" customHeight="false" outlineLevel="0" collapsed="false">
      <c r="A74" s="41"/>
      <c r="B74" s="48"/>
      <c r="C74" s="45"/>
      <c r="D74" s="59"/>
      <c r="E74" s="45"/>
      <c r="F74" s="45"/>
    </row>
    <row r="75" customFormat="false" ht="12.75" hidden="false" customHeight="false" outlineLevel="0" collapsed="false">
      <c r="A75" s="98" t="s">
        <v>214</v>
      </c>
    </row>
    <row r="76" s="102" customFormat="true" ht="12.75" hidden="false" customHeight="false" outlineLevel="0" collapsed="false">
      <c r="A76" s="99"/>
      <c r="B76" s="100" t="s">
        <v>215</v>
      </c>
      <c r="C76" s="101" t="s">
        <v>216</v>
      </c>
      <c r="D76" s="100" t="s">
        <v>217</v>
      </c>
      <c r="E76" s="101" t="s">
        <v>218</v>
      </c>
      <c r="F76" s="101" t="s">
        <v>219</v>
      </c>
      <c r="G76" s="101" t="s">
        <v>29</v>
      </c>
    </row>
    <row r="77" s="106" customFormat="true" ht="24.05" hidden="false" customHeight="false" outlineLevel="0" collapsed="false">
      <c r="A77" s="103" t="s">
        <v>29</v>
      </c>
      <c r="B77" s="104" t="s">
        <v>220</v>
      </c>
      <c r="C77" s="104" t="s">
        <v>221</v>
      </c>
      <c r="D77" s="104" t="s">
        <v>222</v>
      </c>
      <c r="E77" s="104" t="s">
        <v>223</v>
      </c>
      <c r="F77" s="105" t="s">
        <v>224</v>
      </c>
      <c r="G77" s="104" t="s">
        <v>225</v>
      </c>
    </row>
    <row r="78" s="102" customFormat="true" ht="35.5" hidden="false" customHeight="false" outlineLevel="0" collapsed="false">
      <c r="A78" s="107" t="s">
        <v>46</v>
      </c>
      <c r="B78" s="108" t="s">
        <v>226</v>
      </c>
      <c r="C78" s="109" t="s">
        <v>227</v>
      </c>
      <c r="D78" s="104" t="s">
        <v>228</v>
      </c>
      <c r="E78" s="58" t="n">
        <v>39</v>
      </c>
      <c r="F78" s="110" t="n">
        <v>40568</v>
      </c>
      <c r="G78" s="58"/>
    </row>
    <row r="79" customFormat="false" ht="35.5" hidden="false" customHeight="false" outlineLevel="0" collapsed="false">
      <c r="A79" s="111" t="s">
        <v>59</v>
      </c>
      <c r="B79" s="104" t="s">
        <v>60</v>
      </c>
      <c r="C79" s="104" t="s">
        <v>60</v>
      </c>
      <c r="D79" s="104" t="s">
        <v>229</v>
      </c>
      <c r="E79" s="58" t="s">
        <v>62</v>
      </c>
      <c r="F79" s="58" t="s">
        <v>230</v>
      </c>
      <c r="G79" s="104" t="s">
        <v>60</v>
      </c>
    </row>
    <row r="80" customFormat="false" ht="12.75" hidden="false" customHeight="false" outlineLevel="0" collapsed="false">
      <c r="A80" s="112"/>
      <c r="B80" s="113"/>
      <c r="C80" s="113"/>
      <c r="D80" s="113"/>
      <c r="E80" s="114"/>
      <c r="F80" s="114"/>
      <c r="G80" s="113"/>
    </row>
    <row r="81" customFormat="false" ht="12.75" hidden="false" customHeight="false" outlineLevel="0" collapsed="false">
      <c r="A81" s="44"/>
      <c r="B81" s="45"/>
      <c r="C81" s="45"/>
      <c r="D81" s="45"/>
      <c r="E81" s="45"/>
      <c r="F81" s="45"/>
    </row>
    <row r="82" s="49" customFormat="true" ht="12.75" hidden="false" customHeight="true" outlineLevel="0" collapsed="false">
      <c r="A82" s="86" t="s">
        <v>231</v>
      </c>
      <c r="B82" s="47" t="s">
        <v>232</v>
      </c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</row>
    <row r="83" customFormat="false" ht="12.75" hidden="false" customHeight="false" outlineLevel="0" collapsed="false">
      <c r="A83" s="50"/>
      <c r="B83" s="115" t="s">
        <v>233</v>
      </c>
      <c r="C83" s="115" t="s">
        <v>234</v>
      </c>
      <c r="D83" s="115" t="s">
        <v>235</v>
      </c>
    </row>
    <row r="84" customFormat="false" ht="38.25" hidden="false" customHeight="true" outlineLevel="0" collapsed="false">
      <c r="A84" s="53" t="s">
        <v>29</v>
      </c>
      <c r="B84" s="26" t="s">
        <v>236</v>
      </c>
      <c r="C84" s="26" t="s">
        <v>237</v>
      </c>
      <c r="D84" s="26" t="s">
        <v>238</v>
      </c>
    </row>
    <row r="85" customFormat="false" ht="12.75" hidden="false" customHeight="false" outlineLevel="0" collapsed="false">
      <c r="A85" s="55" t="s">
        <v>89</v>
      </c>
      <c r="B85" s="36" t="n">
        <v>1</v>
      </c>
      <c r="C85" s="116" t="n">
        <v>3</v>
      </c>
      <c r="D85" s="36" t="s">
        <v>239</v>
      </c>
    </row>
    <row r="86" customFormat="false" ht="127.1" hidden="false" customHeight="false" outlineLevel="0" collapsed="false">
      <c r="A86" s="31" t="s">
        <v>59</v>
      </c>
      <c r="B86" s="54" t="s">
        <v>240</v>
      </c>
      <c r="C86" s="54" t="s">
        <v>241</v>
      </c>
      <c r="D86" s="54" t="s">
        <v>242</v>
      </c>
    </row>
    <row r="89" customFormat="false" ht="12.75" hidden="false" customHeight="true" outlineLevel="0" collapsed="false"/>
    <row r="90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5" customFormat="false" ht="12.75" hidden="false" customHeight="true" outlineLevel="0" collapsed="false"/>
  </sheetData>
  <mergeCells count="12"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  <mergeCell ref="H69:H70"/>
  </mergeCells>
  <hyperlinks>
    <hyperlink ref="G31" r:id="rId2" display="jacques.dupond@email.com"/>
    <hyperlink ref="C78" r:id="rId3" display="http://urgi.versailles.inra.fr/Species/Wheat/Sequence-Repositor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W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5" activeCellId="0" sqref="D5"/>
    </sheetView>
  </sheetViews>
  <sheetFormatPr defaultColWidth="12.86328125" defaultRowHeight="12.75" customHeight="true" zeroHeight="false" outlineLevelRow="0" outlineLevelCol="0"/>
  <cols>
    <col collapsed="false" customWidth="true" hidden="false" outlineLevel="0" max="1" min="1" style="117" width="18"/>
    <col collapsed="false" customWidth="true" hidden="false" outlineLevel="0" max="2" min="2" style="117" width="10.57"/>
    <col collapsed="false" customWidth="true" hidden="false" outlineLevel="0" max="3" min="3" style="118" width="15.86"/>
    <col collapsed="false" customWidth="true" hidden="false" outlineLevel="0" max="4" min="4" style="118" width="13.86"/>
    <col collapsed="false" customWidth="true" hidden="false" outlineLevel="0" max="5" min="5" style="118" width="12.43"/>
    <col collapsed="false" customWidth="true" hidden="false" outlineLevel="0" max="6" min="6" style="118" width="15.86"/>
    <col collapsed="false" customWidth="true" hidden="false" outlineLevel="0" max="7" min="7" style="118" width="22.29"/>
    <col collapsed="false" customWidth="true" hidden="false" outlineLevel="0" max="8" min="8" style="118" width="6.29"/>
    <col collapsed="false" customWidth="true" hidden="false" outlineLevel="0" max="9" min="9" style="119" width="7.43"/>
    <col collapsed="false" customWidth="true" hidden="false" outlineLevel="0" max="10" min="10" style="119" width="4"/>
    <col collapsed="false" customWidth="true" hidden="false" outlineLevel="0" max="11" min="11" style="118" width="19.29"/>
    <col collapsed="false" customWidth="true" hidden="false" outlineLevel="0" max="13" min="12" style="118" width="12.43"/>
    <col collapsed="false" customWidth="true" hidden="false" outlineLevel="0" max="14" min="14" style="118" width="17"/>
    <col collapsed="false" customWidth="true" hidden="false" outlineLevel="0" max="15" min="15" style="118" width="8.71"/>
    <col collapsed="false" customWidth="true" hidden="false" outlineLevel="0" max="16" min="16" style="118" width="13.57"/>
  </cols>
  <sheetData>
    <row r="1" customFormat="false" ht="12.75" hidden="false" customHeight="false" outlineLevel="0" collapsed="false">
      <c r="A1" s="120" t="s">
        <v>13</v>
      </c>
      <c r="B1" s="120" t="s">
        <v>14</v>
      </c>
      <c r="C1" s="121" t="s">
        <v>15</v>
      </c>
      <c r="D1" s="121" t="s">
        <v>16</v>
      </c>
      <c r="E1" s="121" t="s">
        <v>17</v>
      </c>
      <c r="F1" s="121" t="s">
        <v>18</v>
      </c>
      <c r="G1" s="121" t="s">
        <v>19</v>
      </c>
      <c r="H1" s="121" t="s">
        <v>20</v>
      </c>
      <c r="I1" s="122" t="s">
        <v>21</v>
      </c>
      <c r="J1" s="122" t="s">
        <v>22</v>
      </c>
      <c r="K1" s="121" t="s">
        <v>23</v>
      </c>
      <c r="L1" s="123" t="s">
        <v>24</v>
      </c>
      <c r="M1" s="121" t="s">
        <v>25</v>
      </c>
      <c r="N1" s="121" t="s">
        <v>26</v>
      </c>
      <c r="O1" s="121" t="s">
        <v>27</v>
      </c>
      <c r="P1" s="121" t="s">
        <v>28</v>
      </c>
    </row>
    <row r="2" customFormat="false" ht="13.8" hidden="false" customHeight="false" outlineLevel="0" collapsed="false">
      <c r="A2" s="117" t="s">
        <v>243</v>
      </c>
      <c r="B2" s="117" t="s">
        <v>244</v>
      </c>
      <c r="C2" s="124" t="s">
        <v>245</v>
      </c>
      <c r="D2" s="125" t="n">
        <v>2011</v>
      </c>
      <c r="G2" s="118" t="s">
        <v>246</v>
      </c>
      <c r="I2" s="119" t="s">
        <v>55</v>
      </c>
      <c r="J2" s="119" t="s">
        <v>54</v>
      </c>
      <c r="L2" s="126"/>
      <c r="N2" s="118" t="s">
        <v>247</v>
      </c>
    </row>
    <row r="3" customFormat="false" ht="12.75" hidden="false" customHeight="false" outlineLevel="0" collapsed="false">
      <c r="R3" s="127"/>
      <c r="S3" s="127"/>
      <c r="T3" s="128"/>
      <c r="U3" s="128"/>
      <c r="V3" s="128"/>
      <c r="W3" s="128"/>
    </row>
    <row r="4" customFormat="false" ht="12.75" hidden="false" customHeight="false" outlineLevel="0" collapsed="false">
      <c r="R4" s="129"/>
      <c r="S4" s="129"/>
      <c r="T4" s="129"/>
      <c r="U4" s="129"/>
      <c r="V4" s="129"/>
      <c r="W4" s="129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&amp;C&amp;"Arial,Normal"&amp;10&amp;A</oddHeader>
    <oddFooter>&amp;C&amp;"Arial,Normal"&amp;10Page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0.71484375" defaultRowHeight="12.75" customHeight="true" zeroHeight="false" outlineLevelRow="0" outlineLevelCol="0"/>
  <cols>
    <col collapsed="false" customWidth="true" hidden="false" outlineLevel="0" max="1" min="1" style="130" width="11.86"/>
    <col collapsed="false" customWidth="true" hidden="false" outlineLevel="0" max="2" min="2" style="131" width="10.43"/>
    <col collapsed="false" customWidth="true" hidden="false" outlineLevel="0" max="3" min="3" style="131" width="11"/>
    <col collapsed="false" customWidth="true" hidden="false" outlineLevel="0" max="4" min="4" style="131" width="10.14"/>
    <col collapsed="false" customWidth="true" hidden="false" outlineLevel="0" max="5" min="5" style="131" width="10.43"/>
    <col collapsed="false" customWidth="true" hidden="false" outlineLevel="0" max="6" min="6" style="131" width="6.57"/>
    <col collapsed="false" customWidth="true" hidden="false" outlineLevel="0" max="7" min="7" style="130" width="25.14"/>
    <col collapsed="false" customWidth="true" hidden="false" outlineLevel="0" max="8" min="8" style="131" width="11.29"/>
    <col collapsed="false" customWidth="true" hidden="false" outlineLevel="0" max="9" min="9" style="131" width="12.14"/>
    <col collapsed="false" customWidth="true" hidden="false" outlineLevel="0" max="10" min="10" style="131" width="10.43"/>
    <col collapsed="false" customWidth="true" hidden="false" outlineLevel="0" max="11" min="11" style="118" width="19.29"/>
    <col collapsed="false" customWidth="true" hidden="false" outlineLevel="0" max="12" min="12" style="118" width="22.43"/>
  </cols>
  <sheetData>
    <row r="1" s="98" customFormat="true" ht="12.75" hidden="false" customHeight="false" outlineLevel="0" collapsed="false">
      <c r="A1" s="132" t="s">
        <v>65</v>
      </c>
      <c r="B1" s="133" t="s">
        <v>66</v>
      </c>
      <c r="C1" s="133" t="s">
        <v>67</v>
      </c>
      <c r="D1" s="133" t="s">
        <v>68</v>
      </c>
      <c r="E1" s="133" t="s">
        <v>69</v>
      </c>
      <c r="F1" s="133" t="s">
        <v>70</v>
      </c>
      <c r="G1" s="132" t="s">
        <v>71</v>
      </c>
      <c r="H1" s="134" t="s">
        <v>72</v>
      </c>
      <c r="I1" s="134" t="s">
        <v>73</v>
      </c>
      <c r="J1" s="133" t="s">
        <v>74</v>
      </c>
      <c r="K1" s="135" t="s">
        <v>75</v>
      </c>
      <c r="L1" s="135" t="s">
        <v>76</v>
      </c>
    </row>
    <row r="2" customFormat="false" ht="15" hidden="false" customHeight="false" outlineLevel="0" collapsed="false">
      <c r="A2" s="130" t="s">
        <v>248</v>
      </c>
      <c r="B2" s="136" t="s">
        <v>249</v>
      </c>
      <c r="C2" s="136" t="s">
        <v>250</v>
      </c>
      <c r="G2" s="130" t="s">
        <v>251</v>
      </c>
      <c r="H2" s="137"/>
      <c r="I2" s="137"/>
      <c r="J2" s="131" t="s">
        <v>252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1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" activeCellId="0" sqref="B3"/>
    </sheetView>
  </sheetViews>
  <sheetFormatPr defaultColWidth="10.71484375" defaultRowHeight="12.75" customHeight="true" zeroHeight="false" outlineLevelRow="0" outlineLevelCol="0"/>
  <cols>
    <col collapsed="false" customWidth="true" hidden="false" outlineLevel="0" max="1" min="1" style="138" width="16.43"/>
    <col collapsed="false" customWidth="true" hidden="false" outlineLevel="0" max="2" min="2" style="138" width="10.57"/>
    <col collapsed="false" customWidth="false" hidden="false" outlineLevel="0" max="3" min="3" style="138" width="10.71"/>
    <col collapsed="false" customWidth="true" hidden="false" outlineLevel="0" max="4" min="4" style="118" width="12.71"/>
    <col collapsed="false" customWidth="true" hidden="false" outlineLevel="0" max="5" min="5" style="131" width="4.71"/>
    <col collapsed="false" customWidth="true" hidden="false" outlineLevel="0" max="6" min="6" style="138" width="29.86"/>
    <col collapsed="false" customWidth="true" hidden="false" outlineLevel="0" max="7" min="7" style="138" width="10.43"/>
    <col collapsed="false" customWidth="true" hidden="false" outlineLevel="0" max="8" min="8" style="118" width="11.43"/>
  </cols>
  <sheetData>
    <row r="1" customFormat="false" ht="12.75" hidden="false" customHeight="false" outlineLevel="0" collapsed="false">
      <c r="A1" s="120" t="s">
        <v>97</v>
      </c>
      <c r="B1" s="120" t="s">
        <v>98</v>
      </c>
      <c r="C1" s="120" t="s">
        <v>99</v>
      </c>
      <c r="D1" s="121" t="s">
        <v>100</v>
      </c>
      <c r="E1" s="139" t="s">
        <v>101</v>
      </c>
      <c r="F1" s="120" t="s">
        <v>102</v>
      </c>
      <c r="G1" s="120" t="s">
        <v>103</v>
      </c>
      <c r="H1" s="121" t="s">
        <v>104</v>
      </c>
    </row>
    <row r="2" customFormat="false" ht="12.75" hidden="false" customHeight="false" outlineLevel="0" collapsed="false">
      <c r="A2" s="140" t="s">
        <v>113</v>
      </c>
      <c r="B2" s="140" t="s">
        <v>253</v>
      </c>
      <c r="C2" s="140" t="s">
        <v>254</v>
      </c>
      <c r="F2" s="141" t="s">
        <v>255</v>
      </c>
      <c r="G2" s="140" t="s">
        <v>119</v>
      </c>
      <c r="H2" s="142" t="s">
        <v>256</v>
      </c>
    </row>
    <row r="3" customFormat="false" ht="12.75" hidden="false" customHeight="false" outlineLevel="0" collapsed="false">
      <c r="H3" s="142"/>
    </row>
    <row r="4" customFormat="false" ht="12.75" hidden="false" customHeight="false" outlineLevel="0" collapsed="false">
      <c r="D4" s="143"/>
      <c r="H4" s="142"/>
    </row>
    <row r="8" customFormat="false" ht="12.75" hidden="false" customHeight="false" outlineLevel="0" collapsed="false">
      <c r="K8" s="144"/>
      <c r="L8" s="144"/>
      <c r="M8" s="144"/>
      <c r="N8" s="144"/>
      <c r="O8" s="128"/>
      <c r="P8" s="145"/>
      <c r="Q8" s="146"/>
      <c r="R8" s="147"/>
      <c r="S8" s="147"/>
      <c r="T8" s="147"/>
      <c r="U8" s="146"/>
      <c r="V8" s="147"/>
      <c r="W8" s="147"/>
      <c r="X8" s="146"/>
    </row>
    <row r="9" customFormat="false" ht="12.75" hidden="false" customHeight="false" outlineLevel="0" collapsed="false">
      <c r="L9" s="148"/>
      <c r="M9" s="148"/>
      <c r="N9" s="141"/>
      <c r="Q9" s="142"/>
      <c r="R9" s="142"/>
      <c r="S9" s="142"/>
      <c r="T9" s="149"/>
      <c r="U9" s="142"/>
      <c r="V9" s="142"/>
      <c r="W9" s="142"/>
      <c r="X9" s="150"/>
    </row>
    <row r="10" customFormat="false" ht="12.75" hidden="false" customHeight="false" outlineLevel="0" collapsed="false">
      <c r="K10" s="143"/>
      <c r="L10" s="148"/>
      <c r="M10" s="148"/>
      <c r="N10" s="141"/>
      <c r="O10" s="143"/>
      <c r="Q10" s="142"/>
      <c r="R10" s="142"/>
      <c r="S10" s="142"/>
      <c r="T10" s="149"/>
      <c r="U10" s="142"/>
      <c r="V10" s="142"/>
      <c r="W10" s="142"/>
      <c r="X10" s="150"/>
    </row>
  </sheetData>
  <dataValidations count="1">
    <dataValidation allowBlank="true" errorStyle="stop" operator="between" showDropDown="false" showErrorMessage="true" showInputMessage="false" sqref="G2" type="list">
      <formula1>InstitutionName</formula1>
      <formula2>0</formula2>
    </dataValidation>
  </dataValidations>
  <hyperlinks>
    <hyperlink ref="F2" r:id="rId1" display="nathalie.nesi@rennes.inra.f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B1" colorId="64" zoomScale="70" zoomScaleNormal="70" zoomScalePageLayoutView="100" workbookViewId="0">
      <selection pane="topLeft" activeCell="H43" activeCellId="0" sqref="H43"/>
    </sheetView>
  </sheetViews>
  <sheetFormatPr defaultColWidth="12.71484375" defaultRowHeight="12.75" customHeight="true" zeroHeight="false" outlineLevelRow="0" outlineLevelCol="0"/>
  <cols>
    <col collapsed="false" customWidth="true" hidden="false" outlineLevel="0" max="1" min="1" style="138" width="41.43"/>
    <col collapsed="false" customWidth="true" hidden="false" outlineLevel="0" max="2" min="2" style="138" width="30.29"/>
    <col collapsed="false" customWidth="true" hidden="false" outlineLevel="0" max="3" min="3" style="118" width="28.14"/>
    <col collapsed="false" customWidth="true" hidden="false" outlineLevel="0" max="4" min="4" style="118" width="85.29"/>
    <col collapsed="false" customWidth="true" hidden="false" outlineLevel="0" max="5" min="5" style="118" width="17.29"/>
    <col collapsed="false" customWidth="true" hidden="false" outlineLevel="0" max="6" min="6" style="118" width="49.57"/>
    <col collapsed="false" customWidth="true" hidden="false" outlineLevel="0" max="7" min="7" style="118" width="15.43"/>
    <col collapsed="false" customWidth="true" hidden="false" outlineLevel="0" max="8" min="8" style="118" width="10.43"/>
    <col collapsed="false" customWidth="false" hidden="false" outlineLevel="0" max="16384" min="9" style="151" width="12.71"/>
  </cols>
  <sheetData>
    <row r="1" s="156" customFormat="true" ht="12.75" hidden="false" customHeight="false" outlineLevel="0" collapsed="false">
      <c r="A1" s="152" t="s">
        <v>126</v>
      </c>
      <c r="B1" s="152" t="s">
        <v>127</v>
      </c>
      <c r="C1" s="153" t="s">
        <v>128</v>
      </c>
      <c r="D1" s="154" t="s">
        <v>29</v>
      </c>
      <c r="E1" s="154" t="s">
        <v>129</v>
      </c>
      <c r="F1" s="154" t="s">
        <v>130</v>
      </c>
      <c r="G1" s="155" t="s">
        <v>131</v>
      </c>
      <c r="H1" s="155" t="s">
        <v>74</v>
      </c>
    </row>
    <row r="2" customFormat="false" ht="92.75" hidden="false" customHeight="false" outlineLevel="0" collapsed="false">
      <c r="A2" s="157" t="s">
        <v>257</v>
      </c>
      <c r="B2" s="157" t="s">
        <v>258</v>
      </c>
      <c r="C2" s="158" t="s">
        <v>259</v>
      </c>
      <c r="D2" s="159" t="s">
        <v>260</v>
      </c>
      <c r="E2" s="159" t="s">
        <v>261</v>
      </c>
      <c r="F2" s="159" t="s">
        <v>262</v>
      </c>
      <c r="G2" s="160"/>
      <c r="H2" s="160" t="s">
        <v>263</v>
      </c>
    </row>
    <row r="3" customFormat="false" ht="31.9" hidden="false" customHeight="false" outlineLevel="0" collapsed="false">
      <c r="A3" s="161" t="s">
        <v>257</v>
      </c>
      <c r="B3" s="161" t="s">
        <v>264</v>
      </c>
      <c r="C3" s="162" t="s">
        <v>265</v>
      </c>
      <c r="D3" s="163" t="s">
        <v>266</v>
      </c>
      <c r="E3" s="163" t="s">
        <v>267</v>
      </c>
      <c r="F3" s="164" t="s">
        <v>268</v>
      </c>
      <c r="G3" s="165"/>
      <c r="H3" s="165" t="s">
        <v>269</v>
      </c>
    </row>
    <row r="4" customFormat="false" ht="31.9" hidden="false" customHeight="false" outlineLevel="0" collapsed="false">
      <c r="A4" s="161" t="s">
        <v>257</v>
      </c>
      <c r="B4" s="161" t="s">
        <v>270</v>
      </c>
      <c r="C4" s="162" t="s">
        <v>271</v>
      </c>
      <c r="D4" s="163" t="s">
        <v>272</v>
      </c>
      <c r="E4" s="163" t="s">
        <v>273</v>
      </c>
      <c r="F4" s="164" t="s">
        <v>274</v>
      </c>
      <c r="G4" s="165"/>
      <c r="H4" s="165"/>
    </row>
    <row r="5" customFormat="false" ht="62.65" hidden="false" customHeight="false" outlineLevel="0" collapsed="false">
      <c r="A5" s="161" t="s">
        <v>257</v>
      </c>
      <c r="B5" s="161" t="s">
        <v>275</v>
      </c>
      <c r="C5" s="162" t="s">
        <v>276</v>
      </c>
      <c r="D5" s="163" t="s">
        <v>277</v>
      </c>
      <c r="E5" s="163" t="s">
        <v>278</v>
      </c>
      <c r="F5" s="164" t="s">
        <v>279</v>
      </c>
      <c r="G5" s="165"/>
      <c r="H5" s="165"/>
    </row>
    <row r="6" customFormat="false" ht="42.15" hidden="false" customHeight="false" outlineLevel="0" collapsed="false">
      <c r="A6" s="161" t="s">
        <v>257</v>
      </c>
      <c r="B6" s="161" t="s">
        <v>280</v>
      </c>
      <c r="C6" s="162" t="s">
        <v>281</v>
      </c>
      <c r="D6" s="163" t="s">
        <v>282</v>
      </c>
      <c r="E6" s="163" t="s">
        <v>278</v>
      </c>
      <c r="F6" s="164" t="s">
        <v>283</v>
      </c>
      <c r="G6" s="165"/>
      <c r="H6" s="165"/>
    </row>
    <row r="7" customFormat="false" ht="12.75" hidden="false" customHeight="false" outlineLevel="0" collapsed="false">
      <c r="A7" s="161" t="s">
        <v>257</v>
      </c>
      <c r="B7" s="161" t="s">
        <v>284</v>
      </c>
      <c r="C7" s="162" t="s">
        <v>285</v>
      </c>
      <c r="D7" s="163" t="s">
        <v>286</v>
      </c>
      <c r="E7" s="163" t="s">
        <v>287</v>
      </c>
      <c r="F7" s="164" t="s">
        <v>288</v>
      </c>
      <c r="G7" s="165"/>
      <c r="H7" s="165"/>
    </row>
    <row r="8" customFormat="false" ht="42.15" hidden="false" customHeight="false" outlineLevel="0" collapsed="false">
      <c r="A8" s="161" t="s">
        <v>257</v>
      </c>
      <c r="B8" s="161" t="s">
        <v>289</v>
      </c>
      <c r="C8" s="162" t="s">
        <v>290</v>
      </c>
      <c r="D8" s="163" t="s">
        <v>291</v>
      </c>
      <c r="E8" s="163" t="s">
        <v>292</v>
      </c>
      <c r="F8" s="164" t="s">
        <v>293</v>
      </c>
      <c r="G8" s="165"/>
      <c r="H8" s="165"/>
    </row>
    <row r="9" customFormat="false" ht="21.65" hidden="false" customHeight="false" outlineLevel="0" collapsed="false">
      <c r="A9" s="161" t="s">
        <v>257</v>
      </c>
      <c r="B9" s="161" t="s">
        <v>294</v>
      </c>
      <c r="C9" s="162" t="s">
        <v>295</v>
      </c>
      <c r="D9" s="163" t="s">
        <v>296</v>
      </c>
      <c r="E9" s="163" t="s">
        <v>267</v>
      </c>
      <c r="F9" s="164" t="s">
        <v>297</v>
      </c>
      <c r="G9" s="165"/>
      <c r="H9" s="165"/>
    </row>
    <row r="10" customFormat="false" ht="12.75" hidden="false" customHeight="false" outlineLevel="0" collapsed="false">
      <c r="A10" s="161" t="s">
        <v>257</v>
      </c>
      <c r="B10" s="161" t="s">
        <v>298</v>
      </c>
      <c r="C10" s="162" t="s">
        <v>299</v>
      </c>
      <c r="D10" s="163" t="s">
        <v>300</v>
      </c>
      <c r="E10" s="163" t="s">
        <v>287</v>
      </c>
      <c r="F10" s="164" t="s">
        <v>301</v>
      </c>
      <c r="G10" s="165"/>
      <c r="H10" s="165"/>
    </row>
    <row r="11" customFormat="false" ht="12.75" hidden="false" customHeight="false" outlineLevel="0" collapsed="false">
      <c r="A11" s="161" t="s">
        <v>257</v>
      </c>
      <c r="B11" s="161" t="s">
        <v>302</v>
      </c>
      <c r="C11" s="162" t="s">
        <v>303</v>
      </c>
      <c r="D11" s="163" t="s">
        <v>304</v>
      </c>
      <c r="E11" s="163" t="s">
        <v>305</v>
      </c>
      <c r="F11" s="164" t="s">
        <v>306</v>
      </c>
      <c r="G11" s="165"/>
      <c r="H11" s="165"/>
    </row>
    <row r="12" customFormat="false" ht="31.9" hidden="false" customHeight="false" outlineLevel="0" collapsed="false">
      <c r="A12" s="161" t="s">
        <v>257</v>
      </c>
      <c r="B12" s="161" t="s">
        <v>307</v>
      </c>
      <c r="C12" s="162" t="s">
        <v>308</v>
      </c>
      <c r="D12" s="163" t="s">
        <v>309</v>
      </c>
      <c r="E12" s="163" t="s">
        <v>287</v>
      </c>
      <c r="F12" s="164" t="s">
        <v>310</v>
      </c>
      <c r="G12" s="165"/>
      <c r="H12" s="165"/>
    </row>
    <row r="13" customFormat="false" ht="31.9" hidden="false" customHeight="false" outlineLevel="0" collapsed="false">
      <c r="A13" s="161" t="s">
        <v>257</v>
      </c>
      <c r="B13" s="161" t="s">
        <v>311</v>
      </c>
      <c r="C13" s="162" t="s">
        <v>312</v>
      </c>
      <c r="D13" s="163" t="s">
        <v>313</v>
      </c>
      <c r="E13" s="163" t="s">
        <v>287</v>
      </c>
      <c r="F13" s="164" t="s">
        <v>314</v>
      </c>
      <c r="G13" s="165"/>
      <c r="H13" s="165"/>
    </row>
    <row r="14" customFormat="false" ht="60.75" hidden="false" customHeight="true" outlineLevel="0" collapsed="false">
      <c r="A14" s="161" t="s">
        <v>257</v>
      </c>
      <c r="B14" s="161" t="s">
        <v>315</v>
      </c>
      <c r="C14" s="162" t="s">
        <v>316</v>
      </c>
      <c r="D14" s="163" t="s">
        <v>317</v>
      </c>
      <c r="E14" s="163" t="s">
        <v>318</v>
      </c>
      <c r="F14" s="164" t="s">
        <v>319</v>
      </c>
      <c r="G14" s="165"/>
      <c r="H14" s="165"/>
    </row>
    <row r="15" customFormat="false" ht="31.9" hidden="false" customHeight="false" outlineLevel="0" collapsed="false">
      <c r="A15" s="161" t="s">
        <v>257</v>
      </c>
      <c r="B15" s="161" t="s">
        <v>320</v>
      </c>
      <c r="C15" s="162" t="s">
        <v>321</v>
      </c>
      <c r="D15" s="163" t="s">
        <v>322</v>
      </c>
      <c r="E15" s="163" t="s">
        <v>143</v>
      </c>
      <c r="F15" s="164" t="s">
        <v>323</v>
      </c>
      <c r="G15" s="165"/>
      <c r="H15" s="165"/>
    </row>
    <row r="16" customFormat="false" ht="52.4" hidden="false" customHeight="false" outlineLevel="0" collapsed="false">
      <c r="A16" s="161" t="s">
        <v>257</v>
      </c>
      <c r="B16" s="161" t="s">
        <v>324</v>
      </c>
      <c r="C16" s="162" t="s">
        <v>325</v>
      </c>
      <c r="D16" s="163" t="s">
        <v>326</v>
      </c>
      <c r="E16" s="163" t="s">
        <v>327</v>
      </c>
      <c r="F16" s="164" t="s">
        <v>328</v>
      </c>
      <c r="G16" s="165"/>
      <c r="H16" s="166"/>
    </row>
    <row r="17" customFormat="false" ht="31.9" hidden="false" customHeight="false" outlineLevel="0" collapsed="false">
      <c r="A17" s="161" t="s">
        <v>257</v>
      </c>
      <c r="B17" s="161" t="s">
        <v>329</v>
      </c>
      <c r="C17" s="162" t="s">
        <v>330</v>
      </c>
      <c r="D17" s="163" t="s">
        <v>331</v>
      </c>
      <c r="E17" s="163" t="s">
        <v>332</v>
      </c>
      <c r="F17" s="164" t="s">
        <v>328</v>
      </c>
      <c r="G17" s="165"/>
      <c r="H17" s="165"/>
    </row>
    <row r="18" customFormat="false" ht="31.9" hidden="false" customHeight="false" outlineLevel="0" collapsed="false">
      <c r="A18" s="161" t="s">
        <v>257</v>
      </c>
      <c r="B18" s="161" t="s">
        <v>333</v>
      </c>
      <c r="C18" s="162" t="s">
        <v>334</v>
      </c>
      <c r="D18" s="163" t="s">
        <v>335</v>
      </c>
      <c r="E18" s="163" t="s">
        <v>332</v>
      </c>
      <c r="F18" s="164" t="s">
        <v>328</v>
      </c>
      <c r="G18" s="165"/>
      <c r="H18" s="165"/>
    </row>
    <row r="19" customFormat="false" ht="93.35" hidden="false" customHeight="false" outlineLevel="0" collapsed="false">
      <c r="A19" s="167" t="s">
        <v>257</v>
      </c>
      <c r="B19" s="167" t="s">
        <v>336</v>
      </c>
      <c r="C19" s="162" t="s">
        <v>337</v>
      </c>
      <c r="D19" s="163" t="s">
        <v>338</v>
      </c>
      <c r="E19" s="163" t="s">
        <v>332</v>
      </c>
      <c r="F19" s="168" t="s">
        <v>339</v>
      </c>
      <c r="G19" s="169"/>
      <c r="H19" s="169"/>
    </row>
    <row r="20" customFormat="false" ht="31.9" hidden="false" customHeight="false" outlineLevel="0" collapsed="false">
      <c r="A20" s="161" t="s">
        <v>257</v>
      </c>
      <c r="B20" s="161" t="s">
        <v>340</v>
      </c>
      <c r="C20" s="162" t="s">
        <v>341</v>
      </c>
      <c r="D20" s="170" t="s">
        <v>342</v>
      </c>
      <c r="E20" s="163" t="s">
        <v>332</v>
      </c>
      <c r="F20" s="164" t="s">
        <v>328</v>
      </c>
      <c r="G20" s="165"/>
      <c r="H20" s="165"/>
    </row>
    <row r="21" customFormat="false" ht="31.9" hidden="false" customHeight="false" outlineLevel="0" collapsed="false">
      <c r="A21" s="161" t="s">
        <v>257</v>
      </c>
      <c r="B21" s="161" t="s">
        <v>343</v>
      </c>
      <c r="C21" s="162" t="s">
        <v>344</v>
      </c>
      <c r="D21" s="163" t="s">
        <v>345</v>
      </c>
      <c r="E21" s="163" t="s">
        <v>332</v>
      </c>
      <c r="F21" s="164" t="s">
        <v>328</v>
      </c>
      <c r="G21" s="165"/>
      <c r="H21" s="165"/>
    </row>
    <row r="22" customFormat="false" ht="31.9" hidden="false" customHeight="false" outlineLevel="0" collapsed="false">
      <c r="A22" s="161" t="s">
        <v>257</v>
      </c>
      <c r="B22" s="161" t="s">
        <v>346</v>
      </c>
      <c r="C22" s="162" t="s">
        <v>347</v>
      </c>
      <c r="D22" s="163" t="s">
        <v>348</v>
      </c>
      <c r="E22" s="163" t="s">
        <v>332</v>
      </c>
      <c r="F22" s="164" t="s">
        <v>328</v>
      </c>
      <c r="G22" s="165"/>
      <c r="H22" s="165"/>
    </row>
    <row r="23" customFormat="false" ht="72.85" hidden="false" customHeight="false" outlineLevel="0" collapsed="false">
      <c r="A23" s="161" t="s">
        <v>257</v>
      </c>
      <c r="B23" s="161" t="s">
        <v>349</v>
      </c>
      <c r="C23" s="162" t="s">
        <v>350</v>
      </c>
      <c r="D23" s="163" t="s">
        <v>351</v>
      </c>
      <c r="E23" s="163" t="s">
        <v>332</v>
      </c>
      <c r="F23" s="164" t="s">
        <v>352</v>
      </c>
      <c r="G23" s="165"/>
      <c r="H23" s="165"/>
    </row>
    <row r="24" customFormat="false" ht="31.9" hidden="false" customHeight="false" outlineLevel="0" collapsed="false">
      <c r="A24" s="161" t="s">
        <v>257</v>
      </c>
      <c r="B24" s="161" t="s">
        <v>353</v>
      </c>
      <c r="C24" s="162" t="s">
        <v>354</v>
      </c>
      <c r="D24" s="163" t="s">
        <v>355</v>
      </c>
      <c r="E24" s="163" t="s">
        <v>332</v>
      </c>
      <c r="F24" s="164" t="s">
        <v>328</v>
      </c>
      <c r="G24" s="165"/>
      <c r="H24" s="166"/>
    </row>
    <row r="25" customFormat="false" ht="72.85" hidden="false" customHeight="false" outlineLevel="0" collapsed="false">
      <c r="A25" s="161" t="s">
        <v>257</v>
      </c>
      <c r="B25" s="161" t="s">
        <v>356</v>
      </c>
      <c r="C25" s="162" t="s">
        <v>357</v>
      </c>
      <c r="D25" s="163" t="s">
        <v>358</v>
      </c>
      <c r="E25" s="163" t="s">
        <v>332</v>
      </c>
      <c r="F25" s="164" t="s">
        <v>359</v>
      </c>
      <c r="G25" s="165"/>
      <c r="H25" s="166"/>
    </row>
    <row r="26" customFormat="false" ht="31.9" hidden="false" customHeight="false" outlineLevel="0" collapsed="false">
      <c r="A26" s="161" t="s">
        <v>257</v>
      </c>
      <c r="B26" s="161" t="s">
        <v>360</v>
      </c>
      <c r="C26" s="162" t="s">
        <v>361</v>
      </c>
      <c r="D26" s="163" t="s">
        <v>362</v>
      </c>
      <c r="E26" s="163" t="s">
        <v>278</v>
      </c>
      <c r="F26" s="164" t="s">
        <v>363</v>
      </c>
      <c r="G26" s="165"/>
      <c r="H26" s="166"/>
    </row>
    <row r="27" customFormat="false" ht="12.75" hidden="false" customHeight="false" outlineLevel="0" collapsed="false">
      <c r="A27" s="161" t="s">
        <v>257</v>
      </c>
      <c r="B27" s="161" t="s">
        <v>364</v>
      </c>
      <c r="C27" s="162" t="s">
        <v>365</v>
      </c>
      <c r="D27" s="163" t="s">
        <v>366</v>
      </c>
      <c r="E27" s="163" t="s">
        <v>367</v>
      </c>
      <c r="F27" s="164" t="s">
        <v>368</v>
      </c>
      <c r="G27" s="165"/>
      <c r="H27" s="166"/>
    </row>
    <row r="28" customFormat="false" ht="12.75" hidden="false" customHeight="false" outlineLevel="0" collapsed="false">
      <c r="A28" s="161" t="s">
        <v>257</v>
      </c>
      <c r="B28" s="161" t="s">
        <v>369</v>
      </c>
      <c r="C28" s="162" t="s">
        <v>370</v>
      </c>
      <c r="D28" s="163" t="s">
        <v>371</v>
      </c>
      <c r="E28" s="163" t="s">
        <v>367</v>
      </c>
      <c r="F28" s="164" t="s">
        <v>368</v>
      </c>
      <c r="G28" s="165"/>
      <c r="H28" s="166"/>
    </row>
    <row r="29" customFormat="false" ht="12.75" hidden="false" customHeight="false" outlineLevel="0" collapsed="false">
      <c r="A29" s="161" t="s">
        <v>257</v>
      </c>
      <c r="B29" s="161" t="s">
        <v>372</v>
      </c>
      <c r="C29" s="162" t="s">
        <v>373</v>
      </c>
      <c r="D29" s="163" t="s">
        <v>374</v>
      </c>
      <c r="E29" s="163" t="s">
        <v>367</v>
      </c>
      <c r="F29" s="164" t="s">
        <v>368</v>
      </c>
      <c r="G29" s="165"/>
      <c r="H29" s="166"/>
    </row>
    <row r="30" customFormat="false" ht="12.75" hidden="false" customHeight="false" outlineLevel="0" collapsed="false">
      <c r="A30" s="161" t="s">
        <v>257</v>
      </c>
      <c r="B30" s="161" t="s">
        <v>375</v>
      </c>
      <c r="C30" s="162" t="s">
        <v>376</v>
      </c>
      <c r="D30" s="163" t="s">
        <v>377</v>
      </c>
      <c r="E30" s="163" t="s">
        <v>367</v>
      </c>
      <c r="F30" s="164" t="s">
        <v>368</v>
      </c>
      <c r="G30" s="165"/>
      <c r="H30" s="166"/>
    </row>
    <row r="31" customFormat="false" ht="12.75" hidden="false" customHeight="false" outlineLevel="0" collapsed="false">
      <c r="A31" s="161" t="s">
        <v>257</v>
      </c>
      <c r="B31" s="161" t="s">
        <v>378</v>
      </c>
      <c r="C31" s="162" t="s">
        <v>379</v>
      </c>
      <c r="D31" s="163" t="s">
        <v>380</v>
      </c>
      <c r="E31" s="163" t="s">
        <v>367</v>
      </c>
      <c r="F31" s="164" t="s">
        <v>368</v>
      </c>
      <c r="G31" s="165"/>
      <c r="H31" s="166"/>
    </row>
    <row r="32" customFormat="false" ht="12.75" hidden="false" customHeight="false" outlineLevel="0" collapsed="false">
      <c r="A32" s="161" t="s">
        <v>257</v>
      </c>
      <c r="B32" s="161" t="s">
        <v>381</v>
      </c>
      <c r="C32" s="162" t="s">
        <v>382</v>
      </c>
      <c r="D32" s="163" t="s">
        <v>383</v>
      </c>
      <c r="E32" s="163" t="s">
        <v>367</v>
      </c>
      <c r="F32" s="164" t="s">
        <v>368</v>
      </c>
      <c r="G32" s="165"/>
      <c r="H32" s="166"/>
    </row>
    <row r="33" customFormat="false" ht="21.65" hidden="false" customHeight="false" outlineLevel="0" collapsed="false">
      <c r="A33" s="161" t="s">
        <v>257</v>
      </c>
      <c r="B33" s="161" t="s">
        <v>384</v>
      </c>
      <c r="C33" s="162" t="s">
        <v>385</v>
      </c>
      <c r="D33" s="163" t="s">
        <v>386</v>
      </c>
      <c r="E33" s="163" t="s">
        <v>387</v>
      </c>
      <c r="F33" s="164" t="s">
        <v>368</v>
      </c>
      <c r="G33" s="165"/>
      <c r="H33" s="166"/>
    </row>
    <row r="34" customFormat="false" ht="21.65" hidden="false" customHeight="false" outlineLevel="0" collapsed="false">
      <c r="A34" s="161" t="s">
        <v>257</v>
      </c>
      <c r="B34" s="161" t="s">
        <v>388</v>
      </c>
      <c r="C34" s="162" t="s">
        <v>389</v>
      </c>
      <c r="D34" s="163" t="s">
        <v>390</v>
      </c>
      <c r="E34" s="163" t="s">
        <v>387</v>
      </c>
      <c r="F34" s="164" t="s">
        <v>368</v>
      </c>
      <c r="G34" s="165"/>
      <c r="H34" s="166"/>
    </row>
    <row r="35" customFormat="false" ht="12.75" hidden="false" customHeight="false" outlineLevel="0" collapsed="false">
      <c r="A35" s="161" t="s">
        <v>257</v>
      </c>
      <c r="B35" s="161" t="s">
        <v>391</v>
      </c>
      <c r="C35" s="162" t="s">
        <v>392</v>
      </c>
      <c r="D35" s="163" t="s">
        <v>393</v>
      </c>
      <c r="E35" s="163" t="s">
        <v>394</v>
      </c>
      <c r="F35" s="164" t="s">
        <v>368</v>
      </c>
      <c r="G35" s="165"/>
      <c r="H35" s="166"/>
    </row>
    <row r="36" customFormat="false" ht="12.75" hidden="false" customHeight="false" outlineLevel="0" collapsed="false">
      <c r="A36" s="161" t="s">
        <v>257</v>
      </c>
      <c r="B36" s="161" t="s">
        <v>395</v>
      </c>
      <c r="C36" s="162" t="s">
        <v>396</v>
      </c>
      <c r="D36" s="163" t="s">
        <v>397</v>
      </c>
      <c r="E36" s="163" t="s">
        <v>278</v>
      </c>
      <c r="F36" s="164" t="s">
        <v>368</v>
      </c>
      <c r="G36" s="165"/>
      <c r="H36" s="165"/>
    </row>
    <row r="37" customFormat="false" ht="21.65" hidden="false" customHeight="false" outlineLevel="0" collapsed="false">
      <c r="A37" s="161" t="s">
        <v>257</v>
      </c>
      <c r="B37" s="161" t="s">
        <v>398</v>
      </c>
      <c r="C37" s="162" t="s">
        <v>399</v>
      </c>
      <c r="D37" s="163" t="s">
        <v>400</v>
      </c>
      <c r="E37" s="163" t="s">
        <v>387</v>
      </c>
      <c r="F37" s="164" t="s">
        <v>368</v>
      </c>
      <c r="G37" s="165"/>
      <c r="H37" s="165"/>
    </row>
    <row r="38" customFormat="false" ht="12.75" hidden="false" customHeight="false" outlineLevel="0" collapsed="false">
      <c r="A38" s="161" t="s">
        <v>257</v>
      </c>
      <c r="B38" s="161" t="s">
        <v>401</v>
      </c>
      <c r="C38" s="162" t="s">
        <v>402</v>
      </c>
      <c r="D38" s="163" t="s">
        <v>403</v>
      </c>
      <c r="E38" s="163" t="s">
        <v>278</v>
      </c>
      <c r="F38" s="164" t="s">
        <v>404</v>
      </c>
      <c r="G38" s="165"/>
      <c r="H38" s="165"/>
    </row>
    <row r="39" customFormat="false" ht="62.65" hidden="false" customHeight="false" outlineLevel="0" collapsed="false">
      <c r="A39" s="161" t="s">
        <v>257</v>
      </c>
      <c r="B39" s="161" t="s">
        <v>405</v>
      </c>
      <c r="C39" s="162" t="s">
        <v>406</v>
      </c>
      <c r="D39" s="163" t="s">
        <v>407</v>
      </c>
      <c r="E39" s="163" t="s">
        <v>278</v>
      </c>
      <c r="F39" s="164" t="s">
        <v>408</v>
      </c>
      <c r="G39" s="165"/>
      <c r="H39" s="165"/>
    </row>
    <row r="40" customFormat="false" ht="62.65" hidden="false" customHeight="false" outlineLevel="0" collapsed="false">
      <c r="A40" s="161" t="s">
        <v>257</v>
      </c>
      <c r="B40" s="161" t="s">
        <v>409</v>
      </c>
      <c r="C40" s="162" t="s">
        <v>410</v>
      </c>
      <c r="D40" s="163" t="s">
        <v>411</v>
      </c>
      <c r="E40" s="163" t="s">
        <v>278</v>
      </c>
      <c r="F40" s="164" t="s">
        <v>412</v>
      </c>
      <c r="G40" s="165"/>
      <c r="H40" s="165"/>
    </row>
    <row r="41" customFormat="false" ht="31.9" hidden="false" customHeight="false" outlineLevel="0" collapsed="false">
      <c r="A41" s="161" t="s">
        <v>257</v>
      </c>
      <c r="B41" s="161" t="s">
        <v>413</v>
      </c>
      <c r="C41" s="162" t="s">
        <v>414</v>
      </c>
      <c r="D41" s="163" t="s">
        <v>415</v>
      </c>
      <c r="E41" s="163" t="s">
        <v>416</v>
      </c>
      <c r="F41" s="164" t="s">
        <v>417</v>
      </c>
      <c r="G41" s="165"/>
      <c r="H41" s="165"/>
    </row>
    <row r="42" customFormat="false" ht="31.9" hidden="false" customHeight="false" outlineLevel="0" collapsed="false">
      <c r="A42" s="161" t="s">
        <v>257</v>
      </c>
      <c r="B42" s="161" t="s">
        <v>418</v>
      </c>
      <c r="C42" s="162" t="s">
        <v>419</v>
      </c>
      <c r="D42" s="163" t="s">
        <v>420</v>
      </c>
      <c r="E42" s="163" t="s">
        <v>421</v>
      </c>
      <c r="F42" s="164" t="s">
        <v>417</v>
      </c>
      <c r="G42" s="165"/>
      <c r="H42" s="165"/>
    </row>
    <row r="43" customFormat="false" ht="31.9" hidden="false" customHeight="false" outlineLevel="0" collapsed="false">
      <c r="A43" s="161" t="s">
        <v>257</v>
      </c>
      <c r="B43" s="161" t="s">
        <v>422</v>
      </c>
      <c r="C43" s="162" t="s">
        <v>423</v>
      </c>
      <c r="D43" s="163" t="s">
        <v>424</v>
      </c>
      <c r="E43" s="163" t="s">
        <v>425</v>
      </c>
      <c r="F43" s="164" t="s">
        <v>417</v>
      </c>
      <c r="G43" s="165"/>
      <c r="H43" s="165"/>
    </row>
    <row r="44" customFormat="false" ht="113.85" hidden="false" customHeight="false" outlineLevel="0" collapsed="false">
      <c r="A44" s="161" t="s">
        <v>257</v>
      </c>
      <c r="B44" s="161" t="s">
        <v>426</v>
      </c>
      <c r="C44" s="162" t="s">
        <v>427</v>
      </c>
      <c r="D44" s="163" t="s">
        <v>428</v>
      </c>
      <c r="E44" s="163" t="s">
        <v>267</v>
      </c>
      <c r="F44" s="164" t="s">
        <v>429</v>
      </c>
      <c r="G44" s="171"/>
      <c r="H44" s="171"/>
    </row>
    <row r="45" customFormat="false" ht="12.75" hidden="false" customHeight="false" outlineLevel="0" collapsed="false">
      <c r="A45" s="172"/>
      <c r="B45" s="172"/>
      <c r="C45" s="173"/>
      <c r="D45" s="173"/>
      <c r="E45" s="173"/>
      <c r="F45" s="173"/>
    </row>
    <row r="48" customFormat="false" ht="25.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11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1" activeCellId="0" sqref="C21"/>
    </sheetView>
  </sheetViews>
  <sheetFormatPr defaultColWidth="12.71484375" defaultRowHeight="12.75" customHeight="true" zeroHeight="false" outlineLevelRow="0" outlineLevelCol="0"/>
  <cols>
    <col collapsed="false" customWidth="true" hidden="false" outlineLevel="0" max="1" min="1" style="138" width="21.86"/>
    <col collapsed="false" customWidth="true" hidden="false" outlineLevel="0" max="2" min="2" style="138" width="24.43"/>
    <col collapsed="false" customWidth="true" hidden="false" outlineLevel="0" max="3" min="3" style="138" width="26"/>
    <col collapsed="false" customWidth="true" hidden="false" outlineLevel="0" max="4" min="4" style="174" width="18.57"/>
    <col collapsed="false" customWidth="true" hidden="false" outlineLevel="0" max="5" min="5" style="138" width="12.14"/>
    <col collapsed="false" customWidth="false" hidden="false" outlineLevel="0" max="16384" min="7" style="175" width="12.71"/>
  </cols>
  <sheetData>
    <row r="1" s="177" customFormat="true" ht="12.75" hidden="false" customHeight="false" outlineLevel="0" collapsed="false">
      <c r="A1" s="120" t="s">
        <v>146</v>
      </c>
      <c r="B1" s="120" t="s">
        <v>147</v>
      </c>
      <c r="C1" s="120" t="s">
        <v>148</v>
      </c>
      <c r="D1" s="176" t="s">
        <v>149</v>
      </c>
      <c r="E1" s="120" t="s">
        <v>150</v>
      </c>
    </row>
    <row r="2" customFormat="false" ht="12.75" hidden="false" customHeight="false" outlineLevel="0" collapsed="false">
      <c r="A2" s="178" t="s">
        <v>430</v>
      </c>
      <c r="B2" s="140" t="s">
        <v>431</v>
      </c>
      <c r="C2" s="140" t="s">
        <v>432</v>
      </c>
      <c r="D2" s="179"/>
      <c r="E2" s="140" t="s">
        <v>431</v>
      </c>
    </row>
    <row r="3" customFormat="false" ht="12.75" hidden="false" customHeight="false" outlineLevel="0" collapsed="false">
      <c r="A3" s="178" t="s">
        <v>430</v>
      </c>
      <c r="B3" s="138" t="s">
        <v>433</v>
      </c>
      <c r="C3" s="138" t="s">
        <v>434</v>
      </c>
      <c r="E3" s="138" t="s">
        <v>433</v>
      </c>
    </row>
    <row r="4" customFormat="false" ht="12.75" hidden="false" customHeight="false" outlineLevel="0" collapsed="false">
      <c r="A4" s="178" t="s">
        <v>430</v>
      </c>
      <c r="B4" s="138" t="s">
        <v>435</v>
      </c>
      <c r="C4" s="138" t="s">
        <v>436</v>
      </c>
      <c r="E4" s="138" t="s">
        <v>435</v>
      </c>
    </row>
    <row r="5" customFormat="false" ht="12.75" hidden="false" customHeight="false" outlineLevel="0" collapsed="false">
      <c r="A5" s="178" t="s">
        <v>430</v>
      </c>
      <c r="B5" s="138" t="s">
        <v>437</v>
      </c>
      <c r="C5" s="138" t="s">
        <v>438</v>
      </c>
      <c r="E5" s="138" t="s">
        <v>437</v>
      </c>
    </row>
    <row r="6" customFormat="false" ht="12.75" hidden="false" customHeight="false" outlineLevel="0" collapsed="false">
      <c r="A6" s="178" t="s">
        <v>430</v>
      </c>
      <c r="B6" s="138" t="s">
        <v>439</v>
      </c>
      <c r="C6" s="138" t="s">
        <v>440</v>
      </c>
      <c r="E6" s="138" t="s">
        <v>439</v>
      </c>
    </row>
    <row r="7" customFormat="false" ht="12.75" hidden="false" customHeight="false" outlineLevel="0" collapsed="false">
      <c r="A7" s="178" t="s">
        <v>430</v>
      </c>
      <c r="B7" s="138" t="s">
        <v>441</v>
      </c>
      <c r="C7" s="138" t="s">
        <v>442</v>
      </c>
      <c r="E7" s="138" t="s">
        <v>441</v>
      </c>
    </row>
    <row r="8" customFormat="false" ht="12.75" hidden="false" customHeight="false" outlineLevel="0" collapsed="false">
      <c r="A8" s="178" t="s">
        <v>430</v>
      </c>
      <c r="B8" s="138" t="s">
        <v>443</v>
      </c>
      <c r="C8" s="138" t="s">
        <v>444</v>
      </c>
      <c r="E8" s="138" t="s">
        <v>443</v>
      </c>
    </row>
    <row r="9" customFormat="false" ht="12.75" hidden="false" customHeight="false" outlineLevel="0" collapsed="false">
      <c r="A9" s="178" t="s">
        <v>430</v>
      </c>
      <c r="B9" s="138" t="s">
        <v>445</v>
      </c>
      <c r="C9" s="138" t="s">
        <v>446</v>
      </c>
      <c r="E9" s="138" t="s">
        <v>445</v>
      </c>
    </row>
    <row r="10" customFormat="false" ht="12.75" hidden="false" customHeight="false" outlineLevel="0" collapsed="false">
      <c r="A10" s="178" t="s">
        <v>430</v>
      </c>
      <c r="B10" s="138" t="s">
        <v>447</v>
      </c>
      <c r="C10" s="138" t="s">
        <v>448</v>
      </c>
      <c r="E10" s="138" t="s">
        <v>447</v>
      </c>
    </row>
    <row r="11" customFormat="false" ht="12.75" hidden="false" customHeight="false" outlineLevel="0" collapsed="false">
      <c r="A11" s="178" t="s">
        <v>430</v>
      </c>
      <c r="B11" s="138" t="s">
        <v>449</v>
      </c>
      <c r="C11" s="138" t="s">
        <v>450</v>
      </c>
      <c r="E11" s="138" t="s">
        <v>449</v>
      </c>
    </row>
    <row r="12" customFormat="false" ht="12.75" hidden="false" customHeight="false" outlineLevel="0" collapsed="false">
      <c r="A12" s="178" t="s">
        <v>430</v>
      </c>
      <c r="B12" s="138" t="s">
        <v>451</v>
      </c>
      <c r="C12" s="138" t="s">
        <v>452</v>
      </c>
      <c r="E12" s="138" t="s">
        <v>451</v>
      </c>
    </row>
    <row r="13" customFormat="false" ht="12.75" hidden="false" customHeight="false" outlineLevel="0" collapsed="false">
      <c r="A13" s="178" t="s">
        <v>430</v>
      </c>
      <c r="B13" s="138" t="s">
        <v>453</v>
      </c>
      <c r="C13" s="138" t="s">
        <v>454</v>
      </c>
      <c r="E13" s="138" t="s">
        <v>453</v>
      </c>
    </row>
    <row r="14" customFormat="false" ht="12.75" hidden="false" customHeight="false" outlineLevel="0" collapsed="false">
      <c r="A14" s="178" t="s">
        <v>430</v>
      </c>
      <c r="B14" s="138" t="s">
        <v>455</v>
      </c>
      <c r="C14" s="138" t="s">
        <v>456</v>
      </c>
      <c r="E14" s="138" t="s">
        <v>455</v>
      </c>
    </row>
    <row r="15" customFormat="false" ht="12.75" hidden="false" customHeight="false" outlineLevel="0" collapsed="false">
      <c r="A15" s="178" t="s">
        <v>430</v>
      </c>
      <c r="B15" s="138" t="s">
        <v>457</v>
      </c>
      <c r="C15" s="138" t="s">
        <v>458</v>
      </c>
      <c r="E15" s="138" t="s">
        <v>457</v>
      </c>
    </row>
    <row r="16" customFormat="false" ht="12.75" hidden="false" customHeight="false" outlineLevel="0" collapsed="false">
      <c r="A16" s="178" t="s">
        <v>430</v>
      </c>
      <c r="B16" s="138" t="s">
        <v>459</v>
      </c>
      <c r="C16" s="138" t="s">
        <v>460</v>
      </c>
      <c r="E16" s="138" t="s">
        <v>459</v>
      </c>
    </row>
    <row r="17" customFormat="false" ht="12.75" hidden="false" customHeight="false" outlineLevel="0" collapsed="false">
      <c r="A17" s="178" t="s">
        <v>430</v>
      </c>
      <c r="B17" s="138" t="s">
        <v>461</v>
      </c>
      <c r="C17" s="138" t="s">
        <v>462</v>
      </c>
      <c r="E17" s="138" t="s">
        <v>461</v>
      </c>
    </row>
    <row r="18" customFormat="false" ht="12.75" hidden="false" customHeight="false" outlineLevel="0" collapsed="false">
      <c r="A18" s="178" t="s">
        <v>430</v>
      </c>
      <c r="B18" s="138" t="s">
        <v>463</v>
      </c>
      <c r="C18" s="138" t="s">
        <v>464</v>
      </c>
      <c r="E18" s="138" t="s">
        <v>463</v>
      </c>
    </row>
    <row r="19" customFormat="false" ht="12.75" hidden="false" customHeight="false" outlineLevel="0" collapsed="false">
      <c r="A19" s="178" t="s">
        <v>430</v>
      </c>
      <c r="B19" s="138" t="s">
        <v>465</v>
      </c>
      <c r="C19" s="138" t="s">
        <v>466</v>
      </c>
      <c r="E19" s="138" t="s">
        <v>465</v>
      </c>
    </row>
    <row r="20" customFormat="false" ht="12.75" hidden="false" customHeight="false" outlineLevel="0" collapsed="false">
      <c r="A20" s="178" t="s">
        <v>430</v>
      </c>
      <c r="B20" s="138" t="s">
        <v>467</v>
      </c>
      <c r="C20" s="138" t="s">
        <v>468</v>
      </c>
      <c r="E20" s="138" t="s">
        <v>467</v>
      </c>
    </row>
    <row r="21" customFormat="false" ht="12.75" hidden="false" customHeight="false" outlineLevel="0" collapsed="false">
      <c r="A21" s="178" t="s">
        <v>430</v>
      </c>
      <c r="B21" s="138" t="s">
        <v>469</v>
      </c>
      <c r="C21" s="138" t="s">
        <v>470</v>
      </c>
      <c r="E21" s="138" t="s">
        <v>469</v>
      </c>
    </row>
    <row r="22" customFormat="false" ht="12.75" hidden="false" customHeight="false" outlineLevel="0" collapsed="false">
      <c r="A22" s="178" t="s">
        <v>430</v>
      </c>
      <c r="B22" s="138" t="s">
        <v>471</v>
      </c>
      <c r="C22" s="138" t="s">
        <v>472</v>
      </c>
      <c r="E22" s="138" t="s">
        <v>471</v>
      </c>
    </row>
    <row r="23" customFormat="false" ht="12.75" hidden="false" customHeight="false" outlineLevel="0" collapsed="false">
      <c r="A23" s="178" t="s">
        <v>430</v>
      </c>
      <c r="B23" s="138" t="s">
        <v>473</v>
      </c>
      <c r="C23" s="138" t="s">
        <v>474</v>
      </c>
      <c r="E23" s="138" t="s">
        <v>473</v>
      </c>
    </row>
    <row r="24" customFormat="false" ht="12.75" hidden="false" customHeight="false" outlineLevel="0" collapsed="false">
      <c r="A24" s="178" t="s">
        <v>430</v>
      </c>
      <c r="B24" s="138" t="s">
        <v>475</v>
      </c>
      <c r="C24" s="138" t="s">
        <v>476</v>
      </c>
      <c r="E24" s="138" t="s">
        <v>475</v>
      </c>
    </row>
    <row r="25" customFormat="false" ht="12.75" hidden="false" customHeight="false" outlineLevel="0" collapsed="false">
      <c r="A25" s="178" t="s">
        <v>430</v>
      </c>
      <c r="B25" s="138" t="s">
        <v>477</v>
      </c>
      <c r="C25" s="138" t="s">
        <v>478</v>
      </c>
      <c r="E25" s="138" t="s">
        <v>477</v>
      </c>
    </row>
    <row r="26" customFormat="false" ht="12.75" hidden="false" customHeight="false" outlineLevel="0" collapsed="false">
      <c r="A26" s="178" t="s">
        <v>430</v>
      </c>
      <c r="B26" s="138" t="s">
        <v>479</v>
      </c>
      <c r="C26" s="138" t="s">
        <v>480</v>
      </c>
      <c r="E26" s="138" t="s">
        <v>479</v>
      </c>
    </row>
    <row r="27" customFormat="false" ht="12.75" hidden="false" customHeight="false" outlineLevel="0" collapsed="false">
      <c r="A27" s="178" t="s">
        <v>430</v>
      </c>
      <c r="B27" s="138" t="s">
        <v>481</v>
      </c>
      <c r="C27" s="138" t="s">
        <v>482</v>
      </c>
      <c r="E27" s="138" t="s">
        <v>481</v>
      </c>
    </row>
    <row r="28" customFormat="false" ht="12.75" hidden="false" customHeight="false" outlineLevel="0" collapsed="false">
      <c r="A28" s="178" t="s">
        <v>430</v>
      </c>
      <c r="B28" s="138" t="s">
        <v>483</v>
      </c>
      <c r="C28" s="138" t="s">
        <v>484</v>
      </c>
      <c r="E28" s="138" t="s">
        <v>483</v>
      </c>
    </row>
    <row r="29" customFormat="false" ht="12.75" hidden="false" customHeight="false" outlineLevel="0" collapsed="false">
      <c r="A29" s="178" t="s">
        <v>430</v>
      </c>
      <c r="B29" s="138" t="s">
        <v>485</v>
      </c>
      <c r="C29" s="138" t="s">
        <v>486</v>
      </c>
      <c r="E29" s="138" t="s">
        <v>485</v>
      </c>
    </row>
    <row r="30" customFormat="false" ht="12.75" hidden="false" customHeight="false" outlineLevel="0" collapsed="false">
      <c r="A30" s="178" t="s">
        <v>430</v>
      </c>
      <c r="B30" s="138" t="s">
        <v>487</v>
      </c>
      <c r="C30" s="138" t="s">
        <v>488</v>
      </c>
      <c r="E30" s="138" t="s">
        <v>487</v>
      </c>
    </row>
    <row r="31" customFormat="false" ht="12.75" hidden="false" customHeight="false" outlineLevel="0" collapsed="false">
      <c r="A31" s="178" t="s">
        <v>430</v>
      </c>
      <c r="B31" s="138" t="s">
        <v>489</v>
      </c>
      <c r="C31" s="138" t="s">
        <v>490</v>
      </c>
      <c r="E31" s="138" t="s">
        <v>489</v>
      </c>
    </row>
    <row r="32" customFormat="false" ht="12.75" hidden="false" customHeight="false" outlineLevel="0" collapsed="false">
      <c r="A32" s="178" t="s">
        <v>430</v>
      </c>
      <c r="B32" s="138" t="s">
        <v>491</v>
      </c>
      <c r="C32" s="138" t="s">
        <v>492</v>
      </c>
      <c r="E32" s="138" t="s">
        <v>491</v>
      </c>
    </row>
    <row r="33" customFormat="false" ht="12.75" hidden="false" customHeight="false" outlineLevel="0" collapsed="false">
      <c r="A33" s="178" t="s">
        <v>430</v>
      </c>
      <c r="B33" s="138" t="s">
        <v>493</v>
      </c>
      <c r="C33" s="138" t="s">
        <v>494</v>
      </c>
      <c r="E33" s="138" t="s">
        <v>493</v>
      </c>
    </row>
    <row r="34" customFormat="false" ht="12.75" hidden="false" customHeight="false" outlineLevel="0" collapsed="false">
      <c r="A34" s="178" t="s">
        <v>430</v>
      </c>
      <c r="B34" s="138" t="s">
        <v>495</v>
      </c>
      <c r="C34" s="138" t="s">
        <v>496</v>
      </c>
      <c r="E34" s="138" t="s">
        <v>495</v>
      </c>
    </row>
    <row r="35" customFormat="false" ht="12.75" hidden="false" customHeight="false" outlineLevel="0" collapsed="false">
      <c r="A35" s="178" t="s">
        <v>430</v>
      </c>
      <c r="B35" s="138" t="s">
        <v>497</v>
      </c>
      <c r="C35" s="138" t="s">
        <v>498</v>
      </c>
      <c r="E35" s="138" t="s">
        <v>497</v>
      </c>
    </row>
    <row r="36" customFormat="false" ht="12.75" hidden="false" customHeight="false" outlineLevel="0" collapsed="false">
      <c r="A36" s="178" t="s">
        <v>430</v>
      </c>
      <c r="B36" s="138" t="s">
        <v>499</v>
      </c>
      <c r="C36" s="138" t="s">
        <v>500</v>
      </c>
      <c r="E36" s="138" t="s">
        <v>499</v>
      </c>
    </row>
    <row r="37" customFormat="false" ht="12.75" hidden="false" customHeight="false" outlineLevel="0" collapsed="false">
      <c r="A37" s="178" t="s">
        <v>430</v>
      </c>
      <c r="B37" s="138" t="s">
        <v>501</v>
      </c>
      <c r="C37" s="138" t="s">
        <v>502</v>
      </c>
      <c r="E37" s="138" t="s">
        <v>501</v>
      </c>
    </row>
    <row r="38" customFormat="false" ht="12.75" hidden="false" customHeight="false" outlineLevel="0" collapsed="false">
      <c r="A38" s="178" t="s">
        <v>430</v>
      </c>
      <c r="B38" s="138" t="s">
        <v>503</v>
      </c>
      <c r="C38" s="138" t="s">
        <v>504</v>
      </c>
      <c r="E38" s="138" t="s">
        <v>503</v>
      </c>
    </row>
    <row r="39" customFormat="false" ht="12.75" hidden="false" customHeight="false" outlineLevel="0" collapsed="false">
      <c r="A39" s="178" t="s">
        <v>430</v>
      </c>
      <c r="B39" s="138" t="s">
        <v>505</v>
      </c>
      <c r="C39" s="138" t="s">
        <v>506</v>
      </c>
      <c r="E39" s="138" t="s">
        <v>505</v>
      </c>
    </row>
    <row r="40" customFormat="false" ht="12.75" hidden="false" customHeight="false" outlineLevel="0" collapsed="false">
      <c r="A40" s="178" t="s">
        <v>430</v>
      </c>
      <c r="B40" s="138" t="s">
        <v>507</v>
      </c>
      <c r="C40" s="138" t="s">
        <v>508</v>
      </c>
      <c r="E40" s="138" t="s">
        <v>507</v>
      </c>
    </row>
    <row r="41" customFormat="false" ht="12.75" hidden="false" customHeight="false" outlineLevel="0" collapsed="false">
      <c r="A41" s="178" t="s">
        <v>430</v>
      </c>
      <c r="B41" s="138" t="s">
        <v>509</v>
      </c>
      <c r="C41" s="138" t="s">
        <v>510</v>
      </c>
      <c r="E41" s="138" t="s">
        <v>509</v>
      </c>
    </row>
    <row r="42" customFormat="false" ht="12.75" hidden="false" customHeight="false" outlineLevel="0" collapsed="false">
      <c r="A42" s="178" t="s">
        <v>430</v>
      </c>
      <c r="B42" s="138" t="s">
        <v>511</v>
      </c>
      <c r="C42" s="138" t="s">
        <v>512</v>
      </c>
      <c r="E42" s="138" t="s">
        <v>511</v>
      </c>
    </row>
    <row r="43" customFormat="false" ht="12.75" hidden="false" customHeight="false" outlineLevel="0" collapsed="false">
      <c r="A43" s="178" t="s">
        <v>430</v>
      </c>
      <c r="B43" s="138" t="s">
        <v>513</v>
      </c>
      <c r="C43" s="138" t="s">
        <v>514</v>
      </c>
      <c r="E43" s="138" t="s">
        <v>513</v>
      </c>
    </row>
    <row r="44" customFormat="false" ht="12.75" hidden="false" customHeight="false" outlineLevel="0" collapsed="false">
      <c r="A44" s="178" t="s">
        <v>430</v>
      </c>
      <c r="B44" s="138" t="s">
        <v>515</v>
      </c>
      <c r="C44" s="138" t="s">
        <v>516</v>
      </c>
      <c r="E44" s="138" t="s">
        <v>515</v>
      </c>
    </row>
    <row r="45" customFormat="false" ht="12.75" hidden="false" customHeight="false" outlineLevel="0" collapsed="false">
      <c r="A45" s="178" t="s">
        <v>430</v>
      </c>
      <c r="B45" s="138" t="s">
        <v>517</v>
      </c>
      <c r="C45" s="138" t="s">
        <v>518</v>
      </c>
      <c r="E45" s="138" t="s">
        <v>517</v>
      </c>
    </row>
    <row r="46" customFormat="false" ht="12.75" hidden="false" customHeight="false" outlineLevel="0" collapsed="false">
      <c r="A46" s="178" t="s">
        <v>430</v>
      </c>
      <c r="B46" s="138" t="s">
        <v>519</v>
      </c>
      <c r="C46" s="138" t="s">
        <v>520</v>
      </c>
      <c r="E46" s="138" t="s">
        <v>519</v>
      </c>
    </row>
    <row r="47" customFormat="false" ht="12.75" hidden="false" customHeight="false" outlineLevel="0" collapsed="false">
      <c r="A47" s="178" t="s">
        <v>430</v>
      </c>
      <c r="B47" s="138" t="s">
        <v>521</v>
      </c>
      <c r="C47" s="138" t="s">
        <v>522</v>
      </c>
      <c r="E47" s="138" t="s">
        <v>521</v>
      </c>
    </row>
    <row r="48" customFormat="false" ht="12.75" hidden="false" customHeight="false" outlineLevel="0" collapsed="false">
      <c r="A48" s="178" t="s">
        <v>430</v>
      </c>
      <c r="B48" s="138" t="s">
        <v>523</v>
      </c>
      <c r="C48" s="138" t="s">
        <v>524</v>
      </c>
      <c r="E48" s="138" t="s">
        <v>523</v>
      </c>
    </row>
    <row r="49" customFormat="false" ht="12.75" hidden="false" customHeight="false" outlineLevel="0" collapsed="false">
      <c r="A49" s="178" t="s">
        <v>430</v>
      </c>
      <c r="B49" s="138" t="s">
        <v>525</v>
      </c>
      <c r="C49" s="138" t="s">
        <v>526</v>
      </c>
      <c r="E49" s="138" t="s">
        <v>525</v>
      </c>
    </row>
    <row r="50" customFormat="false" ht="12.75" hidden="false" customHeight="false" outlineLevel="0" collapsed="false">
      <c r="A50" s="178" t="s">
        <v>430</v>
      </c>
      <c r="B50" s="138" t="s">
        <v>527</v>
      </c>
      <c r="C50" s="138" t="s">
        <v>528</v>
      </c>
      <c r="E50" s="138" t="s">
        <v>527</v>
      </c>
    </row>
    <row r="51" customFormat="false" ht="12.75" hidden="false" customHeight="false" outlineLevel="0" collapsed="false">
      <c r="A51" s="178" t="s">
        <v>430</v>
      </c>
      <c r="B51" s="138" t="s">
        <v>529</v>
      </c>
      <c r="C51" s="138" t="s">
        <v>530</v>
      </c>
      <c r="E51" s="138" t="s">
        <v>529</v>
      </c>
    </row>
    <row r="52" customFormat="false" ht="12.75" hidden="false" customHeight="false" outlineLevel="0" collapsed="false">
      <c r="A52" s="178" t="s">
        <v>430</v>
      </c>
      <c r="B52" s="138" t="s">
        <v>531</v>
      </c>
      <c r="C52" s="138" t="s">
        <v>532</v>
      </c>
      <c r="E52" s="138" t="s">
        <v>531</v>
      </c>
    </row>
    <row r="53" customFormat="false" ht="12.75" hidden="false" customHeight="false" outlineLevel="0" collapsed="false">
      <c r="A53" s="178" t="s">
        <v>430</v>
      </c>
      <c r="B53" s="138" t="s">
        <v>533</v>
      </c>
      <c r="C53" s="138" t="s">
        <v>534</v>
      </c>
      <c r="E53" s="138" t="s">
        <v>533</v>
      </c>
    </row>
    <row r="54" customFormat="false" ht="12.75" hidden="false" customHeight="false" outlineLevel="0" collapsed="false">
      <c r="A54" s="178" t="s">
        <v>430</v>
      </c>
      <c r="B54" s="138" t="s">
        <v>535</v>
      </c>
      <c r="C54" s="138" t="s">
        <v>536</v>
      </c>
      <c r="E54" s="138" t="s">
        <v>535</v>
      </c>
    </row>
    <row r="55" customFormat="false" ht="12.75" hidden="false" customHeight="false" outlineLevel="0" collapsed="false">
      <c r="A55" s="178" t="s">
        <v>430</v>
      </c>
      <c r="B55" s="138" t="s">
        <v>537</v>
      </c>
      <c r="C55" s="138" t="s">
        <v>538</v>
      </c>
      <c r="E55" s="138" t="s">
        <v>537</v>
      </c>
    </row>
    <row r="56" customFormat="false" ht="12.75" hidden="false" customHeight="false" outlineLevel="0" collapsed="false">
      <c r="A56" s="178" t="s">
        <v>430</v>
      </c>
      <c r="B56" s="138" t="s">
        <v>539</v>
      </c>
      <c r="C56" s="138" t="s">
        <v>540</v>
      </c>
      <c r="E56" s="138" t="s">
        <v>539</v>
      </c>
    </row>
    <row r="57" customFormat="false" ht="12.75" hidden="false" customHeight="false" outlineLevel="0" collapsed="false">
      <c r="A57" s="178" t="s">
        <v>430</v>
      </c>
      <c r="B57" s="138" t="s">
        <v>541</v>
      </c>
      <c r="C57" s="138" t="s">
        <v>542</v>
      </c>
      <c r="E57" s="138" t="s">
        <v>541</v>
      </c>
    </row>
    <row r="58" customFormat="false" ht="12.75" hidden="false" customHeight="false" outlineLevel="0" collapsed="false">
      <c r="A58" s="178" t="s">
        <v>430</v>
      </c>
      <c r="B58" s="138" t="s">
        <v>543</v>
      </c>
      <c r="C58" s="138" t="s">
        <v>544</v>
      </c>
      <c r="E58" s="138" t="s">
        <v>543</v>
      </c>
    </row>
    <row r="59" customFormat="false" ht="12.75" hidden="false" customHeight="false" outlineLevel="0" collapsed="false">
      <c r="A59" s="178" t="s">
        <v>430</v>
      </c>
      <c r="B59" s="138" t="s">
        <v>545</v>
      </c>
      <c r="C59" s="138" t="s">
        <v>546</v>
      </c>
      <c r="E59" s="138" t="s">
        <v>545</v>
      </c>
    </row>
    <row r="60" customFormat="false" ht="12.75" hidden="false" customHeight="false" outlineLevel="0" collapsed="false">
      <c r="A60" s="178" t="s">
        <v>430</v>
      </c>
      <c r="B60" s="138" t="s">
        <v>547</v>
      </c>
      <c r="C60" s="138" t="s">
        <v>548</v>
      </c>
      <c r="E60" s="138" t="s">
        <v>547</v>
      </c>
    </row>
    <row r="61" customFormat="false" ht="12.75" hidden="false" customHeight="false" outlineLevel="0" collapsed="false">
      <c r="A61" s="178" t="s">
        <v>430</v>
      </c>
      <c r="B61" s="138" t="s">
        <v>549</v>
      </c>
      <c r="C61" s="138" t="s">
        <v>550</v>
      </c>
      <c r="E61" s="138" t="s">
        <v>549</v>
      </c>
    </row>
    <row r="62" customFormat="false" ht="12.75" hidden="false" customHeight="false" outlineLevel="0" collapsed="false">
      <c r="A62" s="178" t="s">
        <v>430</v>
      </c>
      <c r="B62" s="138" t="s">
        <v>551</v>
      </c>
      <c r="C62" s="138" t="s">
        <v>552</v>
      </c>
      <c r="E62" s="138" t="s">
        <v>551</v>
      </c>
    </row>
    <row r="63" customFormat="false" ht="12.75" hidden="false" customHeight="false" outlineLevel="0" collapsed="false">
      <c r="A63" s="178" t="s">
        <v>430</v>
      </c>
      <c r="B63" s="138" t="s">
        <v>553</v>
      </c>
      <c r="C63" s="138" t="s">
        <v>554</v>
      </c>
      <c r="E63" s="138" t="s">
        <v>553</v>
      </c>
    </row>
    <row r="64" customFormat="false" ht="12.75" hidden="false" customHeight="false" outlineLevel="0" collapsed="false">
      <c r="A64" s="178" t="s">
        <v>430</v>
      </c>
      <c r="B64" s="138" t="s">
        <v>555</v>
      </c>
      <c r="C64" s="138" t="s">
        <v>556</v>
      </c>
      <c r="E64" s="138" t="s">
        <v>555</v>
      </c>
    </row>
    <row r="65" customFormat="false" ht="12.75" hidden="false" customHeight="false" outlineLevel="0" collapsed="false">
      <c r="A65" s="178" t="s">
        <v>430</v>
      </c>
      <c r="B65" s="138" t="s">
        <v>557</v>
      </c>
      <c r="C65" s="138" t="s">
        <v>558</v>
      </c>
      <c r="E65" s="138" t="s">
        <v>557</v>
      </c>
    </row>
    <row r="66" customFormat="false" ht="12.75" hidden="false" customHeight="false" outlineLevel="0" collapsed="false">
      <c r="A66" s="178" t="s">
        <v>430</v>
      </c>
      <c r="B66" s="138" t="s">
        <v>559</v>
      </c>
      <c r="C66" s="138" t="s">
        <v>560</v>
      </c>
      <c r="E66" s="138" t="s">
        <v>559</v>
      </c>
    </row>
    <row r="67" customFormat="false" ht="12.75" hidden="false" customHeight="false" outlineLevel="0" collapsed="false">
      <c r="A67" s="178" t="s">
        <v>430</v>
      </c>
      <c r="B67" s="138" t="s">
        <v>561</v>
      </c>
      <c r="C67" s="138" t="s">
        <v>562</v>
      </c>
      <c r="E67" s="138" t="s">
        <v>561</v>
      </c>
    </row>
    <row r="68" customFormat="false" ht="12.75" hidden="false" customHeight="false" outlineLevel="0" collapsed="false">
      <c r="A68" s="178" t="s">
        <v>430</v>
      </c>
      <c r="B68" s="138" t="s">
        <v>563</v>
      </c>
      <c r="C68" s="138" t="s">
        <v>564</v>
      </c>
      <c r="E68" s="138" t="s">
        <v>563</v>
      </c>
    </row>
    <row r="69" customFormat="false" ht="12.75" hidden="false" customHeight="false" outlineLevel="0" collapsed="false">
      <c r="A69" s="178" t="s">
        <v>430</v>
      </c>
      <c r="B69" s="138" t="s">
        <v>565</v>
      </c>
      <c r="C69" s="138" t="s">
        <v>566</v>
      </c>
      <c r="E69" s="138" t="s">
        <v>565</v>
      </c>
    </row>
    <row r="70" customFormat="false" ht="12.75" hidden="false" customHeight="false" outlineLevel="0" collapsed="false">
      <c r="A70" s="178" t="s">
        <v>430</v>
      </c>
      <c r="B70" s="138" t="s">
        <v>567</v>
      </c>
      <c r="C70" s="138" t="s">
        <v>568</v>
      </c>
      <c r="E70" s="138" t="s">
        <v>567</v>
      </c>
    </row>
    <row r="71" customFormat="false" ht="12.75" hidden="false" customHeight="false" outlineLevel="0" collapsed="false">
      <c r="A71" s="178" t="s">
        <v>430</v>
      </c>
      <c r="B71" s="138" t="s">
        <v>569</v>
      </c>
      <c r="C71" s="138" t="s">
        <v>570</v>
      </c>
      <c r="E71" s="138" t="s">
        <v>569</v>
      </c>
    </row>
    <row r="72" customFormat="false" ht="12.75" hidden="false" customHeight="false" outlineLevel="0" collapsed="false">
      <c r="A72" s="178" t="s">
        <v>430</v>
      </c>
      <c r="B72" s="138" t="s">
        <v>571</v>
      </c>
      <c r="C72" s="138" t="s">
        <v>572</v>
      </c>
      <c r="E72" s="138" t="s">
        <v>571</v>
      </c>
    </row>
    <row r="73" customFormat="false" ht="12.75" hidden="false" customHeight="false" outlineLevel="0" collapsed="false">
      <c r="A73" s="178" t="s">
        <v>430</v>
      </c>
      <c r="B73" s="138" t="s">
        <v>573</v>
      </c>
      <c r="C73" s="138" t="s">
        <v>574</v>
      </c>
      <c r="E73" s="138" t="s">
        <v>573</v>
      </c>
    </row>
    <row r="74" customFormat="false" ht="12.75" hidden="false" customHeight="false" outlineLevel="0" collapsed="false">
      <c r="A74" s="178" t="s">
        <v>430</v>
      </c>
      <c r="B74" s="138" t="s">
        <v>575</v>
      </c>
      <c r="C74" s="138" t="s">
        <v>576</v>
      </c>
      <c r="E74" s="138" t="s">
        <v>575</v>
      </c>
    </row>
    <row r="75" customFormat="false" ht="12.75" hidden="false" customHeight="false" outlineLevel="0" collapsed="false">
      <c r="A75" s="178" t="s">
        <v>430</v>
      </c>
      <c r="B75" s="138" t="s">
        <v>577</v>
      </c>
      <c r="C75" s="138" t="s">
        <v>578</v>
      </c>
      <c r="E75" s="138" t="s">
        <v>577</v>
      </c>
    </row>
    <row r="76" customFormat="false" ht="12.75" hidden="false" customHeight="false" outlineLevel="0" collapsed="false">
      <c r="A76" s="178" t="s">
        <v>430</v>
      </c>
      <c r="B76" s="138" t="s">
        <v>579</v>
      </c>
      <c r="C76" s="138" t="s">
        <v>580</v>
      </c>
      <c r="E76" s="138" t="s">
        <v>579</v>
      </c>
    </row>
    <row r="77" customFormat="false" ht="12.75" hidden="false" customHeight="false" outlineLevel="0" collapsed="false">
      <c r="A77" s="178" t="s">
        <v>430</v>
      </c>
      <c r="B77" s="138" t="s">
        <v>581</v>
      </c>
      <c r="C77" s="138" t="s">
        <v>582</v>
      </c>
      <c r="E77" s="138" t="s">
        <v>581</v>
      </c>
    </row>
    <row r="78" customFormat="false" ht="12.75" hidden="false" customHeight="false" outlineLevel="0" collapsed="false">
      <c r="A78" s="178" t="s">
        <v>430</v>
      </c>
      <c r="B78" s="138" t="s">
        <v>583</v>
      </c>
      <c r="C78" s="138" t="s">
        <v>584</v>
      </c>
      <c r="E78" s="138" t="s">
        <v>583</v>
      </c>
    </row>
    <row r="79" customFormat="false" ht="12.75" hidden="false" customHeight="false" outlineLevel="0" collapsed="false">
      <c r="A79" s="178" t="s">
        <v>430</v>
      </c>
      <c r="B79" s="138" t="s">
        <v>585</v>
      </c>
      <c r="C79" s="138" t="s">
        <v>586</v>
      </c>
      <c r="E79" s="138" t="s">
        <v>585</v>
      </c>
    </row>
    <row r="80" customFormat="false" ht="12.75" hidden="false" customHeight="false" outlineLevel="0" collapsed="false">
      <c r="A80" s="178" t="s">
        <v>430</v>
      </c>
      <c r="B80" s="138" t="s">
        <v>587</v>
      </c>
      <c r="C80" s="138" t="s">
        <v>588</v>
      </c>
      <c r="E80" s="138" t="s">
        <v>587</v>
      </c>
    </row>
    <row r="81" customFormat="false" ht="12.75" hidden="false" customHeight="false" outlineLevel="0" collapsed="false">
      <c r="A81" s="178" t="s">
        <v>430</v>
      </c>
      <c r="B81" s="138" t="s">
        <v>589</v>
      </c>
      <c r="C81" s="138" t="s">
        <v>590</v>
      </c>
      <c r="E81" s="138" t="s">
        <v>589</v>
      </c>
    </row>
    <row r="82" customFormat="false" ht="12.75" hidden="false" customHeight="false" outlineLevel="0" collapsed="false">
      <c r="A82" s="178" t="s">
        <v>430</v>
      </c>
      <c r="B82" s="138" t="s">
        <v>591</v>
      </c>
      <c r="C82" s="138" t="s">
        <v>592</v>
      </c>
      <c r="E82" s="138" t="s">
        <v>591</v>
      </c>
    </row>
    <row r="83" customFormat="false" ht="12.75" hidden="false" customHeight="false" outlineLevel="0" collapsed="false">
      <c r="A83" s="178" t="s">
        <v>430</v>
      </c>
      <c r="B83" s="138" t="s">
        <v>593</v>
      </c>
      <c r="C83" s="138" t="s">
        <v>594</v>
      </c>
      <c r="E83" s="138" t="s">
        <v>593</v>
      </c>
    </row>
    <row r="84" customFormat="false" ht="12.75" hidden="false" customHeight="false" outlineLevel="0" collapsed="false">
      <c r="A84" s="178" t="s">
        <v>430</v>
      </c>
      <c r="B84" s="138" t="s">
        <v>595</v>
      </c>
      <c r="C84" s="138" t="s">
        <v>596</v>
      </c>
      <c r="E84" s="138" t="s">
        <v>595</v>
      </c>
    </row>
    <row r="85" customFormat="false" ht="12.75" hidden="false" customHeight="false" outlineLevel="0" collapsed="false">
      <c r="A85" s="178" t="s">
        <v>430</v>
      </c>
      <c r="B85" s="138" t="s">
        <v>597</v>
      </c>
      <c r="C85" s="138" t="s">
        <v>598</v>
      </c>
      <c r="E85" s="138" t="s">
        <v>597</v>
      </c>
    </row>
    <row r="86" customFormat="false" ht="12.75" hidden="false" customHeight="false" outlineLevel="0" collapsed="false">
      <c r="A86" s="178" t="s">
        <v>430</v>
      </c>
      <c r="B86" s="138" t="s">
        <v>599</v>
      </c>
      <c r="C86" s="138" t="s">
        <v>600</v>
      </c>
      <c r="E86" s="138" t="s">
        <v>599</v>
      </c>
    </row>
    <row r="87" customFormat="false" ht="12.75" hidden="false" customHeight="false" outlineLevel="0" collapsed="false">
      <c r="A87" s="178" t="s">
        <v>430</v>
      </c>
      <c r="B87" s="138" t="s">
        <v>601</v>
      </c>
      <c r="C87" s="138" t="s">
        <v>602</v>
      </c>
      <c r="E87" s="138" t="s">
        <v>601</v>
      </c>
    </row>
    <row r="88" customFormat="false" ht="12.75" hidden="false" customHeight="false" outlineLevel="0" collapsed="false">
      <c r="A88" s="178" t="s">
        <v>430</v>
      </c>
      <c r="B88" s="138" t="s">
        <v>603</v>
      </c>
      <c r="C88" s="138" t="s">
        <v>604</v>
      </c>
      <c r="E88" s="138" t="s">
        <v>603</v>
      </c>
    </row>
    <row r="89" customFormat="false" ht="12.75" hidden="false" customHeight="false" outlineLevel="0" collapsed="false">
      <c r="A89" s="178" t="s">
        <v>430</v>
      </c>
      <c r="B89" s="138" t="s">
        <v>605</v>
      </c>
      <c r="C89" s="138" t="s">
        <v>606</v>
      </c>
      <c r="E89" s="138" t="s">
        <v>605</v>
      </c>
    </row>
    <row r="90" customFormat="false" ht="12.75" hidden="false" customHeight="false" outlineLevel="0" collapsed="false">
      <c r="A90" s="178" t="s">
        <v>430</v>
      </c>
      <c r="B90" s="138" t="s">
        <v>607</v>
      </c>
      <c r="C90" s="138" t="s">
        <v>608</v>
      </c>
      <c r="E90" s="138" t="s">
        <v>607</v>
      </c>
    </row>
    <row r="91" customFormat="false" ht="12.75" hidden="false" customHeight="false" outlineLevel="0" collapsed="false">
      <c r="A91" s="178" t="s">
        <v>430</v>
      </c>
      <c r="B91" s="138" t="s">
        <v>609</v>
      </c>
      <c r="C91" s="138" t="s">
        <v>610</v>
      </c>
      <c r="E91" s="138" t="s">
        <v>609</v>
      </c>
    </row>
    <row r="92" customFormat="false" ht="12.75" hidden="false" customHeight="false" outlineLevel="0" collapsed="false">
      <c r="A92" s="178" t="s">
        <v>430</v>
      </c>
      <c r="B92" s="138" t="s">
        <v>611</v>
      </c>
      <c r="C92" s="138" t="s">
        <v>612</v>
      </c>
      <c r="E92" s="138" t="s">
        <v>611</v>
      </c>
    </row>
    <row r="93" customFormat="false" ht="12.75" hidden="false" customHeight="false" outlineLevel="0" collapsed="false">
      <c r="A93" s="178" t="s">
        <v>430</v>
      </c>
      <c r="B93" s="138" t="s">
        <v>613</v>
      </c>
      <c r="C93" s="138" t="s">
        <v>614</v>
      </c>
      <c r="E93" s="138" t="s">
        <v>613</v>
      </c>
    </row>
    <row r="94" customFormat="false" ht="12.75" hidden="false" customHeight="false" outlineLevel="0" collapsed="false">
      <c r="A94" s="178" t="s">
        <v>430</v>
      </c>
      <c r="B94" s="138" t="s">
        <v>615</v>
      </c>
      <c r="C94" s="138" t="s">
        <v>616</v>
      </c>
      <c r="E94" s="138" t="s">
        <v>615</v>
      </c>
    </row>
    <row r="95" customFormat="false" ht="12.75" hidden="false" customHeight="false" outlineLevel="0" collapsed="false">
      <c r="A95" s="178" t="s">
        <v>430</v>
      </c>
      <c r="B95" s="138" t="s">
        <v>617</v>
      </c>
      <c r="C95" s="138" t="s">
        <v>618</v>
      </c>
      <c r="E95" s="138" t="s">
        <v>617</v>
      </c>
    </row>
    <row r="96" customFormat="false" ht="12.75" hidden="false" customHeight="false" outlineLevel="0" collapsed="false">
      <c r="A96" s="178" t="s">
        <v>430</v>
      </c>
      <c r="B96" s="138" t="s">
        <v>619</v>
      </c>
      <c r="C96" s="138" t="s">
        <v>620</v>
      </c>
      <c r="E96" s="138" t="s">
        <v>619</v>
      </c>
    </row>
    <row r="97" customFormat="false" ht="12.75" hidden="false" customHeight="false" outlineLevel="0" collapsed="false">
      <c r="A97" s="178" t="s">
        <v>430</v>
      </c>
      <c r="B97" s="138" t="s">
        <v>621</v>
      </c>
      <c r="C97" s="138" t="s">
        <v>622</v>
      </c>
      <c r="E97" s="138" t="s">
        <v>621</v>
      </c>
    </row>
    <row r="98" customFormat="false" ht="12.75" hidden="false" customHeight="false" outlineLevel="0" collapsed="false">
      <c r="A98" s="178" t="s">
        <v>430</v>
      </c>
      <c r="B98" s="138" t="s">
        <v>623</v>
      </c>
      <c r="C98" s="138" t="s">
        <v>624</v>
      </c>
      <c r="E98" s="138" t="s">
        <v>623</v>
      </c>
    </row>
    <row r="99" customFormat="false" ht="12.75" hidden="false" customHeight="false" outlineLevel="0" collapsed="false">
      <c r="A99" s="178" t="s">
        <v>430</v>
      </c>
      <c r="B99" s="138" t="s">
        <v>625</v>
      </c>
      <c r="C99" s="138" t="s">
        <v>626</v>
      </c>
      <c r="E99" s="138" t="s">
        <v>625</v>
      </c>
    </row>
    <row r="100" customFormat="false" ht="12.75" hidden="false" customHeight="false" outlineLevel="0" collapsed="false">
      <c r="A100" s="178" t="s">
        <v>430</v>
      </c>
      <c r="B100" s="138" t="s">
        <v>627</v>
      </c>
      <c r="C100" s="138" t="s">
        <v>628</v>
      </c>
      <c r="E100" s="138" t="s">
        <v>627</v>
      </c>
    </row>
    <row r="101" customFormat="false" ht="12.75" hidden="false" customHeight="false" outlineLevel="0" collapsed="false">
      <c r="A101" s="178" t="s">
        <v>430</v>
      </c>
      <c r="B101" s="138" t="s">
        <v>629</v>
      </c>
      <c r="C101" s="138" t="s">
        <v>630</v>
      </c>
      <c r="E101" s="138" t="s">
        <v>629</v>
      </c>
    </row>
    <row r="102" customFormat="false" ht="12.75" hidden="false" customHeight="false" outlineLevel="0" collapsed="false">
      <c r="A102" s="178" t="s">
        <v>430</v>
      </c>
      <c r="B102" s="138" t="s">
        <v>631</v>
      </c>
      <c r="C102" s="138" t="s">
        <v>632</v>
      </c>
      <c r="E102" s="138" t="s">
        <v>631</v>
      </c>
    </row>
    <row r="103" customFormat="false" ht="12.75" hidden="false" customHeight="false" outlineLevel="0" collapsed="false">
      <c r="A103" s="178" t="s">
        <v>430</v>
      </c>
      <c r="B103" s="138" t="s">
        <v>633</v>
      </c>
      <c r="C103" s="138" t="s">
        <v>634</v>
      </c>
      <c r="E103" s="138" t="s">
        <v>633</v>
      </c>
    </row>
    <row r="104" customFormat="false" ht="12.75" hidden="false" customHeight="false" outlineLevel="0" collapsed="false">
      <c r="A104" s="178" t="s">
        <v>430</v>
      </c>
      <c r="B104" s="138" t="s">
        <v>635</v>
      </c>
      <c r="C104" s="138" t="s">
        <v>636</v>
      </c>
      <c r="E104" s="138" t="s">
        <v>635</v>
      </c>
    </row>
    <row r="105" customFormat="false" ht="12.75" hidden="false" customHeight="false" outlineLevel="0" collapsed="false">
      <c r="A105" s="178" t="s">
        <v>430</v>
      </c>
      <c r="B105" s="138" t="s">
        <v>637</v>
      </c>
      <c r="C105" s="138" t="s">
        <v>638</v>
      </c>
      <c r="E105" s="138" t="s">
        <v>637</v>
      </c>
    </row>
    <row r="106" customFormat="false" ht="12.75" hidden="false" customHeight="false" outlineLevel="0" collapsed="false">
      <c r="A106" s="178" t="s">
        <v>430</v>
      </c>
      <c r="B106" s="138" t="s">
        <v>639</v>
      </c>
      <c r="C106" s="138" t="s">
        <v>640</v>
      </c>
      <c r="E106" s="138" t="s">
        <v>639</v>
      </c>
    </row>
    <row r="107" customFormat="false" ht="12.75" hidden="false" customHeight="false" outlineLevel="0" collapsed="false">
      <c r="A107" s="178" t="s">
        <v>430</v>
      </c>
      <c r="B107" s="138" t="s">
        <v>641</v>
      </c>
      <c r="C107" s="138" t="s">
        <v>642</v>
      </c>
      <c r="E107" s="138" t="s">
        <v>641</v>
      </c>
    </row>
    <row r="108" customFormat="false" ht="12.75" hidden="false" customHeight="false" outlineLevel="0" collapsed="false">
      <c r="A108" s="178" t="s">
        <v>430</v>
      </c>
      <c r="B108" s="138" t="s">
        <v>643</v>
      </c>
      <c r="C108" s="138" t="s">
        <v>644</v>
      </c>
      <c r="E108" s="138" t="s">
        <v>643</v>
      </c>
    </row>
    <row r="109" customFormat="false" ht="12.75" hidden="false" customHeight="false" outlineLevel="0" collapsed="false">
      <c r="A109" s="178" t="s">
        <v>430</v>
      </c>
      <c r="B109" s="138" t="s">
        <v>645</v>
      </c>
      <c r="C109" s="138" t="s">
        <v>646</v>
      </c>
      <c r="E109" s="138" t="s">
        <v>645</v>
      </c>
    </row>
    <row r="110" customFormat="false" ht="12.75" hidden="false" customHeight="false" outlineLevel="0" collapsed="false">
      <c r="A110" s="178" t="s">
        <v>430</v>
      </c>
      <c r="B110" s="138" t="s">
        <v>647</v>
      </c>
      <c r="C110" s="138" t="s">
        <v>648</v>
      </c>
      <c r="E110" s="138" t="s">
        <v>647</v>
      </c>
    </row>
    <row r="111" customFormat="false" ht="12.75" hidden="false" customHeight="false" outlineLevel="0" collapsed="false">
      <c r="A111" s="178" t="s">
        <v>430</v>
      </c>
      <c r="B111" s="138" t="s">
        <v>649</v>
      </c>
      <c r="C111" s="138" t="s">
        <v>650</v>
      </c>
      <c r="E111" s="138" t="s">
        <v>649</v>
      </c>
    </row>
    <row r="112" customFormat="false" ht="12.75" hidden="false" customHeight="false" outlineLevel="0" collapsed="false">
      <c r="A112" s="178" t="s">
        <v>430</v>
      </c>
      <c r="B112" s="138" t="s">
        <v>651</v>
      </c>
      <c r="C112" s="138" t="s">
        <v>652</v>
      </c>
      <c r="E112" s="138" t="s">
        <v>651</v>
      </c>
    </row>
    <row r="113" customFormat="false" ht="12.75" hidden="false" customHeight="false" outlineLevel="0" collapsed="false">
      <c r="A113" s="178" t="s">
        <v>430</v>
      </c>
      <c r="B113" s="138" t="s">
        <v>653</v>
      </c>
      <c r="C113" s="138" t="s">
        <v>654</v>
      </c>
      <c r="E113" s="138" t="s">
        <v>653</v>
      </c>
    </row>
    <row r="114" customFormat="false" ht="12.75" hidden="false" customHeight="false" outlineLevel="0" collapsed="false">
      <c r="A114" s="178" t="s">
        <v>430</v>
      </c>
      <c r="B114" s="138" t="s">
        <v>655</v>
      </c>
      <c r="C114" s="138" t="s">
        <v>656</v>
      </c>
      <c r="E114" s="138" t="s">
        <v>655</v>
      </c>
    </row>
    <row r="115" customFormat="false" ht="12.75" hidden="false" customHeight="false" outlineLevel="0" collapsed="false">
      <c r="A115" s="178" t="s">
        <v>430</v>
      </c>
      <c r="B115" s="138" t="s">
        <v>657</v>
      </c>
      <c r="C115" s="138" t="s">
        <v>658</v>
      </c>
      <c r="E115" s="138" t="s">
        <v>657</v>
      </c>
    </row>
    <row r="116" customFormat="false" ht="12.75" hidden="false" customHeight="false" outlineLevel="0" collapsed="false">
      <c r="A116" s="178" t="s">
        <v>430</v>
      </c>
      <c r="B116" s="138" t="s">
        <v>659</v>
      </c>
      <c r="C116" s="138" t="s">
        <v>660</v>
      </c>
      <c r="E116" s="138" t="s">
        <v>659</v>
      </c>
    </row>
    <row r="117" customFormat="false" ht="12.75" hidden="false" customHeight="false" outlineLevel="0" collapsed="false">
      <c r="A117" s="178" t="s">
        <v>430</v>
      </c>
      <c r="B117" s="138" t="s">
        <v>661</v>
      </c>
      <c r="C117" s="138" t="s">
        <v>662</v>
      </c>
      <c r="E117" s="138" t="s">
        <v>661</v>
      </c>
    </row>
    <row r="118" customFormat="false" ht="12.75" hidden="false" customHeight="false" outlineLevel="0" collapsed="false">
      <c r="A118" s="178" t="s">
        <v>430</v>
      </c>
      <c r="B118" s="138" t="s">
        <v>663</v>
      </c>
      <c r="C118" s="138" t="s">
        <v>664</v>
      </c>
      <c r="E118" s="138" t="s">
        <v>663</v>
      </c>
    </row>
  </sheetData>
  <dataValidations count="2">
    <dataValidation allowBlank="true" errorStyle="stop" operator="between" showDropDown="false" showErrorMessage="true" showInputMessage="false" sqref="D2:D17" type="list">
      <formula1>HoldingInstitution</formula1>
      <formula2>0</formula2>
    </dataValidation>
    <dataValidation allowBlank="true" errorStyle="stop" operator="between" showDropDown="false" showErrorMessage="true" showInputMessage="false" sqref="A2:A118" type="list">
      <formula1>TaxonScientificName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D7" activeCellId="0" sqref="D7"/>
    </sheetView>
  </sheetViews>
  <sheetFormatPr defaultColWidth="10.71484375" defaultRowHeight="12.75" customHeight="true" zeroHeight="false" outlineLevelRow="0" outlineLevelCol="0"/>
  <cols>
    <col collapsed="false" customWidth="true" hidden="false" outlineLevel="0" max="1" min="1" style="138" width="7.43"/>
    <col collapsed="false" customWidth="true" hidden="false" outlineLevel="0" max="2" min="2" style="138" width="11.71"/>
    <col collapsed="false" customWidth="true" hidden="false" outlineLevel="0" max="3" min="3" style="138" width="12.86"/>
    <col collapsed="false" customWidth="true" hidden="false" outlineLevel="0" max="4" min="4" style="118" width="23.57"/>
    <col collapsed="false" customWidth="true" hidden="false" outlineLevel="0" max="9" min="9" style="0" width="58.43"/>
  </cols>
  <sheetData>
    <row r="1" customFormat="false" ht="12.75" hidden="false" customHeight="false" outlineLevel="0" collapsed="false">
      <c r="A1" s="120" t="s">
        <v>163</v>
      </c>
      <c r="B1" s="120" t="s">
        <v>164</v>
      </c>
      <c r="C1" s="120" t="s">
        <v>165</v>
      </c>
      <c r="D1" s="121" t="s">
        <v>166</v>
      </c>
      <c r="G1" s="180"/>
      <c r="H1" s="180"/>
      <c r="I1" s="128"/>
      <c r="J1" s="180"/>
    </row>
    <row r="2" customFormat="false" ht="12.75" hidden="false" customHeight="false" outlineLevel="0" collapsed="false">
      <c r="A2" s="140" t="s">
        <v>665</v>
      </c>
      <c r="B2" s="140" t="s">
        <v>666</v>
      </c>
      <c r="C2" s="140" t="s">
        <v>667</v>
      </c>
      <c r="D2" s="118" t="s">
        <v>668</v>
      </c>
      <c r="J2" s="181"/>
    </row>
    <row r="3" customFormat="false" ht="12.75" hidden="false" customHeight="false" outlineLevel="0" collapsed="false">
      <c r="A3" s="138" t="s">
        <v>665</v>
      </c>
      <c r="B3" s="138" t="s">
        <v>669</v>
      </c>
      <c r="C3" s="138" t="s">
        <v>670</v>
      </c>
      <c r="D3" s="118" t="s">
        <v>671</v>
      </c>
      <c r="J3" s="181"/>
    </row>
    <row r="4" customFormat="false" ht="12.75" hidden="false" customHeight="false" outlineLevel="0" collapsed="false">
      <c r="J4" s="181"/>
    </row>
    <row r="5" customFormat="false" ht="12.75" hidden="false" customHeight="false" outlineLevel="0" collapsed="false">
      <c r="G5" s="182"/>
      <c r="H5" s="182"/>
      <c r="J5" s="181"/>
    </row>
    <row r="6" customFormat="false" ht="12.75" hidden="false" customHeight="false" outlineLevel="0" collapsed="false">
      <c r="G6" s="180"/>
      <c r="H6" s="180"/>
      <c r="I6" s="128"/>
      <c r="J6" s="18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5" activeCellId="0" sqref="B5"/>
    </sheetView>
  </sheetViews>
  <sheetFormatPr defaultColWidth="12.86328125" defaultRowHeight="12.75" customHeight="true" zeroHeight="false" outlineLevelRow="0" outlineLevelCol="0"/>
  <cols>
    <col collapsed="false" customWidth="true" hidden="false" outlineLevel="0" max="1" min="1" style="138" width="13.29"/>
    <col collapsed="false" customWidth="true" hidden="false" outlineLevel="0" max="2" min="2" style="118" width="13.71"/>
    <col collapsed="false" customWidth="true" hidden="false" outlineLevel="0" max="3" min="3" style="118" width="12.43"/>
    <col collapsed="false" customWidth="true" hidden="false" outlineLevel="0" max="4" min="4" style="118" width="13"/>
  </cols>
  <sheetData>
    <row r="1" customFormat="false" ht="12.75" hidden="false" customHeight="false" outlineLevel="0" collapsed="false">
      <c r="A1" s="120" t="s">
        <v>178</v>
      </c>
      <c r="B1" s="121" t="s">
        <v>179</v>
      </c>
      <c r="C1" s="121" t="s">
        <v>29</v>
      </c>
      <c r="D1" s="121" t="s">
        <v>180</v>
      </c>
    </row>
    <row r="2" customFormat="false" ht="12.75" hidden="false" customHeight="false" outlineLevel="0" collapsed="false">
      <c r="A2" s="140" t="s">
        <v>672</v>
      </c>
      <c r="B2" s="118" t="s">
        <v>672</v>
      </c>
    </row>
    <row r="3" customFormat="false" ht="12.75" hidden="false" customHeight="false" outlineLevel="0" collapsed="false">
      <c r="A3" s="138" t="s">
        <v>673</v>
      </c>
      <c r="B3" s="183" t="s">
        <v>674</v>
      </c>
      <c r="D3" s="118" t="s">
        <v>672</v>
      </c>
    </row>
    <row r="4" customFormat="false" ht="12.75" hidden="false" customHeight="false" outlineLevel="0" collapsed="false">
      <c r="A4" s="138" t="s">
        <v>675</v>
      </c>
      <c r="B4" s="118" t="s">
        <v>676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&amp;C&amp;"Arial,Normal"&amp;10&amp;A</oddHeader>
    <oddFooter>&amp;C&amp;"Arial,Normal"&amp;10Page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CM48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8" ySplit="1" topLeftCell="BO2" activePane="bottomRight" state="frozen"/>
      <selection pane="topLeft" activeCell="A1" activeCellId="0" sqref="A1"/>
      <selection pane="topRight" activeCell="BO1" activeCellId="0" sqref="BO1"/>
      <selection pane="bottomLeft" activeCell="A2" activeCellId="0" sqref="A2"/>
      <selection pane="bottomRight" activeCell="CE40" activeCellId="0" sqref="CE40"/>
    </sheetView>
  </sheetViews>
  <sheetFormatPr defaultColWidth="11.29296875" defaultRowHeight="12.75" customHeight="true" zeroHeight="false" outlineLevelRow="0" outlineLevelCol="0"/>
  <cols>
    <col collapsed="false" customWidth="true" hidden="false" outlineLevel="0" max="1" min="1" style="184" width="12.14"/>
    <col collapsed="false" customWidth="true" hidden="false" outlineLevel="0" max="2" min="2" style="0" width="8.14"/>
    <col collapsed="false" customWidth="true" hidden="false" outlineLevel="0" max="3" min="3" style="0" width="5.29"/>
    <col collapsed="false" customWidth="true" hidden="false" outlineLevel="0" max="4" min="4" style="0" width="9"/>
    <col collapsed="false" customWidth="true" hidden="false" outlineLevel="0" max="5" min="5" style="119" width="7.14"/>
    <col collapsed="false" customWidth="true" hidden="false" outlineLevel="0" max="6" min="6" style="119" width="7"/>
    <col collapsed="false" customWidth="true" hidden="false" outlineLevel="0" max="7" min="7" style="119" width="5.43"/>
    <col collapsed="false" customWidth="true" hidden="false" outlineLevel="0" max="8" min="8" style="119" width="5.29"/>
    <col collapsed="false" customWidth="true" hidden="false" outlineLevel="0" max="9" min="9" style="118" width="18.14"/>
    <col collapsed="false" customWidth="true" hidden="false" outlineLevel="0" max="10" min="10" style="118" width="17.57"/>
    <col collapsed="false" customWidth="true" hidden="false" outlineLevel="0" max="11" min="11" style="118" width="17.29"/>
    <col collapsed="false" customWidth="true" hidden="false" outlineLevel="0" max="12" min="12" style="185" width="16.71"/>
    <col collapsed="false" customWidth="true" hidden="false" outlineLevel="0" max="13" min="13" style="186" width="20.86"/>
    <col collapsed="false" customWidth="true" hidden="false" outlineLevel="0" max="14" min="14" style="186" width="20.29"/>
    <col collapsed="false" customWidth="true" hidden="false" outlineLevel="0" max="15" min="15" style="186" width="12.14"/>
    <col collapsed="false" customWidth="true" hidden="false" outlineLevel="0" max="16" min="16" style="187" width="7.71"/>
    <col collapsed="false" customWidth="true" hidden="false" outlineLevel="0" max="17" min="17" style="187" width="9.57"/>
    <col collapsed="false" customWidth="true" hidden="false" outlineLevel="0" max="18" min="18" style="187" width="9"/>
    <col collapsed="false" customWidth="true" hidden="false" outlineLevel="0" max="19" min="19" style="187" width="9.29"/>
    <col collapsed="false" customWidth="true" hidden="false" outlineLevel="0" max="20" min="20" style="187" width="11.14"/>
    <col collapsed="false" customWidth="true" hidden="false" outlineLevel="0" max="21" min="21" style="186" width="16.86"/>
    <col collapsed="false" customWidth="true" hidden="false" outlineLevel="0" max="22" min="22" style="186" width="16.29"/>
    <col collapsed="false" customWidth="true" hidden="false" outlineLevel="0" max="23" min="23" style="187" width="16"/>
    <col collapsed="false" customWidth="true" hidden="false" outlineLevel="0" max="24" min="24" style="187" width="15.29"/>
    <col collapsed="false" customWidth="true" hidden="false" outlineLevel="0" max="25" min="25" style="186" width="9.71"/>
    <col collapsed="false" customWidth="true" hidden="false" outlineLevel="0" max="26" min="26" style="186" width="9.14"/>
    <col collapsed="false" customWidth="true" hidden="false" outlineLevel="0" max="27" min="27" style="187" width="12.29"/>
    <col collapsed="false" customWidth="true" hidden="false" outlineLevel="0" max="28" min="28" style="187" width="11"/>
    <col collapsed="false" customWidth="true" hidden="false" outlineLevel="0" max="29" min="29" style="186" width="10"/>
    <col collapsed="false" customWidth="true" hidden="false" outlineLevel="0" max="30" min="30" style="186" width="10.57"/>
    <col collapsed="false" customWidth="true" hidden="false" outlineLevel="0" max="31" min="31" style="188" width="15.14"/>
    <col collapsed="false" customWidth="true" hidden="false" outlineLevel="0" max="32" min="32" style="187" width="14.43"/>
    <col collapsed="false" customWidth="true" hidden="false" outlineLevel="0" max="33" min="33" style="186" width="16.71"/>
    <col collapsed="false" customWidth="true" hidden="false" outlineLevel="0" max="34" min="34" style="186" width="10.29"/>
    <col collapsed="false" customWidth="true" hidden="false" outlineLevel="0" max="35" min="35" style="187" width="17"/>
    <col collapsed="false" customWidth="true" hidden="false" outlineLevel="0" max="36" min="36" style="187" width="16.43"/>
    <col collapsed="false" customWidth="true" hidden="false" outlineLevel="0" max="37" min="37" style="186" width="18.86"/>
    <col collapsed="false" customWidth="true" hidden="false" outlineLevel="0" max="38" min="38" style="186" width="18.14"/>
    <col collapsed="false" customWidth="true" hidden="false" outlineLevel="0" max="39" min="39" style="187" width="18.57"/>
    <col collapsed="false" customWidth="true" hidden="false" outlineLevel="0" max="40" min="40" style="187" width="18"/>
    <col collapsed="false" customWidth="true" hidden="false" outlineLevel="0" max="41" min="41" style="186" width="18.57"/>
    <col collapsed="false" customWidth="true" hidden="false" outlineLevel="0" max="42" min="42" style="186" width="18"/>
    <col collapsed="false" customWidth="true" hidden="false" outlineLevel="0" max="43" min="43" style="187" width="20.29"/>
    <col collapsed="false" customWidth="true" hidden="false" outlineLevel="0" max="44" min="44" style="187" width="19.71"/>
    <col collapsed="false" customWidth="true" hidden="false" outlineLevel="0" max="45" min="45" style="186" width="24.57"/>
    <col collapsed="false" customWidth="true" hidden="false" outlineLevel="0" max="46" min="46" style="186" width="23.71"/>
    <col collapsed="false" customWidth="true" hidden="false" outlineLevel="0" max="47" min="47" style="187" width="19"/>
    <col collapsed="false" customWidth="true" hidden="false" outlineLevel="0" max="48" min="48" style="187" width="18.29"/>
    <col collapsed="false" customWidth="true" hidden="false" outlineLevel="0" max="49" min="49" style="186" width="19"/>
    <col collapsed="false" customWidth="true" hidden="false" outlineLevel="0" max="50" min="50" style="186" width="18.29"/>
    <col collapsed="false" customWidth="true" hidden="false" outlineLevel="0" max="51" min="51" style="187" width="25"/>
    <col collapsed="false" customWidth="true" hidden="false" outlineLevel="0" max="52" min="52" style="187" width="24.29"/>
    <col collapsed="false" customWidth="true" hidden="false" outlineLevel="0" max="53" min="53" style="186" width="19"/>
    <col collapsed="false" customWidth="true" hidden="false" outlineLevel="0" max="54" min="54" style="186" width="18.29"/>
    <col collapsed="false" customWidth="true" hidden="false" outlineLevel="0" max="55" min="55" style="187" width="30.71"/>
    <col collapsed="false" customWidth="true" hidden="false" outlineLevel="0" max="56" min="56" style="187" width="30"/>
    <col collapsed="false" customWidth="true" hidden="false" outlineLevel="0" max="57" min="57" style="187" width="13.71"/>
    <col collapsed="false" customWidth="true" hidden="false" outlineLevel="0" max="58" min="58" style="187" width="13.14"/>
    <col collapsed="false" customWidth="true" hidden="false" outlineLevel="0" max="59" min="59" style="187" width="13.71"/>
    <col collapsed="false" customWidth="true" hidden="false" outlineLevel="0" max="60" min="60" style="187" width="13.14"/>
    <col collapsed="false" customWidth="true" hidden="false" outlineLevel="0" max="61" min="61" style="187" width="15.29"/>
    <col collapsed="false" customWidth="true" hidden="false" outlineLevel="0" max="62" min="62" style="187" width="14.14"/>
    <col collapsed="false" customWidth="true" hidden="false" outlineLevel="0" max="63" min="63" style="187" width="14.86"/>
    <col collapsed="false" customWidth="true" hidden="false" outlineLevel="0" max="64" min="64" style="187" width="14.14"/>
    <col collapsed="false" customWidth="true" hidden="false" outlineLevel="0" max="65" min="65" style="186" width="12.14"/>
    <col collapsed="false" customWidth="true" hidden="false" outlineLevel="0" max="66" min="66" style="186" width="11.57"/>
    <col collapsed="false" customWidth="true" hidden="false" outlineLevel="0" max="67" min="67" style="187" width="15.14"/>
    <col collapsed="false" customWidth="true" hidden="false" outlineLevel="0" max="68" min="68" style="187" width="14.43"/>
    <col collapsed="false" customWidth="true" hidden="false" outlineLevel="0" max="69" min="69" style="186" width="16.57"/>
    <col collapsed="false" customWidth="true" hidden="false" outlineLevel="0" max="70" min="70" style="186" width="16"/>
    <col collapsed="false" customWidth="true" hidden="false" outlineLevel="0" max="71" min="71" style="187" width="10.71"/>
    <col collapsed="false" customWidth="true" hidden="false" outlineLevel="0" max="72" min="72" style="187" width="9.86"/>
    <col collapsed="false" customWidth="true" hidden="false" outlineLevel="0" max="74" min="73" style="186" width="10.29"/>
    <col collapsed="false" customWidth="true" hidden="false" outlineLevel="0" max="75" min="75" style="186" width="14.43"/>
    <col collapsed="false" customWidth="true" hidden="false" outlineLevel="0" max="76" min="76" style="186" width="9.71"/>
    <col collapsed="false" customWidth="true" hidden="false" outlineLevel="0" max="77" min="77" style="186" width="21.71"/>
    <col collapsed="false" customWidth="true" hidden="false" outlineLevel="0" max="78" min="78" style="186" width="21"/>
    <col collapsed="false" customWidth="true" hidden="false" outlineLevel="0" max="79" min="79" style="186" width="14.71"/>
    <col collapsed="false" customWidth="true" hidden="false" outlineLevel="0" max="80" min="80" style="186" width="14"/>
    <col collapsed="false" customWidth="true" hidden="false" outlineLevel="0" max="81" min="81" style="186" width="22.57"/>
    <col collapsed="false" customWidth="true" hidden="false" outlineLevel="0" max="82" min="82" style="186" width="22"/>
    <col collapsed="false" customWidth="true" hidden="false" outlineLevel="0" max="83" min="83" style="186" width="20.86"/>
    <col collapsed="false" customWidth="true" hidden="false" outlineLevel="0" max="84" min="84" style="186" width="20.29"/>
    <col collapsed="false" customWidth="true" hidden="false" outlineLevel="0" max="85" min="85" style="186" width="18.14"/>
    <col collapsed="false" customWidth="true" hidden="false" outlineLevel="0" max="86" min="86" style="186" width="17.57"/>
    <col collapsed="false" customWidth="true" hidden="false" outlineLevel="0" max="87" min="87" style="186" width="7.14"/>
    <col collapsed="false" customWidth="true" hidden="false" outlineLevel="0" max="88" min="88" style="186" width="6.57"/>
    <col collapsed="false" customWidth="true" hidden="false" outlineLevel="0" max="89" min="89" style="186" width="9.71"/>
    <col collapsed="false" customWidth="true" hidden="false" outlineLevel="0" max="90" min="90" style="186" width="15.29"/>
    <col collapsed="false" customWidth="true" hidden="false" outlineLevel="0" max="91" min="91" style="186" width="14.71"/>
    <col collapsed="false" customWidth="false" hidden="false" outlineLevel="0" max="16384" min="92" style="182" width="11.29"/>
  </cols>
  <sheetData>
    <row r="1" s="191" customFormat="true" ht="12.75" hidden="false" customHeight="false" outlineLevel="0" collapsed="false">
      <c r="A1" s="189" t="s">
        <v>150</v>
      </c>
      <c r="B1" s="121" t="s">
        <v>171</v>
      </c>
      <c r="C1" s="121" t="s">
        <v>187</v>
      </c>
      <c r="D1" s="121" t="s">
        <v>677</v>
      </c>
      <c r="E1" s="119" t="s">
        <v>21</v>
      </c>
      <c r="F1" s="119" t="s">
        <v>22</v>
      </c>
      <c r="G1" s="122" t="s">
        <v>192</v>
      </c>
      <c r="H1" s="122" t="s">
        <v>193</v>
      </c>
      <c r="I1" s="151" t="s">
        <v>678</v>
      </c>
      <c r="J1" s="151" t="s">
        <v>679</v>
      </c>
      <c r="K1" s="151" t="s">
        <v>680</v>
      </c>
      <c r="L1" s="151" t="s">
        <v>681</v>
      </c>
      <c r="M1" s="151" t="s">
        <v>682</v>
      </c>
      <c r="N1" s="151" t="s">
        <v>683</v>
      </c>
      <c r="O1" s="151" t="s">
        <v>684</v>
      </c>
      <c r="P1" s="151" t="s">
        <v>685</v>
      </c>
      <c r="Q1" s="151" t="s">
        <v>686</v>
      </c>
      <c r="R1" s="151" t="s">
        <v>687</v>
      </c>
      <c r="S1" s="151" t="s">
        <v>688</v>
      </c>
      <c r="T1" s="151" t="s">
        <v>689</v>
      </c>
      <c r="U1" s="151" t="s">
        <v>690</v>
      </c>
      <c r="V1" s="151" t="s">
        <v>691</v>
      </c>
      <c r="W1" s="151" t="s">
        <v>692</v>
      </c>
      <c r="X1" s="151" t="s">
        <v>693</v>
      </c>
      <c r="Y1" s="151" t="s">
        <v>694</v>
      </c>
      <c r="Z1" s="151" t="s">
        <v>695</v>
      </c>
      <c r="AA1" s="151" t="s">
        <v>696</v>
      </c>
      <c r="AB1" s="151" t="s">
        <v>697</v>
      </c>
      <c r="AC1" s="151" t="s">
        <v>698</v>
      </c>
      <c r="AD1" s="151" t="s">
        <v>699</v>
      </c>
      <c r="AE1" s="190" t="s">
        <v>700</v>
      </c>
      <c r="AF1" s="151" t="s">
        <v>701</v>
      </c>
      <c r="AG1" s="151" t="s">
        <v>702</v>
      </c>
      <c r="AH1" s="151" t="s">
        <v>703</v>
      </c>
      <c r="AI1" s="151" t="s">
        <v>704</v>
      </c>
      <c r="AJ1" s="151" t="s">
        <v>705</v>
      </c>
      <c r="AK1" s="151" t="s">
        <v>706</v>
      </c>
      <c r="AL1" s="151" t="s">
        <v>707</v>
      </c>
      <c r="AM1" s="151" t="s">
        <v>708</v>
      </c>
      <c r="AN1" s="151" t="s">
        <v>709</v>
      </c>
      <c r="AO1" s="151" t="s">
        <v>710</v>
      </c>
      <c r="AP1" s="151" t="s">
        <v>711</v>
      </c>
      <c r="AQ1" s="151" t="s">
        <v>712</v>
      </c>
      <c r="AR1" s="151" t="s">
        <v>713</v>
      </c>
      <c r="AS1" s="151" t="s">
        <v>714</v>
      </c>
      <c r="AT1" s="151" t="s">
        <v>715</v>
      </c>
      <c r="AU1" s="151" t="s">
        <v>716</v>
      </c>
      <c r="AV1" s="151" t="s">
        <v>717</v>
      </c>
      <c r="AW1" s="151" t="s">
        <v>718</v>
      </c>
      <c r="AX1" s="151" t="s">
        <v>719</v>
      </c>
      <c r="AY1" s="151" t="s">
        <v>720</v>
      </c>
      <c r="AZ1" s="151" t="s">
        <v>721</v>
      </c>
      <c r="BA1" s="151" t="s">
        <v>722</v>
      </c>
      <c r="BB1" s="151" t="s">
        <v>723</v>
      </c>
      <c r="BC1" s="151" t="s">
        <v>724</v>
      </c>
      <c r="BD1" s="151" t="s">
        <v>725</v>
      </c>
      <c r="BE1" s="151" t="s">
        <v>726</v>
      </c>
      <c r="BF1" s="151" t="s">
        <v>727</v>
      </c>
      <c r="BG1" s="151" t="s">
        <v>728</v>
      </c>
      <c r="BH1" s="151" t="s">
        <v>729</v>
      </c>
      <c r="BI1" s="151" t="s">
        <v>730</v>
      </c>
      <c r="BJ1" s="151" t="s">
        <v>731</v>
      </c>
      <c r="BK1" s="151" t="s">
        <v>732</v>
      </c>
      <c r="BL1" s="151" t="s">
        <v>733</v>
      </c>
      <c r="BM1" s="151" t="s">
        <v>734</v>
      </c>
      <c r="BN1" s="151" t="s">
        <v>735</v>
      </c>
      <c r="BO1" s="151" t="s">
        <v>736</v>
      </c>
      <c r="BP1" s="151" t="s">
        <v>737</v>
      </c>
      <c r="BQ1" s="151" t="s">
        <v>738</v>
      </c>
      <c r="BR1" s="151" t="s">
        <v>739</v>
      </c>
      <c r="BS1" s="151" t="s">
        <v>740</v>
      </c>
      <c r="BT1" s="151" t="s">
        <v>741</v>
      </c>
      <c r="BU1" s="151" t="s">
        <v>742</v>
      </c>
      <c r="BV1" s="151" t="s">
        <v>743</v>
      </c>
      <c r="BW1" s="151" t="s">
        <v>744</v>
      </c>
      <c r="BX1" s="151" t="s">
        <v>745</v>
      </c>
      <c r="BY1" s="151" t="s">
        <v>746</v>
      </c>
      <c r="BZ1" s="151" t="s">
        <v>747</v>
      </c>
      <c r="CA1" s="151" t="s">
        <v>748</v>
      </c>
      <c r="CB1" s="151" t="s">
        <v>749</v>
      </c>
      <c r="CC1" s="151" t="s">
        <v>750</v>
      </c>
      <c r="CD1" s="151" t="s">
        <v>751</v>
      </c>
      <c r="CE1" s="151" t="s">
        <v>752</v>
      </c>
      <c r="CF1" s="151" t="s">
        <v>753</v>
      </c>
      <c r="CG1" s="151" t="s">
        <v>754</v>
      </c>
      <c r="CH1" s="151" t="s">
        <v>755</v>
      </c>
      <c r="CI1" s="151" t="s">
        <v>413</v>
      </c>
      <c r="CJ1" s="151" t="s">
        <v>418</v>
      </c>
      <c r="CK1" s="151" t="s">
        <v>422</v>
      </c>
      <c r="CL1" s="151" t="s">
        <v>756</v>
      </c>
      <c r="CM1" s="151" t="s">
        <v>757</v>
      </c>
    </row>
    <row r="2" customFormat="false" ht="12.75" hidden="false" customHeight="false" outlineLevel="0" collapsed="false">
      <c r="A2" s="184" t="s">
        <v>758</v>
      </c>
      <c r="B2" s="0" t="s">
        <v>666</v>
      </c>
      <c r="C2" s="0" t="s">
        <v>759</v>
      </c>
      <c r="D2" s="0" t="s">
        <v>760</v>
      </c>
      <c r="E2" s="119" t="n">
        <v>3</v>
      </c>
      <c r="F2" s="119" t="n">
        <v>3</v>
      </c>
      <c r="I2" s="118" t="n">
        <v>9</v>
      </c>
      <c r="K2" s="118" t="n">
        <v>7</v>
      </c>
      <c r="M2" s="186" t="n">
        <v>2.15</v>
      </c>
      <c r="S2" s="192" t="n">
        <v>862</v>
      </c>
      <c r="U2" s="186" t="n">
        <v>10.8</v>
      </c>
      <c r="Y2" s="186" t="n">
        <v>476</v>
      </c>
      <c r="AA2" s="192" t="n">
        <v>66778</v>
      </c>
      <c r="AC2" s="186" t="n">
        <v>20.3</v>
      </c>
      <c r="AG2" s="186" t="n">
        <v>3.04</v>
      </c>
      <c r="AM2" s="192" t="n">
        <v>87</v>
      </c>
      <c r="BS2" s="193" t="n">
        <v>42.45</v>
      </c>
      <c r="BU2" s="186" t="n">
        <v>23.46</v>
      </c>
      <c r="BY2" s="186" t="n">
        <v>7.19</v>
      </c>
      <c r="CL2" s="186" t="n">
        <v>0</v>
      </c>
    </row>
    <row r="3" customFormat="false" ht="12.75" hidden="false" customHeight="false" outlineLevel="0" collapsed="false">
      <c r="A3" s="184" t="s">
        <v>758</v>
      </c>
      <c r="B3" s="0" t="s">
        <v>666</v>
      </c>
      <c r="C3" s="0" t="s">
        <v>759</v>
      </c>
      <c r="D3" s="0" t="s">
        <v>761</v>
      </c>
      <c r="E3" s="119" t="n">
        <v>21</v>
      </c>
      <c r="F3" s="119" t="n">
        <v>3</v>
      </c>
      <c r="I3" s="118" t="n">
        <v>9</v>
      </c>
      <c r="K3" s="118" t="n">
        <v>7</v>
      </c>
      <c r="M3" s="186" t="n">
        <v>1.93</v>
      </c>
      <c r="S3" s="192" t="n">
        <v>810</v>
      </c>
      <c r="U3" s="186" t="n">
        <v>10.8</v>
      </c>
      <c r="Y3" s="186" t="n">
        <v>383</v>
      </c>
      <c r="AA3" s="192" t="n">
        <v>62389</v>
      </c>
      <c r="AC3" s="186" t="n">
        <v>18.4</v>
      </c>
      <c r="AG3" s="186" t="n">
        <v>2.95</v>
      </c>
      <c r="AM3" s="192" t="n">
        <v>83</v>
      </c>
      <c r="BS3" s="193" t="n">
        <v>44.09</v>
      </c>
      <c r="BU3" s="186" t="n">
        <v>20.86</v>
      </c>
      <c r="BY3" s="186" t="n">
        <v>6.43</v>
      </c>
      <c r="CL3" s="186" t="n">
        <v>0</v>
      </c>
    </row>
    <row r="4" customFormat="false" ht="12.75" hidden="false" customHeight="false" outlineLevel="0" collapsed="false">
      <c r="A4" s="184" t="s">
        <v>758</v>
      </c>
      <c r="B4" s="0" t="s">
        <v>666</v>
      </c>
      <c r="C4" s="0" t="s">
        <v>759</v>
      </c>
      <c r="D4" s="0" t="s">
        <v>762</v>
      </c>
      <c r="E4" s="119" t="n">
        <v>39</v>
      </c>
      <c r="F4" s="119" t="n">
        <v>3</v>
      </c>
      <c r="I4" s="118" t="n">
        <v>9</v>
      </c>
      <c r="K4" s="118" t="n">
        <v>7</v>
      </c>
      <c r="M4" s="186" t="n">
        <v>2.36</v>
      </c>
      <c r="S4" s="192" t="n">
        <v>985</v>
      </c>
      <c r="U4" s="186" t="n">
        <v>10.8</v>
      </c>
      <c r="Y4" s="186" t="n">
        <v>494</v>
      </c>
      <c r="AA4" s="192" t="n">
        <v>74955</v>
      </c>
      <c r="AC4" s="186" t="n">
        <v>22.6</v>
      </c>
      <c r="AG4" s="186" t="n">
        <v>3.02</v>
      </c>
      <c r="AM4" s="192" t="n">
        <v>83</v>
      </c>
      <c r="BS4" s="193" t="n">
        <v>43.55</v>
      </c>
      <c r="BU4" s="186" t="n">
        <v>21.83</v>
      </c>
      <c r="BY4" s="186" t="n">
        <v>5.83</v>
      </c>
      <c r="CL4" s="186" t="n">
        <v>0</v>
      </c>
    </row>
    <row r="5" customFormat="false" ht="12.75" hidden="false" customHeight="false" outlineLevel="0" collapsed="false">
      <c r="A5" s="184" t="s">
        <v>758</v>
      </c>
      <c r="B5" s="0" t="s">
        <v>666</v>
      </c>
      <c r="C5" s="0" t="s">
        <v>763</v>
      </c>
      <c r="D5" s="0" t="s">
        <v>764</v>
      </c>
      <c r="E5" s="119" t="n">
        <v>27</v>
      </c>
      <c r="F5" s="119" t="n">
        <v>7</v>
      </c>
      <c r="I5" s="118" t="n">
        <v>9</v>
      </c>
      <c r="K5" s="118" t="n">
        <v>7</v>
      </c>
      <c r="M5" s="186" t="n">
        <v>2.84</v>
      </c>
      <c r="S5" s="192" t="n">
        <v>1114</v>
      </c>
      <c r="U5" s="186" t="n">
        <v>10.8</v>
      </c>
      <c r="Y5" s="186" t="n">
        <v>613</v>
      </c>
      <c r="AA5" s="192" t="n">
        <v>90353</v>
      </c>
      <c r="AC5" s="186" t="n">
        <v>26.7</v>
      </c>
      <c r="AG5" s="186" t="n">
        <v>2.95</v>
      </c>
      <c r="AM5" s="192" t="n">
        <v>83</v>
      </c>
      <c r="BS5" s="193" t="n">
        <v>41.76</v>
      </c>
      <c r="BU5" s="186" t="n">
        <v>22.97</v>
      </c>
      <c r="BY5" s="186" t="n">
        <v>7.71</v>
      </c>
      <c r="CL5" s="186" t="n">
        <v>0</v>
      </c>
    </row>
    <row r="6" customFormat="false" ht="12.75" hidden="false" customHeight="false" outlineLevel="0" collapsed="false">
      <c r="A6" s="184" t="s">
        <v>758</v>
      </c>
      <c r="B6" s="0" t="s">
        <v>666</v>
      </c>
      <c r="C6" s="0" t="s">
        <v>763</v>
      </c>
      <c r="D6" s="0" t="s">
        <v>765</v>
      </c>
      <c r="E6" s="119" t="n">
        <v>45</v>
      </c>
      <c r="F6" s="119" t="n">
        <v>7</v>
      </c>
      <c r="I6" s="118" t="n">
        <v>9</v>
      </c>
      <c r="K6" s="118" t="n">
        <v>7</v>
      </c>
      <c r="M6" s="186" t="n">
        <v>2.88</v>
      </c>
      <c r="S6" s="192" t="n">
        <v>1248</v>
      </c>
      <c r="U6" s="186" t="n">
        <v>10.8</v>
      </c>
      <c r="Y6" s="186" t="n">
        <v>537</v>
      </c>
      <c r="AA6" s="192" t="n">
        <v>92409</v>
      </c>
      <c r="AC6" s="186" t="n">
        <v>27.6</v>
      </c>
      <c r="AG6" s="186" t="n">
        <v>2.99</v>
      </c>
      <c r="AM6" s="192" t="n">
        <v>83</v>
      </c>
      <c r="BS6" s="193" t="n">
        <v>45.22</v>
      </c>
      <c r="BU6" s="186" t="n">
        <v>19.47</v>
      </c>
      <c r="BY6" s="186" t="n">
        <v>5.84</v>
      </c>
      <c r="CL6" s="186" t="n">
        <v>0</v>
      </c>
    </row>
    <row r="7" customFormat="false" ht="12.75" hidden="false" customHeight="false" outlineLevel="0" collapsed="false">
      <c r="A7" s="184" t="s">
        <v>758</v>
      </c>
      <c r="B7" s="0" t="s">
        <v>666</v>
      </c>
      <c r="C7" s="0" t="s">
        <v>763</v>
      </c>
      <c r="D7" s="0" t="s">
        <v>766</v>
      </c>
      <c r="E7" s="119" t="n">
        <v>9</v>
      </c>
      <c r="F7" s="119" t="n">
        <v>7</v>
      </c>
      <c r="I7" s="118" t="n">
        <v>9</v>
      </c>
      <c r="K7" s="118" t="n">
        <v>7</v>
      </c>
      <c r="M7" s="186" t="n">
        <v>2.85</v>
      </c>
      <c r="S7" s="192" t="n">
        <v>1260</v>
      </c>
      <c r="U7" s="186" t="n">
        <v>10.8</v>
      </c>
      <c r="Y7" s="186" t="n">
        <v>501</v>
      </c>
      <c r="AA7" s="192" t="n">
        <v>96571</v>
      </c>
      <c r="AC7" s="186" t="n">
        <v>27.2</v>
      </c>
      <c r="AG7" s="186" t="n">
        <v>2.82</v>
      </c>
      <c r="AM7" s="192" t="n">
        <v>83</v>
      </c>
      <c r="BS7" s="193" t="n">
        <v>46.3</v>
      </c>
      <c r="BU7" s="186" t="n">
        <v>18.41</v>
      </c>
      <c r="BY7" s="186" t="n">
        <v>6.17</v>
      </c>
      <c r="CL7" s="186" t="n">
        <v>0</v>
      </c>
    </row>
    <row r="8" customFormat="false" ht="12.75" hidden="false" customHeight="false" outlineLevel="0" collapsed="false">
      <c r="A8" s="184" t="s">
        <v>758</v>
      </c>
      <c r="B8" s="0" t="s">
        <v>669</v>
      </c>
      <c r="C8" s="0" t="s">
        <v>759</v>
      </c>
      <c r="D8" s="0" t="s">
        <v>760</v>
      </c>
      <c r="E8" s="119" t="n">
        <v>19</v>
      </c>
      <c r="F8" s="119" t="n">
        <v>4</v>
      </c>
      <c r="I8" s="118" t="n">
        <v>9</v>
      </c>
      <c r="K8" s="118" t="n">
        <v>7</v>
      </c>
      <c r="M8" s="186" t="n">
        <v>2.69</v>
      </c>
      <c r="S8" s="192" t="n">
        <v>1083</v>
      </c>
      <c r="U8" s="186" t="n">
        <v>10.8</v>
      </c>
      <c r="Y8" s="186" t="n">
        <v>603</v>
      </c>
      <c r="AA8" s="192" t="n">
        <v>84213</v>
      </c>
      <c r="AC8" s="186" t="n">
        <v>25.6</v>
      </c>
      <c r="AG8" s="186" t="n">
        <v>3.04</v>
      </c>
      <c r="AM8" s="192" t="n">
        <v>87</v>
      </c>
      <c r="BS8" s="193" t="n">
        <v>42.29</v>
      </c>
      <c r="BU8" s="186" t="n">
        <v>23.54</v>
      </c>
      <c r="BY8" s="186" t="n">
        <v>6.43</v>
      </c>
      <c r="CL8" s="186" t="n">
        <v>0</v>
      </c>
    </row>
    <row r="9" customFormat="false" ht="12.75" hidden="false" customHeight="false" outlineLevel="0" collapsed="false">
      <c r="A9" s="184" t="s">
        <v>758</v>
      </c>
      <c r="B9" s="0" t="s">
        <v>669</v>
      </c>
      <c r="C9" s="0" t="s">
        <v>759</v>
      </c>
      <c r="D9" s="0" t="s">
        <v>761</v>
      </c>
      <c r="E9" s="119" t="n">
        <v>37</v>
      </c>
      <c r="F9" s="119" t="n">
        <v>4</v>
      </c>
      <c r="I9" s="118" t="n">
        <v>9</v>
      </c>
      <c r="K9" s="118" t="n">
        <v>7</v>
      </c>
      <c r="M9" s="186" t="n">
        <v>2.82</v>
      </c>
      <c r="S9" s="192" t="n">
        <v>1128</v>
      </c>
      <c r="U9" s="186" t="n">
        <v>10.8</v>
      </c>
      <c r="Y9" s="186" t="n">
        <v>643</v>
      </c>
      <c r="AA9" s="192" t="n">
        <v>93070</v>
      </c>
      <c r="AC9" s="186" t="n">
        <v>27</v>
      </c>
      <c r="AG9" s="186" t="n">
        <v>2.9</v>
      </c>
      <c r="AM9" s="192" t="n">
        <v>87</v>
      </c>
      <c r="BS9" s="193" t="n">
        <v>41.79</v>
      </c>
      <c r="BU9" s="186" t="n">
        <v>23.83</v>
      </c>
      <c r="BY9" s="186" t="n">
        <v>5.91</v>
      </c>
      <c r="CL9" s="186" t="n">
        <v>0</v>
      </c>
    </row>
    <row r="10" customFormat="false" ht="12.75" hidden="false" customHeight="false" outlineLevel="0" collapsed="false">
      <c r="A10" s="184" t="s">
        <v>758</v>
      </c>
      <c r="B10" s="0" t="s">
        <v>669</v>
      </c>
      <c r="C10" s="0" t="s">
        <v>759</v>
      </c>
      <c r="D10" s="0" t="s">
        <v>762</v>
      </c>
      <c r="E10" s="119" t="n">
        <v>55</v>
      </c>
      <c r="F10" s="119" t="n">
        <v>4</v>
      </c>
      <c r="I10" s="118" t="n">
        <v>9</v>
      </c>
      <c r="K10" s="118" t="n">
        <v>7</v>
      </c>
      <c r="M10" s="186" t="n">
        <v>2.99</v>
      </c>
      <c r="S10" s="192" t="n">
        <v>1160</v>
      </c>
      <c r="U10" s="186" t="n">
        <v>10.8</v>
      </c>
      <c r="Y10" s="186" t="n">
        <v>702</v>
      </c>
      <c r="AA10" s="192" t="n">
        <v>113687</v>
      </c>
      <c r="AC10" s="186" t="n">
        <v>28.5</v>
      </c>
      <c r="AG10" s="186" t="n">
        <v>2.51</v>
      </c>
      <c r="AM10" s="192" t="n">
        <v>83</v>
      </c>
      <c r="BS10" s="193" t="n">
        <v>40.64</v>
      </c>
      <c r="BU10" s="186" t="n">
        <v>24.6</v>
      </c>
      <c r="BY10" s="186" t="n">
        <v>6.17</v>
      </c>
      <c r="CL10" s="186" t="n">
        <v>9</v>
      </c>
    </row>
    <row r="11" customFormat="false" ht="12.75" hidden="false" customHeight="false" outlineLevel="0" collapsed="false">
      <c r="A11" s="184" t="s">
        <v>758</v>
      </c>
      <c r="B11" s="0" t="s">
        <v>669</v>
      </c>
      <c r="C11" s="0" t="s">
        <v>763</v>
      </c>
      <c r="D11" s="0" t="s">
        <v>764</v>
      </c>
      <c r="E11" s="119" t="n">
        <v>29</v>
      </c>
      <c r="F11" s="119" t="n">
        <v>12</v>
      </c>
      <c r="I11" s="118" t="n">
        <v>9</v>
      </c>
      <c r="K11" s="118" t="n">
        <v>9</v>
      </c>
      <c r="M11" s="186" t="n">
        <v>2.78</v>
      </c>
      <c r="S11" s="192" t="n">
        <v>1107</v>
      </c>
      <c r="U11" s="186" t="n">
        <v>10.8</v>
      </c>
      <c r="Y11" s="186" t="n">
        <v>612</v>
      </c>
      <c r="AA11" s="192" t="n">
        <v>87849</v>
      </c>
      <c r="AC11" s="186" t="n">
        <v>26.4</v>
      </c>
      <c r="AG11" s="186" t="n">
        <v>3</v>
      </c>
      <c r="AM11" s="192" t="n">
        <v>83</v>
      </c>
      <c r="BS11" s="193" t="n">
        <v>41.96</v>
      </c>
      <c r="BU11" s="186" t="n">
        <v>23.17</v>
      </c>
      <c r="BY11" s="186" t="n">
        <v>6.69</v>
      </c>
      <c r="CL11" s="186" t="n">
        <v>0</v>
      </c>
    </row>
    <row r="12" customFormat="false" ht="12.75" hidden="false" customHeight="false" outlineLevel="0" collapsed="false">
      <c r="A12" s="184" t="s">
        <v>758</v>
      </c>
      <c r="B12" s="0" t="s">
        <v>669</v>
      </c>
      <c r="C12" s="0" t="s">
        <v>763</v>
      </c>
      <c r="D12" s="0" t="s">
        <v>765</v>
      </c>
      <c r="E12" s="119" t="n">
        <v>47</v>
      </c>
      <c r="F12" s="119" t="n">
        <v>12</v>
      </c>
      <c r="I12" s="118" t="n">
        <v>9</v>
      </c>
      <c r="K12" s="118" t="n">
        <v>9</v>
      </c>
      <c r="M12" s="186" t="n">
        <v>2.93</v>
      </c>
      <c r="S12" s="192" t="n">
        <v>1179</v>
      </c>
      <c r="U12" s="186" t="n">
        <v>10.8</v>
      </c>
      <c r="Y12" s="186" t="n">
        <v>643</v>
      </c>
      <c r="AA12" s="192" t="n">
        <v>97586</v>
      </c>
      <c r="AC12" s="186" t="n">
        <v>28.1</v>
      </c>
      <c r="AG12" s="186" t="n">
        <v>2.87</v>
      </c>
      <c r="AM12" s="192" t="n">
        <v>83</v>
      </c>
      <c r="BS12" s="193" t="n">
        <v>42.01</v>
      </c>
      <c r="BU12" s="186" t="n">
        <v>22.94</v>
      </c>
      <c r="BY12" s="186" t="n">
        <v>5.9</v>
      </c>
      <c r="CL12" s="186" t="n">
        <v>0</v>
      </c>
    </row>
    <row r="13" customFormat="false" ht="12.75" hidden="false" customHeight="false" outlineLevel="0" collapsed="false">
      <c r="A13" s="184" t="s">
        <v>758</v>
      </c>
      <c r="B13" s="0" t="s">
        <v>669</v>
      </c>
      <c r="C13" s="0" t="s">
        <v>763</v>
      </c>
      <c r="D13" s="0" t="s">
        <v>766</v>
      </c>
      <c r="E13" s="119" t="n">
        <v>11</v>
      </c>
      <c r="F13" s="119" t="n">
        <v>12</v>
      </c>
      <c r="I13" s="118" t="n">
        <v>9</v>
      </c>
      <c r="K13" s="118" t="n">
        <v>9</v>
      </c>
      <c r="M13" s="186" t="n">
        <v>2.66</v>
      </c>
      <c r="S13" s="192" t="n">
        <v>1083</v>
      </c>
      <c r="U13" s="186" t="n">
        <v>10.8</v>
      </c>
      <c r="Y13" s="186" t="n">
        <v>582</v>
      </c>
      <c r="AA13" s="192" t="n">
        <v>83573</v>
      </c>
      <c r="AC13" s="186" t="n">
        <v>25.3</v>
      </c>
      <c r="AG13" s="186" t="n">
        <v>3.03</v>
      </c>
      <c r="AM13" s="192" t="n">
        <v>83</v>
      </c>
      <c r="BS13" s="193" t="n">
        <v>42.77</v>
      </c>
      <c r="BU13" s="186" t="n">
        <v>22.99</v>
      </c>
      <c r="BY13" s="186" t="n">
        <v>6.49</v>
      </c>
      <c r="CL13" s="186" t="n">
        <v>0</v>
      </c>
    </row>
    <row r="14" customFormat="false" ht="12.75" hidden="false" customHeight="false" outlineLevel="0" collapsed="false">
      <c r="A14" s="184" t="s">
        <v>767</v>
      </c>
      <c r="B14" s="0" t="s">
        <v>666</v>
      </c>
      <c r="C14" s="0" t="s">
        <v>759</v>
      </c>
      <c r="D14" s="0" t="s">
        <v>760</v>
      </c>
      <c r="E14" s="119" t="n">
        <v>9</v>
      </c>
      <c r="F14" s="119" t="n">
        <v>3</v>
      </c>
      <c r="I14" s="118" t="n">
        <v>9</v>
      </c>
      <c r="K14" s="118" t="n">
        <v>7</v>
      </c>
      <c r="M14" s="186" t="n">
        <v>2.93</v>
      </c>
      <c r="S14" s="192" t="n">
        <v>1273</v>
      </c>
      <c r="U14" s="186" t="n">
        <v>10.8</v>
      </c>
      <c r="Y14" s="186" t="n">
        <v>567</v>
      </c>
      <c r="AA14" s="192" t="n">
        <v>103181</v>
      </c>
      <c r="AC14" s="186" t="n">
        <v>27.9</v>
      </c>
      <c r="AG14" s="186" t="n">
        <v>2.71</v>
      </c>
      <c r="AM14" s="192" t="n">
        <v>80</v>
      </c>
      <c r="BS14" s="193" t="n">
        <v>45.55</v>
      </c>
      <c r="BU14" s="186" t="n">
        <v>20.29</v>
      </c>
      <c r="BY14" s="186" t="n">
        <v>6.27</v>
      </c>
      <c r="CL14" s="186" t="n">
        <v>0</v>
      </c>
    </row>
    <row r="15" customFormat="false" ht="12.75" hidden="false" customHeight="false" outlineLevel="0" collapsed="false">
      <c r="A15" s="184" t="s">
        <v>767</v>
      </c>
      <c r="B15" s="0" t="s">
        <v>666</v>
      </c>
      <c r="C15" s="0" t="s">
        <v>759</v>
      </c>
      <c r="D15" s="0" t="s">
        <v>761</v>
      </c>
      <c r="E15" s="119" t="n">
        <v>27</v>
      </c>
      <c r="F15" s="119" t="n">
        <v>3</v>
      </c>
      <c r="I15" s="118" t="n">
        <v>9</v>
      </c>
      <c r="K15" s="118" t="n">
        <v>7</v>
      </c>
      <c r="M15" s="186" t="n">
        <v>3.03</v>
      </c>
      <c r="S15" s="192" t="n">
        <v>1261</v>
      </c>
      <c r="U15" s="186" t="n">
        <v>10.8</v>
      </c>
      <c r="Y15" s="186" t="n">
        <v>621</v>
      </c>
      <c r="AA15" s="192" t="n">
        <v>100762</v>
      </c>
      <c r="AC15" s="186" t="n">
        <v>28.7</v>
      </c>
      <c r="AG15" s="186" t="n">
        <v>2.85</v>
      </c>
      <c r="AM15" s="192" t="n">
        <v>80</v>
      </c>
      <c r="BS15" s="193" t="n">
        <v>43.98</v>
      </c>
      <c r="BU15" s="186" t="n">
        <v>21.65</v>
      </c>
      <c r="BY15" s="186" t="n">
        <v>6.99</v>
      </c>
      <c r="CL15" s="186" t="n">
        <v>0</v>
      </c>
    </row>
    <row r="16" customFormat="false" ht="12.75" hidden="false" customHeight="false" outlineLevel="0" collapsed="false">
      <c r="A16" s="184" t="s">
        <v>767</v>
      </c>
      <c r="B16" s="0" t="s">
        <v>666</v>
      </c>
      <c r="C16" s="0" t="s">
        <v>759</v>
      </c>
      <c r="D16" s="0" t="s">
        <v>762</v>
      </c>
      <c r="E16" s="119" t="n">
        <v>45</v>
      </c>
      <c r="F16" s="119" t="n">
        <v>3</v>
      </c>
      <c r="I16" s="118" t="n">
        <v>9</v>
      </c>
      <c r="K16" s="118" t="n">
        <v>7</v>
      </c>
      <c r="M16" s="186" t="n">
        <v>2.76</v>
      </c>
      <c r="S16" s="192" t="n">
        <v>1220</v>
      </c>
      <c r="U16" s="186" t="n">
        <v>10.8</v>
      </c>
      <c r="Y16" s="186" t="n">
        <v>527</v>
      </c>
      <c r="AA16" s="192" t="n">
        <v>93737</v>
      </c>
      <c r="AC16" s="186" t="n">
        <v>26.4</v>
      </c>
      <c r="AG16" s="186" t="n">
        <v>2.82</v>
      </c>
      <c r="AM16" s="192" t="n">
        <v>80</v>
      </c>
      <c r="BS16" s="193" t="n">
        <v>46.14</v>
      </c>
      <c r="BU16" s="186" t="n">
        <v>19.93</v>
      </c>
      <c r="BY16" s="186" t="n">
        <v>5.84</v>
      </c>
      <c r="CL16" s="186" t="n">
        <v>0</v>
      </c>
    </row>
    <row r="17" customFormat="false" ht="12.75" hidden="false" customHeight="false" outlineLevel="0" collapsed="false">
      <c r="A17" s="184" t="s">
        <v>767</v>
      </c>
      <c r="B17" s="0" t="s">
        <v>666</v>
      </c>
      <c r="C17" s="0" t="s">
        <v>763</v>
      </c>
      <c r="D17" s="0" t="s">
        <v>764</v>
      </c>
      <c r="E17" s="119" t="n">
        <v>37</v>
      </c>
      <c r="F17" s="119" t="n">
        <v>7</v>
      </c>
      <c r="I17" s="118" t="n">
        <v>9</v>
      </c>
      <c r="K17" s="118" t="n">
        <v>7</v>
      </c>
      <c r="M17" s="186" t="n">
        <v>3.25</v>
      </c>
      <c r="S17" s="192" t="n">
        <v>1467</v>
      </c>
      <c r="U17" s="186" t="n">
        <v>10.8</v>
      </c>
      <c r="Y17" s="186" t="n">
        <v>587</v>
      </c>
      <c r="AA17" s="192" t="n">
        <v>105121</v>
      </c>
      <c r="AC17" s="186" t="n">
        <v>31.2</v>
      </c>
      <c r="AG17" s="186" t="n">
        <v>2.97</v>
      </c>
      <c r="AM17" s="192" t="n">
        <v>77</v>
      </c>
      <c r="BS17" s="193" t="n">
        <v>47</v>
      </c>
      <c r="BU17" s="186" t="n">
        <v>18.81</v>
      </c>
      <c r="BY17" s="186" t="n">
        <v>5.64</v>
      </c>
      <c r="CL17" s="186" t="n">
        <v>0</v>
      </c>
    </row>
    <row r="18" customFormat="false" ht="12.75" hidden="false" customHeight="false" outlineLevel="0" collapsed="false">
      <c r="A18" s="184" t="s">
        <v>767</v>
      </c>
      <c r="B18" s="0" t="s">
        <v>666</v>
      </c>
      <c r="C18" s="0" t="s">
        <v>763</v>
      </c>
      <c r="D18" s="0" t="s">
        <v>765</v>
      </c>
      <c r="E18" s="119" t="n">
        <v>55</v>
      </c>
      <c r="F18" s="119" t="n">
        <v>7</v>
      </c>
      <c r="I18" s="118" t="n">
        <v>9</v>
      </c>
      <c r="K18" s="118" t="n">
        <v>7</v>
      </c>
      <c r="M18" s="186" t="n">
        <v>3.36</v>
      </c>
      <c r="S18" s="192" t="n">
        <v>1431</v>
      </c>
      <c r="U18" s="186" t="n">
        <v>10.8</v>
      </c>
      <c r="Y18" s="186" t="n">
        <v>695</v>
      </c>
      <c r="AA18" s="192" t="n">
        <v>120055</v>
      </c>
      <c r="AC18" s="186" t="n">
        <v>32.2</v>
      </c>
      <c r="AG18" s="186" t="n">
        <v>2.68</v>
      </c>
      <c r="AM18" s="192" t="n">
        <v>80</v>
      </c>
      <c r="BS18" s="193" t="n">
        <v>44.48</v>
      </c>
      <c r="BU18" s="186" t="n">
        <v>21.59</v>
      </c>
      <c r="BY18" s="186" t="n">
        <v>5.91</v>
      </c>
      <c r="CL18" s="186" t="n">
        <v>0</v>
      </c>
    </row>
    <row r="19" customFormat="false" ht="12.75" hidden="false" customHeight="false" outlineLevel="0" collapsed="false">
      <c r="A19" s="184" t="s">
        <v>767</v>
      </c>
      <c r="B19" s="0" t="s">
        <v>666</v>
      </c>
      <c r="C19" s="0" t="s">
        <v>763</v>
      </c>
      <c r="D19" s="0" t="s">
        <v>766</v>
      </c>
      <c r="E19" s="119" t="n">
        <v>19</v>
      </c>
      <c r="F19" s="119" t="n">
        <v>7</v>
      </c>
      <c r="I19" s="118" t="n">
        <v>9</v>
      </c>
      <c r="K19" s="118" t="n">
        <v>7</v>
      </c>
      <c r="M19" s="186" t="n">
        <v>3.88</v>
      </c>
      <c r="S19" s="192" t="n">
        <v>1686</v>
      </c>
      <c r="U19" s="186" t="n">
        <v>10.8</v>
      </c>
      <c r="Y19" s="186" t="n">
        <v>748</v>
      </c>
      <c r="AA19" s="192" t="n">
        <v>127402</v>
      </c>
      <c r="AC19" s="186" t="n">
        <v>37</v>
      </c>
      <c r="AG19" s="186" t="n">
        <v>2.9</v>
      </c>
      <c r="AM19" s="192" t="n">
        <v>77</v>
      </c>
      <c r="BS19" s="193" t="n">
        <v>45.59</v>
      </c>
      <c r="BU19" s="186" t="n">
        <v>20.23</v>
      </c>
      <c r="BY19" s="186" t="n">
        <v>6.33</v>
      </c>
      <c r="CL19" s="186" t="n">
        <v>0</v>
      </c>
    </row>
    <row r="20" customFormat="false" ht="12.75" hidden="false" customHeight="false" outlineLevel="0" collapsed="false">
      <c r="A20" s="184" t="s">
        <v>767</v>
      </c>
      <c r="B20" s="0" t="s">
        <v>669</v>
      </c>
      <c r="C20" s="0" t="s">
        <v>759</v>
      </c>
      <c r="D20" s="0" t="s">
        <v>760</v>
      </c>
      <c r="E20" s="119" t="n">
        <v>12</v>
      </c>
      <c r="F20" s="119" t="n">
        <v>4</v>
      </c>
      <c r="I20" s="118" t="n">
        <v>9</v>
      </c>
      <c r="K20" s="118" t="n">
        <v>7</v>
      </c>
      <c r="M20" s="186" t="n">
        <v>3.08</v>
      </c>
      <c r="S20" s="192" t="n">
        <v>1275</v>
      </c>
      <c r="U20" s="186" t="n">
        <v>10.8</v>
      </c>
      <c r="Y20" s="186" t="n">
        <v>665</v>
      </c>
      <c r="AA20" s="192" t="n">
        <v>104919</v>
      </c>
      <c r="AC20" s="186" t="n">
        <v>29.3</v>
      </c>
      <c r="AG20" s="186" t="n">
        <v>2.79</v>
      </c>
      <c r="AM20" s="192" t="n">
        <v>80</v>
      </c>
      <c r="BS20" s="193" t="n">
        <v>43.5</v>
      </c>
      <c r="BU20" s="186" t="n">
        <v>22.69</v>
      </c>
      <c r="BY20" s="186" t="n">
        <v>6.48</v>
      </c>
      <c r="CL20" s="186" t="n">
        <v>0</v>
      </c>
    </row>
    <row r="21" customFormat="false" ht="12.75" hidden="false" customHeight="false" outlineLevel="0" collapsed="false">
      <c r="A21" s="184" t="s">
        <v>767</v>
      </c>
      <c r="B21" s="0" t="s">
        <v>669</v>
      </c>
      <c r="C21" s="0" t="s">
        <v>759</v>
      </c>
      <c r="D21" s="0" t="s">
        <v>761</v>
      </c>
      <c r="E21" s="119" t="n">
        <v>30</v>
      </c>
      <c r="F21" s="119" t="n">
        <v>4</v>
      </c>
      <c r="I21" s="118" t="n">
        <v>9</v>
      </c>
      <c r="K21" s="118" t="n">
        <v>7</v>
      </c>
      <c r="M21" s="186" t="n">
        <v>3.28</v>
      </c>
      <c r="S21" s="192" t="n">
        <v>1319</v>
      </c>
      <c r="U21" s="186" t="n">
        <v>10.8</v>
      </c>
      <c r="Y21" s="186" t="n">
        <v>751</v>
      </c>
      <c r="AA21" s="192" t="n">
        <v>108616</v>
      </c>
      <c r="AC21" s="186" t="n">
        <v>31.2</v>
      </c>
      <c r="AG21" s="186" t="n">
        <v>2.87</v>
      </c>
      <c r="AM21" s="192" t="n">
        <v>80</v>
      </c>
      <c r="BS21" s="193" t="n">
        <v>42.27</v>
      </c>
      <c r="BU21" s="186" t="n">
        <v>24.07</v>
      </c>
      <c r="BY21" s="186" t="n">
        <v>6.5</v>
      </c>
      <c r="CL21" s="186" t="n">
        <v>0</v>
      </c>
    </row>
    <row r="22" customFormat="false" ht="12.75" hidden="false" customHeight="false" outlineLevel="0" collapsed="false">
      <c r="A22" s="184" t="s">
        <v>767</v>
      </c>
      <c r="B22" s="0" t="s">
        <v>669</v>
      </c>
      <c r="C22" s="0" t="s">
        <v>759</v>
      </c>
      <c r="D22" s="0" t="s">
        <v>762</v>
      </c>
      <c r="E22" s="119" t="n">
        <v>48</v>
      </c>
      <c r="F22" s="119" t="n">
        <v>4</v>
      </c>
      <c r="I22" s="118" t="n">
        <v>9</v>
      </c>
      <c r="K22" s="118" t="n">
        <v>7</v>
      </c>
      <c r="M22" s="186" t="n">
        <v>3.56</v>
      </c>
      <c r="S22" s="192" t="n">
        <v>1508</v>
      </c>
      <c r="U22" s="186" t="n">
        <v>10.8</v>
      </c>
      <c r="Y22" s="186" t="n">
        <v>753</v>
      </c>
      <c r="AA22" s="192" t="n">
        <v>123339</v>
      </c>
      <c r="AC22" s="186" t="n">
        <v>34.1</v>
      </c>
      <c r="AG22" s="186" t="n">
        <v>2.77</v>
      </c>
      <c r="AM22" s="192" t="n">
        <v>80</v>
      </c>
      <c r="BS22" s="193" t="n">
        <v>44.15</v>
      </c>
      <c r="BU22" s="186" t="n">
        <v>22.04</v>
      </c>
      <c r="BY22" s="186" t="n">
        <v>5.73</v>
      </c>
      <c r="CL22" s="186" t="n">
        <v>0</v>
      </c>
    </row>
    <row r="23" customFormat="false" ht="12.75" hidden="false" customHeight="false" outlineLevel="0" collapsed="false">
      <c r="A23" s="184" t="s">
        <v>767</v>
      </c>
      <c r="B23" s="0" t="s">
        <v>669</v>
      </c>
      <c r="C23" s="0" t="s">
        <v>763</v>
      </c>
      <c r="D23" s="0" t="s">
        <v>764</v>
      </c>
      <c r="E23" s="119" t="n">
        <v>23</v>
      </c>
      <c r="F23" s="119" t="n">
        <v>11</v>
      </c>
      <c r="I23" s="118" t="n">
        <v>9</v>
      </c>
      <c r="K23" s="118" t="n">
        <v>9</v>
      </c>
      <c r="M23" s="186" t="n">
        <v>2.75</v>
      </c>
      <c r="S23" s="192" t="n">
        <v>1084</v>
      </c>
      <c r="U23" s="186" t="n">
        <v>10.8</v>
      </c>
      <c r="Y23" s="186" t="n">
        <v>660</v>
      </c>
      <c r="AA23" s="192" t="n">
        <v>100106</v>
      </c>
      <c r="AC23" s="186" t="n">
        <v>26.2</v>
      </c>
      <c r="AG23" s="186" t="n">
        <v>2.61</v>
      </c>
      <c r="AM23" s="192" t="n">
        <v>80</v>
      </c>
      <c r="BS23" s="193" t="n">
        <v>41.43</v>
      </c>
      <c r="BU23" s="186" t="n">
        <v>25.23</v>
      </c>
      <c r="BY23" s="186" t="n">
        <v>6.46</v>
      </c>
      <c r="CL23" s="186" t="n">
        <v>2</v>
      </c>
    </row>
    <row r="24" customFormat="false" ht="12.75" hidden="false" customHeight="false" outlineLevel="0" collapsed="false">
      <c r="A24" s="184" t="s">
        <v>767</v>
      </c>
      <c r="B24" s="0" t="s">
        <v>669</v>
      </c>
      <c r="C24" s="0" t="s">
        <v>763</v>
      </c>
      <c r="D24" s="0" t="s">
        <v>765</v>
      </c>
      <c r="E24" s="119" t="n">
        <v>41</v>
      </c>
      <c r="F24" s="119" t="n">
        <v>11</v>
      </c>
      <c r="I24" s="118" t="n">
        <v>9</v>
      </c>
      <c r="K24" s="118" t="n">
        <v>9</v>
      </c>
      <c r="M24" s="186" t="n">
        <v>3.52</v>
      </c>
      <c r="S24" s="192" t="n">
        <v>1488</v>
      </c>
      <c r="U24" s="186" t="n">
        <v>10.8</v>
      </c>
      <c r="Y24" s="186" t="n">
        <v>745</v>
      </c>
      <c r="AA24" s="192" t="n">
        <v>126098</v>
      </c>
      <c r="AC24" s="186" t="n">
        <v>33.8</v>
      </c>
      <c r="AG24" s="186" t="n">
        <v>2.68</v>
      </c>
      <c r="AM24" s="192" t="n">
        <v>77</v>
      </c>
      <c r="BS24" s="193" t="n">
        <v>44.05</v>
      </c>
      <c r="BU24" s="186" t="n">
        <v>22.07</v>
      </c>
      <c r="BY24" s="186" t="n">
        <v>5.71</v>
      </c>
      <c r="CL24" s="186" t="n">
        <v>0</v>
      </c>
    </row>
    <row r="25" customFormat="false" ht="12.75" hidden="false" customHeight="false" outlineLevel="0" collapsed="false">
      <c r="A25" s="184" t="s">
        <v>767</v>
      </c>
      <c r="B25" s="0" t="s">
        <v>669</v>
      </c>
      <c r="C25" s="0" t="s">
        <v>763</v>
      </c>
      <c r="D25" s="0" t="s">
        <v>766</v>
      </c>
      <c r="E25" s="119" t="n">
        <v>5</v>
      </c>
      <c r="F25" s="119" t="n">
        <v>11</v>
      </c>
      <c r="I25" s="118" t="n">
        <v>9</v>
      </c>
      <c r="K25" s="118" t="n">
        <v>9</v>
      </c>
      <c r="M25" s="186" t="n">
        <v>3.67</v>
      </c>
      <c r="S25" s="192" t="n">
        <v>1512</v>
      </c>
      <c r="U25" s="186" t="n">
        <v>10.8</v>
      </c>
      <c r="Y25" s="186" t="n">
        <v>767</v>
      </c>
      <c r="AA25" s="192" t="n">
        <v>131367</v>
      </c>
      <c r="AC25" s="186" t="n">
        <v>34.9</v>
      </c>
      <c r="AG25" s="186" t="n">
        <v>2.66</v>
      </c>
      <c r="AM25" s="192" t="n">
        <v>80</v>
      </c>
      <c r="BS25" s="193" t="n">
        <v>43.34</v>
      </c>
      <c r="BU25" s="186" t="n">
        <v>21.99</v>
      </c>
      <c r="BY25" s="186" t="n">
        <v>6.59</v>
      </c>
      <c r="CL25" s="186" t="n">
        <v>0</v>
      </c>
    </row>
    <row r="26" customFormat="false" ht="12.75" hidden="false" customHeight="false" outlineLevel="0" collapsed="false">
      <c r="A26" s="184" t="s">
        <v>431</v>
      </c>
      <c r="B26" s="0" t="s">
        <v>666</v>
      </c>
      <c r="C26" s="0" t="s">
        <v>759</v>
      </c>
      <c r="D26" s="0" t="s">
        <v>760</v>
      </c>
      <c r="E26" s="119" t="n">
        <v>5</v>
      </c>
      <c r="F26" s="119" t="n">
        <v>3</v>
      </c>
      <c r="I26" s="118" t="n">
        <v>9</v>
      </c>
      <c r="K26" s="118" t="n">
        <v>7</v>
      </c>
      <c r="M26" s="186" t="n">
        <v>2.81</v>
      </c>
      <c r="S26" s="192" t="n">
        <v>1156</v>
      </c>
      <c r="U26" s="186" t="n">
        <v>10.8</v>
      </c>
      <c r="Y26" s="186" t="n">
        <v>578</v>
      </c>
      <c r="AA26" s="192" t="n">
        <v>87776</v>
      </c>
      <c r="AC26" s="186" t="n">
        <v>26.7</v>
      </c>
      <c r="AG26" s="186" t="n">
        <v>3.04</v>
      </c>
      <c r="AM26" s="192" t="n">
        <v>80</v>
      </c>
      <c r="BS26" s="193" t="n">
        <v>43.32</v>
      </c>
      <c r="BU26" s="186" t="n">
        <v>21.66</v>
      </c>
      <c r="BY26" s="186" t="n">
        <v>6.66</v>
      </c>
      <c r="CL26" s="186" t="n">
        <v>0</v>
      </c>
    </row>
    <row r="27" customFormat="false" ht="12.75" hidden="false" customHeight="false" outlineLevel="0" collapsed="false">
      <c r="A27" s="184" t="s">
        <v>431</v>
      </c>
      <c r="B27" s="0" t="s">
        <v>666</v>
      </c>
      <c r="C27" s="0" t="s">
        <v>763</v>
      </c>
      <c r="D27" s="0" t="s">
        <v>764</v>
      </c>
      <c r="E27" s="119" t="n">
        <v>36</v>
      </c>
      <c r="F27" s="119" t="n">
        <v>8</v>
      </c>
      <c r="I27" s="118" t="n">
        <v>9</v>
      </c>
      <c r="K27" s="118" t="n">
        <v>7</v>
      </c>
      <c r="M27" s="186" t="n">
        <v>2.59</v>
      </c>
      <c r="S27" s="192" t="n">
        <v>1100</v>
      </c>
      <c r="U27" s="186" t="n">
        <v>10.8</v>
      </c>
      <c r="Y27" s="186" t="n">
        <v>512</v>
      </c>
      <c r="AA27" s="192" t="n">
        <v>81845</v>
      </c>
      <c r="AC27" s="186" t="n">
        <v>24.8</v>
      </c>
      <c r="AG27" s="186" t="n">
        <v>3.03</v>
      </c>
      <c r="AM27" s="192" t="n">
        <v>77</v>
      </c>
      <c r="BS27" s="193" t="n">
        <v>44.36</v>
      </c>
      <c r="BU27" s="186" t="n">
        <v>20.66</v>
      </c>
      <c r="BY27" s="186" t="n">
        <v>5.9</v>
      </c>
      <c r="CL27" s="186" t="n">
        <v>0</v>
      </c>
    </row>
    <row r="28" customFormat="false" ht="12.75" hidden="false" customHeight="false" outlineLevel="0" collapsed="false">
      <c r="A28" s="184" t="s">
        <v>431</v>
      </c>
      <c r="B28" s="0" t="s">
        <v>669</v>
      </c>
      <c r="C28" s="0" t="s">
        <v>759</v>
      </c>
      <c r="D28" s="0" t="s">
        <v>760</v>
      </c>
      <c r="E28" s="119" t="n">
        <v>15</v>
      </c>
      <c r="F28" s="119" t="n">
        <v>4</v>
      </c>
      <c r="I28" s="118" t="n">
        <v>9</v>
      </c>
      <c r="K28" s="118" t="n">
        <v>7</v>
      </c>
      <c r="M28" s="186" t="n">
        <v>3.02</v>
      </c>
      <c r="S28" s="192" t="n">
        <v>1173</v>
      </c>
      <c r="U28" s="186" t="n">
        <v>10.8</v>
      </c>
      <c r="Y28" s="186" t="n">
        <v>695</v>
      </c>
      <c r="AA28" s="192" t="n">
        <v>94645</v>
      </c>
      <c r="AC28" s="186" t="n">
        <v>28.7</v>
      </c>
      <c r="AG28" s="186" t="n">
        <v>3.04</v>
      </c>
      <c r="AM28" s="192" t="n">
        <v>77</v>
      </c>
      <c r="BS28" s="193" t="n">
        <v>40.83</v>
      </c>
      <c r="BU28" s="186" t="n">
        <v>24.2</v>
      </c>
      <c r="BY28" s="186" t="n">
        <v>6.47</v>
      </c>
      <c r="CL28" s="186" t="n">
        <v>0</v>
      </c>
    </row>
    <row r="29" customFormat="false" ht="12.75" hidden="false" customHeight="false" outlineLevel="0" collapsed="false">
      <c r="A29" s="184" t="s">
        <v>431</v>
      </c>
      <c r="B29" s="0" t="s">
        <v>669</v>
      </c>
      <c r="C29" s="0" t="s">
        <v>763</v>
      </c>
      <c r="D29" s="0" t="s">
        <v>764</v>
      </c>
      <c r="E29" s="119" t="n">
        <v>26</v>
      </c>
      <c r="F29" s="119" t="n">
        <v>10</v>
      </c>
      <c r="I29" s="118" t="n">
        <v>9</v>
      </c>
      <c r="K29" s="118" t="n">
        <v>7</v>
      </c>
      <c r="M29" s="186" t="n">
        <v>3.42</v>
      </c>
      <c r="S29" s="192" t="n">
        <v>1311</v>
      </c>
      <c r="U29" s="186" t="n">
        <v>10.8</v>
      </c>
      <c r="Y29" s="186" t="n">
        <v>780</v>
      </c>
      <c r="AA29" s="192" t="n">
        <v>104979</v>
      </c>
      <c r="AC29" s="186" t="n">
        <v>32</v>
      </c>
      <c r="AG29" s="186" t="n">
        <v>3.05</v>
      </c>
      <c r="AM29" s="192" t="n">
        <v>77</v>
      </c>
      <c r="BS29" s="193" t="n">
        <v>40.93</v>
      </c>
      <c r="BU29" s="186" t="n">
        <v>24.37</v>
      </c>
      <c r="BY29" s="186" t="n">
        <v>7.96</v>
      </c>
      <c r="CL29" s="186" t="n">
        <v>0</v>
      </c>
    </row>
    <row r="30" customFormat="false" ht="12.75" hidden="false" customHeight="false" outlineLevel="0" collapsed="false">
      <c r="A30" s="184" t="s">
        <v>433</v>
      </c>
      <c r="B30" s="0" t="s">
        <v>666</v>
      </c>
      <c r="C30" s="0" t="s">
        <v>759</v>
      </c>
      <c r="D30" s="0" t="s">
        <v>760</v>
      </c>
      <c r="E30" s="119" t="n">
        <v>10</v>
      </c>
      <c r="F30" s="119" t="n">
        <v>3</v>
      </c>
      <c r="I30" s="118" t="n">
        <v>9</v>
      </c>
      <c r="K30" s="118" t="n">
        <v>7</v>
      </c>
      <c r="M30" s="186" t="n">
        <v>2.33</v>
      </c>
      <c r="S30" s="192" t="n">
        <v>1047</v>
      </c>
      <c r="U30" s="186" t="n">
        <v>10.8</v>
      </c>
      <c r="Y30" s="186" t="n">
        <v>429</v>
      </c>
      <c r="AA30" s="192" t="n">
        <v>78098</v>
      </c>
      <c r="AC30" s="186" t="n">
        <v>22.3</v>
      </c>
      <c r="AG30" s="186" t="n">
        <v>2.85</v>
      </c>
      <c r="AM30" s="192" t="n">
        <v>77</v>
      </c>
      <c r="BS30" s="193" t="n">
        <v>47.02</v>
      </c>
      <c r="BU30" s="186" t="n">
        <v>19.27</v>
      </c>
      <c r="BY30" s="186" t="n">
        <v>6.11</v>
      </c>
      <c r="CL30" s="186" t="n">
        <v>0</v>
      </c>
    </row>
    <row r="31" customFormat="false" ht="12.75" hidden="false" customHeight="false" outlineLevel="0" collapsed="false">
      <c r="A31" s="184" t="s">
        <v>433</v>
      </c>
      <c r="B31" s="0" t="s">
        <v>666</v>
      </c>
      <c r="C31" s="0" t="s">
        <v>763</v>
      </c>
      <c r="D31" s="0" t="s">
        <v>764</v>
      </c>
      <c r="E31" s="119" t="n">
        <v>33</v>
      </c>
      <c r="F31" s="119" t="n">
        <v>8</v>
      </c>
      <c r="I31" s="118" t="n">
        <v>9</v>
      </c>
      <c r="K31" s="118" t="n">
        <v>7</v>
      </c>
      <c r="M31" s="186" t="n">
        <v>2.71</v>
      </c>
      <c r="S31" s="192" t="n">
        <v>1207</v>
      </c>
      <c r="U31" s="186" t="n">
        <v>10.8</v>
      </c>
      <c r="Y31" s="186" t="n">
        <v>519</v>
      </c>
      <c r="AA31" s="192" t="n">
        <v>87638</v>
      </c>
      <c r="AC31" s="186" t="n">
        <v>26</v>
      </c>
      <c r="AG31" s="186" t="n">
        <v>2.96</v>
      </c>
      <c r="AM31" s="192" t="n">
        <v>77</v>
      </c>
      <c r="BS31" s="193" t="n">
        <v>46.45</v>
      </c>
      <c r="BU31" s="186" t="n">
        <v>19.96</v>
      </c>
      <c r="BY31" s="186" t="n">
        <v>5.8</v>
      </c>
      <c r="CL31" s="186" t="n">
        <v>0</v>
      </c>
    </row>
    <row r="32" customFormat="false" ht="12.75" hidden="false" customHeight="false" outlineLevel="0" collapsed="false">
      <c r="A32" s="184" t="s">
        <v>433</v>
      </c>
      <c r="B32" s="0" t="s">
        <v>669</v>
      </c>
      <c r="C32" s="0" t="s">
        <v>759</v>
      </c>
      <c r="D32" s="0" t="s">
        <v>760</v>
      </c>
      <c r="E32" s="119" t="n">
        <v>11</v>
      </c>
      <c r="F32" s="119" t="n">
        <v>4</v>
      </c>
      <c r="I32" s="118" t="n">
        <v>9</v>
      </c>
      <c r="K32" s="118" t="n">
        <v>7</v>
      </c>
      <c r="M32" s="186" t="n">
        <v>2.22</v>
      </c>
      <c r="S32" s="192" t="n">
        <v>934</v>
      </c>
      <c r="U32" s="186" t="n">
        <v>10.8</v>
      </c>
      <c r="Y32" s="186" t="n">
        <v>469</v>
      </c>
      <c r="AA32" s="192" t="n">
        <v>76455</v>
      </c>
      <c r="AC32" s="186" t="n">
        <v>21.1</v>
      </c>
      <c r="AG32" s="186" t="n">
        <v>2.76</v>
      </c>
      <c r="AM32" s="192" t="n">
        <v>77</v>
      </c>
      <c r="BS32" s="193" t="n">
        <v>44.21</v>
      </c>
      <c r="BU32" s="186" t="n">
        <v>22.19</v>
      </c>
      <c r="BY32" s="186" t="n">
        <v>6.44</v>
      </c>
      <c r="CL32" s="186" t="n">
        <v>0</v>
      </c>
    </row>
    <row r="33" customFormat="false" ht="12.75" hidden="false" customHeight="false" outlineLevel="0" collapsed="false">
      <c r="A33" s="184" t="s">
        <v>433</v>
      </c>
      <c r="B33" s="0" t="s">
        <v>669</v>
      </c>
      <c r="C33" s="0" t="s">
        <v>763</v>
      </c>
      <c r="D33" s="0" t="s">
        <v>764</v>
      </c>
      <c r="E33" s="119" t="n">
        <v>28</v>
      </c>
      <c r="F33" s="119" t="n">
        <v>11</v>
      </c>
      <c r="I33" s="118" t="n">
        <v>9</v>
      </c>
      <c r="K33" s="118" t="n">
        <v>9</v>
      </c>
      <c r="M33" s="186" t="n">
        <v>3.34</v>
      </c>
      <c r="S33" s="192" t="n">
        <v>1398</v>
      </c>
      <c r="U33" s="186" t="n">
        <v>10.8</v>
      </c>
      <c r="Y33" s="186" t="n">
        <v>703</v>
      </c>
      <c r="AA33" s="192" t="n">
        <v>109767</v>
      </c>
      <c r="AC33" s="186" t="n">
        <v>31.8</v>
      </c>
      <c r="AG33" s="186" t="n">
        <v>2.89</v>
      </c>
      <c r="AM33" s="192" t="n">
        <v>77</v>
      </c>
      <c r="BS33" s="193" t="n">
        <v>44.03</v>
      </c>
      <c r="BU33" s="186" t="n">
        <v>22.14</v>
      </c>
      <c r="BY33" s="186" t="n">
        <v>6.55</v>
      </c>
      <c r="CL33" s="186" t="n">
        <v>0</v>
      </c>
    </row>
    <row r="34" customFormat="false" ht="12.75" hidden="false" customHeight="false" outlineLevel="0" collapsed="false">
      <c r="A34" s="184" t="s">
        <v>435</v>
      </c>
      <c r="B34" s="0" t="s">
        <v>666</v>
      </c>
      <c r="C34" s="0" t="s">
        <v>759</v>
      </c>
      <c r="D34" s="0" t="s">
        <v>760</v>
      </c>
      <c r="S34" s="192" t="s">
        <v>768</v>
      </c>
      <c r="U34" s="186" t="n">
        <v>10.8</v>
      </c>
      <c r="Y34" s="186" t="s">
        <v>768</v>
      </c>
      <c r="AA34" s="192" t="s">
        <v>768</v>
      </c>
      <c r="AC34" s="186" t="s">
        <v>768</v>
      </c>
      <c r="AG34" s="186" t="n">
        <v>3.04</v>
      </c>
      <c r="AM34" s="192" t="s">
        <v>768</v>
      </c>
      <c r="BS34" s="193" t="n">
        <v>41.91</v>
      </c>
      <c r="BU34" s="186" t="n">
        <v>23.79</v>
      </c>
      <c r="CL34" s="186" t="n">
        <v>0</v>
      </c>
    </row>
    <row r="35" customFormat="false" ht="12.75" hidden="false" customHeight="false" outlineLevel="0" collapsed="false">
      <c r="A35" s="184" t="s">
        <v>435</v>
      </c>
      <c r="B35" s="0" t="s">
        <v>666</v>
      </c>
      <c r="C35" s="0" t="s">
        <v>763</v>
      </c>
      <c r="D35" s="0" t="s">
        <v>764</v>
      </c>
      <c r="E35" s="119" t="n">
        <v>28</v>
      </c>
      <c r="F35" s="119" t="n">
        <v>7</v>
      </c>
      <c r="I35" s="118" t="n">
        <v>9</v>
      </c>
      <c r="K35" s="118" t="n">
        <v>7</v>
      </c>
      <c r="M35" s="186" t="n">
        <v>2.95</v>
      </c>
      <c r="S35" s="192" t="n">
        <v>1183</v>
      </c>
      <c r="U35" s="186" t="n">
        <v>10.8</v>
      </c>
      <c r="Y35" s="186" t="n">
        <v>633</v>
      </c>
      <c r="AA35" s="192" t="n">
        <v>98222</v>
      </c>
      <c r="AC35" s="186" t="n">
        <v>27.9</v>
      </c>
      <c r="AG35" s="186" t="n">
        <v>2.84</v>
      </c>
      <c r="AM35" s="192" t="n">
        <v>78</v>
      </c>
      <c r="BS35" s="193" t="n">
        <v>42.37</v>
      </c>
      <c r="BU35" s="186" t="n">
        <v>22.66</v>
      </c>
      <c r="BY35" s="186" t="n">
        <v>6.99</v>
      </c>
      <c r="CL35" s="186" t="n">
        <v>0</v>
      </c>
    </row>
    <row r="36" customFormat="false" ht="12.75" hidden="false" customHeight="false" outlineLevel="0" collapsed="false">
      <c r="A36" s="184" t="s">
        <v>435</v>
      </c>
      <c r="B36" s="0" t="s">
        <v>669</v>
      </c>
      <c r="C36" s="0" t="s">
        <v>759</v>
      </c>
      <c r="D36" s="0" t="s">
        <v>760</v>
      </c>
      <c r="E36" s="119" t="n">
        <v>16</v>
      </c>
      <c r="F36" s="119" t="n">
        <v>6</v>
      </c>
      <c r="I36" s="118" t="n">
        <v>9</v>
      </c>
      <c r="K36" s="118" t="n">
        <v>9</v>
      </c>
      <c r="M36" s="186" t="n">
        <v>3.74</v>
      </c>
      <c r="S36" s="192" t="n">
        <v>1550</v>
      </c>
      <c r="U36" s="186" t="n">
        <v>10.8</v>
      </c>
      <c r="Y36" s="186" t="n">
        <v>786</v>
      </c>
      <c r="AA36" s="192" t="n">
        <v>120707</v>
      </c>
      <c r="AC36" s="186" t="n">
        <v>35.6</v>
      </c>
      <c r="AG36" s="186" t="n">
        <v>2.95</v>
      </c>
      <c r="AM36" s="192" t="n">
        <v>77</v>
      </c>
      <c r="BS36" s="193" t="n">
        <v>43.57</v>
      </c>
      <c r="BU36" s="186" t="n">
        <v>22.1</v>
      </c>
      <c r="BY36" s="186" t="n">
        <v>6.53</v>
      </c>
      <c r="CL36" s="186" t="n">
        <v>0</v>
      </c>
    </row>
    <row r="37" customFormat="false" ht="12.75" hidden="false" customHeight="false" outlineLevel="0" collapsed="false">
      <c r="A37" s="184" t="s">
        <v>435</v>
      </c>
      <c r="B37" s="0" t="s">
        <v>669</v>
      </c>
      <c r="C37" s="0" t="s">
        <v>763</v>
      </c>
      <c r="D37" s="0" t="s">
        <v>764</v>
      </c>
      <c r="E37" s="119" t="n">
        <v>32</v>
      </c>
      <c r="F37" s="119" t="n">
        <v>12</v>
      </c>
      <c r="I37" s="118" t="n">
        <v>9</v>
      </c>
      <c r="K37" s="118" t="n">
        <v>9</v>
      </c>
      <c r="M37" s="186" t="n">
        <v>2.8</v>
      </c>
      <c r="S37" s="192" t="n">
        <v>1128</v>
      </c>
      <c r="U37" s="186" t="n">
        <v>10.8</v>
      </c>
      <c r="Y37" s="186" t="n">
        <v>636</v>
      </c>
      <c r="AA37" s="192" t="n">
        <v>98292</v>
      </c>
      <c r="AC37" s="186" t="n">
        <v>26.6</v>
      </c>
      <c r="AG37" s="186" t="n">
        <v>2.71</v>
      </c>
      <c r="AM37" s="192" t="n">
        <v>77</v>
      </c>
      <c r="BS37" s="193" t="n">
        <v>42.33</v>
      </c>
      <c r="BU37" s="186" t="n">
        <v>23.89</v>
      </c>
      <c r="BY37" s="186" t="n">
        <v>6.47</v>
      </c>
      <c r="CL37" s="186" t="n">
        <v>0</v>
      </c>
    </row>
    <row r="38" customFormat="false" ht="12.75" hidden="false" customHeight="false" outlineLevel="0" collapsed="false">
      <c r="A38" s="184" t="s">
        <v>437</v>
      </c>
      <c r="B38" s="0" t="s">
        <v>666</v>
      </c>
      <c r="C38" s="0" t="s">
        <v>759</v>
      </c>
      <c r="D38" s="0" t="s">
        <v>760</v>
      </c>
      <c r="E38" s="119" t="n">
        <v>9</v>
      </c>
      <c r="F38" s="119" t="n">
        <v>2</v>
      </c>
      <c r="I38" s="118" t="n">
        <v>9</v>
      </c>
      <c r="K38" s="118" t="n">
        <v>9</v>
      </c>
      <c r="M38" s="186" t="n">
        <v>2.3</v>
      </c>
      <c r="S38" s="192" t="n">
        <v>1026</v>
      </c>
      <c r="U38" s="186" t="n">
        <v>10.8</v>
      </c>
      <c r="Y38" s="186" t="n">
        <v>429</v>
      </c>
      <c r="AA38" s="192" t="n">
        <v>67831</v>
      </c>
      <c r="AC38" s="186" t="n">
        <v>21.9</v>
      </c>
      <c r="AG38" s="186" t="n">
        <v>3.23</v>
      </c>
      <c r="AM38" s="192" t="n">
        <v>73</v>
      </c>
      <c r="BS38" s="193" t="n">
        <v>46.88</v>
      </c>
      <c r="BU38" s="186" t="n">
        <v>19.59</v>
      </c>
      <c r="BY38" s="186" t="n">
        <v>6.45</v>
      </c>
      <c r="CL38" s="186" t="n">
        <v>0</v>
      </c>
    </row>
    <row r="39" customFormat="false" ht="12.75" hidden="false" customHeight="false" outlineLevel="0" collapsed="false">
      <c r="A39" s="184" t="s">
        <v>437</v>
      </c>
      <c r="B39" s="0" t="s">
        <v>666</v>
      </c>
      <c r="C39" s="0" t="s">
        <v>763</v>
      </c>
      <c r="D39" s="0" t="s">
        <v>764</v>
      </c>
      <c r="E39" s="119" t="n">
        <v>37</v>
      </c>
      <c r="F39" s="119" t="n">
        <v>9</v>
      </c>
      <c r="I39" s="118" t="n">
        <v>9</v>
      </c>
      <c r="K39" s="118" t="n">
        <v>9</v>
      </c>
      <c r="M39" s="186" t="n">
        <v>3.08</v>
      </c>
      <c r="S39" s="192" t="n">
        <v>1406</v>
      </c>
      <c r="U39" s="186" t="n">
        <v>10.8</v>
      </c>
      <c r="Y39" s="186" t="n">
        <v>571</v>
      </c>
      <c r="AA39" s="192" t="n">
        <v>88968</v>
      </c>
      <c r="AC39" s="186" t="n">
        <v>29.6</v>
      </c>
      <c r="AG39" s="186" t="n">
        <v>3.32</v>
      </c>
      <c r="AM39" s="192" t="n">
        <v>69</v>
      </c>
      <c r="BS39" s="193" t="n">
        <v>47.55</v>
      </c>
      <c r="BU39" s="186" t="n">
        <v>19.3</v>
      </c>
      <c r="BY39" s="186" t="n">
        <v>5.64</v>
      </c>
      <c r="CL39" s="186" t="n">
        <v>0</v>
      </c>
    </row>
    <row r="40" customFormat="false" ht="12.75" hidden="false" customHeight="false" outlineLevel="0" collapsed="false">
      <c r="A40" s="184" t="s">
        <v>437</v>
      </c>
      <c r="B40" s="0" t="s">
        <v>669</v>
      </c>
      <c r="C40" s="0" t="s">
        <v>759</v>
      </c>
      <c r="D40" s="0" t="s">
        <v>760</v>
      </c>
      <c r="E40" s="119" t="n">
        <v>19</v>
      </c>
      <c r="F40" s="119" t="n">
        <v>6</v>
      </c>
      <c r="I40" s="118" t="n">
        <v>9</v>
      </c>
      <c r="K40" s="118" t="n">
        <v>9</v>
      </c>
      <c r="M40" s="186" t="n">
        <v>3.94</v>
      </c>
      <c r="S40" s="192" t="n">
        <v>1635</v>
      </c>
      <c r="U40" s="186" t="n">
        <v>10.8</v>
      </c>
      <c r="Y40" s="186" t="n">
        <v>869</v>
      </c>
      <c r="AA40" s="192" t="n">
        <v>121394</v>
      </c>
      <c r="AC40" s="186" t="n">
        <v>37.6</v>
      </c>
      <c r="AG40" s="186" t="n">
        <v>3.1</v>
      </c>
      <c r="AM40" s="192" t="n">
        <v>73</v>
      </c>
      <c r="BS40" s="193" t="n">
        <v>43.51</v>
      </c>
      <c r="BU40" s="186" t="n">
        <v>23.12</v>
      </c>
      <c r="BY40" s="186" t="n">
        <v>6.26</v>
      </c>
      <c r="CL40" s="186" t="n">
        <v>0</v>
      </c>
    </row>
    <row r="41" customFormat="false" ht="12.75" hidden="false" customHeight="false" outlineLevel="0" collapsed="false">
      <c r="A41" s="184" t="s">
        <v>437</v>
      </c>
      <c r="B41" s="0" t="s">
        <v>669</v>
      </c>
      <c r="C41" s="0" t="s">
        <v>763</v>
      </c>
      <c r="D41" s="0" t="s">
        <v>764</v>
      </c>
      <c r="E41" s="119" t="n">
        <v>22</v>
      </c>
      <c r="F41" s="119" t="n">
        <v>11</v>
      </c>
      <c r="I41" s="118" t="n">
        <v>9</v>
      </c>
      <c r="K41" s="118" t="n">
        <v>9</v>
      </c>
      <c r="M41" s="186" t="n">
        <v>2.95</v>
      </c>
      <c r="S41" s="192" t="n">
        <v>1205</v>
      </c>
      <c r="U41" s="186" t="n">
        <v>10.8</v>
      </c>
      <c r="Y41" s="186" t="n">
        <v>690</v>
      </c>
      <c r="AA41" s="192" t="n">
        <v>92298</v>
      </c>
      <c r="AC41" s="186" t="n">
        <v>28.1</v>
      </c>
      <c r="AG41" s="186" t="n">
        <v>3.05</v>
      </c>
      <c r="AM41" s="192" t="n">
        <v>73</v>
      </c>
      <c r="BS41" s="193" t="n">
        <v>42.84</v>
      </c>
      <c r="BU41" s="186" t="n">
        <v>24.52</v>
      </c>
      <c r="BY41" s="186" t="n">
        <v>6.25</v>
      </c>
      <c r="CL41" s="186" t="n">
        <v>2</v>
      </c>
    </row>
    <row r="42" customFormat="false" ht="12.75" hidden="false" customHeight="false" outlineLevel="0" collapsed="false">
      <c r="A42" s="184" t="s">
        <v>439</v>
      </c>
      <c r="B42" s="0" t="s">
        <v>666</v>
      </c>
      <c r="C42" s="0" t="s">
        <v>759</v>
      </c>
      <c r="D42" s="0" t="s">
        <v>760</v>
      </c>
      <c r="E42" s="119" t="n">
        <v>16</v>
      </c>
      <c r="F42" s="119" t="n">
        <v>1</v>
      </c>
      <c r="I42" s="118" t="n">
        <v>9</v>
      </c>
      <c r="K42" s="118" t="n">
        <v>9</v>
      </c>
      <c r="M42" s="186" t="n">
        <v>3.14</v>
      </c>
      <c r="S42" s="192" t="n">
        <v>1317</v>
      </c>
      <c r="U42" s="186" t="n">
        <v>10.8</v>
      </c>
      <c r="Y42" s="186" t="n">
        <v>656</v>
      </c>
      <c r="AA42" s="192" t="n">
        <v>103069</v>
      </c>
      <c r="AC42" s="186" t="n">
        <v>29.9</v>
      </c>
      <c r="AG42" s="186" t="n">
        <v>2.9</v>
      </c>
      <c r="AM42" s="192" t="n">
        <v>73</v>
      </c>
      <c r="BS42" s="193" t="n">
        <v>44</v>
      </c>
      <c r="BU42" s="186" t="n">
        <v>21.92</v>
      </c>
      <c r="BY42" s="186" t="n">
        <v>6.31</v>
      </c>
      <c r="CL42" s="186" t="n">
        <v>0</v>
      </c>
    </row>
    <row r="43" customFormat="false" ht="12.75" hidden="false" customHeight="false" outlineLevel="0" collapsed="false">
      <c r="A43" s="184" t="s">
        <v>439</v>
      </c>
      <c r="B43" s="0" t="s">
        <v>666</v>
      </c>
      <c r="C43" s="0" t="s">
        <v>763</v>
      </c>
      <c r="D43" s="0" t="s">
        <v>764</v>
      </c>
      <c r="E43" s="119" t="n">
        <v>33</v>
      </c>
      <c r="F43" s="119" t="n">
        <v>9</v>
      </c>
      <c r="I43" s="118" t="n">
        <v>9</v>
      </c>
      <c r="K43" s="118" t="n">
        <v>9</v>
      </c>
      <c r="M43" s="186" t="n">
        <v>2.69</v>
      </c>
      <c r="S43" s="192" t="n">
        <v>1170</v>
      </c>
      <c r="U43" s="186" t="n">
        <v>10.8</v>
      </c>
      <c r="Y43" s="186" t="n">
        <v>519</v>
      </c>
      <c r="AA43" s="192" t="n">
        <v>88105</v>
      </c>
      <c r="AC43" s="186" t="n">
        <v>25.8</v>
      </c>
      <c r="AG43" s="186" t="n">
        <v>2.92</v>
      </c>
      <c r="AM43" s="192" t="n">
        <v>73</v>
      </c>
      <c r="BS43" s="193" t="n">
        <v>45.41</v>
      </c>
      <c r="BU43" s="186" t="n">
        <v>20.16</v>
      </c>
      <c r="BY43" s="186" t="n">
        <v>5.88</v>
      </c>
      <c r="CL43" s="186" t="n">
        <v>0</v>
      </c>
    </row>
    <row r="44" customFormat="false" ht="12.75" hidden="false" customHeight="false" outlineLevel="0" collapsed="false">
      <c r="A44" s="184" t="s">
        <v>439</v>
      </c>
      <c r="B44" s="0" t="s">
        <v>669</v>
      </c>
      <c r="C44" s="0" t="s">
        <v>759</v>
      </c>
      <c r="D44" s="0" t="s">
        <v>760</v>
      </c>
      <c r="E44" s="119" t="n">
        <v>4</v>
      </c>
      <c r="F44" s="119" t="n">
        <v>5</v>
      </c>
      <c r="I44" s="118" t="n">
        <v>9</v>
      </c>
      <c r="K44" s="118" t="n">
        <v>9</v>
      </c>
      <c r="M44" s="186" t="n">
        <v>3.01</v>
      </c>
      <c r="S44" s="192" t="n">
        <v>1195</v>
      </c>
      <c r="U44" s="186" t="n">
        <v>10.8</v>
      </c>
      <c r="Y44" s="186" t="n">
        <v>700</v>
      </c>
      <c r="AA44" s="192" t="n">
        <v>104354</v>
      </c>
      <c r="AC44" s="186" t="n">
        <v>28.6</v>
      </c>
      <c r="AG44" s="186" t="n">
        <v>2.74</v>
      </c>
      <c r="AM44" s="192" t="n">
        <v>73</v>
      </c>
      <c r="BS44" s="193" t="n">
        <v>41.81</v>
      </c>
      <c r="BU44" s="186" t="n">
        <v>24.51</v>
      </c>
      <c r="BY44" s="186" t="n">
        <v>6.68</v>
      </c>
      <c r="CL44" s="186" t="n">
        <v>0</v>
      </c>
    </row>
    <row r="45" customFormat="false" ht="12.75" hidden="false" customHeight="false" outlineLevel="0" collapsed="false">
      <c r="A45" s="184" t="s">
        <v>439</v>
      </c>
      <c r="B45" s="0" t="s">
        <v>669</v>
      </c>
      <c r="C45" s="0" t="s">
        <v>763</v>
      </c>
      <c r="D45" s="0" t="s">
        <v>764</v>
      </c>
      <c r="E45" s="119" t="n">
        <v>35</v>
      </c>
      <c r="F45" s="119" t="n">
        <v>11</v>
      </c>
      <c r="I45" s="118" t="n">
        <v>9</v>
      </c>
      <c r="K45" s="118" t="n">
        <v>9</v>
      </c>
      <c r="M45" s="186" t="n">
        <v>3.13</v>
      </c>
      <c r="S45" s="192" t="n">
        <v>1286</v>
      </c>
      <c r="U45" s="186" t="n">
        <v>10.8</v>
      </c>
      <c r="Y45" s="186" t="n">
        <v>678</v>
      </c>
      <c r="AA45" s="192" t="n">
        <v>99508</v>
      </c>
      <c r="AC45" s="186" t="n">
        <v>30</v>
      </c>
      <c r="AG45" s="186" t="n">
        <v>3.01</v>
      </c>
      <c r="AM45" s="192" t="n">
        <v>73</v>
      </c>
      <c r="BS45" s="193" t="n">
        <v>42.89</v>
      </c>
      <c r="BU45" s="186" t="n">
        <v>22.62</v>
      </c>
      <c r="BY45" s="186" t="n">
        <v>5.84</v>
      </c>
      <c r="CL45" s="186" t="n">
        <v>0</v>
      </c>
    </row>
    <row r="46" customFormat="false" ht="12.75" hidden="false" customHeight="false" outlineLevel="0" collapsed="false">
      <c r="A46" s="184" t="s">
        <v>441</v>
      </c>
      <c r="B46" s="0" t="s">
        <v>666</v>
      </c>
      <c r="C46" s="0" t="s">
        <v>759</v>
      </c>
      <c r="D46" s="0" t="s">
        <v>760</v>
      </c>
      <c r="E46" s="119" t="n">
        <v>19</v>
      </c>
      <c r="F46" s="119" t="n">
        <v>3</v>
      </c>
      <c r="I46" s="118" t="n">
        <v>9</v>
      </c>
      <c r="K46" s="118" t="n">
        <v>7</v>
      </c>
      <c r="M46" s="186" t="n">
        <v>3.15</v>
      </c>
      <c r="S46" s="192" t="n">
        <v>1360</v>
      </c>
      <c r="U46" s="186" t="n">
        <v>10.8</v>
      </c>
      <c r="Y46" s="186" t="n">
        <v>608</v>
      </c>
      <c r="AA46" s="192" t="n">
        <v>101413</v>
      </c>
      <c r="AC46" s="186" t="n">
        <v>30</v>
      </c>
      <c r="AG46" s="186" t="n">
        <v>2.96</v>
      </c>
      <c r="AM46" s="192" t="n">
        <v>73</v>
      </c>
      <c r="BS46" s="193" t="n">
        <v>45.29</v>
      </c>
      <c r="BU46" s="186" t="n">
        <v>20.24</v>
      </c>
      <c r="BY46" s="186" t="n">
        <v>6.33</v>
      </c>
      <c r="CL46" s="186" t="n">
        <v>0</v>
      </c>
    </row>
    <row r="47" customFormat="false" ht="12.75" hidden="false" customHeight="false" outlineLevel="0" collapsed="false">
      <c r="A47" s="184" t="s">
        <v>441</v>
      </c>
      <c r="B47" s="0" t="s">
        <v>666</v>
      </c>
      <c r="C47" s="0" t="s">
        <v>763</v>
      </c>
      <c r="D47" s="0" t="s">
        <v>764</v>
      </c>
      <c r="E47" s="119" t="n">
        <v>25</v>
      </c>
      <c r="F47" s="119" t="n">
        <v>9</v>
      </c>
      <c r="I47" s="118" t="n">
        <v>9</v>
      </c>
      <c r="K47" s="118" t="n">
        <v>9</v>
      </c>
      <c r="M47" s="186" t="n">
        <v>3.62</v>
      </c>
      <c r="S47" s="192" t="n">
        <v>1446</v>
      </c>
      <c r="U47" s="186" t="n">
        <v>10.8</v>
      </c>
      <c r="Y47" s="186" t="n">
        <v>773</v>
      </c>
      <c r="AA47" s="192" t="n">
        <v>122744</v>
      </c>
      <c r="AC47" s="186" t="n">
        <v>33.8</v>
      </c>
      <c r="AG47" s="186" t="n">
        <v>2.75</v>
      </c>
      <c r="AM47" s="192" t="n">
        <v>73</v>
      </c>
      <c r="BS47" s="193" t="n">
        <v>42.81</v>
      </c>
      <c r="BU47" s="186" t="n">
        <v>22.89</v>
      </c>
      <c r="BY47" s="186" t="n">
        <v>8.31</v>
      </c>
      <c r="CL47" s="186" t="n">
        <v>0</v>
      </c>
    </row>
    <row r="48" customFormat="false" ht="12.75" hidden="false" customHeight="false" outlineLevel="0" collapsed="false">
      <c r="A48" s="184" t="s">
        <v>441</v>
      </c>
      <c r="B48" s="0" t="s">
        <v>669</v>
      </c>
      <c r="C48" s="0" t="s">
        <v>759</v>
      </c>
      <c r="D48" s="0" t="s">
        <v>760</v>
      </c>
      <c r="E48" s="119" t="n">
        <v>7</v>
      </c>
      <c r="F48" s="119" t="n">
        <v>4</v>
      </c>
      <c r="I48" s="118" t="n">
        <v>9</v>
      </c>
      <c r="K48" s="118" t="n">
        <v>7</v>
      </c>
      <c r="M48" s="186" t="n">
        <v>3.04</v>
      </c>
      <c r="S48" s="192" t="n">
        <v>1231</v>
      </c>
      <c r="U48" s="186" t="n">
        <v>10.8</v>
      </c>
      <c r="Y48" s="186" t="n">
        <v>650</v>
      </c>
      <c r="AA48" s="192" t="n">
        <v>106666</v>
      </c>
      <c r="AC48" s="186" t="n">
        <v>28.9</v>
      </c>
      <c r="AG48" s="186" t="n">
        <v>2.71</v>
      </c>
      <c r="AM48" s="192" t="n">
        <v>73</v>
      </c>
      <c r="BS48" s="193" t="n">
        <v>42.63</v>
      </c>
      <c r="BU48" s="186" t="n">
        <v>22.5</v>
      </c>
      <c r="BY48" s="186" t="n">
        <v>6.61</v>
      </c>
      <c r="CL48" s="186" t="n">
        <v>0</v>
      </c>
    </row>
    <row r="49" customFormat="false" ht="12.75" hidden="false" customHeight="false" outlineLevel="0" collapsed="false">
      <c r="A49" s="184" t="s">
        <v>441</v>
      </c>
      <c r="B49" s="0" t="s">
        <v>669</v>
      </c>
      <c r="C49" s="0" t="s">
        <v>763</v>
      </c>
      <c r="D49" s="0" t="s">
        <v>764</v>
      </c>
      <c r="E49" s="119" t="n">
        <v>25</v>
      </c>
      <c r="F49" s="119" t="n">
        <v>10</v>
      </c>
      <c r="I49" s="118" t="n">
        <v>9</v>
      </c>
      <c r="K49" s="118" t="n">
        <v>7</v>
      </c>
      <c r="M49" s="186" t="n">
        <v>4.14</v>
      </c>
      <c r="S49" s="192" t="n">
        <v>1617</v>
      </c>
      <c r="U49" s="186" t="n">
        <v>10.8</v>
      </c>
      <c r="Y49" s="186" t="n">
        <v>934</v>
      </c>
      <c r="AA49" s="192" t="n">
        <v>135428</v>
      </c>
      <c r="AC49" s="186" t="n">
        <v>38.5</v>
      </c>
      <c r="AG49" s="186" t="n">
        <v>2.85</v>
      </c>
      <c r="AM49" s="192" t="n">
        <v>73</v>
      </c>
      <c r="BS49" s="193" t="n">
        <v>41.97</v>
      </c>
      <c r="BU49" s="186" t="n">
        <v>24.23</v>
      </c>
      <c r="BY49" s="186" t="n">
        <v>8.51</v>
      </c>
      <c r="CL49" s="186" t="n">
        <v>0</v>
      </c>
    </row>
    <row r="50" customFormat="false" ht="12.75" hidden="false" customHeight="false" outlineLevel="0" collapsed="false">
      <c r="A50" s="184" t="s">
        <v>443</v>
      </c>
      <c r="B50" s="0" t="s">
        <v>666</v>
      </c>
      <c r="C50" s="0" t="s">
        <v>759</v>
      </c>
      <c r="D50" s="0" t="s">
        <v>760</v>
      </c>
      <c r="E50" s="119" t="n">
        <v>12</v>
      </c>
      <c r="F50" s="119" t="n">
        <v>2</v>
      </c>
      <c r="I50" s="118" t="n">
        <v>9</v>
      </c>
      <c r="K50" s="118" t="n">
        <v>9</v>
      </c>
      <c r="M50" s="186" t="n">
        <v>2.05</v>
      </c>
      <c r="S50" s="192" t="n">
        <v>916</v>
      </c>
      <c r="U50" s="186" t="n">
        <v>10.8</v>
      </c>
      <c r="Y50" s="186" t="n">
        <v>373</v>
      </c>
      <c r="AA50" s="192" t="n">
        <v>64324</v>
      </c>
      <c r="AC50" s="186" t="n">
        <v>19.6</v>
      </c>
      <c r="AG50" s="186" t="n">
        <v>3.04</v>
      </c>
      <c r="AM50" s="192" t="n">
        <v>77</v>
      </c>
      <c r="BS50" s="193" t="n">
        <v>46.85</v>
      </c>
      <c r="BU50" s="186" t="n">
        <v>19.09</v>
      </c>
      <c r="BY50" s="186" t="n">
        <v>6.24</v>
      </c>
      <c r="CL50" s="186" t="n">
        <v>0</v>
      </c>
    </row>
    <row r="51" customFormat="false" ht="12.75" hidden="false" customHeight="false" outlineLevel="0" collapsed="false">
      <c r="A51" s="184" t="s">
        <v>443</v>
      </c>
      <c r="B51" s="0" t="s">
        <v>666</v>
      </c>
      <c r="C51" s="0" t="s">
        <v>763</v>
      </c>
      <c r="D51" s="0" t="s">
        <v>764</v>
      </c>
      <c r="E51" s="119" t="n">
        <v>28</v>
      </c>
      <c r="F51" s="119" t="n">
        <v>8</v>
      </c>
      <c r="I51" s="118" t="n">
        <v>9</v>
      </c>
      <c r="K51" s="118" t="n">
        <v>7</v>
      </c>
      <c r="M51" s="186" t="n">
        <v>2.56</v>
      </c>
      <c r="S51" s="192" t="n">
        <v>1085</v>
      </c>
      <c r="U51" s="186" t="n">
        <v>10.8</v>
      </c>
      <c r="Y51" s="186" t="n">
        <v>516</v>
      </c>
      <c r="AA51" s="192" t="n">
        <v>83588</v>
      </c>
      <c r="AC51" s="186" t="n">
        <v>24.3</v>
      </c>
      <c r="AG51" s="186" t="n">
        <v>2.9</v>
      </c>
      <c r="AM51" s="192" t="n">
        <v>77</v>
      </c>
      <c r="BS51" s="193" t="n">
        <v>44.7</v>
      </c>
      <c r="BU51" s="186" t="n">
        <v>21.28</v>
      </c>
      <c r="BY51" s="186" t="n">
        <v>6.81</v>
      </c>
      <c r="CL51" s="186" t="n">
        <v>0</v>
      </c>
    </row>
    <row r="52" customFormat="false" ht="12.75" hidden="false" customHeight="false" outlineLevel="0" collapsed="false">
      <c r="A52" s="184" t="s">
        <v>443</v>
      </c>
      <c r="B52" s="0" t="s">
        <v>669</v>
      </c>
      <c r="C52" s="0" t="s">
        <v>759</v>
      </c>
      <c r="D52" s="0" t="s">
        <v>760</v>
      </c>
      <c r="E52" s="119" t="n">
        <v>8</v>
      </c>
      <c r="F52" s="119" t="n">
        <v>5</v>
      </c>
      <c r="I52" s="118" t="n">
        <v>9</v>
      </c>
      <c r="K52" s="118" t="n">
        <v>9</v>
      </c>
      <c r="M52" s="186" t="n">
        <v>2.81</v>
      </c>
      <c r="S52" s="192" t="n">
        <v>1158</v>
      </c>
      <c r="U52" s="186" t="n">
        <v>10.8</v>
      </c>
      <c r="Y52" s="186" t="n">
        <v>610</v>
      </c>
      <c r="AA52" s="192" t="n">
        <v>96967</v>
      </c>
      <c r="AC52" s="186" t="n">
        <v>26.8</v>
      </c>
      <c r="AG52" s="186" t="n">
        <v>2.76</v>
      </c>
      <c r="AM52" s="192" t="n">
        <v>77</v>
      </c>
      <c r="BS52" s="193" t="n">
        <v>43.18</v>
      </c>
      <c r="BU52" s="186" t="n">
        <v>22.75</v>
      </c>
      <c r="BY52" s="186" t="n">
        <v>6.25</v>
      </c>
      <c r="CL52" s="186" t="n">
        <v>0</v>
      </c>
    </row>
    <row r="53" customFormat="false" ht="12.75" hidden="false" customHeight="false" outlineLevel="0" collapsed="false">
      <c r="A53" s="184" t="s">
        <v>443</v>
      </c>
      <c r="B53" s="0" t="s">
        <v>669</v>
      </c>
      <c r="C53" s="0" t="s">
        <v>763</v>
      </c>
      <c r="D53" s="0" t="s">
        <v>764</v>
      </c>
      <c r="E53" s="119" t="n">
        <v>22</v>
      </c>
      <c r="F53" s="119" t="n">
        <v>10</v>
      </c>
      <c r="I53" s="118" t="n">
        <v>9</v>
      </c>
      <c r="K53" s="118" t="n">
        <v>7</v>
      </c>
      <c r="M53" s="186" t="n">
        <v>2.94</v>
      </c>
      <c r="S53" s="192" t="n">
        <v>1214</v>
      </c>
      <c r="U53" s="186" t="n">
        <v>10.8</v>
      </c>
      <c r="Y53" s="186" t="n">
        <v>643</v>
      </c>
      <c r="AA53" s="192" t="n">
        <v>96269</v>
      </c>
      <c r="AC53" s="186" t="n">
        <v>28</v>
      </c>
      <c r="AG53" s="186" t="n">
        <v>2.91</v>
      </c>
      <c r="AM53" s="192" t="n">
        <v>77</v>
      </c>
      <c r="BS53" s="193" t="n">
        <v>43.31</v>
      </c>
      <c r="BU53" s="186" t="n">
        <v>22.94</v>
      </c>
      <c r="BY53" s="186" t="n">
        <v>6.33</v>
      </c>
      <c r="CL53" s="186" t="n">
        <v>0</v>
      </c>
    </row>
    <row r="54" customFormat="false" ht="12.75" hidden="false" customHeight="false" outlineLevel="0" collapsed="false">
      <c r="A54" s="184" t="s">
        <v>445</v>
      </c>
      <c r="B54" s="0" t="s">
        <v>666</v>
      </c>
      <c r="C54" s="0" t="s">
        <v>759</v>
      </c>
      <c r="D54" s="0" t="s">
        <v>760</v>
      </c>
      <c r="E54" s="119" t="n">
        <v>3</v>
      </c>
      <c r="F54" s="119" t="n">
        <v>1</v>
      </c>
      <c r="I54" s="118" t="n">
        <v>9</v>
      </c>
      <c r="K54" s="118" t="n">
        <v>9</v>
      </c>
      <c r="M54" s="186" t="n">
        <v>3.04</v>
      </c>
      <c r="S54" s="192" t="n">
        <v>1180</v>
      </c>
      <c r="U54" s="186" t="n">
        <v>10.8</v>
      </c>
      <c r="Y54" s="186" t="n">
        <v>653</v>
      </c>
      <c r="AA54" s="192" t="n">
        <v>105838</v>
      </c>
      <c r="AC54" s="186" t="n">
        <v>28.7</v>
      </c>
      <c r="AG54" s="186" t="n">
        <v>2.71</v>
      </c>
      <c r="AM54" s="192" t="n">
        <v>77</v>
      </c>
      <c r="BS54" s="193" t="n">
        <v>41.13</v>
      </c>
      <c r="BU54" s="186" t="n">
        <v>22.74</v>
      </c>
      <c r="BY54" s="186" t="n">
        <v>7.24</v>
      </c>
      <c r="CL54" s="186" t="n">
        <v>0</v>
      </c>
    </row>
    <row r="55" customFormat="false" ht="12.75" hidden="false" customHeight="false" outlineLevel="0" collapsed="false">
      <c r="A55" s="184" t="s">
        <v>445</v>
      </c>
      <c r="B55" s="0" t="s">
        <v>666</v>
      </c>
      <c r="C55" s="0" t="s">
        <v>763</v>
      </c>
      <c r="D55" s="0" t="s">
        <v>764</v>
      </c>
      <c r="E55" s="119" t="n">
        <v>35</v>
      </c>
      <c r="F55" s="119" t="n">
        <v>7</v>
      </c>
      <c r="I55" s="118" t="n">
        <v>9</v>
      </c>
      <c r="K55" s="118" t="n">
        <v>7</v>
      </c>
      <c r="M55" s="186" t="n">
        <v>3.53</v>
      </c>
      <c r="S55" s="192" t="n">
        <v>1517</v>
      </c>
      <c r="U55" s="186" t="n">
        <v>10.8</v>
      </c>
      <c r="Y55" s="186" t="n">
        <v>716</v>
      </c>
      <c r="AA55" s="192" t="n">
        <v>111826</v>
      </c>
      <c r="AC55" s="186" t="n">
        <v>33.7</v>
      </c>
      <c r="AG55" s="186" t="n">
        <v>3.02</v>
      </c>
      <c r="AM55" s="192" t="n">
        <v>73</v>
      </c>
      <c r="BS55" s="193" t="n">
        <v>45</v>
      </c>
      <c r="BU55" s="186" t="n">
        <v>21.24</v>
      </c>
      <c r="BY55" s="186" t="n">
        <v>6.13</v>
      </c>
      <c r="CL55" s="186" t="n">
        <v>0</v>
      </c>
    </row>
    <row r="56" customFormat="false" ht="12.75" hidden="false" customHeight="false" outlineLevel="0" collapsed="false">
      <c r="A56" s="184" t="s">
        <v>445</v>
      </c>
      <c r="B56" s="0" t="s">
        <v>669</v>
      </c>
      <c r="C56" s="0" t="s">
        <v>759</v>
      </c>
      <c r="D56" s="0" t="s">
        <v>760</v>
      </c>
      <c r="E56" s="119" t="n">
        <v>16</v>
      </c>
      <c r="F56" s="119" t="n">
        <v>5</v>
      </c>
      <c r="I56" s="118" t="n">
        <v>9</v>
      </c>
      <c r="K56" s="118" t="n">
        <v>9</v>
      </c>
      <c r="M56" s="186" t="n">
        <v>3.33</v>
      </c>
      <c r="S56" s="192" t="n">
        <v>1355</v>
      </c>
      <c r="U56" s="186" t="n">
        <v>10.8</v>
      </c>
      <c r="Y56" s="186" t="n">
        <v>706</v>
      </c>
      <c r="AA56" s="192" t="n">
        <v>95342</v>
      </c>
      <c r="AC56" s="186" t="n">
        <v>31.7</v>
      </c>
      <c r="AG56" s="186" t="n">
        <v>3.32</v>
      </c>
      <c r="AM56" s="192" t="n">
        <v>77</v>
      </c>
      <c r="BS56" s="193" t="n">
        <v>42.78</v>
      </c>
      <c r="BU56" s="186" t="n">
        <v>22.29</v>
      </c>
      <c r="BY56" s="186" t="n">
        <v>6.54</v>
      </c>
      <c r="CL56" s="186" t="n">
        <v>0</v>
      </c>
    </row>
    <row r="57" customFormat="false" ht="12.75" hidden="false" customHeight="false" outlineLevel="0" collapsed="false">
      <c r="A57" s="184" t="s">
        <v>445</v>
      </c>
      <c r="B57" s="0" t="s">
        <v>669</v>
      </c>
      <c r="C57" s="0" t="s">
        <v>763</v>
      </c>
      <c r="D57" s="0" t="s">
        <v>764</v>
      </c>
      <c r="E57" s="119" t="n">
        <v>34</v>
      </c>
      <c r="F57" s="119" t="n">
        <v>11</v>
      </c>
      <c r="I57" s="118" t="n">
        <v>9</v>
      </c>
      <c r="K57" s="118" t="n">
        <v>9</v>
      </c>
      <c r="M57" s="186" t="n">
        <v>3.34</v>
      </c>
      <c r="S57" s="192" t="n">
        <v>1328</v>
      </c>
      <c r="U57" s="186" t="n">
        <v>10.8</v>
      </c>
      <c r="Y57" s="186" t="n">
        <v>719</v>
      </c>
      <c r="AA57" s="192" t="n">
        <v>106739</v>
      </c>
      <c r="AC57" s="186" t="n">
        <v>31.8</v>
      </c>
      <c r="AG57" s="186" t="n">
        <v>2.98</v>
      </c>
      <c r="AM57" s="192" t="n">
        <v>73</v>
      </c>
      <c r="BS57" s="193" t="n">
        <v>41.78</v>
      </c>
      <c r="BU57" s="186" t="n">
        <v>22.63</v>
      </c>
      <c r="BY57" s="186" t="n">
        <v>6.44</v>
      </c>
      <c r="CL57" s="186" t="n">
        <v>0</v>
      </c>
    </row>
    <row r="58" customFormat="false" ht="12.75" hidden="false" customHeight="false" outlineLevel="0" collapsed="false">
      <c r="A58" s="184" t="s">
        <v>447</v>
      </c>
      <c r="B58" s="0" t="s">
        <v>666</v>
      </c>
      <c r="C58" s="0" t="s">
        <v>759</v>
      </c>
      <c r="D58" s="0" t="s">
        <v>760</v>
      </c>
      <c r="E58" s="119" t="n">
        <v>18</v>
      </c>
      <c r="F58" s="119" t="n">
        <v>2</v>
      </c>
      <c r="I58" s="118" t="n">
        <v>9</v>
      </c>
      <c r="K58" s="118" t="n">
        <v>9</v>
      </c>
      <c r="M58" s="186" t="n">
        <v>1.63</v>
      </c>
      <c r="S58" s="192" t="n">
        <v>725</v>
      </c>
      <c r="U58" s="186" t="n">
        <v>10.8</v>
      </c>
      <c r="Y58" s="186" t="n">
        <v>312</v>
      </c>
      <c r="AA58" s="192" t="n">
        <v>50728</v>
      </c>
      <c r="AC58" s="186" t="n">
        <v>15.6</v>
      </c>
      <c r="AG58" s="186" t="n">
        <v>3.07</v>
      </c>
      <c r="AM58" s="192" t="n">
        <v>83</v>
      </c>
      <c r="BS58" s="193" t="n">
        <v>46.61</v>
      </c>
      <c r="BU58" s="186" t="n">
        <v>20.05</v>
      </c>
      <c r="BY58" s="186" t="n">
        <v>6.23</v>
      </c>
      <c r="CL58" s="186" t="n">
        <v>0</v>
      </c>
    </row>
    <row r="59" customFormat="false" ht="12.75" hidden="false" customHeight="false" outlineLevel="0" collapsed="false">
      <c r="A59" s="184" t="s">
        <v>447</v>
      </c>
      <c r="B59" s="0" t="s">
        <v>666</v>
      </c>
      <c r="C59" s="0" t="s">
        <v>763</v>
      </c>
      <c r="D59" s="0" t="s">
        <v>764</v>
      </c>
      <c r="E59" s="119" t="n">
        <v>24</v>
      </c>
      <c r="F59" s="119" t="n">
        <v>8</v>
      </c>
      <c r="I59" s="118" t="n">
        <v>9</v>
      </c>
      <c r="K59" s="118" t="n">
        <v>7</v>
      </c>
      <c r="M59" s="186" t="n">
        <v>2.79</v>
      </c>
      <c r="S59" s="192" t="n">
        <v>1180</v>
      </c>
      <c r="U59" s="186" t="n">
        <v>10.8</v>
      </c>
      <c r="Y59" s="186" t="n">
        <v>560</v>
      </c>
      <c r="AA59" s="192" t="n">
        <v>85402</v>
      </c>
      <c r="AC59" s="186" t="n">
        <v>26</v>
      </c>
      <c r="AG59" s="186" t="n">
        <v>3.05</v>
      </c>
      <c r="AM59" s="192" t="n">
        <v>80</v>
      </c>
      <c r="BS59" s="193" t="n">
        <v>45.33</v>
      </c>
      <c r="BU59" s="186" t="n">
        <v>21.51</v>
      </c>
      <c r="BY59" s="186" t="n">
        <v>8.28</v>
      </c>
      <c r="CL59" s="186" t="n">
        <v>0</v>
      </c>
    </row>
    <row r="60" customFormat="false" ht="12.75" hidden="false" customHeight="false" outlineLevel="0" collapsed="false">
      <c r="A60" s="184" t="s">
        <v>447</v>
      </c>
      <c r="B60" s="0" t="s">
        <v>669</v>
      </c>
      <c r="C60" s="0" t="s">
        <v>759</v>
      </c>
      <c r="D60" s="0" t="s">
        <v>760</v>
      </c>
      <c r="E60" s="119" t="n">
        <v>3</v>
      </c>
      <c r="F60" s="119" t="n">
        <v>6</v>
      </c>
      <c r="I60" s="118" t="n">
        <v>9</v>
      </c>
      <c r="K60" s="118" t="n">
        <v>9</v>
      </c>
      <c r="M60" s="186" t="n">
        <v>2.74</v>
      </c>
      <c r="S60" s="192" t="n">
        <v>1108</v>
      </c>
      <c r="U60" s="186" t="n">
        <v>10.8</v>
      </c>
      <c r="Y60" s="186" t="n">
        <v>634</v>
      </c>
      <c r="AA60" s="192" t="n">
        <v>92734</v>
      </c>
      <c r="AC60" s="186" t="n">
        <v>25.9</v>
      </c>
      <c r="AG60" s="186" t="n">
        <v>2.8</v>
      </c>
      <c r="AM60" s="192" t="n">
        <v>80</v>
      </c>
      <c r="BS60" s="193" t="n">
        <v>42.7</v>
      </c>
      <c r="BU60" s="186" t="n">
        <v>24.45</v>
      </c>
      <c r="BY60" s="186" t="n">
        <v>6.96</v>
      </c>
      <c r="CL60" s="186" t="n">
        <v>0</v>
      </c>
    </row>
    <row r="61" customFormat="false" ht="12.75" hidden="false" customHeight="false" outlineLevel="0" collapsed="false">
      <c r="A61" s="184" t="s">
        <v>447</v>
      </c>
      <c r="B61" s="0" t="s">
        <v>669</v>
      </c>
      <c r="C61" s="0" t="s">
        <v>763</v>
      </c>
      <c r="D61" s="0" t="s">
        <v>764</v>
      </c>
      <c r="E61" s="119" t="n">
        <v>29</v>
      </c>
      <c r="F61" s="119" t="n">
        <v>11</v>
      </c>
      <c r="I61" s="118" t="n">
        <v>9</v>
      </c>
      <c r="K61" s="118" t="n">
        <v>9</v>
      </c>
      <c r="M61" s="186" t="n">
        <v>3.01</v>
      </c>
      <c r="S61" s="192" t="n">
        <v>1254</v>
      </c>
      <c r="U61" s="186" t="n">
        <v>10.8</v>
      </c>
      <c r="Y61" s="186" t="n">
        <v>657</v>
      </c>
      <c r="AA61" s="192" t="n">
        <v>92745</v>
      </c>
      <c r="AC61" s="186" t="n">
        <v>28.7</v>
      </c>
      <c r="AG61" s="186" t="n">
        <v>3.09</v>
      </c>
      <c r="AM61" s="192" t="n">
        <v>80</v>
      </c>
      <c r="BS61" s="193" t="n">
        <v>43.76</v>
      </c>
      <c r="BU61" s="186" t="n">
        <v>22.92</v>
      </c>
      <c r="BY61" s="186" t="n">
        <v>6.44</v>
      </c>
      <c r="CL61" s="186" t="n">
        <v>0</v>
      </c>
    </row>
    <row r="62" customFormat="false" ht="12.75" hidden="false" customHeight="false" outlineLevel="0" collapsed="false">
      <c r="A62" s="184" t="s">
        <v>449</v>
      </c>
      <c r="B62" s="0" t="s">
        <v>666</v>
      </c>
      <c r="C62" s="0" t="s">
        <v>759</v>
      </c>
      <c r="D62" s="0" t="s">
        <v>760</v>
      </c>
      <c r="E62" s="119" t="n">
        <v>2</v>
      </c>
      <c r="F62" s="119" t="n">
        <v>3</v>
      </c>
      <c r="I62" s="118" t="n">
        <v>9</v>
      </c>
      <c r="K62" s="118" t="n">
        <v>7</v>
      </c>
      <c r="M62" s="186" t="n">
        <v>2.38</v>
      </c>
      <c r="S62" s="192" t="n">
        <v>928</v>
      </c>
      <c r="U62" s="186" t="n">
        <v>10.8</v>
      </c>
      <c r="Y62" s="186" t="n">
        <v>538</v>
      </c>
      <c r="AA62" s="192" t="n">
        <v>76815</v>
      </c>
      <c r="AC62" s="186" t="n">
        <v>22.4</v>
      </c>
      <c r="AG62" s="186" t="n">
        <v>2.91</v>
      </c>
      <c r="AM62" s="192" t="n">
        <v>80</v>
      </c>
      <c r="BS62" s="193" t="n">
        <v>41.52</v>
      </c>
      <c r="BU62" s="186" t="n">
        <v>24.06</v>
      </c>
      <c r="BY62" s="186" t="n">
        <v>7.67</v>
      </c>
      <c r="CL62" s="186" t="n">
        <v>0</v>
      </c>
    </row>
    <row r="63" customFormat="false" ht="12.75" hidden="false" customHeight="false" outlineLevel="0" collapsed="false">
      <c r="A63" s="184" t="s">
        <v>449</v>
      </c>
      <c r="B63" s="0" t="s">
        <v>666</v>
      </c>
      <c r="C63" s="0" t="s">
        <v>763</v>
      </c>
      <c r="D63" s="0" t="s">
        <v>764</v>
      </c>
      <c r="E63" s="119" t="n">
        <v>36</v>
      </c>
      <c r="F63" s="119" t="n">
        <v>9</v>
      </c>
      <c r="I63" s="118" t="n">
        <v>9</v>
      </c>
      <c r="K63" s="118" t="n">
        <v>9</v>
      </c>
      <c r="M63" s="186" t="n">
        <v>2.91</v>
      </c>
      <c r="S63" s="192" t="n">
        <v>1243</v>
      </c>
      <c r="U63" s="186" t="n">
        <v>10.8</v>
      </c>
      <c r="Y63" s="186" t="n">
        <v>531</v>
      </c>
      <c r="AA63" s="192" t="n">
        <v>88021</v>
      </c>
      <c r="AC63" s="186" t="n">
        <v>27.9</v>
      </c>
      <c r="AG63" s="186" t="n">
        <v>3.17</v>
      </c>
      <c r="AM63" s="192" t="n">
        <v>77</v>
      </c>
      <c r="BS63" s="193" t="n">
        <v>44.63</v>
      </c>
      <c r="BU63" s="186" t="n">
        <v>19.06</v>
      </c>
      <c r="BY63" s="186" t="n">
        <v>5.91</v>
      </c>
      <c r="CL63" s="186" t="n">
        <v>0</v>
      </c>
    </row>
    <row r="64" customFormat="false" ht="12.75" hidden="false" customHeight="false" outlineLevel="0" collapsed="false">
      <c r="A64" s="184" t="s">
        <v>449</v>
      </c>
      <c r="B64" s="0" t="s">
        <v>669</v>
      </c>
      <c r="C64" s="0" t="s">
        <v>759</v>
      </c>
      <c r="D64" s="0" t="s">
        <v>760</v>
      </c>
      <c r="E64" s="119" t="n">
        <v>18</v>
      </c>
      <c r="F64" s="119" t="n">
        <v>4</v>
      </c>
      <c r="I64" s="118" t="n">
        <v>9</v>
      </c>
      <c r="K64" s="118" t="n">
        <v>7</v>
      </c>
      <c r="M64" s="186" t="n">
        <v>3.01</v>
      </c>
      <c r="S64" s="192" t="n">
        <v>1210</v>
      </c>
      <c r="U64" s="186" t="n">
        <v>10.8</v>
      </c>
      <c r="Y64" s="186" t="n">
        <v>638</v>
      </c>
      <c r="AA64" s="192" t="n">
        <v>94294</v>
      </c>
      <c r="AC64" s="186" t="n">
        <v>28.6</v>
      </c>
      <c r="AG64" s="186" t="n">
        <v>3.03</v>
      </c>
      <c r="AM64" s="192" t="n">
        <v>83</v>
      </c>
      <c r="BS64" s="193" t="n">
        <v>42.31</v>
      </c>
      <c r="BU64" s="186" t="n">
        <v>22.31</v>
      </c>
      <c r="BY64" s="186" t="n">
        <v>6.63</v>
      </c>
      <c r="CL64" s="186" t="n">
        <v>0</v>
      </c>
    </row>
    <row r="65" customFormat="false" ht="12.75" hidden="false" customHeight="false" outlineLevel="0" collapsed="false">
      <c r="A65" s="184" t="s">
        <v>449</v>
      </c>
      <c r="B65" s="0" t="s">
        <v>669</v>
      </c>
      <c r="C65" s="0" t="s">
        <v>763</v>
      </c>
      <c r="D65" s="0" t="s">
        <v>764</v>
      </c>
      <c r="E65" s="119" t="n">
        <v>27</v>
      </c>
      <c r="F65" s="119" t="n">
        <v>10</v>
      </c>
      <c r="I65" s="118" t="n">
        <v>9</v>
      </c>
      <c r="K65" s="118" t="n">
        <v>7</v>
      </c>
      <c r="M65" s="186" t="n">
        <v>3.32</v>
      </c>
      <c r="S65" s="192" t="n">
        <v>1268</v>
      </c>
      <c r="U65" s="186" t="n">
        <v>10.8</v>
      </c>
      <c r="Y65" s="186" t="n">
        <v>741</v>
      </c>
      <c r="AA65" s="192" t="n">
        <v>108178</v>
      </c>
      <c r="AC65" s="186" t="n">
        <v>31.2</v>
      </c>
      <c r="AG65" s="186" t="n">
        <v>2.88</v>
      </c>
      <c r="AM65" s="192" t="n">
        <v>80</v>
      </c>
      <c r="BS65" s="193" t="n">
        <v>40.68</v>
      </c>
      <c r="BU65" s="186" t="n">
        <v>23.76</v>
      </c>
      <c r="BY65" s="186" t="n">
        <v>7.74</v>
      </c>
      <c r="CL65" s="186" t="n">
        <v>0</v>
      </c>
    </row>
    <row r="66" customFormat="false" ht="12.75" hidden="false" customHeight="false" outlineLevel="0" collapsed="false">
      <c r="A66" s="184" t="s">
        <v>451</v>
      </c>
      <c r="B66" s="0" t="s">
        <v>666</v>
      </c>
      <c r="C66" s="0" t="s">
        <v>759</v>
      </c>
      <c r="D66" s="0" t="s">
        <v>760</v>
      </c>
      <c r="E66" s="119" t="n">
        <v>11</v>
      </c>
      <c r="F66" s="119" t="n">
        <v>3</v>
      </c>
      <c r="I66" s="118" t="n">
        <v>9</v>
      </c>
      <c r="K66" s="118" t="n">
        <v>7</v>
      </c>
      <c r="M66" s="186" t="n">
        <v>2.57</v>
      </c>
      <c r="S66" s="192" t="n">
        <v>1127</v>
      </c>
      <c r="U66" s="186" t="n">
        <v>10.8</v>
      </c>
      <c r="Y66" s="186" t="n">
        <v>519</v>
      </c>
      <c r="AA66" s="192" t="n">
        <v>72225</v>
      </c>
      <c r="AC66" s="186" t="n">
        <v>24.5</v>
      </c>
      <c r="AG66" s="186" t="n">
        <v>3.39</v>
      </c>
      <c r="AM66" s="192" t="n">
        <v>83</v>
      </c>
      <c r="BS66" s="193" t="n">
        <v>46.05</v>
      </c>
      <c r="BU66" s="186" t="n">
        <v>21.23</v>
      </c>
      <c r="BY66" s="186" t="n">
        <v>6.42</v>
      </c>
      <c r="CL66" s="186" t="n">
        <v>0</v>
      </c>
    </row>
    <row r="67" customFormat="false" ht="12.75" hidden="false" customHeight="false" outlineLevel="0" collapsed="false">
      <c r="A67" s="184" t="s">
        <v>451</v>
      </c>
      <c r="B67" s="0" t="s">
        <v>666</v>
      </c>
      <c r="C67" s="0" t="s">
        <v>763</v>
      </c>
      <c r="D67" s="0" t="s">
        <v>764</v>
      </c>
      <c r="E67" s="119" t="n">
        <v>29</v>
      </c>
      <c r="F67" s="119" t="n">
        <v>8</v>
      </c>
      <c r="I67" s="118" t="n">
        <v>9</v>
      </c>
      <c r="K67" s="118" t="n">
        <v>7</v>
      </c>
      <c r="M67" s="186" t="n">
        <v>2.15</v>
      </c>
      <c r="S67" s="192" t="n">
        <v>949</v>
      </c>
      <c r="U67" s="186" t="n">
        <v>10.8</v>
      </c>
      <c r="Y67" s="186" t="n">
        <v>427</v>
      </c>
      <c r="AA67" s="192" t="n">
        <v>61734</v>
      </c>
      <c r="AC67" s="186" t="n">
        <v>20.5</v>
      </c>
      <c r="AG67" s="186" t="n">
        <v>3.32</v>
      </c>
      <c r="AM67" s="192" t="n">
        <v>83</v>
      </c>
      <c r="BS67" s="193" t="n">
        <v>46.33</v>
      </c>
      <c r="BU67" s="186" t="n">
        <v>20.86</v>
      </c>
      <c r="BY67" s="186" t="n">
        <v>6.4</v>
      </c>
      <c r="CL67" s="186" t="n">
        <v>0</v>
      </c>
    </row>
    <row r="68" customFormat="false" ht="12.75" hidden="false" customHeight="false" outlineLevel="0" collapsed="false">
      <c r="A68" s="184" t="s">
        <v>451</v>
      </c>
      <c r="B68" s="0" t="s">
        <v>669</v>
      </c>
      <c r="C68" s="0" t="s">
        <v>759</v>
      </c>
      <c r="D68" s="0" t="s">
        <v>760</v>
      </c>
      <c r="E68" s="119" t="n">
        <v>9</v>
      </c>
      <c r="F68" s="119" t="n">
        <v>4</v>
      </c>
      <c r="I68" s="118" t="n">
        <v>9</v>
      </c>
      <c r="K68" s="118" t="n">
        <v>7</v>
      </c>
      <c r="M68" s="186" t="n">
        <v>2.92</v>
      </c>
      <c r="S68" s="192" t="n">
        <v>1223</v>
      </c>
      <c r="U68" s="186" t="n">
        <v>10.8</v>
      </c>
      <c r="Y68" s="186" t="n">
        <v>656</v>
      </c>
      <c r="AA68" s="192" t="n">
        <v>85705</v>
      </c>
      <c r="AC68" s="186" t="n">
        <v>27.9</v>
      </c>
      <c r="AG68" s="186" t="n">
        <v>3.25</v>
      </c>
      <c r="AM68" s="192" t="n">
        <v>83</v>
      </c>
      <c r="BS68" s="193" t="n">
        <v>43.9</v>
      </c>
      <c r="BU68" s="186" t="n">
        <v>23.55</v>
      </c>
      <c r="BY68" s="186" t="n">
        <v>6.19</v>
      </c>
      <c r="CL68" s="186" t="n">
        <v>0</v>
      </c>
    </row>
    <row r="69" customFormat="false" ht="12.75" hidden="false" customHeight="false" outlineLevel="0" collapsed="false">
      <c r="A69" s="184" t="s">
        <v>451</v>
      </c>
      <c r="B69" s="0" t="s">
        <v>669</v>
      </c>
      <c r="C69" s="0" t="s">
        <v>763</v>
      </c>
      <c r="D69" s="0" t="s">
        <v>764</v>
      </c>
      <c r="E69" s="119" t="n">
        <v>21</v>
      </c>
      <c r="F69" s="119" t="n">
        <v>10</v>
      </c>
      <c r="I69" s="118" t="n">
        <v>9</v>
      </c>
      <c r="K69" s="118" t="n">
        <v>7</v>
      </c>
      <c r="M69" s="186" t="n">
        <v>3.07</v>
      </c>
      <c r="S69" s="192" t="n">
        <v>1226</v>
      </c>
      <c r="U69" s="186" t="n">
        <v>10.8</v>
      </c>
      <c r="Y69" s="186" t="n">
        <v>724</v>
      </c>
      <c r="AA69" s="192" t="n">
        <v>97596</v>
      </c>
      <c r="AC69" s="186" t="n">
        <v>29.2</v>
      </c>
      <c r="AG69" s="186" t="n">
        <v>2.99</v>
      </c>
      <c r="AM69" s="192" t="n">
        <v>83</v>
      </c>
      <c r="BS69" s="193" t="n">
        <v>41.94</v>
      </c>
      <c r="BU69" s="186" t="n">
        <v>24.77</v>
      </c>
      <c r="BY69" s="186" t="n">
        <v>6.45</v>
      </c>
      <c r="CL69" s="186" t="n">
        <v>0</v>
      </c>
    </row>
    <row r="70" customFormat="false" ht="12.75" hidden="false" customHeight="false" outlineLevel="0" collapsed="false">
      <c r="A70" s="184" t="s">
        <v>453</v>
      </c>
      <c r="B70" s="0" t="s">
        <v>666</v>
      </c>
      <c r="C70" s="0" t="s">
        <v>759</v>
      </c>
      <c r="D70" s="0" t="s">
        <v>760</v>
      </c>
      <c r="E70" s="119" t="n">
        <v>4</v>
      </c>
      <c r="F70" s="119" t="n">
        <v>2</v>
      </c>
      <c r="I70" s="118" t="n">
        <v>9</v>
      </c>
      <c r="K70" s="118" t="n">
        <v>9</v>
      </c>
      <c r="M70" s="186" t="n">
        <v>1.9</v>
      </c>
      <c r="S70" s="192" t="n">
        <v>822</v>
      </c>
      <c r="U70" s="186" t="n">
        <v>10.8</v>
      </c>
      <c r="Y70" s="186" t="n">
        <v>384</v>
      </c>
      <c r="AA70" s="192" t="n">
        <v>63714</v>
      </c>
      <c r="AC70" s="186" t="n">
        <v>18</v>
      </c>
      <c r="AG70" s="186" t="n">
        <v>2.83</v>
      </c>
      <c r="AM70" s="192" t="n">
        <v>83</v>
      </c>
      <c r="BS70" s="193" t="n">
        <v>45.58</v>
      </c>
      <c r="BU70" s="186" t="n">
        <v>21.29</v>
      </c>
      <c r="BY70" s="186" t="n">
        <v>6.74</v>
      </c>
      <c r="CL70" s="186" t="n">
        <v>0</v>
      </c>
    </row>
    <row r="71" customFormat="false" ht="12.75" hidden="false" customHeight="false" outlineLevel="0" collapsed="false">
      <c r="A71" s="184" t="s">
        <v>453</v>
      </c>
      <c r="B71" s="0" t="s">
        <v>666</v>
      </c>
      <c r="C71" s="0" t="s">
        <v>763</v>
      </c>
      <c r="D71" s="0" t="s">
        <v>764</v>
      </c>
      <c r="E71" s="119" t="n">
        <v>26</v>
      </c>
      <c r="F71" s="119" t="n">
        <v>8</v>
      </c>
      <c r="I71" s="118" t="n">
        <v>9</v>
      </c>
      <c r="K71" s="118" t="n">
        <v>7</v>
      </c>
      <c r="M71" s="186" t="n">
        <v>2.63</v>
      </c>
      <c r="S71" s="192" t="n">
        <v>1052</v>
      </c>
      <c r="U71" s="186" t="n">
        <v>10.8</v>
      </c>
      <c r="Y71" s="186" t="n">
        <v>582</v>
      </c>
      <c r="AA71" s="192" t="n">
        <v>86121</v>
      </c>
      <c r="AC71" s="186" t="n">
        <v>24.7</v>
      </c>
      <c r="AG71" s="186" t="n">
        <v>2.87</v>
      </c>
      <c r="AM71" s="192" t="n">
        <v>80</v>
      </c>
      <c r="BS71" s="193" t="n">
        <v>42.5</v>
      </c>
      <c r="BU71" s="186" t="n">
        <v>23.54</v>
      </c>
      <c r="BY71" s="186" t="n">
        <v>7.54</v>
      </c>
      <c r="CL71" s="186" t="n">
        <v>0</v>
      </c>
    </row>
    <row r="72" customFormat="false" ht="12.75" hidden="false" customHeight="false" outlineLevel="0" collapsed="false">
      <c r="A72" s="184" t="s">
        <v>453</v>
      </c>
      <c r="B72" s="0" t="s">
        <v>669</v>
      </c>
      <c r="C72" s="0" t="s">
        <v>759</v>
      </c>
      <c r="D72" s="0" t="s">
        <v>760</v>
      </c>
      <c r="E72" s="119" t="n">
        <v>12</v>
      </c>
      <c r="F72" s="119" t="n">
        <v>6</v>
      </c>
      <c r="I72" s="118" t="n">
        <v>9</v>
      </c>
      <c r="K72" s="118" t="n">
        <v>9</v>
      </c>
      <c r="M72" s="186" t="n">
        <v>2.79</v>
      </c>
      <c r="S72" s="192" t="n">
        <v>1127</v>
      </c>
      <c r="U72" s="186" t="n">
        <v>10.8</v>
      </c>
      <c r="Y72" s="186" t="n">
        <v>617</v>
      </c>
      <c r="AA72" s="192" t="n">
        <v>86538</v>
      </c>
      <c r="AC72" s="186" t="n">
        <v>26.5</v>
      </c>
      <c r="AG72" s="186" t="n">
        <v>3.06</v>
      </c>
      <c r="AM72" s="192" t="n">
        <v>80</v>
      </c>
      <c r="BS72" s="193" t="n">
        <v>42.51</v>
      </c>
      <c r="BU72" s="186" t="n">
        <v>23.29</v>
      </c>
      <c r="BY72" s="186" t="n">
        <v>6.63</v>
      </c>
      <c r="CL72" s="186" t="n">
        <v>0</v>
      </c>
    </row>
    <row r="73" customFormat="false" ht="12.75" hidden="false" customHeight="false" outlineLevel="0" collapsed="false">
      <c r="A73" s="184" t="s">
        <v>453</v>
      </c>
      <c r="B73" s="0" t="s">
        <v>669</v>
      </c>
      <c r="C73" s="0" t="s">
        <v>763</v>
      </c>
      <c r="D73" s="0" t="s">
        <v>764</v>
      </c>
      <c r="E73" s="119" t="n">
        <v>35</v>
      </c>
      <c r="F73" s="119" t="n">
        <v>10</v>
      </c>
      <c r="I73" s="118" t="n">
        <v>9</v>
      </c>
      <c r="K73" s="118" t="n">
        <v>7</v>
      </c>
      <c r="M73" s="186" t="n">
        <v>3.09</v>
      </c>
      <c r="S73" s="192" t="n">
        <v>1302</v>
      </c>
      <c r="U73" s="186" t="n">
        <v>10.8</v>
      </c>
      <c r="Y73" s="186" t="n">
        <v>641</v>
      </c>
      <c r="AA73" s="192" t="n">
        <v>103925</v>
      </c>
      <c r="AC73" s="186" t="n">
        <v>29.5</v>
      </c>
      <c r="AG73" s="186" t="n">
        <v>2.84</v>
      </c>
      <c r="AM73" s="192" t="n">
        <v>80</v>
      </c>
      <c r="BS73" s="193" t="n">
        <v>44.09</v>
      </c>
      <c r="BU73" s="186" t="n">
        <v>21.72</v>
      </c>
      <c r="BY73" s="186" t="n">
        <v>6.08</v>
      </c>
      <c r="CL73" s="186" t="n">
        <v>0</v>
      </c>
    </row>
    <row r="74" customFormat="false" ht="12.75" hidden="false" customHeight="false" outlineLevel="0" collapsed="false">
      <c r="A74" s="184" t="s">
        <v>455</v>
      </c>
      <c r="B74" s="0" t="s">
        <v>666</v>
      </c>
      <c r="C74" s="0" t="s">
        <v>759</v>
      </c>
      <c r="D74" s="0" t="s">
        <v>760</v>
      </c>
      <c r="E74" s="119" t="n">
        <v>10</v>
      </c>
      <c r="F74" s="119" t="n">
        <v>2</v>
      </c>
      <c r="I74" s="118" t="n">
        <v>9</v>
      </c>
      <c r="K74" s="118" t="n">
        <v>9</v>
      </c>
      <c r="M74" s="186" t="n">
        <v>1.84</v>
      </c>
      <c r="S74" s="192" t="n">
        <v>807</v>
      </c>
      <c r="U74" s="186" t="n">
        <v>10.8</v>
      </c>
      <c r="Y74" s="186" t="n">
        <v>344</v>
      </c>
      <c r="AA74" s="192" t="n">
        <v>66712</v>
      </c>
      <c r="AC74" s="186" t="n">
        <v>17.6</v>
      </c>
      <c r="AG74" s="186" t="n">
        <v>2.64</v>
      </c>
      <c r="AM74" s="192" t="n">
        <v>77</v>
      </c>
      <c r="BS74" s="193" t="n">
        <v>45.85</v>
      </c>
      <c r="BU74" s="186" t="n">
        <v>19.53</v>
      </c>
      <c r="BY74" s="186" t="n">
        <v>6.04</v>
      </c>
      <c r="CL74" s="186" t="n">
        <v>0</v>
      </c>
    </row>
    <row r="75" customFormat="false" ht="12.75" hidden="false" customHeight="false" outlineLevel="0" collapsed="false">
      <c r="A75" s="184" t="s">
        <v>455</v>
      </c>
      <c r="B75" s="0" t="s">
        <v>666</v>
      </c>
      <c r="C75" s="0" t="s">
        <v>763</v>
      </c>
      <c r="D75" s="0" t="s">
        <v>764</v>
      </c>
      <c r="E75" s="119" t="n">
        <v>22</v>
      </c>
      <c r="F75" s="119" t="n">
        <v>8</v>
      </c>
      <c r="I75" s="118" t="n">
        <v>9</v>
      </c>
      <c r="K75" s="118" t="n">
        <v>7</v>
      </c>
      <c r="M75" s="186" t="n">
        <v>2.48</v>
      </c>
      <c r="S75" s="192" t="n">
        <v>1053</v>
      </c>
      <c r="U75" s="186" t="n">
        <v>10.8</v>
      </c>
      <c r="Y75" s="186" t="n">
        <v>508</v>
      </c>
      <c r="AA75" s="192" t="n">
        <v>89872</v>
      </c>
      <c r="AC75" s="186" t="n">
        <v>23.6</v>
      </c>
      <c r="AG75" s="186" t="n">
        <v>2.63</v>
      </c>
      <c r="AM75" s="192" t="n">
        <v>77</v>
      </c>
      <c r="BS75" s="193" t="n">
        <v>44.55</v>
      </c>
      <c r="BU75" s="186" t="n">
        <v>21.5</v>
      </c>
      <c r="BY75" s="186" t="n">
        <v>6.37</v>
      </c>
      <c r="CL75" s="186" t="n">
        <v>0</v>
      </c>
    </row>
    <row r="76" customFormat="false" ht="12.75" hidden="false" customHeight="false" outlineLevel="0" collapsed="false">
      <c r="A76" s="184" t="s">
        <v>455</v>
      </c>
      <c r="B76" s="0" t="s">
        <v>669</v>
      </c>
      <c r="C76" s="0" t="s">
        <v>759</v>
      </c>
      <c r="D76" s="0" t="s">
        <v>760</v>
      </c>
      <c r="E76" s="119" t="n">
        <v>15</v>
      </c>
      <c r="F76" s="119" t="n">
        <v>6</v>
      </c>
      <c r="I76" s="118" t="n">
        <v>9</v>
      </c>
      <c r="K76" s="118" t="n">
        <v>9</v>
      </c>
      <c r="M76" s="186" t="n">
        <v>3.65</v>
      </c>
      <c r="S76" s="192" t="n">
        <v>1501</v>
      </c>
      <c r="U76" s="186" t="n">
        <v>10.8</v>
      </c>
      <c r="Y76" s="186" t="n">
        <v>792</v>
      </c>
      <c r="AA76" s="192" t="n">
        <v>134064</v>
      </c>
      <c r="AC76" s="186" t="n">
        <v>34.8</v>
      </c>
      <c r="AG76" s="186" t="n">
        <v>2.59</v>
      </c>
      <c r="AM76" s="192" t="n">
        <v>77</v>
      </c>
      <c r="BS76" s="193" t="n">
        <v>43.18</v>
      </c>
      <c r="BU76" s="186" t="n">
        <v>22.78</v>
      </c>
      <c r="BY76" s="186" t="n">
        <v>6.42</v>
      </c>
      <c r="CL76" s="186" t="n">
        <v>0</v>
      </c>
    </row>
    <row r="77" customFormat="false" ht="12.75" hidden="false" customHeight="false" outlineLevel="0" collapsed="false">
      <c r="A77" s="184" t="s">
        <v>455</v>
      </c>
      <c r="B77" s="0" t="s">
        <v>669</v>
      </c>
      <c r="C77" s="0" t="s">
        <v>763</v>
      </c>
      <c r="D77" s="0" t="s">
        <v>764</v>
      </c>
      <c r="E77" s="119" t="n">
        <v>25</v>
      </c>
      <c r="F77" s="119" t="n">
        <v>11</v>
      </c>
      <c r="I77" s="118" t="n">
        <v>9</v>
      </c>
      <c r="K77" s="118" t="n">
        <v>9</v>
      </c>
      <c r="M77" s="186" t="n">
        <v>2.98</v>
      </c>
      <c r="S77" s="192" t="n">
        <v>1179</v>
      </c>
      <c r="U77" s="186" t="n">
        <v>10.8</v>
      </c>
      <c r="Y77" s="186" t="n">
        <v>691</v>
      </c>
      <c r="AA77" s="192" t="n">
        <v>112301</v>
      </c>
      <c r="AC77" s="186" t="n">
        <v>27.9</v>
      </c>
      <c r="AG77" s="186" t="n">
        <v>2.49</v>
      </c>
      <c r="AM77" s="192" t="n">
        <v>77</v>
      </c>
      <c r="BS77" s="193" t="n">
        <v>42.24</v>
      </c>
      <c r="BU77" s="186" t="n">
        <v>24.77</v>
      </c>
      <c r="BY77" s="186" t="n">
        <v>7.95</v>
      </c>
      <c r="CL77" s="186" t="n">
        <v>3</v>
      </c>
    </row>
    <row r="78" customFormat="false" ht="12.75" hidden="false" customHeight="false" outlineLevel="0" collapsed="false">
      <c r="A78" s="184" t="s">
        <v>457</v>
      </c>
      <c r="B78" s="0" t="s">
        <v>666</v>
      </c>
      <c r="C78" s="0" t="s">
        <v>759</v>
      </c>
      <c r="D78" s="0" t="s">
        <v>760</v>
      </c>
      <c r="E78" s="119" t="n">
        <v>15</v>
      </c>
      <c r="F78" s="119" t="n">
        <v>1</v>
      </c>
      <c r="I78" s="118" t="n">
        <v>9</v>
      </c>
      <c r="K78" s="118" t="n">
        <v>9</v>
      </c>
      <c r="M78" s="186" t="n">
        <v>2.65</v>
      </c>
      <c r="S78" s="192" t="n">
        <v>1104</v>
      </c>
      <c r="U78" s="186" t="n">
        <v>10.8</v>
      </c>
      <c r="Y78" s="186" t="n">
        <v>585</v>
      </c>
      <c r="AA78" s="192" t="n">
        <v>88399</v>
      </c>
      <c r="AC78" s="186" t="n">
        <v>25.3</v>
      </c>
      <c r="AG78" s="186" t="n">
        <v>2.86</v>
      </c>
      <c r="AM78" s="192" t="n">
        <v>80</v>
      </c>
      <c r="BS78" s="193" t="n">
        <v>43.73</v>
      </c>
      <c r="BU78" s="186" t="n">
        <v>23.15</v>
      </c>
      <c r="BY78" s="186" t="n">
        <v>6.33</v>
      </c>
      <c r="CL78" s="186" t="n">
        <v>0</v>
      </c>
    </row>
    <row r="79" customFormat="false" ht="12.75" hidden="false" customHeight="false" outlineLevel="0" collapsed="false">
      <c r="A79" s="184" t="s">
        <v>457</v>
      </c>
      <c r="B79" s="0" t="s">
        <v>666</v>
      </c>
      <c r="C79" s="0" t="s">
        <v>763</v>
      </c>
      <c r="D79" s="0" t="s">
        <v>764</v>
      </c>
      <c r="E79" s="119" t="n">
        <v>25</v>
      </c>
      <c r="F79" s="119" t="n">
        <v>8</v>
      </c>
      <c r="I79" s="118" t="n">
        <v>9</v>
      </c>
      <c r="K79" s="118" t="n">
        <v>7</v>
      </c>
      <c r="M79" s="186" t="n">
        <v>2.61</v>
      </c>
      <c r="S79" s="192" t="n">
        <v>1078</v>
      </c>
      <c r="U79" s="186" t="n">
        <v>10.8</v>
      </c>
      <c r="Y79" s="186" t="n">
        <v>564</v>
      </c>
      <c r="AA79" s="192" t="n">
        <v>82026</v>
      </c>
      <c r="AC79" s="186" t="n">
        <v>24.6</v>
      </c>
      <c r="AG79" s="186" t="n">
        <v>3</v>
      </c>
      <c r="AM79" s="192" t="n">
        <v>77</v>
      </c>
      <c r="BS79" s="193" t="n">
        <v>43.76</v>
      </c>
      <c r="BU79" s="186" t="n">
        <v>22.92</v>
      </c>
      <c r="BY79" s="186" t="n">
        <v>7.28</v>
      </c>
      <c r="CL79" s="186" t="n">
        <v>0</v>
      </c>
    </row>
    <row r="80" customFormat="false" ht="12.75" hidden="false" customHeight="false" outlineLevel="0" collapsed="false">
      <c r="A80" s="184" t="s">
        <v>457</v>
      </c>
      <c r="B80" s="0" t="s">
        <v>669</v>
      </c>
      <c r="C80" s="0" t="s">
        <v>759</v>
      </c>
      <c r="D80" s="0" t="s">
        <v>760</v>
      </c>
      <c r="E80" s="119" t="n">
        <v>3</v>
      </c>
      <c r="F80" s="119" t="n">
        <v>5</v>
      </c>
      <c r="I80" s="118" t="n">
        <v>9</v>
      </c>
      <c r="K80" s="118" t="n">
        <v>9</v>
      </c>
      <c r="M80" s="186" t="n">
        <v>2.59</v>
      </c>
      <c r="S80" s="192" t="n">
        <v>1007</v>
      </c>
      <c r="U80" s="186" t="n">
        <v>10.8</v>
      </c>
      <c r="Y80" s="186" t="n">
        <v>637</v>
      </c>
      <c r="AA80" s="192" t="n">
        <v>88008</v>
      </c>
      <c r="AC80" s="186" t="n">
        <v>24.6</v>
      </c>
      <c r="AG80" s="186" t="n">
        <v>2.79</v>
      </c>
      <c r="AM80" s="192" t="n">
        <v>80</v>
      </c>
      <c r="BS80" s="193" t="n">
        <v>41.04</v>
      </c>
      <c r="BU80" s="186" t="n">
        <v>25.95</v>
      </c>
      <c r="BY80" s="186" t="n">
        <v>6.84</v>
      </c>
      <c r="CL80" s="186" t="n">
        <v>0</v>
      </c>
    </row>
    <row r="81" customFormat="false" ht="12.75" hidden="false" customHeight="false" outlineLevel="0" collapsed="false">
      <c r="A81" s="184" t="s">
        <v>457</v>
      </c>
      <c r="B81" s="0" t="s">
        <v>669</v>
      </c>
      <c r="C81" s="0" t="s">
        <v>763</v>
      </c>
      <c r="D81" s="0" t="s">
        <v>764</v>
      </c>
      <c r="E81" s="119" t="n">
        <v>34</v>
      </c>
      <c r="F81" s="119" t="n">
        <v>12</v>
      </c>
      <c r="I81" s="118" t="n">
        <v>9</v>
      </c>
      <c r="K81" s="118" t="n">
        <v>9</v>
      </c>
      <c r="M81" s="186" t="n">
        <v>2.81</v>
      </c>
      <c r="S81" s="192" t="n">
        <v>1160</v>
      </c>
      <c r="U81" s="186" t="n">
        <v>10.8</v>
      </c>
      <c r="Y81" s="186" t="n">
        <v>644</v>
      </c>
      <c r="AA81" s="192" t="n">
        <v>92730</v>
      </c>
      <c r="AC81" s="186" t="n">
        <v>26.9</v>
      </c>
      <c r="AG81" s="186" t="n">
        <v>2.9</v>
      </c>
      <c r="AM81" s="192" t="n">
        <v>77</v>
      </c>
      <c r="BS81" s="193" t="n">
        <v>43.21</v>
      </c>
      <c r="BU81" s="186" t="n">
        <v>23.98</v>
      </c>
      <c r="BY81" s="186" t="n">
        <v>6.09</v>
      </c>
      <c r="CL81" s="186" t="n">
        <v>0</v>
      </c>
    </row>
    <row r="82" customFormat="false" ht="12.75" hidden="false" customHeight="false" outlineLevel="0" collapsed="false">
      <c r="A82" s="184" t="s">
        <v>459</v>
      </c>
      <c r="B82" s="0" t="s">
        <v>666</v>
      </c>
      <c r="C82" s="0" t="s">
        <v>759</v>
      </c>
      <c r="D82" s="0" t="s">
        <v>760</v>
      </c>
      <c r="E82" s="119" t="n">
        <v>15</v>
      </c>
      <c r="F82" s="119" t="n">
        <v>3</v>
      </c>
      <c r="I82" s="118" t="n">
        <v>9</v>
      </c>
      <c r="K82" s="118" t="n">
        <v>7</v>
      </c>
      <c r="M82" s="186" t="n">
        <v>2.71</v>
      </c>
      <c r="S82" s="192" t="n">
        <v>1116</v>
      </c>
      <c r="U82" s="186" t="n">
        <v>10.8</v>
      </c>
      <c r="Y82" s="186" t="n">
        <v>577</v>
      </c>
      <c r="AA82" s="192" t="n">
        <v>91066</v>
      </c>
      <c r="AC82" s="186" t="n">
        <v>25.8</v>
      </c>
      <c r="AG82" s="186" t="n">
        <v>2.84</v>
      </c>
      <c r="AM82" s="192" t="n">
        <v>77</v>
      </c>
      <c r="BS82" s="193" t="n">
        <v>43.19</v>
      </c>
      <c r="BU82" s="186" t="n">
        <v>22.33</v>
      </c>
      <c r="BY82" s="186" t="n">
        <v>6.3</v>
      </c>
      <c r="CL82" s="186" t="n">
        <v>0</v>
      </c>
    </row>
    <row r="83" customFormat="false" ht="12.75" hidden="false" customHeight="false" outlineLevel="0" collapsed="false">
      <c r="A83" s="184" t="s">
        <v>459</v>
      </c>
      <c r="B83" s="0" t="s">
        <v>666</v>
      </c>
      <c r="C83" s="0" t="s">
        <v>763</v>
      </c>
      <c r="D83" s="0" t="s">
        <v>764</v>
      </c>
      <c r="E83" s="119" t="n">
        <v>32</v>
      </c>
      <c r="F83" s="119" t="n">
        <v>8</v>
      </c>
      <c r="I83" s="118" t="n">
        <v>9</v>
      </c>
      <c r="K83" s="118" t="n">
        <v>7</v>
      </c>
      <c r="M83" s="186" t="n">
        <v>2.44</v>
      </c>
      <c r="S83" s="192" t="n">
        <v>1038</v>
      </c>
      <c r="U83" s="186" t="n">
        <v>10.8</v>
      </c>
      <c r="Y83" s="186" t="n">
        <v>484</v>
      </c>
      <c r="AA83" s="192" t="n">
        <v>85612</v>
      </c>
      <c r="AC83" s="186" t="n">
        <v>23.3</v>
      </c>
      <c r="AG83" s="186" t="n">
        <v>2.72</v>
      </c>
      <c r="AM83" s="192" t="n">
        <v>77</v>
      </c>
      <c r="BS83" s="193" t="n">
        <v>44.53</v>
      </c>
      <c r="BU83" s="186" t="n">
        <v>20.77</v>
      </c>
      <c r="BY83" s="186" t="n">
        <v>6.12</v>
      </c>
      <c r="CL83" s="186" t="n">
        <v>0</v>
      </c>
    </row>
    <row r="84" customFormat="false" ht="12.75" hidden="false" customHeight="false" outlineLevel="0" collapsed="false">
      <c r="A84" s="184" t="s">
        <v>459</v>
      </c>
      <c r="B84" s="0" t="s">
        <v>669</v>
      </c>
      <c r="C84" s="0" t="s">
        <v>759</v>
      </c>
      <c r="D84" s="0" t="s">
        <v>760</v>
      </c>
      <c r="E84" s="119" t="n">
        <v>3</v>
      </c>
      <c r="F84" s="119" t="n">
        <v>4</v>
      </c>
      <c r="I84" s="118" t="n">
        <v>9</v>
      </c>
      <c r="K84" s="118" t="n">
        <v>7</v>
      </c>
      <c r="M84" s="186" t="n">
        <v>2.9</v>
      </c>
      <c r="S84" s="192" t="n">
        <v>1115</v>
      </c>
      <c r="U84" s="186" t="n">
        <v>10.8</v>
      </c>
      <c r="Y84" s="186" t="n">
        <v>709</v>
      </c>
      <c r="AA84" s="192" t="n">
        <v>114387</v>
      </c>
      <c r="AC84" s="186" t="n">
        <v>27.4</v>
      </c>
      <c r="AG84" s="186" t="n">
        <v>2.4</v>
      </c>
      <c r="AM84" s="192" t="n">
        <v>77</v>
      </c>
      <c r="BS84" s="193" t="n">
        <v>40.64</v>
      </c>
      <c r="BU84" s="186" t="n">
        <v>25.85</v>
      </c>
      <c r="BY84" s="186" t="n">
        <v>7.05</v>
      </c>
      <c r="CL84" s="186" t="n">
        <v>0</v>
      </c>
    </row>
    <row r="85" customFormat="false" ht="12.75" hidden="false" customHeight="false" outlineLevel="0" collapsed="false">
      <c r="A85" s="184" t="s">
        <v>459</v>
      </c>
      <c r="B85" s="0" t="s">
        <v>669</v>
      </c>
      <c r="C85" s="0" t="s">
        <v>763</v>
      </c>
      <c r="D85" s="0" t="s">
        <v>764</v>
      </c>
      <c r="E85" s="119" t="n">
        <v>20</v>
      </c>
      <c r="F85" s="119" t="n">
        <v>11</v>
      </c>
      <c r="I85" s="118" t="n">
        <v>9</v>
      </c>
      <c r="K85" s="118" t="n">
        <v>9</v>
      </c>
      <c r="M85" s="186" t="n">
        <v>2.93</v>
      </c>
      <c r="S85" s="192" t="n">
        <v>1138</v>
      </c>
      <c r="U85" s="186" t="n">
        <v>10.8</v>
      </c>
      <c r="Y85" s="186" t="n">
        <v>694</v>
      </c>
      <c r="AA85" s="192" t="n">
        <v>107595</v>
      </c>
      <c r="AC85" s="186" t="n">
        <v>27.9</v>
      </c>
      <c r="AG85" s="186" t="n">
        <v>2.59</v>
      </c>
      <c r="AM85" s="192" t="n">
        <v>77</v>
      </c>
      <c r="BS85" s="193" t="n">
        <v>40.84</v>
      </c>
      <c r="BU85" s="186" t="n">
        <v>24.89</v>
      </c>
      <c r="BY85" s="186" t="n">
        <v>6.5</v>
      </c>
      <c r="CL85" s="186" t="n">
        <v>0</v>
      </c>
    </row>
    <row r="86" customFormat="false" ht="12.75" hidden="false" customHeight="false" outlineLevel="0" collapsed="false">
      <c r="A86" s="184" t="s">
        <v>461</v>
      </c>
      <c r="B86" s="0" t="s">
        <v>666</v>
      </c>
      <c r="C86" s="0" t="s">
        <v>759</v>
      </c>
      <c r="D86" s="0" t="s">
        <v>760</v>
      </c>
      <c r="E86" s="119" t="n">
        <v>8</v>
      </c>
      <c r="F86" s="119" t="n">
        <v>1</v>
      </c>
      <c r="I86" s="118" t="n">
        <v>9</v>
      </c>
      <c r="K86" s="118" t="n">
        <v>9</v>
      </c>
      <c r="M86" s="186" t="n">
        <v>2.72</v>
      </c>
      <c r="S86" s="192" t="n">
        <v>1082</v>
      </c>
      <c r="U86" s="186" t="n">
        <v>10.8</v>
      </c>
      <c r="Y86" s="186" t="n">
        <v>608</v>
      </c>
      <c r="AA86" s="192" t="n">
        <v>105110</v>
      </c>
      <c r="AC86" s="186" t="n">
        <v>25.8</v>
      </c>
      <c r="AG86" s="186" t="n">
        <v>2.46</v>
      </c>
      <c r="AM86" s="192" t="n">
        <v>77</v>
      </c>
      <c r="BS86" s="193" t="n">
        <v>41.91</v>
      </c>
      <c r="BU86" s="186" t="n">
        <v>23.56</v>
      </c>
      <c r="BY86" s="186" t="n">
        <v>6.74</v>
      </c>
      <c r="CL86" s="186" t="n">
        <v>0</v>
      </c>
    </row>
    <row r="87" customFormat="false" ht="12.75" hidden="false" customHeight="false" outlineLevel="0" collapsed="false">
      <c r="A87" s="184" t="s">
        <v>461</v>
      </c>
      <c r="B87" s="0" t="s">
        <v>666</v>
      </c>
      <c r="C87" s="0" t="s">
        <v>763</v>
      </c>
      <c r="D87" s="0" t="s">
        <v>764</v>
      </c>
      <c r="E87" s="119" t="n">
        <v>31</v>
      </c>
      <c r="F87" s="119" t="n">
        <v>9</v>
      </c>
      <c r="I87" s="118" t="n">
        <v>9</v>
      </c>
      <c r="K87" s="118" t="n">
        <v>9</v>
      </c>
      <c r="M87" s="186" t="n">
        <v>3.17</v>
      </c>
      <c r="S87" s="192" t="n">
        <v>1385</v>
      </c>
      <c r="U87" s="186" t="n">
        <v>10.8</v>
      </c>
      <c r="Y87" s="186" t="n">
        <v>599</v>
      </c>
      <c r="AA87" s="192" t="n">
        <v>108566</v>
      </c>
      <c r="AC87" s="186" t="n">
        <v>30.3</v>
      </c>
      <c r="AG87" s="186" t="n">
        <v>2.79</v>
      </c>
      <c r="AM87" s="192" t="n">
        <v>77</v>
      </c>
      <c r="BS87" s="193" t="n">
        <v>45.76</v>
      </c>
      <c r="BU87" s="186" t="n">
        <v>19.8</v>
      </c>
      <c r="BY87" s="186" t="n">
        <v>6.18</v>
      </c>
      <c r="CL87" s="186" t="n">
        <v>0</v>
      </c>
    </row>
    <row r="88" customFormat="false" ht="12.75" hidden="false" customHeight="false" outlineLevel="0" collapsed="false">
      <c r="A88" s="184" t="s">
        <v>461</v>
      </c>
      <c r="B88" s="0" t="s">
        <v>669</v>
      </c>
      <c r="C88" s="0" t="s">
        <v>759</v>
      </c>
      <c r="D88" s="0" t="s">
        <v>760</v>
      </c>
      <c r="E88" s="119" t="n">
        <v>11</v>
      </c>
      <c r="F88" s="119" t="n">
        <v>5</v>
      </c>
      <c r="I88" s="118" t="n">
        <v>9</v>
      </c>
      <c r="K88" s="118" t="n">
        <v>9</v>
      </c>
      <c r="M88" s="186" t="n">
        <v>4.17</v>
      </c>
      <c r="S88" s="192" t="n">
        <v>1701</v>
      </c>
      <c r="U88" s="186" t="n">
        <v>10.8</v>
      </c>
      <c r="Y88" s="186" t="n">
        <v>877</v>
      </c>
      <c r="AA88" s="192" t="n">
        <v>152435</v>
      </c>
      <c r="AC88" s="186" t="n">
        <v>39.7</v>
      </c>
      <c r="AG88" s="186" t="n">
        <v>2.6</v>
      </c>
      <c r="AM88" s="192" t="n">
        <v>77</v>
      </c>
      <c r="BS88" s="193" t="n">
        <v>42.9</v>
      </c>
      <c r="BU88" s="186" t="n">
        <v>22.12</v>
      </c>
      <c r="BY88" s="186" t="n">
        <v>6.52</v>
      </c>
      <c r="CL88" s="186" t="n">
        <v>0</v>
      </c>
    </row>
    <row r="89" customFormat="false" ht="12.75" hidden="false" customHeight="false" outlineLevel="0" collapsed="false">
      <c r="A89" s="184" t="s">
        <v>461</v>
      </c>
      <c r="B89" s="0" t="s">
        <v>669</v>
      </c>
      <c r="C89" s="0" t="s">
        <v>763</v>
      </c>
      <c r="D89" s="0" t="s">
        <v>764</v>
      </c>
      <c r="E89" s="119" t="n">
        <v>26</v>
      </c>
      <c r="F89" s="119" t="n">
        <v>12</v>
      </c>
      <c r="I89" s="118" t="n">
        <v>9</v>
      </c>
      <c r="K89" s="118" t="n">
        <v>9</v>
      </c>
      <c r="M89" s="186" t="n">
        <v>3.03</v>
      </c>
      <c r="S89" s="192" t="n">
        <v>1199</v>
      </c>
      <c r="U89" s="186" t="n">
        <v>10.8</v>
      </c>
      <c r="Y89" s="186" t="n">
        <v>675</v>
      </c>
      <c r="AA89" s="192" t="n">
        <v>112826</v>
      </c>
      <c r="AC89" s="186" t="n">
        <v>28.5</v>
      </c>
      <c r="AG89" s="186" t="n">
        <v>2.53</v>
      </c>
      <c r="AM89" s="192" t="n">
        <v>73</v>
      </c>
      <c r="BS89" s="193" t="n">
        <v>42.07</v>
      </c>
      <c r="BU89" s="186" t="n">
        <v>23.69</v>
      </c>
      <c r="BY89" s="186" t="n">
        <v>7.56</v>
      </c>
      <c r="CL89" s="186" t="n">
        <v>0</v>
      </c>
    </row>
    <row r="90" customFormat="false" ht="12.75" hidden="false" customHeight="false" outlineLevel="0" collapsed="false">
      <c r="A90" s="184" t="s">
        <v>463</v>
      </c>
      <c r="B90" s="0" t="s">
        <v>666</v>
      </c>
      <c r="C90" s="0" t="s">
        <v>759</v>
      </c>
      <c r="D90" s="0" t="s">
        <v>760</v>
      </c>
      <c r="E90" s="119" t="n">
        <v>6</v>
      </c>
      <c r="F90" s="119" t="n">
        <v>1</v>
      </c>
      <c r="I90" s="118" t="n">
        <v>9</v>
      </c>
      <c r="K90" s="118" t="n">
        <v>9</v>
      </c>
      <c r="M90" s="186" t="n">
        <v>2.76</v>
      </c>
      <c r="S90" s="192" t="n">
        <v>1108</v>
      </c>
      <c r="U90" s="186" t="n">
        <v>10.8</v>
      </c>
      <c r="Y90" s="186" t="n">
        <v>604</v>
      </c>
      <c r="AA90" s="192" t="n">
        <v>106893</v>
      </c>
      <c r="AC90" s="186" t="n">
        <v>26.1</v>
      </c>
      <c r="AG90" s="186" t="n">
        <v>2.45</v>
      </c>
      <c r="AM90" s="192" t="n">
        <v>77</v>
      </c>
      <c r="BS90" s="193" t="n">
        <v>42.39</v>
      </c>
      <c r="BU90" s="186" t="n">
        <v>23.11</v>
      </c>
      <c r="BY90" s="186" t="n">
        <v>6.93</v>
      </c>
      <c r="CL90" s="186" t="n">
        <v>0</v>
      </c>
    </row>
    <row r="91" customFormat="false" ht="12.75" hidden="false" customHeight="false" outlineLevel="0" collapsed="false">
      <c r="A91" s="184" t="s">
        <v>463</v>
      </c>
      <c r="B91" s="0" t="s">
        <v>666</v>
      </c>
      <c r="C91" s="0" t="s">
        <v>763</v>
      </c>
      <c r="D91" s="0" t="s">
        <v>764</v>
      </c>
      <c r="E91" s="119" t="n">
        <v>30</v>
      </c>
      <c r="F91" s="119" t="n">
        <v>8</v>
      </c>
      <c r="I91" s="118" t="n">
        <v>9</v>
      </c>
      <c r="K91" s="118" t="n">
        <v>7</v>
      </c>
      <c r="M91" s="186" t="n">
        <v>2.5</v>
      </c>
      <c r="S91" s="192" t="n">
        <v>1074</v>
      </c>
      <c r="U91" s="186" t="n">
        <v>10.8</v>
      </c>
      <c r="Y91" s="186" t="n">
        <v>476</v>
      </c>
      <c r="AA91" s="192" t="n">
        <v>89177</v>
      </c>
      <c r="AC91" s="186" t="n">
        <v>23.8</v>
      </c>
      <c r="AG91" s="186" t="n">
        <v>2.67</v>
      </c>
      <c r="AM91" s="192" t="n">
        <v>77</v>
      </c>
      <c r="BS91" s="193" t="n">
        <v>45.09</v>
      </c>
      <c r="BU91" s="186" t="n">
        <v>19.96</v>
      </c>
      <c r="BY91" s="186" t="n">
        <v>6.34</v>
      </c>
      <c r="CL91" s="186" t="n">
        <v>0</v>
      </c>
    </row>
    <row r="92" customFormat="false" ht="12.75" hidden="false" customHeight="false" outlineLevel="0" collapsed="false">
      <c r="A92" s="184" t="s">
        <v>463</v>
      </c>
      <c r="B92" s="0" t="s">
        <v>669</v>
      </c>
      <c r="C92" s="0" t="s">
        <v>759</v>
      </c>
      <c r="D92" s="0" t="s">
        <v>760</v>
      </c>
      <c r="E92" s="119" t="n">
        <v>15</v>
      </c>
      <c r="F92" s="119" t="n">
        <v>5</v>
      </c>
      <c r="I92" s="118" t="n">
        <v>9</v>
      </c>
      <c r="K92" s="118" t="n">
        <v>9</v>
      </c>
      <c r="M92" s="186" t="n">
        <v>3.53</v>
      </c>
      <c r="S92" s="192" t="n">
        <v>1386</v>
      </c>
      <c r="U92" s="186" t="n">
        <v>10.8</v>
      </c>
      <c r="Y92" s="186" t="n">
        <v>784</v>
      </c>
      <c r="AA92" s="192" t="n">
        <v>131482</v>
      </c>
      <c r="AC92" s="186" t="n">
        <v>33.5</v>
      </c>
      <c r="AG92" s="186" t="n">
        <v>2.55</v>
      </c>
      <c r="AM92" s="192" t="n">
        <v>77</v>
      </c>
      <c r="BS92" s="193" t="n">
        <v>41.31</v>
      </c>
      <c r="BU92" s="186" t="n">
        <v>23.38</v>
      </c>
      <c r="BY92" s="186" t="n">
        <v>6.6</v>
      </c>
      <c r="CL92" s="186" t="n">
        <v>0</v>
      </c>
    </row>
    <row r="93" customFormat="false" ht="12.75" hidden="false" customHeight="false" outlineLevel="0" collapsed="false">
      <c r="A93" s="184" t="s">
        <v>463</v>
      </c>
      <c r="B93" s="0" t="s">
        <v>669</v>
      </c>
      <c r="C93" s="0" t="s">
        <v>763</v>
      </c>
      <c r="D93" s="0" t="s">
        <v>764</v>
      </c>
      <c r="E93" s="119" t="n">
        <v>23</v>
      </c>
      <c r="F93" s="119" t="n">
        <v>10</v>
      </c>
      <c r="I93" s="118" t="n">
        <v>9</v>
      </c>
      <c r="K93" s="118" t="n">
        <v>7</v>
      </c>
      <c r="M93" s="186" t="n">
        <v>3.57</v>
      </c>
      <c r="S93" s="192" t="n">
        <v>1409</v>
      </c>
      <c r="U93" s="186" t="n">
        <v>10.8</v>
      </c>
      <c r="Y93" s="186" t="n">
        <v>795</v>
      </c>
      <c r="AA93" s="192" t="n">
        <v>136045</v>
      </c>
      <c r="AC93" s="186" t="n">
        <v>33.9</v>
      </c>
      <c r="AG93" s="186" t="n">
        <v>2.49</v>
      </c>
      <c r="AM93" s="192" t="n">
        <v>77</v>
      </c>
      <c r="BS93" s="193" t="n">
        <v>41.55</v>
      </c>
      <c r="BU93" s="186" t="n">
        <v>23.46</v>
      </c>
      <c r="BY93" s="186" t="n">
        <v>6.67</v>
      </c>
      <c r="CL93" s="186" t="n">
        <v>0</v>
      </c>
    </row>
    <row r="94" customFormat="false" ht="12.75" hidden="false" customHeight="false" outlineLevel="0" collapsed="false">
      <c r="A94" s="184" t="s">
        <v>465</v>
      </c>
      <c r="B94" s="0" t="s">
        <v>666</v>
      </c>
      <c r="C94" s="0" t="s">
        <v>759</v>
      </c>
      <c r="D94" s="0" t="s">
        <v>760</v>
      </c>
      <c r="E94" s="119" t="n">
        <v>16</v>
      </c>
      <c r="F94" s="119" t="n">
        <v>2</v>
      </c>
      <c r="I94" s="118" t="n">
        <v>9</v>
      </c>
      <c r="K94" s="118" t="n">
        <v>9</v>
      </c>
      <c r="M94" s="186" t="n">
        <v>1.82</v>
      </c>
      <c r="S94" s="192" t="n">
        <v>803</v>
      </c>
      <c r="U94" s="186" t="n">
        <v>10.8</v>
      </c>
      <c r="Y94" s="186" t="n">
        <v>359</v>
      </c>
      <c r="AA94" s="192" t="n">
        <v>59142</v>
      </c>
      <c r="AC94" s="186" t="n">
        <v>17.4</v>
      </c>
      <c r="AG94" s="186" t="n">
        <v>2.93</v>
      </c>
      <c r="AM94" s="192" t="n">
        <v>77</v>
      </c>
      <c r="BS94" s="193" t="n">
        <v>46.3</v>
      </c>
      <c r="BU94" s="186" t="n">
        <v>20.68</v>
      </c>
      <c r="BY94" s="186" t="n">
        <v>6.29</v>
      </c>
      <c r="CL94" s="186" t="n">
        <v>0</v>
      </c>
    </row>
    <row r="95" customFormat="false" ht="12.75" hidden="false" customHeight="false" outlineLevel="0" collapsed="false">
      <c r="A95" s="184" t="s">
        <v>465</v>
      </c>
      <c r="B95" s="0" t="s">
        <v>666</v>
      </c>
      <c r="C95" s="0" t="s">
        <v>763</v>
      </c>
      <c r="D95" s="0" t="s">
        <v>764</v>
      </c>
      <c r="E95" s="119" t="n">
        <v>34</v>
      </c>
      <c r="F95" s="119" t="n">
        <v>7</v>
      </c>
      <c r="I95" s="118" t="n">
        <v>9</v>
      </c>
      <c r="K95" s="118" t="n">
        <v>7</v>
      </c>
      <c r="M95" s="186" t="n">
        <v>3.02</v>
      </c>
      <c r="S95" s="192" t="n">
        <v>1340</v>
      </c>
      <c r="U95" s="186" t="n">
        <v>10.8</v>
      </c>
      <c r="Y95" s="186" t="n">
        <v>564</v>
      </c>
      <c r="AA95" s="192" t="n">
        <v>96611</v>
      </c>
      <c r="AC95" s="186" t="n">
        <v>28.9</v>
      </c>
      <c r="AG95" s="186" t="n">
        <v>2.99</v>
      </c>
      <c r="AM95" s="192" t="n">
        <v>73</v>
      </c>
      <c r="BS95" s="193" t="n">
        <v>46.42</v>
      </c>
      <c r="BU95" s="186" t="n">
        <v>19.55</v>
      </c>
      <c r="BY95" s="186" t="n">
        <v>6.08</v>
      </c>
      <c r="CL95" s="186" t="n">
        <v>0</v>
      </c>
    </row>
    <row r="96" customFormat="false" ht="12.75" hidden="false" customHeight="false" outlineLevel="0" collapsed="false">
      <c r="A96" s="184" t="s">
        <v>465</v>
      </c>
      <c r="B96" s="0" t="s">
        <v>669</v>
      </c>
      <c r="C96" s="0" t="s">
        <v>759</v>
      </c>
      <c r="D96" s="0" t="s">
        <v>760</v>
      </c>
      <c r="E96" s="119" t="n">
        <v>4</v>
      </c>
      <c r="F96" s="119" t="n">
        <v>6</v>
      </c>
      <c r="I96" s="118" t="n">
        <v>9</v>
      </c>
      <c r="K96" s="118" t="n">
        <v>9</v>
      </c>
      <c r="M96" s="186" t="n">
        <v>2.53</v>
      </c>
      <c r="S96" s="192" t="n">
        <v>1000</v>
      </c>
      <c r="U96" s="186" t="n">
        <v>10.8</v>
      </c>
      <c r="Y96" s="186" t="n">
        <v>591</v>
      </c>
      <c r="AA96" s="192" t="n">
        <v>94245</v>
      </c>
      <c r="AC96" s="186" t="n">
        <v>23.9</v>
      </c>
      <c r="AG96" s="186" t="n">
        <v>2.54</v>
      </c>
      <c r="AM96" s="192" t="n">
        <v>73</v>
      </c>
      <c r="BS96" s="193" t="n">
        <v>41.78</v>
      </c>
      <c r="BU96" s="186" t="n">
        <v>24.69</v>
      </c>
      <c r="BY96" s="186" t="n">
        <v>7</v>
      </c>
      <c r="CL96" s="186" t="n">
        <v>0</v>
      </c>
    </row>
    <row r="97" customFormat="false" ht="12.75" hidden="false" customHeight="false" outlineLevel="0" collapsed="false">
      <c r="A97" s="184" t="s">
        <v>465</v>
      </c>
      <c r="B97" s="0" t="s">
        <v>669</v>
      </c>
      <c r="C97" s="0" t="s">
        <v>763</v>
      </c>
      <c r="D97" s="0" t="s">
        <v>764</v>
      </c>
      <c r="E97" s="119" t="n">
        <v>21</v>
      </c>
      <c r="F97" s="119" t="n">
        <v>12</v>
      </c>
      <c r="I97" s="118" t="n">
        <v>9</v>
      </c>
      <c r="K97" s="118" t="n">
        <v>9</v>
      </c>
      <c r="M97" s="186" t="n">
        <v>3.04</v>
      </c>
      <c r="S97" s="192" t="n">
        <v>1208</v>
      </c>
      <c r="U97" s="186" t="n">
        <v>10.8</v>
      </c>
      <c r="Y97" s="186" t="n">
        <v>691</v>
      </c>
      <c r="AA97" s="192" t="n">
        <v>98583</v>
      </c>
      <c r="AC97" s="186" t="n">
        <v>28.8</v>
      </c>
      <c r="AG97" s="186" t="n">
        <v>2.92</v>
      </c>
      <c r="AM97" s="192" t="n">
        <v>77</v>
      </c>
      <c r="BS97" s="193" t="n">
        <v>41.93</v>
      </c>
      <c r="BU97" s="186" t="n">
        <v>23.97</v>
      </c>
      <c r="BY97" s="186" t="n">
        <v>6.87</v>
      </c>
      <c r="CL97" s="186" t="n">
        <v>0</v>
      </c>
    </row>
    <row r="98" customFormat="false" ht="12.75" hidden="false" customHeight="false" outlineLevel="0" collapsed="false">
      <c r="A98" s="184" t="s">
        <v>467</v>
      </c>
      <c r="B98" s="0" t="s">
        <v>666</v>
      </c>
      <c r="C98" s="0" t="s">
        <v>759</v>
      </c>
      <c r="D98" s="0" t="s">
        <v>760</v>
      </c>
      <c r="E98" s="119" t="n">
        <v>6</v>
      </c>
      <c r="F98" s="119" t="n">
        <v>3</v>
      </c>
      <c r="I98" s="118" t="n">
        <v>9</v>
      </c>
      <c r="K98" s="118" t="n">
        <v>7</v>
      </c>
      <c r="M98" s="186" t="n">
        <v>2.65</v>
      </c>
      <c r="S98" s="192" t="n">
        <v>1135</v>
      </c>
      <c r="U98" s="186" t="n">
        <v>10.8</v>
      </c>
      <c r="Y98" s="186" t="n">
        <v>588</v>
      </c>
      <c r="AA98" s="192" t="n">
        <v>85741</v>
      </c>
      <c r="AC98" s="186" t="n">
        <v>25.2</v>
      </c>
      <c r="AG98" s="186" t="n">
        <v>2.94</v>
      </c>
      <c r="AM98" s="192" t="n">
        <v>80</v>
      </c>
      <c r="BS98" s="193" t="n">
        <v>45.07</v>
      </c>
      <c r="BU98" s="186" t="n">
        <v>23.37</v>
      </c>
      <c r="BY98" s="186" t="n">
        <v>6.65</v>
      </c>
      <c r="CL98" s="186" t="n">
        <v>0</v>
      </c>
    </row>
    <row r="99" customFormat="false" ht="12.75" hidden="false" customHeight="false" outlineLevel="0" collapsed="false">
      <c r="A99" s="184" t="s">
        <v>467</v>
      </c>
      <c r="B99" s="0" t="s">
        <v>666</v>
      </c>
      <c r="C99" s="0" t="s">
        <v>763</v>
      </c>
      <c r="D99" s="0" t="s">
        <v>764</v>
      </c>
      <c r="E99" s="119" t="n">
        <v>27</v>
      </c>
      <c r="F99" s="119" t="n">
        <v>9</v>
      </c>
      <c r="I99" s="118" t="n">
        <v>9</v>
      </c>
      <c r="K99" s="118" t="n">
        <v>9</v>
      </c>
      <c r="M99" s="186" t="n">
        <v>2.62</v>
      </c>
      <c r="S99" s="192" t="n">
        <v>1117</v>
      </c>
      <c r="U99" s="186" t="n">
        <v>10.8</v>
      </c>
      <c r="Y99" s="186" t="n">
        <v>561</v>
      </c>
      <c r="AA99" s="192" t="n">
        <v>82456</v>
      </c>
      <c r="AC99" s="186" t="n">
        <v>24.8</v>
      </c>
      <c r="AG99" s="186" t="n">
        <v>3</v>
      </c>
      <c r="AM99" s="192" t="n">
        <v>80</v>
      </c>
      <c r="BS99" s="193" t="n">
        <v>45.11</v>
      </c>
      <c r="BU99" s="186" t="n">
        <v>22.64</v>
      </c>
      <c r="BY99" s="186" t="n">
        <v>7.09</v>
      </c>
      <c r="CL99" s="186" t="n">
        <v>0</v>
      </c>
    </row>
    <row r="100" customFormat="false" ht="12.75" hidden="false" customHeight="false" outlineLevel="0" collapsed="false">
      <c r="A100" s="184" t="s">
        <v>467</v>
      </c>
      <c r="B100" s="0" t="s">
        <v>669</v>
      </c>
      <c r="C100" s="0" t="s">
        <v>759</v>
      </c>
      <c r="D100" s="0" t="s">
        <v>760</v>
      </c>
      <c r="E100" s="119" t="n">
        <v>14</v>
      </c>
      <c r="F100" s="119" t="n">
        <v>4</v>
      </c>
      <c r="I100" s="118" t="n">
        <v>9</v>
      </c>
      <c r="K100" s="118" t="n">
        <v>7</v>
      </c>
      <c r="M100" s="186" t="n">
        <v>2.78</v>
      </c>
      <c r="S100" s="192" t="n">
        <v>1157</v>
      </c>
      <c r="U100" s="186" t="n">
        <v>10.8</v>
      </c>
      <c r="Y100" s="186" t="n">
        <v>663</v>
      </c>
      <c r="AA100" s="192" t="n">
        <v>88911</v>
      </c>
      <c r="AC100" s="186" t="n">
        <v>26.4</v>
      </c>
      <c r="AG100" s="186" t="n">
        <v>2.97</v>
      </c>
      <c r="AM100" s="192" t="n">
        <v>83</v>
      </c>
      <c r="BS100" s="193" t="n">
        <v>43.78</v>
      </c>
      <c r="BU100" s="186" t="n">
        <v>25.09</v>
      </c>
      <c r="BY100" s="186" t="n">
        <v>6.58</v>
      </c>
      <c r="CL100" s="186" t="n">
        <v>0</v>
      </c>
    </row>
    <row r="101" customFormat="false" ht="12.75" hidden="false" customHeight="false" outlineLevel="0" collapsed="false">
      <c r="A101" s="184" t="s">
        <v>467</v>
      </c>
      <c r="B101" s="0" t="s">
        <v>669</v>
      </c>
      <c r="C101" s="0" t="s">
        <v>763</v>
      </c>
      <c r="D101" s="0" t="s">
        <v>764</v>
      </c>
      <c r="E101" s="119" t="n">
        <v>30</v>
      </c>
      <c r="F101" s="119" t="n">
        <v>12</v>
      </c>
      <c r="I101" s="118" t="n">
        <v>9</v>
      </c>
      <c r="K101" s="118" t="n">
        <v>9</v>
      </c>
      <c r="M101" s="186" t="n">
        <v>2.83</v>
      </c>
      <c r="S101" s="192" t="n">
        <v>1188</v>
      </c>
      <c r="U101" s="186" t="n">
        <v>10.8</v>
      </c>
      <c r="Y101" s="186" t="n">
        <v>657</v>
      </c>
      <c r="AA101" s="192" t="n">
        <v>91656</v>
      </c>
      <c r="AC101" s="186" t="n">
        <v>27</v>
      </c>
      <c r="AG101" s="186" t="n">
        <v>2.94</v>
      </c>
      <c r="AM101" s="192" t="n">
        <v>80</v>
      </c>
      <c r="BS101" s="193" t="n">
        <v>44.05</v>
      </c>
      <c r="BU101" s="186" t="n">
        <v>24.33</v>
      </c>
      <c r="BY101" s="186" t="n">
        <v>6.3</v>
      </c>
      <c r="CL101" s="186" t="n">
        <v>0</v>
      </c>
    </row>
    <row r="102" customFormat="false" ht="12.75" hidden="false" customHeight="false" outlineLevel="0" collapsed="false">
      <c r="A102" s="184" t="s">
        <v>469</v>
      </c>
      <c r="B102" s="0" t="s">
        <v>666</v>
      </c>
      <c r="C102" s="0" t="s">
        <v>759</v>
      </c>
      <c r="D102" s="0" t="s">
        <v>760</v>
      </c>
      <c r="E102" s="119" t="n">
        <v>13</v>
      </c>
      <c r="F102" s="119" t="n">
        <v>3</v>
      </c>
      <c r="I102" s="118" t="n">
        <v>9</v>
      </c>
      <c r="K102" s="118" t="n">
        <v>7</v>
      </c>
      <c r="M102" s="186" t="n">
        <v>2.48</v>
      </c>
      <c r="S102" s="192" t="n">
        <v>1085</v>
      </c>
      <c r="U102" s="186" t="n">
        <v>10.8</v>
      </c>
      <c r="Y102" s="186" t="n">
        <v>466</v>
      </c>
      <c r="AA102" s="192" t="n">
        <v>84904</v>
      </c>
      <c r="AC102" s="186" t="n">
        <v>23.7</v>
      </c>
      <c r="AG102" s="186" t="n">
        <v>2.79</v>
      </c>
      <c r="AM102" s="192" t="n">
        <v>73</v>
      </c>
      <c r="BS102" s="193" t="n">
        <v>45.88</v>
      </c>
      <c r="BU102" s="186" t="n">
        <v>19.71</v>
      </c>
      <c r="BY102" s="186" t="n">
        <v>6.27</v>
      </c>
      <c r="CL102" s="186" t="n">
        <v>0</v>
      </c>
    </row>
    <row r="103" customFormat="false" ht="12.75" hidden="false" customHeight="false" outlineLevel="0" collapsed="false">
      <c r="A103" s="184" t="s">
        <v>469</v>
      </c>
      <c r="B103" s="0" t="s">
        <v>666</v>
      </c>
      <c r="C103" s="0" t="s">
        <v>763</v>
      </c>
      <c r="D103" s="0" t="s">
        <v>764</v>
      </c>
      <c r="E103" s="119" t="n">
        <v>29</v>
      </c>
      <c r="F103" s="119" t="n">
        <v>9</v>
      </c>
      <c r="I103" s="118" t="n">
        <v>9</v>
      </c>
      <c r="K103" s="118" t="n">
        <v>9</v>
      </c>
      <c r="M103" s="186" t="n">
        <v>2.95</v>
      </c>
      <c r="S103" s="192" t="n">
        <v>1309</v>
      </c>
      <c r="U103" s="186" t="n">
        <v>10.8</v>
      </c>
      <c r="Y103" s="186" t="n">
        <v>538</v>
      </c>
      <c r="AA103" s="192" t="n">
        <v>95644</v>
      </c>
      <c r="AC103" s="186" t="n">
        <v>28.1</v>
      </c>
      <c r="AG103" s="186" t="n">
        <v>2.94</v>
      </c>
      <c r="AM103" s="192" t="n">
        <v>73</v>
      </c>
      <c r="BS103" s="193" t="n">
        <v>46.52</v>
      </c>
      <c r="BU103" s="186" t="n">
        <v>19.12</v>
      </c>
      <c r="BY103" s="186" t="n">
        <v>6.27</v>
      </c>
      <c r="CL103" s="186" t="n">
        <v>0</v>
      </c>
    </row>
    <row r="104" customFormat="false" ht="12.75" hidden="false" customHeight="false" outlineLevel="0" collapsed="false">
      <c r="A104" s="184" t="s">
        <v>469</v>
      </c>
      <c r="B104" s="0" t="s">
        <v>669</v>
      </c>
      <c r="C104" s="0" t="s">
        <v>759</v>
      </c>
      <c r="D104" s="0" t="s">
        <v>760</v>
      </c>
      <c r="E104" s="119" t="n">
        <v>10</v>
      </c>
      <c r="F104" s="119" t="n">
        <v>4</v>
      </c>
      <c r="I104" s="118" t="n">
        <v>9</v>
      </c>
      <c r="K104" s="118" t="n">
        <v>7</v>
      </c>
      <c r="M104" s="186" t="n">
        <v>2.96</v>
      </c>
      <c r="S104" s="192" t="n">
        <v>1243</v>
      </c>
      <c r="U104" s="186" t="n">
        <v>10.8</v>
      </c>
      <c r="Y104" s="186" t="n">
        <v>592</v>
      </c>
      <c r="AA104" s="192" t="n">
        <v>99414</v>
      </c>
      <c r="AC104" s="186" t="n">
        <v>28.2</v>
      </c>
      <c r="AG104" s="186" t="n">
        <v>2.83</v>
      </c>
      <c r="AM104" s="192" t="n">
        <v>73</v>
      </c>
      <c r="BS104" s="193" t="n">
        <v>44.17</v>
      </c>
      <c r="BU104" s="186" t="n">
        <v>21.04</v>
      </c>
      <c r="BY104" s="186" t="n">
        <v>6.52</v>
      </c>
      <c r="CL104" s="186" t="n">
        <v>0</v>
      </c>
    </row>
    <row r="105" customFormat="false" ht="12.75" hidden="false" customHeight="false" outlineLevel="0" collapsed="false">
      <c r="A105" s="184" t="s">
        <v>469</v>
      </c>
      <c r="B105" s="0" t="s">
        <v>669</v>
      </c>
      <c r="C105" s="0" t="s">
        <v>763</v>
      </c>
      <c r="D105" s="0" t="s">
        <v>764</v>
      </c>
      <c r="E105" s="119" t="n">
        <v>36</v>
      </c>
      <c r="F105" s="119" t="n">
        <v>12</v>
      </c>
      <c r="I105" s="118" t="n">
        <v>9</v>
      </c>
      <c r="K105" s="118" t="n">
        <v>9</v>
      </c>
      <c r="M105" s="186" t="n">
        <v>3.28</v>
      </c>
      <c r="S105" s="192" t="n">
        <v>1373</v>
      </c>
      <c r="U105" s="186" t="n">
        <v>10.8</v>
      </c>
      <c r="Y105" s="186" t="n">
        <v>703</v>
      </c>
      <c r="AA105" s="192" t="n">
        <v>106414</v>
      </c>
      <c r="AC105" s="186" t="n">
        <v>31.3</v>
      </c>
      <c r="AG105" s="186" t="n">
        <v>2.95</v>
      </c>
      <c r="AM105" s="192" t="n">
        <v>73</v>
      </c>
      <c r="BS105" s="193" t="n">
        <v>43.82</v>
      </c>
      <c r="BU105" s="186" t="n">
        <v>22.43</v>
      </c>
      <c r="BY105" s="186" t="n">
        <v>6.09</v>
      </c>
      <c r="CL105" s="186" t="n">
        <v>0</v>
      </c>
    </row>
    <row r="106" customFormat="false" ht="12.75" hidden="false" customHeight="false" outlineLevel="0" collapsed="false">
      <c r="A106" s="184" t="s">
        <v>471</v>
      </c>
      <c r="B106" s="0" t="s">
        <v>666</v>
      </c>
      <c r="C106" s="0" t="s">
        <v>759</v>
      </c>
      <c r="D106" s="0" t="s">
        <v>760</v>
      </c>
      <c r="E106" s="119" t="n">
        <v>13</v>
      </c>
      <c r="F106" s="119" t="n">
        <v>2</v>
      </c>
      <c r="I106" s="118" t="n">
        <v>9</v>
      </c>
      <c r="K106" s="118" t="n">
        <v>9</v>
      </c>
      <c r="M106" s="186" t="n">
        <v>1.81</v>
      </c>
      <c r="S106" s="192" t="n">
        <v>801</v>
      </c>
      <c r="U106" s="186" t="n">
        <v>10.8</v>
      </c>
      <c r="Y106" s="186" t="n">
        <v>329</v>
      </c>
      <c r="AA106" s="192" t="n">
        <v>55850</v>
      </c>
      <c r="AC106" s="186" t="n">
        <v>17.3</v>
      </c>
      <c r="AG106" s="186" t="n">
        <v>3.1</v>
      </c>
      <c r="AM106" s="192" t="n">
        <v>80</v>
      </c>
      <c r="BS106" s="193" t="n">
        <v>46.31</v>
      </c>
      <c r="BU106" s="186" t="n">
        <v>19.04</v>
      </c>
      <c r="BY106" s="186" t="n">
        <v>6.12</v>
      </c>
      <c r="CL106" s="186" t="n">
        <v>0</v>
      </c>
    </row>
    <row r="107" customFormat="false" ht="12.75" hidden="false" customHeight="false" outlineLevel="0" collapsed="false">
      <c r="A107" s="184" t="s">
        <v>471</v>
      </c>
      <c r="B107" s="0" t="s">
        <v>666</v>
      </c>
      <c r="C107" s="0" t="s">
        <v>763</v>
      </c>
      <c r="D107" s="0" t="s">
        <v>764</v>
      </c>
      <c r="E107" s="119" t="n">
        <v>32</v>
      </c>
      <c r="F107" s="119" t="n">
        <v>9</v>
      </c>
      <c r="I107" s="118" t="n">
        <v>9</v>
      </c>
      <c r="K107" s="118" t="n">
        <v>9</v>
      </c>
      <c r="M107" s="186" t="n">
        <v>2.5</v>
      </c>
      <c r="S107" s="192" t="n">
        <v>1106</v>
      </c>
      <c r="U107" s="186" t="n">
        <v>10.8</v>
      </c>
      <c r="Y107" s="186" t="n">
        <v>453</v>
      </c>
      <c r="AA107" s="192" t="n">
        <v>73802</v>
      </c>
      <c r="AC107" s="186" t="n">
        <v>23.9</v>
      </c>
      <c r="AG107" s="186" t="n">
        <v>3.24</v>
      </c>
      <c r="AM107" s="192" t="n">
        <v>77</v>
      </c>
      <c r="BS107" s="193" t="n">
        <v>46.28</v>
      </c>
      <c r="BU107" s="186" t="n">
        <v>18.96</v>
      </c>
      <c r="BY107" s="186" t="n">
        <v>6.04</v>
      </c>
      <c r="CL107" s="186" t="n">
        <v>0</v>
      </c>
    </row>
    <row r="108" customFormat="false" ht="12.75" hidden="false" customHeight="false" outlineLevel="0" collapsed="false">
      <c r="A108" s="184" t="s">
        <v>471</v>
      </c>
      <c r="B108" s="0" t="s">
        <v>669</v>
      </c>
      <c r="C108" s="0" t="s">
        <v>759</v>
      </c>
      <c r="D108" s="0" t="s">
        <v>760</v>
      </c>
      <c r="E108" s="119" t="n">
        <v>10</v>
      </c>
      <c r="F108" s="119" t="n">
        <v>6</v>
      </c>
      <c r="I108" s="118" t="n">
        <v>9</v>
      </c>
      <c r="K108" s="118" t="n">
        <v>9</v>
      </c>
      <c r="M108" s="186" t="n">
        <v>2.8</v>
      </c>
      <c r="S108" s="192" t="n">
        <v>1174</v>
      </c>
      <c r="U108" s="186" t="n">
        <v>10.8</v>
      </c>
      <c r="Y108" s="186" t="n">
        <v>578</v>
      </c>
      <c r="AA108" s="192" t="n">
        <v>86617</v>
      </c>
      <c r="AC108" s="186" t="n">
        <v>26.6</v>
      </c>
      <c r="AG108" s="186" t="n">
        <v>3.07</v>
      </c>
      <c r="AM108" s="192" t="n">
        <v>80</v>
      </c>
      <c r="BS108" s="193" t="n">
        <v>44.08</v>
      </c>
      <c r="BU108" s="186" t="n">
        <v>21.69</v>
      </c>
      <c r="BY108" s="186" t="n">
        <v>6.53</v>
      </c>
      <c r="CL108" s="186" t="n">
        <v>0</v>
      </c>
    </row>
    <row r="109" customFormat="false" ht="12.75" hidden="false" customHeight="false" outlineLevel="0" collapsed="false">
      <c r="A109" s="184" t="s">
        <v>471</v>
      </c>
      <c r="B109" s="0" t="s">
        <v>669</v>
      </c>
      <c r="C109" s="0" t="s">
        <v>763</v>
      </c>
      <c r="D109" s="0" t="s">
        <v>764</v>
      </c>
      <c r="E109" s="119" t="n">
        <v>31</v>
      </c>
      <c r="F109" s="119" t="n">
        <v>12</v>
      </c>
      <c r="I109" s="118" t="n">
        <v>9</v>
      </c>
      <c r="K109" s="118" t="n">
        <v>9</v>
      </c>
      <c r="M109" s="186" t="n">
        <v>3.22</v>
      </c>
      <c r="S109" s="192" t="n">
        <v>1320</v>
      </c>
      <c r="U109" s="186" t="n">
        <v>10.8</v>
      </c>
      <c r="Y109" s="186" t="n">
        <v>690</v>
      </c>
      <c r="AA109" s="192" t="n">
        <v>96247</v>
      </c>
      <c r="AC109" s="186" t="n">
        <v>30.7</v>
      </c>
      <c r="AG109" s="186" t="n">
        <v>3.19</v>
      </c>
      <c r="AM109" s="192" t="n">
        <v>77</v>
      </c>
      <c r="BS109" s="193" t="n">
        <v>43.01</v>
      </c>
      <c r="BU109" s="186" t="n">
        <v>22.48</v>
      </c>
      <c r="BY109" s="186" t="n">
        <v>6.31</v>
      </c>
      <c r="CL109" s="186" t="n">
        <v>0</v>
      </c>
    </row>
    <row r="110" customFormat="false" ht="12.75" hidden="false" customHeight="false" outlineLevel="0" collapsed="false">
      <c r="A110" s="184" t="s">
        <v>473</v>
      </c>
      <c r="B110" s="0" t="s">
        <v>666</v>
      </c>
      <c r="C110" s="0" t="s">
        <v>759</v>
      </c>
      <c r="D110" s="0" t="s">
        <v>760</v>
      </c>
      <c r="E110" s="119" t="n">
        <v>8</v>
      </c>
      <c r="F110" s="119" t="n">
        <v>2</v>
      </c>
      <c r="I110" s="118" t="n">
        <v>9</v>
      </c>
      <c r="K110" s="118" t="n">
        <v>9</v>
      </c>
      <c r="M110" s="186" t="n">
        <v>2.06</v>
      </c>
      <c r="S110" s="192" t="n">
        <v>911</v>
      </c>
      <c r="U110" s="186" t="n">
        <v>10.8</v>
      </c>
      <c r="Y110" s="186" t="n">
        <v>388</v>
      </c>
      <c r="AA110" s="192" t="n">
        <v>65112</v>
      </c>
      <c r="AC110" s="186" t="n">
        <v>19.6</v>
      </c>
      <c r="AG110" s="186" t="n">
        <v>3.01</v>
      </c>
      <c r="AM110" s="192" t="n">
        <v>73</v>
      </c>
      <c r="BS110" s="193" t="n">
        <v>46.42</v>
      </c>
      <c r="BU110" s="186" t="n">
        <v>19.78</v>
      </c>
      <c r="BY110" s="186" t="n">
        <v>6.35</v>
      </c>
      <c r="CL110" s="186" t="n">
        <v>0</v>
      </c>
    </row>
    <row r="111" customFormat="false" ht="12.75" hidden="false" customHeight="false" outlineLevel="0" collapsed="false">
      <c r="A111" s="184" t="s">
        <v>473</v>
      </c>
      <c r="B111" s="0" t="s">
        <v>666</v>
      </c>
      <c r="C111" s="0" t="s">
        <v>763</v>
      </c>
      <c r="D111" s="0" t="s">
        <v>764</v>
      </c>
      <c r="E111" s="119" t="n">
        <v>20</v>
      </c>
      <c r="F111" s="119" t="n">
        <v>9</v>
      </c>
      <c r="I111" s="118" t="n">
        <v>9</v>
      </c>
      <c r="K111" s="118" t="n">
        <v>9</v>
      </c>
      <c r="M111" s="186" t="n">
        <v>3.41</v>
      </c>
      <c r="S111" s="192" t="n">
        <v>1473</v>
      </c>
      <c r="U111" s="186" t="n">
        <v>10.8</v>
      </c>
      <c r="Y111" s="186" t="n">
        <v>677</v>
      </c>
      <c r="AA111" s="192" t="n">
        <v>105853</v>
      </c>
      <c r="AC111" s="186" t="n">
        <v>32.5</v>
      </c>
      <c r="AG111" s="186" t="n">
        <v>3.07</v>
      </c>
      <c r="AM111" s="192" t="n">
        <v>69</v>
      </c>
      <c r="BS111" s="193" t="n">
        <v>45.38</v>
      </c>
      <c r="BU111" s="186" t="n">
        <v>20.87</v>
      </c>
      <c r="BY111" s="186" t="n">
        <v>6.45</v>
      </c>
      <c r="CL111" s="186" t="n">
        <v>0</v>
      </c>
    </row>
    <row r="112" customFormat="false" ht="12.75" hidden="false" customHeight="false" outlineLevel="0" collapsed="false">
      <c r="A112" s="184" t="s">
        <v>473</v>
      </c>
      <c r="B112" s="0" t="s">
        <v>669</v>
      </c>
      <c r="C112" s="0" t="s">
        <v>759</v>
      </c>
      <c r="D112" s="0" t="s">
        <v>760</v>
      </c>
      <c r="E112" s="119" t="n">
        <v>17</v>
      </c>
      <c r="F112" s="119" t="n">
        <v>6</v>
      </c>
      <c r="I112" s="118" t="n">
        <v>9</v>
      </c>
      <c r="K112" s="118" t="n">
        <v>9</v>
      </c>
      <c r="M112" s="186" t="n">
        <v>3.94</v>
      </c>
      <c r="S112" s="192" t="n">
        <v>1642</v>
      </c>
      <c r="U112" s="186" t="n">
        <v>10.8</v>
      </c>
      <c r="Y112" s="186" t="n">
        <v>854</v>
      </c>
      <c r="AA112" s="192" t="n">
        <v>118564</v>
      </c>
      <c r="AC112" s="186" t="n">
        <v>37.6</v>
      </c>
      <c r="AG112" s="186" t="n">
        <v>3.17</v>
      </c>
      <c r="AM112" s="192" t="n">
        <v>73</v>
      </c>
      <c r="BS112" s="193" t="n">
        <v>43.71</v>
      </c>
      <c r="BU112" s="186" t="n">
        <v>22.73</v>
      </c>
      <c r="BY112" s="186" t="n">
        <v>6.29</v>
      </c>
      <c r="CL112" s="186" t="n">
        <v>0</v>
      </c>
    </row>
    <row r="113" customFormat="false" ht="12.75" hidden="false" customHeight="false" outlineLevel="0" collapsed="false">
      <c r="A113" s="184" t="s">
        <v>473</v>
      </c>
      <c r="B113" s="0" t="s">
        <v>669</v>
      </c>
      <c r="C113" s="0" t="s">
        <v>763</v>
      </c>
      <c r="D113" s="0" t="s">
        <v>764</v>
      </c>
      <c r="E113" s="119" t="n">
        <v>21</v>
      </c>
      <c r="F113" s="119" t="n">
        <v>11</v>
      </c>
      <c r="I113" s="118" t="n">
        <v>9</v>
      </c>
      <c r="K113" s="118" t="n">
        <v>9</v>
      </c>
      <c r="M113" s="186" t="n">
        <v>4.72</v>
      </c>
      <c r="S113" s="192" t="n">
        <v>1937</v>
      </c>
      <c r="U113" s="186" t="n">
        <v>10.8</v>
      </c>
      <c r="Y113" s="186" t="n">
        <v>1048</v>
      </c>
      <c r="AA113" s="192" t="n">
        <v>146648</v>
      </c>
      <c r="AC113" s="186" t="n">
        <v>45</v>
      </c>
      <c r="AG113" s="186" t="n">
        <v>3.07</v>
      </c>
      <c r="AM113" s="192" t="n">
        <v>69</v>
      </c>
      <c r="BS113" s="193" t="n">
        <v>43.07</v>
      </c>
      <c r="BU113" s="186" t="n">
        <v>23.3</v>
      </c>
      <c r="BY113" s="186" t="n">
        <v>6.37</v>
      </c>
      <c r="CL113" s="186" t="n">
        <v>2</v>
      </c>
    </row>
    <row r="114" customFormat="false" ht="12.75" hidden="false" customHeight="false" outlineLevel="0" collapsed="false">
      <c r="A114" s="184" t="s">
        <v>475</v>
      </c>
      <c r="B114" s="0" t="s">
        <v>666</v>
      </c>
      <c r="C114" s="0" t="s">
        <v>759</v>
      </c>
      <c r="D114" s="0" t="s">
        <v>760</v>
      </c>
      <c r="E114" s="119" t="n">
        <v>19</v>
      </c>
      <c r="F114" s="119" t="n">
        <v>1</v>
      </c>
      <c r="I114" s="118" t="n">
        <v>9</v>
      </c>
      <c r="K114" s="118" t="n">
        <v>9</v>
      </c>
      <c r="M114" s="186" t="n">
        <v>2.77</v>
      </c>
      <c r="S114" s="192" t="n">
        <v>1165</v>
      </c>
      <c r="U114" s="186" t="n">
        <v>10.8</v>
      </c>
      <c r="Y114" s="186" t="n">
        <v>556</v>
      </c>
      <c r="AA114" s="192" t="n">
        <v>94448</v>
      </c>
      <c r="AC114" s="186" t="n">
        <v>26.4</v>
      </c>
      <c r="AG114" s="186" t="n">
        <v>2.8</v>
      </c>
      <c r="AM114" s="192" t="n">
        <v>77</v>
      </c>
      <c r="BS114" s="193" t="n">
        <v>44.12</v>
      </c>
      <c r="BU114" s="186" t="n">
        <v>21.06</v>
      </c>
      <c r="BY114" s="186" t="n">
        <v>6.3</v>
      </c>
      <c r="CL114" s="186" t="n">
        <v>0</v>
      </c>
    </row>
    <row r="115" customFormat="false" ht="12.75" hidden="false" customHeight="false" outlineLevel="0" collapsed="false">
      <c r="A115" s="184" t="s">
        <v>475</v>
      </c>
      <c r="B115" s="0" t="s">
        <v>666</v>
      </c>
      <c r="C115" s="0" t="s">
        <v>763</v>
      </c>
      <c r="D115" s="0" t="s">
        <v>764</v>
      </c>
      <c r="E115" s="119" t="n">
        <v>32</v>
      </c>
      <c r="F115" s="119" t="n">
        <v>7</v>
      </c>
      <c r="I115" s="118" t="n">
        <v>9</v>
      </c>
      <c r="K115" s="118" t="n">
        <v>7</v>
      </c>
      <c r="M115" s="186" t="n">
        <v>2.52</v>
      </c>
      <c r="S115" s="192" t="n">
        <v>1104</v>
      </c>
      <c r="U115" s="186" t="n">
        <v>10.8</v>
      </c>
      <c r="Y115" s="186" t="n">
        <v>479</v>
      </c>
      <c r="AA115" s="192" t="n">
        <v>79667</v>
      </c>
      <c r="AC115" s="186" t="n">
        <v>24</v>
      </c>
      <c r="AG115" s="186" t="n">
        <v>3.02</v>
      </c>
      <c r="AM115" s="192" t="n">
        <v>77</v>
      </c>
      <c r="BS115" s="193" t="n">
        <v>45.91</v>
      </c>
      <c r="BU115" s="186" t="n">
        <v>19.91</v>
      </c>
      <c r="BY115" s="186" t="n">
        <v>6.23</v>
      </c>
      <c r="CL115" s="186" t="n">
        <v>0</v>
      </c>
    </row>
    <row r="116" customFormat="false" ht="12.75" hidden="false" customHeight="false" outlineLevel="0" collapsed="false">
      <c r="A116" s="184" t="s">
        <v>475</v>
      </c>
      <c r="B116" s="0" t="s">
        <v>669</v>
      </c>
      <c r="C116" s="0" t="s">
        <v>759</v>
      </c>
      <c r="D116" s="0" t="s">
        <v>760</v>
      </c>
      <c r="E116" s="119" t="n">
        <v>2</v>
      </c>
      <c r="F116" s="119" t="n">
        <v>5</v>
      </c>
      <c r="I116" s="118" t="n">
        <v>9</v>
      </c>
      <c r="K116" s="118" t="n">
        <v>9</v>
      </c>
      <c r="M116" s="186" t="n">
        <v>2.92</v>
      </c>
      <c r="S116" s="192" t="n">
        <v>1074</v>
      </c>
      <c r="U116" s="186" t="n">
        <v>10.8</v>
      </c>
      <c r="Y116" s="186" t="n">
        <v>726</v>
      </c>
      <c r="AA116" s="192" t="n">
        <v>100471</v>
      </c>
      <c r="AC116" s="186" t="n">
        <v>27.5</v>
      </c>
      <c r="AG116" s="186" t="n">
        <v>2.74</v>
      </c>
      <c r="AM116" s="192" t="n">
        <v>77</v>
      </c>
      <c r="BS116" s="193" t="n">
        <v>38.99</v>
      </c>
      <c r="BU116" s="186" t="n">
        <v>26.36</v>
      </c>
      <c r="BY116" s="186" t="n">
        <v>7.31</v>
      </c>
      <c r="CL116" s="186" t="n">
        <v>2</v>
      </c>
    </row>
    <row r="117" customFormat="false" ht="12.75" hidden="false" customHeight="false" outlineLevel="0" collapsed="false">
      <c r="A117" s="184" t="s">
        <v>475</v>
      </c>
      <c r="B117" s="0" t="s">
        <v>669</v>
      </c>
      <c r="C117" s="0" t="s">
        <v>763</v>
      </c>
      <c r="D117" s="0" t="s">
        <v>764</v>
      </c>
      <c r="E117" s="119" t="n">
        <v>20</v>
      </c>
      <c r="F117" s="119" t="n">
        <v>12</v>
      </c>
      <c r="I117" s="118" t="n">
        <v>9</v>
      </c>
      <c r="K117" s="118" t="n">
        <v>9</v>
      </c>
      <c r="M117" s="186" t="n">
        <v>2.74</v>
      </c>
      <c r="S117" s="192" t="n">
        <v>1035</v>
      </c>
      <c r="U117" s="186" t="n">
        <v>10.8</v>
      </c>
      <c r="Y117" s="186" t="n">
        <v>660</v>
      </c>
      <c r="AA117" s="192" t="n">
        <v>89735</v>
      </c>
      <c r="AC117" s="186" t="n">
        <v>26</v>
      </c>
      <c r="AG117" s="186" t="n">
        <v>2.9</v>
      </c>
      <c r="AM117" s="192" t="n">
        <v>77</v>
      </c>
      <c r="BS117" s="193" t="n">
        <v>39.83</v>
      </c>
      <c r="BU117" s="186" t="n">
        <v>25.38</v>
      </c>
      <c r="BY117" s="186" t="n">
        <v>6.77</v>
      </c>
      <c r="CL117" s="186" t="n">
        <v>0</v>
      </c>
    </row>
    <row r="118" customFormat="false" ht="12.75" hidden="false" customHeight="false" outlineLevel="0" collapsed="false">
      <c r="A118" s="184" t="s">
        <v>477</v>
      </c>
      <c r="B118" s="0" t="s">
        <v>666</v>
      </c>
      <c r="C118" s="0" t="s">
        <v>759</v>
      </c>
      <c r="D118" s="0" t="s">
        <v>760</v>
      </c>
      <c r="E118" s="119" t="n">
        <v>17</v>
      </c>
      <c r="F118" s="119" t="n">
        <v>3</v>
      </c>
      <c r="I118" s="118" t="n">
        <v>9</v>
      </c>
      <c r="K118" s="118" t="n">
        <v>7</v>
      </c>
      <c r="M118" s="186" t="n">
        <v>2.68</v>
      </c>
      <c r="S118" s="192" t="n">
        <v>1114</v>
      </c>
      <c r="U118" s="186" t="n">
        <v>10.8</v>
      </c>
      <c r="Y118" s="186" t="n">
        <v>535</v>
      </c>
      <c r="AA118" s="192" t="n">
        <v>88579</v>
      </c>
      <c r="AC118" s="186" t="n">
        <v>25.5</v>
      </c>
      <c r="AG118" s="186" t="n">
        <v>2.88</v>
      </c>
      <c r="AM118" s="192" t="n">
        <v>77</v>
      </c>
      <c r="BS118" s="193" t="n">
        <v>43.64</v>
      </c>
      <c r="BU118" s="186" t="n">
        <v>20.95</v>
      </c>
      <c r="BY118" s="186" t="n">
        <v>6.39</v>
      </c>
      <c r="CL118" s="186" t="n">
        <v>0</v>
      </c>
    </row>
    <row r="119" customFormat="false" ht="12.75" hidden="false" customHeight="false" outlineLevel="0" collapsed="false">
      <c r="A119" s="184" t="s">
        <v>477</v>
      </c>
      <c r="B119" s="0" t="s">
        <v>666</v>
      </c>
      <c r="C119" s="0" t="s">
        <v>763</v>
      </c>
      <c r="D119" s="0" t="s">
        <v>764</v>
      </c>
      <c r="E119" s="119" t="n">
        <v>25</v>
      </c>
      <c r="F119" s="119" t="n">
        <v>7</v>
      </c>
      <c r="I119" s="118" t="n">
        <v>9</v>
      </c>
      <c r="K119" s="118" t="n">
        <v>7</v>
      </c>
      <c r="M119" s="186" t="n">
        <v>3.24</v>
      </c>
      <c r="S119" s="192" t="n">
        <v>1348</v>
      </c>
      <c r="U119" s="186" t="n">
        <v>10.8</v>
      </c>
      <c r="Y119" s="186" t="n">
        <v>630</v>
      </c>
      <c r="AA119" s="192" t="n">
        <v>104064</v>
      </c>
      <c r="AC119" s="186" t="n">
        <v>30.5</v>
      </c>
      <c r="AG119" s="186" t="n">
        <v>2.93</v>
      </c>
      <c r="AM119" s="192" t="n">
        <v>77</v>
      </c>
      <c r="BS119" s="193" t="n">
        <v>44.23</v>
      </c>
      <c r="BU119" s="186" t="n">
        <v>20.68</v>
      </c>
      <c r="BY119" s="186" t="n">
        <v>7.52</v>
      </c>
      <c r="CL119" s="186" t="n">
        <v>0</v>
      </c>
    </row>
    <row r="120" customFormat="false" ht="12.75" hidden="false" customHeight="false" outlineLevel="0" collapsed="false">
      <c r="A120" s="184" t="s">
        <v>477</v>
      </c>
      <c r="B120" s="0" t="s">
        <v>669</v>
      </c>
      <c r="C120" s="0" t="s">
        <v>759</v>
      </c>
      <c r="D120" s="0" t="s">
        <v>760</v>
      </c>
      <c r="E120" s="119" t="n">
        <v>6</v>
      </c>
      <c r="F120" s="119" t="n">
        <v>4</v>
      </c>
      <c r="I120" s="118" t="n">
        <v>9</v>
      </c>
      <c r="K120" s="118" t="n">
        <v>7</v>
      </c>
      <c r="M120" s="186" t="n">
        <v>2.83</v>
      </c>
      <c r="S120" s="192" t="n">
        <v>1134</v>
      </c>
      <c r="U120" s="186" t="n">
        <v>10.8</v>
      </c>
      <c r="Y120" s="186" t="n">
        <v>623</v>
      </c>
      <c r="AA120" s="192" t="n">
        <v>94554</v>
      </c>
      <c r="AC120" s="186" t="n">
        <v>26.8</v>
      </c>
      <c r="AG120" s="186" t="n">
        <v>2.83</v>
      </c>
      <c r="AM120" s="192" t="n">
        <v>77</v>
      </c>
      <c r="BS120" s="193" t="n">
        <v>42.31</v>
      </c>
      <c r="BU120" s="186" t="n">
        <v>23.23</v>
      </c>
      <c r="BY120" s="186" t="n">
        <v>6.92</v>
      </c>
      <c r="CL120" s="186" t="n">
        <v>0</v>
      </c>
    </row>
    <row r="121" customFormat="false" ht="12.75" hidden="false" customHeight="false" outlineLevel="0" collapsed="false">
      <c r="A121" s="184" t="s">
        <v>477</v>
      </c>
      <c r="B121" s="0" t="s">
        <v>669</v>
      </c>
      <c r="C121" s="0" t="s">
        <v>763</v>
      </c>
      <c r="D121" s="0" t="s">
        <v>764</v>
      </c>
      <c r="E121" s="119" t="n">
        <v>24</v>
      </c>
      <c r="F121" s="119" t="n">
        <v>10</v>
      </c>
      <c r="I121" s="118" t="n">
        <v>9</v>
      </c>
      <c r="K121" s="118" t="n">
        <v>7</v>
      </c>
      <c r="M121" s="186" t="n">
        <v>2.99</v>
      </c>
      <c r="S121" s="192" t="n">
        <v>1134</v>
      </c>
      <c r="U121" s="186" t="n">
        <v>10.8</v>
      </c>
      <c r="Y121" s="186" t="n">
        <v>669</v>
      </c>
      <c r="AA121" s="192" t="n">
        <v>96622</v>
      </c>
      <c r="AC121" s="186" t="n">
        <v>27.8</v>
      </c>
      <c r="AG121" s="186" t="n">
        <v>2.88</v>
      </c>
      <c r="AM121" s="192" t="n">
        <v>77</v>
      </c>
      <c r="BS121" s="193" t="n">
        <v>40.83</v>
      </c>
      <c r="BU121" s="186" t="n">
        <v>24.07</v>
      </c>
      <c r="BY121" s="186" t="n">
        <v>8.67</v>
      </c>
      <c r="CL121" s="186" t="n">
        <v>0</v>
      </c>
    </row>
    <row r="122" customFormat="false" ht="12.75" hidden="false" customHeight="false" outlineLevel="0" collapsed="false">
      <c r="A122" s="184" t="s">
        <v>479</v>
      </c>
      <c r="B122" s="0" t="s">
        <v>666</v>
      </c>
      <c r="C122" s="0" t="s">
        <v>759</v>
      </c>
      <c r="D122" s="0" t="s">
        <v>760</v>
      </c>
      <c r="E122" s="119" t="n">
        <v>11</v>
      </c>
      <c r="F122" s="119" t="n">
        <v>1</v>
      </c>
      <c r="I122" s="118" t="n">
        <v>7</v>
      </c>
      <c r="K122" s="118" t="n">
        <v>7</v>
      </c>
      <c r="M122" s="186" t="n">
        <v>2.33</v>
      </c>
      <c r="S122" s="192" t="n">
        <v>987</v>
      </c>
      <c r="U122" s="186" t="n">
        <v>10.8</v>
      </c>
      <c r="Y122" s="186" t="n">
        <v>496</v>
      </c>
      <c r="AA122" s="192" t="n">
        <v>67734</v>
      </c>
      <c r="AC122" s="186" t="n">
        <v>22.2</v>
      </c>
      <c r="AG122" s="186" t="n">
        <v>3.28</v>
      </c>
      <c r="AM122" s="192" t="n">
        <v>77</v>
      </c>
      <c r="BS122" s="193" t="n">
        <v>44.37</v>
      </c>
      <c r="BU122" s="186" t="n">
        <v>22.29</v>
      </c>
      <c r="BY122" s="186" t="n">
        <v>6.22</v>
      </c>
      <c r="CL122" s="186" t="n">
        <v>0</v>
      </c>
    </row>
    <row r="123" customFormat="false" ht="12.75" hidden="false" customHeight="false" outlineLevel="0" collapsed="false">
      <c r="A123" s="184" t="s">
        <v>479</v>
      </c>
      <c r="B123" s="0" t="s">
        <v>666</v>
      </c>
      <c r="C123" s="0" t="s">
        <v>763</v>
      </c>
      <c r="D123" s="0" t="s">
        <v>764</v>
      </c>
      <c r="E123" s="119" t="n">
        <v>23</v>
      </c>
      <c r="F123" s="119" t="n">
        <v>8</v>
      </c>
      <c r="I123" s="118" t="n">
        <v>9</v>
      </c>
      <c r="K123" s="118" t="n">
        <v>7</v>
      </c>
      <c r="M123" s="186" t="n">
        <v>2.79</v>
      </c>
      <c r="S123" s="192" t="n">
        <v>1214</v>
      </c>
      <c r="U123" s="186" t="n">
        <v>10.8</v>
      </c>
      <c r="Y123" s="186" t="n">
        <v>573</v>
      </c>
      <c r="AA123" s="192" t="n">
        <v>77393</v>
      </c>
      <c r="AC123" s="186" t="n">
        <v>26.6</v>
      </c>
      <c r="AG123" s="186" t="n">
        <v>3.44</v>
      </c>
      <c r="AM123" s="192" t="n">
        <v>77</v>
      </c>
      <c r="BS123" s="193" t="n">
        <v>45.56</v>
      </c>
      <c r="BU123" s="186" t="n">
        <v>21.5</v>
      </c>
      <c r="BY123" s="186" t="n">
        <v>6.13</v>
      </c>
      <c r="CL123" s="186" t="n">
        <v>0</v>
      </c>
    </row>
    <row r="124" customFormat="false" ht="12.75" hidden="false" customHeight="false" outlineLevel="0" collapsed="false">
      <c r="A124" s="184" t="s">
        <v>479</v>
      </c>
      <c r="B124" s="0" t="s">
        <v>669</v>
      </c>
      <c r="C124" s="0" t="s">
        <v>759</v>
      </c>
      <c r="D124" s="0" t="s">
        <v>760</v>
      </c>
      <c r="E124" s="119" t="n">
        <v>10</v>
      </c>
      <c r="F124" s="119" t="n">
        <v>5</v>
      </c>
      <c r="I124" s="118" t="n">
        <v>9</v>
      </c>
      <c r="K124" s="118" t="n">
        <v>9</v>
      </c>
      <c r="M124" s="186" t="n">
        <v>2.86</v>
      </c>
      <c r="S124" s="192" t="n">
        <v>1192</v>
      </c>
      <c r="U124" s="186" t="n">
        <v>10.8</v>
      </c>
      <c r="Y124" s="186" t="n">
        <v>639</v>
      </c>
      <c r="AA124" s="192" t="n">
        <v>84170</v>
      </c>
      <c r="AC124" s="186" t="n">
        <v>27.2</v>
      </c>
      <c r="AG124" s="186" t="n">
        <v>3.23</v>
      </c>
      <c r="AM124" s="192" t="n">
        <v>77</v>
      </c>
      <c r="BS124" s="193" t="n">
        <v>43.79</v>
      </c>
      <c r="BU124" s="186" t="n">
        <v>23.46</v>
      </c>
      <c r="BY124" s="186" t="n">
        <v>6.47</v>
      </c>
      <c r="CL124" s="186" t="n">
        <v>0</v>
      </c>
    </row>
    <row r="125" customFormat="false" ht="12.75" hidden="false" customHeight="false" outlineLevel="0" collapsed="false">
      <c r="A125" s="184" t="s">
        <v>479</v>
      </c>
      <c r="B125" s="0" t="s">
        <v>669</v>
      </c>
      <c r="C125" s="0" t="s">
        <v>763</v>
      </c>
      <c r="D125" s="0" t="s">
        <v>764</v>
      </c>
      <c r="E125" s="119" t="n">
        <v>24</v>
      </c>
      <c r="F125" s="119" t="n">
        <v>12</v>
      </c>
      <c r="I125" s="118" t="n">
        <v>9</v>
      </c>
      <c r="K125" s="118" t="n">
        <v>9</v>
      </c>
      <c r="M125" s="186" t="n">
        <v>3.32</v>
      </c>
      <c r="S125" s="192" t="n">
        <v>1304</v>
      </c>
      <c r="U125" s="186" t="n">
        <v>10.8</v>
      </c>
      <c r="Y125" s="186" t="n">
        <v>789</v>
      </c>
      <c r="AA125" s="192" t="n">
        <v>95404</v>
      </c>
      <c r="AC125" s="186" t="n">
        <v>31</v>
      </c>
      <c r="AG125" s="186" t="n">
        <v>3.25</v>
      </c>
      <c r="AM125" s="192" t="n">
        <v>77</v>
      </c>
      <c r="BS125" s="193" t="n">
        <v>42.04</v>
      </c>
      <c r="BU125" s="186" t="n">
        <v>25.43</v>
      </c>
      <c r="BY125" s="186" t="n">
        <v>8.15</v>
      </c>
      <c r="CL125" s="186" t="n">
        <v>0</v>
      </c>
    </row>
    <row r="126" customFormat="false" ht="12.75" hidden="false" customHeight="false" outlineLevel="0" collapsed="false">
      <c r="A126" s="184" t="s">
        <v>481</v>
      </c>
      <c r="B126" s="0" t="s">
        <v>666</v>
      </c>
      <c r="C126" s="0" t="s">
        <v>759</v>
      </c>
      <c r="D126" s="0" t="s">
        <v>760</v>
      </c>
      <c r="E126" s="119" t="n">
        <v>5</v>
      </c>
      <c r="F126" s="119" t="n">
        <v>1</v>
      </c>
      <c r="I126" s="118" t="n">
        <v>9</v>
      </c>
      <c r="K126" s="118" t="n">
        <v>9</v>
      </c>
      <c r="M126" s="186" t="n">
        <v>2.75</v>
      </c>
      <c r="S126" s="192" t="n">
        <v>1060</v>
      </c>
      <c r="U126" s="186" t="n">
        <v>10.8</v>
      </c>
      <c r="Y126" s="186" t="n">
        <v>628</v>
      </c>
      <c r="AA126" s="192" t="n">
        <v>100629</v>
      </c>
      <c r="AC126" s="186" t="n">
        <v>26</v>
      </c>
      <c r="AG126" s="186" t="n">
        <v>2.59</v>
      </c>
      <c r="AM126" s="192" t="n">
        <v>77</v>
      </c>
      <c r="BS126" s="193" t="n">
        <v>40.7</v>
      </c>
      <c r="BU126" s="186" t="n">
        <v>24.11</v>
      </c>
      <c r="BY126" s="186" t="n">
        <v>6.91</v>
      </c>
      <c r="CL126" s="186" t="n">
        <v>0</v>
      </c>
    </row>
    <row r="127" customFormat="false" ht="12.75" hidden="false" customHeight="false" outlineLevel="0" collapsed="false">
      <c r="A127" s="184" t="s">
        <v>481</v>
      </c>
      <c r="B127" s="0" t="s">
        <v>666</v>
      </c>
      <c r="C127" s="0" t="s">
        <v>763</v>
      </c>
      <c r="D127" s="0" t="s">
        <v>764</v>
      </c>
      <c r="E127" s="119" t="n">
        <v>30</v>
      </c>
      <c r="F127" s="119" t="n">
        <v>9</v>
      </c>
      <c r="I127" s="118" t="n">
        <v>9</v>
      </c>
      <c r="K127" s="118" t="n">
        <v>9</v>
      </c>
      <c r="M127" s="186" t="n">
        <v>2.63</v>
      </c>
      <c r="S127" s="192" t="n">
        <v>1152</v>
      </c>
      <c r="U127" s="186" t="n">
        <v>10.8</v>
      </c>
      <c r="Y127" s="186" t="n">
        <v>481</v>
      </c>
      <c r="AA127" s="192" t="n">
        <v>78981</v>
      </c>
      <c r="AC127" s="186" t="n">
        <v>25.1</v>
      </c>
      <c r="AG127" s="186" t="n">
        <v>3.18</v>
      </c>
      <c r="AM127" s="192" t="n">
        <v>77</v>
      </c>
      <c r="BS127" s="193" t="n">
        <v>45.9</v>
      </c>
      <c r="BU127" s="186" t="n">
        <v>19.15</v>
      </c>
      <c r="BY127" s="186" t="n">
        <v>6.2</v>
      </c>
      <c r="CL127" s="186" t="n">
        <v>0</v>
      </c>
    </row>
    <row r="128" customFormat="false" ht="12.75" hidden="false" customHeight="false" outlineLevel="0" collapsed="false">
      <c r="A128" s="184" t="s">
        <v>481</v>
      </c>
      <c r="B128" s="0" t="s">
        <v>669</v>
      </c>
      <c r="C128" s="0" t="s">
        <v>759</v>
      </c>
      <c r="D128" s="0" t="s">
        <v>760</v>
      </c>
      <c r="E128" s="119" t="n">
        <v>18</v>
      </c>
      <c r="F128" s="119" t="n">
        <v>5</v>
      </c>
      <c r="I128" s="118" t="n">
        <v>9</v>
      </c>
      <c r="K128" s="118" t="n">
        <v>9</v>
      </c>
      <c r="M128" s="186" t="n">
        <v>3.12</v>
      </c>
      <c r="S128" s="192" t="n">
        <v>1277</v>
      </c>
      <c r="U128" s="186" t="n">
        <v>10.8</v>
      </c>
      <c r="Y128" s="186" t="n">
        <v>669</v>
      </c>
      <c r="AA128" s="192" t="n">
        <v>91590</v>
      </c>
      <c r="AC128" s="186" t="n">
        <v>29.8</v>
      </c>
      <c r="AG128" s="186" t="n">
        <v>3.25</v>
      </c>
      <c r="AM128" s="192" t="n">
        <v>77</v>
      </c>
      <c r="BS128" s="193" t="n">
        <v>42.9</v>
      </c>
      <c r="BU128" s="186" t="n">
        <v>22.47</v>
      </c>
      <c r="BY128" s="186" t="n">
        <v>6.22</v>
      </c>
      <c r="CL128" s="186" t="n">
        <v>0</v>
      </c>
    </row>
    <row r="129" customFormat="false" ht="12.75" hidden="false" customHeight="false" outlineLevel="0" collapsed="false">
      <c r="A129" s="184" t="s">
        <v>481</v>
      </c>
      <c r="B129" s="0" t="s">
        <v>669</v>
      </c>
      <c r="C129" s="0" t="s">
        <v>763</v>
      </c>
      <c r="D129" s="0" t="s">
        <v>764</v>
      </c>
      <c r="E129" s="119" t="n">
        <v>28</v>
      </c>
      <c r="F129" s="119" t="n">
        <v>12</v>
      </c>
      <c r="I129" s="118" t="n">
        <v>9</v>
      </c>
      <c r="K129" s="118" t="n">
        <v>9</v>
      </c>
      <c r="M129" s="186" t="n">
        <v>2.88</v>
      </c>
      <c r="S129" s="192" t="n">
        <v>1109</v>
      </c>
      <c r="U129" s="186" t="n">
        <v>10.8</v>
      </c>
      <c r="Y129" s="186" t="n">
        <v>666</v>
      </c>
      <c r="AA129" s="192" t="n">
        <v>88222</v>
      </c>
      <c r="AC129" s="186" t="n">
        <v>27.3</v>
      </c>
      <c r="AG129" s="186" t="n">
        <v>3.09</v>
      </c>
      <c r="AM129" s="192" t="n">
        <v>77</v>
      </c>
      <c r="BS129" s="193" t="n">
        <v>40.65</v>
      </c>
      <c r="BU129" s="186" t="n">
        <v>24.4</v>
      </c>
      <c r="BY129" s="186" t="n">
        <v>6.92</v>
      </c>
      <c r="CL129" s="186" t="n">
        <v>0</v>
      </c>
    </row>
    <row r="130" customFormat="false" ht="12.75" hidden="false" customHeight="false" outlineLevel="0" collapsed="false">
      <c r="A130" s="184" t="s">
        <v>483</v>
      </c>
      <c r="B130" s="0" t="s">
        <v>666</v>
      </c>
      <c r="C130" s="0" t="s">
        <v>759</v>
      </c>
      <c r="D130" s="0" t="s">
        <v>760</v>
      </c>
      <c r="E130" s="119" t="n">
        <v>17</v>
      </c>
      <c r="F130" s="119" t="n">
        <v>2</v>
      </c>
      <c r="I130" s="118" t="n">
        <v>9</v>
      </c>
      <c r="K130" s="118" t="n">
        <v>9</v>
      </c>
      <c r="M130" s="186" t="n">
        <v>1.98</v>
      </c>
      <c r="S130" s="192" t="n">
        <v>894</v>
      </c>
      <c r="U130" s="186" t="n">
        <v>10.8</v>
      </c>
      <c r="Y130" s="186" t="n">
        <v>401</v>
      </c>
      <c r="AA130" s="192" t="n">
        <v>65249</v>
      </c>
      <c r="AC130" s="186" t="n">
        <v>18.9</v>
      </c>
      <c r="AG130" s="186" t="n">
        <v>2.9</v>
      </c>
      <c r="AM130" s="192" t="n">
        <v>80</v>
      </c>
      <c r="BS130" s="193" t="n">
        <v>47.25</v>
      </c>
      <c r="BU130" s="186" t="n">
        <v>21.19</v>
      </c>
      <c r="BY130" s="186" t="n">
        <v>6.11</v>
      </c>
      <c r="CL130" s="186" t="n">
        <v>0</v>
      </c>
    </row>
    <row r="131" customFormat="false" ht="12.75" hidden="false" customHeight="false" outlineLevel="0" collapsed="false">
      <c r="A131" s="184" t="s">
        <v>483</v>
      </c>
      <c r="B131" s="0" t="s">
        <v>666</v>
      </c>
      <c r="C131" s="0" t="s">
        <v>763</v>
      </c>
      <c r="D131" s="0" t="s">
        <v>764</v>
      </c>
      <c r="E131" s="119" t="n">
        <v>28</v>
      </c>
      <c r="F131" s="119" t="n">
        <v>9</v>
      </c>
      <c r="I131" s="118" t="n">
        <v>9</v>
      </c>
      <c r="K131" s="118" t="n">
        <v>9</v>
      </c>
      <c r="M131" s="186" t="n">
        <v>2.96</v>
      </c>
      <c r="S131" s="192" t="n">
        <v>1351</v>
      </c>
      <c r="U131" s="186" t="n">
        <v>10.8</v>
      </c>
      <c r="Y131" s="186" t="n">
        <v>574</v>
      </c>
      <c r="AA131" s="192" t="n">
        <v>92657</v>
      </c>
      <c r="AC131" s="186" t="n">
        <v>28.1</v>
      </c>
      <c r="AG131" s="186" t="n">
        <v>3.03</v>
      </c>
      <c r="AM131" s="192" t="n">
        <v>77</v>
      </c>
      <c r="BS131" s="193" t="n">
        <v>48.05</v>
      </c>
      <c r="BU131" s="186" t="n">
        <v>20.41</v>
      </c>
      <c r="BY131" s="186" t="n">
        <v>6.66</v>
      </c>
      <c r="CL131" s="186" t="n">
        <v>0</v>
      </c>
    </row>
    <row r="132" customFormat="false" ht="12.75" hidden="false" customHeight="false" outlineLevel="0" collapsed="false">
      <c r="A132" s="184" t="s">
        <v>483</v>
      </c>
      <c r="B132" s="0" t="s">
        <v>669</v>
      </c>
      <c r="C132" s="0" t="s">
        <v>759</v>
      </c>
      <c r="D132" s="0" t="s">
        <v>760</v>
      </c>
      <c r="E132" s="119" t="n">
        <v>2</v>
      </c>
      <c r="F132" s="119" t="n">
        <v>6</v>
      </c>
      <c r="I132" s="118" t="n">
        <v>9</v>
      </c>
      <c r="K132" s="118" t="n">
        <v>9</v>
      </c>
      <c r="M132" s="186" t="n">
        <v>2.58</v>
      </c>
      <c r="S132" s="192" t="n">
        <v>1064</v>
      </c>
      <c r="U132" s="186" t="n">
        <v>10.8</v>
      </c>
      <c r="Y132" s="186" t="n">
        <v>621</v>
      </c>
      <c r="AA132" s="192" t="n">
        <v>82933</v>
      </c>
      <c r="AC132" s="186" t="n">
        <v>24.4</v>
      </c>
      <c r="AG132" s="186" t="n">
        <v>2.94</v>
      </c>
      <c r="AM132" s="192" t="n">
        <v>80</v>
      </c>
      <c r="BS132" s="193" t="n">
        <v>43.63</v>
      </c>
      <c r="BU132" s="186" t="n">
        <v>25.44</v>
      </c>
      <c r="BY132" s="186" t="n">
        <v>7.06</v>
      </c>
      <c r="CL132" s="186" t="n">
        <v>0</v>
      </c>
    </row>
    <row r="133" customFormat="false" ht="12.75" hidden="false" customHeight="false" outlineLevel="0" collapsed="false">
      <c r="A133" s="184" t="s">
        <v>483</v>
      </c>
      <c r="B133" s="0" t="s">
        <v>669</v>
      </c>
      <c r="C133" s="0" t="s">
        <v>763</v>
      </c>
      <c r="D133" s="0" t="s">
        <v>764</v>
      </c>
      <c r="E133" s="119" t="n">
        <v>23</v>
      </c>
      <c r="F133" s="119" t="n">
        <v>12</v>
      </c>
      <c r="I133" s="118" t="n">
        <v>9</v>
      </c>
      <c r="K133" s="118" t="n">
        <v>9</v>
      </c>
      <c r="M133" s="186" t="n">
        <v>3.27</v>
      </c>
      <c r="S133" s="192" t="n">
        <v>1359</v>
      </c>
      <c r="U133" s="186" t="n">
        <v>10.8</v>
      </c>
      <c r="Y133" s="186" t="n">
        <v>804</v>
      </c>
      <c r="AA133" s="192" t="n">
        <v>107501</v>
      </c>
      <c r="AC133" s="186" t="n">
        <v>31.2</v>
      </c>
      <c r="AG133" s="186" t="n">
        <v>2.9</v>
      </c>
      <c r="AM133" s="192" t="n">
        <v>80</v>
      </c>
      <c r="BS133" s="193" t="n">
        <v>43.57</v>
      </c>
      <c r="BU133" s="186" t="n">
        <v>25.76</v>
      </c>
      <c r="BY133" s="186" t="n">
        <v>6.25</v>
      </c>
      <c r="CL133" s="186" t="n">
        <v>0</v>
      </c>
    </row>
    <row r="134" customFormat="false" ht="12.75" hidden="false" customHeight="false" outlineLevel="0" collapsed="false">
      <c r="A134" s="184" t="s">
        <v>485</v>
      </c>
      <c r="B134" s="0" t="s">
        <v>666</v>
      </c>
      <c r="C134" s="0" t="s">
        <v>759</v>
      </c>
      <c r="D134" s="0" t="s">
        <v>760</v>
      </c>
      <c r="E134" s="119" t="n">
        <v>7</v>
      </c>
      <c r="F134" s="119" t="n">
        <v>3</v>
      </c>
      <c r="I134" s="118" t="n">
        <v>9</v>
      </c>
      <c r="K134" s="118" t="n">
        <v>7</v>
      </c>
      <c r="M134" s="186" t="n">
        <v>2.47</v>
      </c>
      <c r="S134" s="192" t="n">
        <v>1033</v>
      </c>
      <c r="U134" s="186" t="n">
        <v>10.8</v>
      </c>
      <c r="Y134" s="186" t="n">
        <v>510</v>
      </c>
      <c r="AA134" s="192" t="n">
        <v>83750</v>
      </c>
      <c r="AC134" s="186" t="n">
        <v>23.5</v>
      </c>
      <c r="AG134" s="186" t="n">
        <v>2.8</v>
      </c>
      <c r="AM134" s="192" t="n">
        <v>80</v>
      </c>
      <c r="BS134" s="193" t="n">
        <v>44.01</v>
      </c>
      <c r="BU134" s="186" t="n">
        <v>21.74</v>
      </c>
      <c r="BY134" s="186" t="n">
        <v>6.59</v>
      </c>
      <c r="CL134" s="186" t="n">
        <v>0</v>
      </c>
    </row>
    <row r="135" customFormat="false" ht="12.75" hidden="false" customHeight="false" outlineLevel="0" collapsed="false">
      <c r="A135" s="184" t="s">
        <v>485</v>
      </c>
      <c r="B135" s="0" t="s">
        <v>666</v>
      </c>
      <c r="C135" s="0" t="s">
        <v>763</v>
      </c>
      <c r="D135" s="0" t="s">
        <v>764</v>
      </c>
      <c r="E135" s="119" t="n">
        <v>26</v>
      </c>
      <c r="F135" s="119" t="n">
        <v>9</v>
      </c>
      <c r="I135" s="118" t="n">
        <v>9</v>
      </c>
      <c r="K135" s="118" t="n">
        <v>9</v>
      </c>
      <c r="M135" s="186" t="n">
        <v>3.52</v>
      </c>
      <c r="S135" s="192" t="n">
        <v>1427</v>
      </c>
      <c r="U135" s="186" t="n">
        <v>10.8</v>
      </c>
      <c r="Y135" s="186" t="n">
        <v>746</v>
      </c>
      <c r="AA135" s="192" t="n">
        <v>112708</v>
      </c>
      <c r="AC135" s="186" t="n">
        <v>33.1</v>
      </c>
      <c r="AG135" s="186" t="n">
        <v>2.94</v>
      </c>
      <c r="AM135" s="192" t="n">
        <v>77</v>
      </c>
      <c r="BS135" s="193" t="n">
        <v>43.12</v>
      </c>
      <c r="BU135" s="186" t="n">
        <v>22.54</v>
      </c>
      <c r="BY135" s="186" t="n">
        <v>7.61</v>
      </c>
      <c r="CL135" s="186" t="n">
        <v>0</v>
      </c>
    </row>
    <row r="136" customFormat="false" ht="12.75" hidden="false" customHeight="false" outlineLevel="0" collapsed="false">
      <c r="A136" s="184" t="s">
        <v>485</v>
      </c>
      <c r="B136" s="0" t="s">
        <v>669</v>
      </c>
      <c r="C136" s="0" t="s">
        <v>759</v>
      </c>
      <c r="D136" s="0" t="s">
        <v>760</v>
      </c>
      <c r="E136" s="119" t="n">
        <v>17</v>
      </c>
      <c r="F136" s="119" t="n">
        <v>4</v>
      </c>
      <c r="I136" s="118" t="n">
        <v>9</v>
      </c>
      <c r="K136" s="118" t="n">
        <v>7</v>
      </c>
      <c r="M136" s="186" t="n">
        <v>3.39</v>
      </c>
      <c r="S136" s="192" t="n">
        <v>1352</v>
      </c>
      <c r="U136" s="186" t="n">
        <v>10.8</v>
      </c>
      <c r="Y136" s="186" t="n">
        <v>760</v>
      </c>
      <c r="AA136" s="192" t="n">
        <v>109050</v>
      </c>
      <c r="AC136" s="186" t="n">
        <v>32.3</v>
      </c>
      <c r="AG136" s="186" t="n">
        <v>2.96</v>
      </c>
      <c r="AM136" s="192" t="n">
        <v>77</v>
      </c>
      <c r="BS136" s="193" t="n">
        <v>41.88</v>
      </c>
      <c r="BU136" s="186" t="n">
        <v>23.55</v>
      </c>
      <c r="BY136" s="186" t="n">
        <v>6.43</v>
      </c>
      <c r="CL136" s="186" t="n">
        <v>0</v>
      </c>
    </row>
    <row r="137" customFormat="false" ht="12.75" hidden="false" customHeight="false" outlineLevel="0" collapsed="false">
      <c r="A137" s="184" t="s">
        <v>485</v>
      </c>
      <c r="B137" s="0" t="s">
        <v>669</v>
      </c>
      <c r="C137" s="0" t="s">
        <v>763</v>
      </c>
      <c r="D137" s="0" t="s">
        <v>764</v>
      </c>
      <c r="E137" s="119" t="n">
        <v>35</v>
      </c>
      <c r="F137" s="119" t="n">
        <v>12</v>
      </c>
      <c r="I137" s="118" t="n">
        <v>9</v>
      </c>
      <c r="K137" s="118" t="n">
        <v>9</v>
      </c>
      <c r="M137" s="186" t="n">
        <v>3.02</v>
      </c>
      <c r="S137" s="192" t="n">
        <v>1333</v>
      </c>
      <c r="U137" s="186" t="n">
        <v>10.8</v>
      </c>
      <c r="Y137" s="186" t="n">
        <v>592</v>
      </c>
      <c r="AA137" s="192" t="n">
        <v>93502</v>
      </c>
      <c r="AC137" s="186" t="n">
        <v>28.9</v>
      </c>
      <c r="AG137" s="186" t="n">
        <v>3.09</v>
      </c>
      <c r="AM137" s="192" t="n">
        <v>77</v>
      </c>
      <c r="BS137" s="193" t="n">
        <v>46.21</v>
      </c>
      <c r="BU137" s="186" t="n">
        <v>20.53</v>
      </c>
      <c r="BY137" s="186" t="n">
        <v>6.11</v>
      </c>
      <c r="CL137" s="186" t="n">
        <v>0</v>
      </c>
    </row>
    <row r="138" customFormat="false" ht="12.75" hidden="false" customHeight="false" outlineLevel="0" collapsed="false">
      <c r="A138" s="184" t="s">
        <v>487</v>
      </c>
      <c r="B138" s="0" t="s">
        <v>666</v>
      </c>
      <c r="C138" s="0" t="s">
        <v>759</v>
      </c>
      <c r="D138" s="0" t="s">
        <v>760</v>
      </c>
      <c r="E138" s="119" t="n">
        <v>12</v>
      </c>
      <c r="F138" s="119" t="n">
        <v>3</v>
      </c>
      <c r="I138" s="118" t="n">
        <v>9</v>
      </c>
      <c r="K138" s="118" t="n">
        <v>7</v>
      </c>
      <c r="M138" s="186" t="n">
        <v>2.7</v>
      </c>
      <c r="S138" s="192" t="n">
        <v>1181</v>
      </c>
      <c r="U138" s="186" t="n">
        <v>10.8</v>
      </c>
      <c r="Y138" s="186" t="n">
        <v>529</v>
      </c>
      <c r="AA138" s="192" t="n">
        <v>75748</v>
      </c>
      <c r="AC138" s="186" t="n">
        <v>25.7</v>
      </c>
      <c r="AG138" s="186" t="n">
        <v>3.39</v>
      </c>
      <c r="AM138" s="192" t="n">
        <v>80</v>
      </c>
      <c r="BS138" s="193" t="n">
        <v>45.95</v>
      </c>
      <c r="BU138" s="186" t="n">
        <v>20.6</v>
      </c>
      <c r="BY138" s="186" t="n">
        <v>6.44</v>
      </c>
      <c r="CL138" s="186" t="n">
        <v>0</v>
      </c>
    </row>
    <row r="139" customFormat="false" ht="12.75" hidden="false" customHeight="false" outlineLevel="0" collapsed="false">
      <c r="A139" s="184" t="s">
        <v>487</v>
      </c>
      <c r="B139" s="0" t="s">
        <v>666</v>
      </c>
      <c r="C139" s="0" t="s">
        <v>763</v>
      </c>
      <c r="D139" s="0" t="s">
        <v>764</v>
      </c>
      <c r="E139" s="119" t="n">
        <v>31</v>
      </c>
      <c r="F139" s="119" t="n">
        <v>7</v>
      </c>
      <c r="I139" s="118" t="n">
        <v>9</v>
      </c>
      <c r="K139" s="118" t="n">
        <v>7</v>
      </c>
      <c r="M139" s="186" t="n">
        <v>2.93</v>
      </c>
      <c r="S139" s="192" t="n">
        <v>1291</v>
      </c>
      <c r="U139" s="186" t="n">
        <v>10.8</v>
      </c>
      <c r="Y139" s="186" t="n">
        <v>559</v>
      </c>
      <c r="AA139" s="192" t="n">
        <v>83792</v>
      </c>
      <c r="AC139" s="186" t="n">
        <v>27.9</v>
      </c>
      <c r="AG139" s="186" t="n">
        <v>3.33</v>
      </c>
      <c r="AM139" s="192" t="n">
        <v>77</v>
      </c>
      <c r="BS139" s="193" t="n">
        <v>46.25</v>
      </c>
      <c r="BU139" s="186" t="n">
        <v>20.04</v>
      </c>
      <c r="BY139" s="186" t="n">
        <v>6.38</v>
      </c>
      <c r="CL139" s="186" t="n">
        <v>0</v>
      </c>
    </row>
    <row r="140" customFormat="false" ht="12.75" hidden="false" customHeight="false" outlineLevel="0" collapsed="false">
      <c r="A140" s="184" t="s">
        <v>487</v>
      </c>
      <c r="B140" s="0" t="s">
        <v>669</v>
      </c>
      <c r="C140" s="0" t="s">
        <v>759</v>
      </c>
      <c r="D140" s="0" t="s">
        <v>760</v>
      </c>
      <c r="E140" s="119" t="n">
        <v>8</v>
      </c>
      <c r="F140" s="119" t="n">
        <v>4</v>
      </c>
      <c r="I140" s="118" t="n">
        <v>9</v>
      </c>
      <c r="K140" s="118" t="n">
        <v>7</v>
      </c>
      <c r="M140" s="186" t="n">
        <v>2.5</v>
      </c>
      <c r="S140" s="192" t="n">
        <v>1006</v>
      </c>
      <c r="U140" s="186" t="n">
        <v>10.8</v>
      </c>
      <c r="Y140" s="186" t="n">
        <v>558</v>
      </c>
      <c r="AA140" s="192" t="n">
        <v>79178</v>
      </c>
      <c r="AC140" s="186" t="n">
        <v>23.7</v>
      </c>
      <c r="AG140" s="186" t="n">
        <v>3</v>
      </c>
      <c r="AM140" s="192" t="n">
        <v>80</v>
      </c>
      <c r="BS140" s="193" t="n">
        <v>42.38</v>
      </c>
      <c r="BU140" s="186" t="n">
        <v>23.49</v>
      </c>
      <c r="BY140" s="186" t="n">
        <v>6.66</v>
      </c>
      <c r="CL140" s="186" t="n">
        <v>0</v>
      </c>
    </row>
    <row r="141" customFormat="false" ht="12.75" hidden="false" customHeight="false" outlineLevel="0" collapsed="false">
      <c r="A141" s="184" t="s">
        <v>487</v>
      </c>
      <c r="B141" s="0" t="s">
        <v>669</v>
      </c>
      <c r="C141" s="0" t="s">
        <v>763</v>
      </c>
      <c r="D141" s="0" t="s">
        <v>764</v>
      </c>
      <c r="E141" s="119" t="n">
        <v>36</v>
      </c>
      <c r="F141" s="119" t="n">
        <v>10</v>
      </c>
      <c r="I141" s="118" t="n">
        <v>9</v>
      </c>
      <c r="K141" s="118" t="n">
        <v>7</v>
      </c>
      <c r="M141" s="186" t="n">
        <v>3.02</v>
      </c>
      <c r="S141" s="192" t="n">
        <v>1235</v>
      </c>
      <c r="U141" s="186" t="n">
        <v>10.8</v>
      </c>
      <c r="Y141" s="186" t="n">
        <v>669</v>
      </c>
      <c r="AA141" s="192" t="n">
        <v>93562</v>
      </c>
      <c r="AC141" s="186" t="n">
        <v>28.9</v>
      </c>
      <c r="AG141" s="186" t="n">
        <v>3.08</v>
      </c>
      <c r="AM141" s="192" t="n">
        <v>77</v>
      </c>
      <c r="BS141" s="193" t="n">
        <v>42.79</v>
      </c>
      <c r="BU141" s="186" t="n">
        <v>23.18</v>
      </c>
      <c r="BY141" s="186" t="n">
        <v>6.08</v>
      </c>
      <c r="CL141" s="186" t="n">
        <v>0</v>
      </c>
    </row>
    <row r="142" customFormat="false" ht="12.75" hidden="false" customHeight="false" outlineLevel="0" collapsed="false">
      <c r="A142" s="184" t="s">
        <v>489</v>
      </c>
      <c r="B142" s="0" t="s">
        <v>666</v>
      </c>
      <c r="C142" s="0" t="s">
        <v>759</v>
      </c>
      <c r="D142" s="0" t="s">
        <v>760</v>
      </c>
      <c r="E142" s="119" t="n">
        <v>12</v>
      </c>
      <c r="F142" s="119" t="n">
        <v>1</v>
      </c>
      <c r="I142" s="118" t="n">
        <v>9</v>
      </c>
      <c r="K142" s="118" t="n">
        <v>9</v>
      </c>
      <c r="M142" s="186" t="n">
        <v>3.02</v>
      </c>
      <c r="S142" s="192" t="n">
        <v>1277</v>
      </c>
      <c r="U142" s="186" t="n">
        <v>10.8</v>
      </c>
      <c r="Y142" s="186" t="n">
        <v>593</v>
      </c>
      <c r="AA142" s="192" t="n">
        <v>100462</v>
      </c>
      <c r="AC142" s="186" t="n">
        <v>28.7</v>
      </c>
      <c r="AG142" s="186" t="n">
        <v>2.86</v>
      </c>
      <c r="AM142" s="192" t="n">
        <v>69</v>
      </c>
      <c r="BS142" s="193" t="n">
        <v>44.51</v>
      </c>
      <c r="BU142" s="186" t="n">
        <v>20.66</v>
      </c>
      <c r="BY142" s="186" t="n">
        <v>6.59</v>
      </c>
      <c r="CL142" s="186" t="n">
        <v>0</v>
      </c>
    </row>
    <row r="143" customFormat="false" ht="12.75" hidden="false" customHeight="false" outlineLevel="0" collapsed="false">
      <c r="A143" s="184" t="s">
        <v>489</v>
      </c>
      <c r="B143" s="0" t="s">
        <v>666</v>
      </c>
      <c r="C143" s="0" t="s">
        <v>763</v>
      </c>
      <c r="D143" s="0" t="s">
        <v>764</v>
      </c>
      <c r="E143" s="119" t="n">
        <v>31</v>
      </c>
      <c r="F143" s="119" t="n">
        <v>8</v>
      </c>
      <c r="I143" s="118" t="n">
        <v>9</v>
      </c>
      <c r="K143" s="118" t="n">
        <v>7</v>
      </c>
      <c r="M143" s="186" t="n">
        <v>2.78</v>
      </c>
      <c r="S143" s="192" t="n">
        <v>1234</v>
      </c>
      <c r="U143" s="186" t="n">
        <v>10.8</v>
      </c>
      <c r="Y143" s="186" t="n">
        <v>504</v>
      </c>
      <c r="AA143" s="192" t="n">
        <v>91562</v>
      </c>
      <c r="AC143" s="186" t="n">
        <v>26.5</v>
      </c>
      <c r="AG143" s="186" t="n">
        <v>2.9</v>
      </c>
      <c r="AM143" s="192" t="n">
        <v>69</v>
      </c>
      <c r="BS143" s="193" t="n">
        <v>46.51</v>
      </c>
      <c r="BU143" s="186" t="n">
        <v>19</v>
      </c>
      <c r="BY143" s="186" t="n">
        <v>6.23</v>
      </c>
      <c r="CL143" s="186" t="n">
        <v>0</v>
      </c>
    </row>
    <row r="144" customFormat="false" ht="12.75" hidden="false" customHeight="false" outlineLevel="0" collapsed="false">
      <c r="A144" s="184" t="s">
        <v>489</v>
      </c>
      <c r="B144" s="0" t="s">
        <v>669</v>
      </c>
      <c r="C144" s="0" t="s">
        <v>759</v>
      </c>
      <c r="D144" s="0" t="s">
        <v>760</v>
      </c>
      <c r="E144" s="119" t="n">
        <v>8</v>
      </c>
      <c r="F144" s="119" t="n">
        <v>6</v>
      </c>
      <c r="I144" s="118" t="n">
        <v>9</v>
      </c>
      <c r="K144" s="118" t="n">
        <v>9</v>
      </c>
      <c r="M144" s="186" t="n">
        <v>3.5</v>
      </c>
      <c r="S144" s="192" t="n">
        <v>1412</v>
      </c>
      <c r="U144" s="186" t="n">
        <v>10.8</v>
      </c>
      <c r="Y144" s="186" t="n">
        <v>734</v>
      </c>
      <c r="AA144" s="192" t="n">
        <v>121664</v>
      </c>
      <c r="AC144" s="186" t="n">
        <v>33.3</v>
      </c>
      <c r="AG144" s="186" t="n">
        <v>2.73</v>
      </c>
      <c r="AM144" s="192" t="n">
        <v>69</v>
      </c>
      <c r="BS144" s="193" t="n">
        <v>42.46</v>
      </c>
      <c r="BU144" s="186" t="n">
        <v>22.06</v>
      </c>
      <c r="BY144" s="186" t="n">
        <v>6.61</v>
      </c>
      <c r="CL144" s="186" t="n">
        <v>0</v>
      </c>
    </row>
    <row r="145" customFormat="false" ht="12.75" hidden="false" customHeight="false" outlineLevel="0" collapsed="false">
      <c r="A145" s="184" t="s">
        <v>489</v>
      </c>
      <c r="B145" s="0" t="s">
        <v>669</v>
      </c>
      <c r="C145" s="0" t="s">
        <v>763</v>
      </c>
      <c r="D145" s="0" t="s">
        <v>764</v>
      </c>
      <c r="E145" s="119" t="n">
        <v>33</v>
      </c>
      <c r="F145" s="119" t="n">
        <v>10</v>
      </c>
      <c r="I145" s="118" t="n">
        <v>9</v>
      </c>
      <c r="K145" s="118" t="n">
        <v>7</v>
      </c>
      <c r="M145" s="186" t="n">
        <v>4</v>
      </c>
      <c r="S145" s="192" t="n">
        <v>1602</v>
      </c>
      <c r="U145" s="186" t="n">
        <v>10.8</v>
      </c>
      <c r="Y145" s="186" t="n">
        <v>878</v>
      </c>
      <c r="AA145" s="192" t="n">
        <v>141625</v>
      </c>
      <c r="AC145" s="186" t="n">
        <v>38.2</v>
      </c>
      <c r="AG145" s="186" t="n">
        <v>2.7</v>
      </c>
      <c r="AM145" s="192" t="n">
        <v>69</v>
      </c>
      <c r="BS145" s="193" t="n">
        <v>41.96</v>
      </c>
      <c r="BU145" s="186" t="n">
        <v>22.98</v>
      </c>
      <c r="BY145" s="186" t="n">
        <v>6.16</v>
      </c>
      <c r="CL145" s="186" t="n">
        <v>0</v>
      </c>
    </row>
    <row r="146" customFormat="false" ht="12.75" hidden="false" customHeight="false" outlineLevel="0" collapsed="false">
      <c r="A146" s="184" t="s">
        <v>491</v>
      </c>
      <c r="B146" s="0" t="s">
        <v>666</v>
      </c>
      <c r="C146" s="0" t="s">
        <v>759</v>
      </c>
      <c r="D146" s="0" t="s">
        <v>760</v>
      </c>
      <c r="E146" s="119" t="n">
        <v>9</v>
      </c>
      <c r="F146" s="119" t="n">
        <v>1</v>
      </c>
      <c r="I146" s="118" t="n">
        <v>7</v>
      </c>
      <c r="K146" s="118" t="n">
        <v>7</v>
      </c>
      <c r="M146" s="186" t="n">
        <v>2.86</v>
      </c>
      <c r="S146" s="192" t="n">
        <v>1165</v>
      </c>
      <c r="U146" s="186" t="n">
        <v>10.8</v>
      </c>
      <c r="Y146" s="186" t="n">
        <v>583</v>
      </c>
      <c r="AA146" s="192" t="n">
        <v>100867</v>
      </c>
      <c r="AC146" s="186" t="n">
        <v>27.2</v>
      </c>
      <c r="AG146" s="186" t="n">
        <v>2.7</v>
      </c>
      <c r="AM146" s="192" t="n">
        <v>69</v>
      </c>
      <c r="BS146" s="193" t="n">
        <v>42.81</v>
      </c>
      <c r="BU146" s="186" t="n">
        <v>21.4</v>
      </c>
      <c r="BY146" s="186" t="n">
        <v>6.45</v>
      </c>
      <c r="CL146" s="186" t="n">
        <v>0</v>
      </c>
    </row>
    <row r="147" customFormat="false" ht="12.75" hidden="false" customHeight="false" outlineLevel="0" collapsed="false">
      <c r="A147" s="184" t="s">
        <v>491</v>
      </c>
      <c r="B147" s="0" t="s">
        <v>666</v>
      </c>
      <c r="C147" s="0" t="s">
        <v>763</v>
      </c>
      <c r="D147" s="0" t="s">
        <v>764</v>
      </c>
      <c r="E147" s="119" t="n">
        <v>37</v>
      </c>
      <c r="F147" s="119" t="n">
        <v>8</v>
      </c>
      <c r="I147" s="118" t="n">
        <v>9</v>
      </c>
      <c r="K147" s="118" t="n">
        <v>7</v>
      </c>
      <c r="M147" s="186" t="n">
        <v>2.98</v>
      </c>
      <c r="S147" s="192" t="n">
        <v>1319</v>
      </c>
      <c r="U147" s="186" t="n">
        <v>10.8</v>
      </c>
      <c r="Y147" s="186" t="n">
        <v>553</v>
      </c>
      <c r="AA147" s="192" t="n">
        <v>94207</v>
      </c>
      <c r="AC147" s="186" t="n">
        <v>28.5</v>
      </c>
      <c r="AG147" s="186" t="n">
        <v>3.03</v>
      </c>
      <c r="AM147" s="192" t="n">
        <v>69</v>
      </c>
      <c r="BS147" s="193" t="n">
        <v>46.2</v>
      </c>
      <c r="BU147" s="186" t="n">
        <v>19.37</v>
      </c>
      <c r="BY147" s="186" t="n">
        <v>5.85</v>
      </c>
      <c r="CL147" s="186" t="n">
        <v>0</v>
      </c>
    </row>
    <row r="148" customFormat="false" ht="12.75" hidden="false" customHeight="false" outlineLevel="0" collapsed="false">
      <c r="A148" s="184" t="s">
        <v>491</v>
      </c>
      <c r="B148" s="0" t="s">
        <v>669</v>
      </c>
      <c r="C148" s="0" t="s">
        <v>759</v>
      </c>
      <c r="D148" s="0" t="s">
        <v>760</v>
      </c>
      <c r="E148" s="119" t="n">
        <v>14</v>
      </c>
      <c r="F148" s="119" t="n">
        <v>6</v>
      </c>
      <c r="I148" s="118" t="n">
        <v>9</v>
      </c>
      <c r="K148" s="118" t="n">
        <v>9</v>
      </c>
      <c r="M148" s="186" t="n">
        <v>3.82</v>
      </c>
      <c r="S148" s="192" t="n">
        <v>1580</v>
      </c>
      <c r="U148" s="186" t="n">
        <v>10.8</v>
      </c>
      <c r="Y148" s="186" t="n">
        <v>803</v>
      </c>
      <c r="AA148" s="192" t="n">
        <v>123878</v>
      </c>
      <c r="AC148" s="186" t="n">
        <v>36.4</v>
      </c>
      <c r="AG148" s="186" t="n">
        <v>2.94</v>
      </c>
      <c r="AM148" s="192" t="n">
        <v>69</v>
      </c>
      <c r="BS148" s="193" t="n">
        <v>43.46</v>
      </c>
      <c r="BU148" s="186" t="n">
        <v>22.07</v>
      </c>
      <c r="BY148" s="186" t="n">
        <v>6.45</v>
      </c>
      <c r="CL148" s="186" t="n">
        <v>0</v>
      </c>
    </row>
    <row r="149" customFormat="false" ht="12.75" hidden="false" customHeight="false" outlineLevel="0" collapsed="false">
      <c r="A149" s="184" t="s">
        <v>491</v>
      </c>
      <c r="B149" s="0" t="s">
        <v>669</v>
      </c>
      <c r="C149" s="0" t="s">
        <v>763</v>
      </c>
      <c r="D149" s="0" t="s">
        <v>764</v>
      </c>
      <c r="E149" s="119" t="n">
        <v>34</v>
      </c>
      <c r="F149" s="119" t="n">
        <v>10</v>
      </c>
      <c r="I149" s="118" t="n">
        <v>9</v>
      </c>
      <c r="K149" s="118" t="n">
        <v>7</v>
      </c>
      <c r="M149" s="186" t="n">
        <v>3.95</v>
      </c>
      <c r="S149" s="192" t="n">
        <v>1588</v>
      </c>
      <c r="U149" s="186" t="n">
        <v>10.8</v>
      </c>
      <c r="Y149" s="186" t="n">
        <v>875</v>
      </c>
      <c r="AA149" s="192" t="n">
        <v>129930</v>
      </c>
      <c r="AC149" s="186" t="n">
        <v>37.6</v>
      </c>
      <c r="AG149" s="186" t="n">
        <v>2.9</v>
      </c>
      <c r="AM149" s="192" t="n">
        <v>69</v>
      </c>
      <c r="BS149" s="193" t="n">
        <v>42.19</v>
      </c>
      <c r="BU149" s="186" t="n">
        <v>23.24</v>
      </c>
      <c r="BY149" s="186" t="n">
        <v>6.34</v>
      </c>
      <c r="CL149" s="186" t="n">
        <v>0</v>
      </c>
    </row>
    <row r="150" customFormat="false" ht="12.75" hidden="false" customHeight="false" outlineLevel="0" collapsed="false">
      <c r="A150" s="184" t="s">
        <v>493</v>
      </c>
      <c r="B150" s="0" t="s">
        <v>666</v>
      </c>
      <c r="C150" s="0" t="s">
        <v>759</v>
      </c>
      <c r="D150" s="0" t="s">
        <v>760</v>
      </c>
      <c r="E150" s="119" t="n">
        <v>14</v>
      </c>
      <c r="F150" s="119" t="n">
        <v>1</v>
      </c>
      <c r="I150" s="118" t="n">
        <v>9</v>
      </c>
      <c r="K150" s="118" t="n">
        <v>9</v>
      </c>
      <c r="M150" s="186" t="n">
        <v>2.84</v>
      </c>
      <c r="S150" s="192" t="n">
        <v>1195</v>
      </c>
      <c r="U150" s="186" t="n">
        <v>10.8</v>
      </c>
      <c r="Y150" s="186" t="n">
        <v>589</v>
      </c>
      <c r="AA150" s="192" t="n">
        <v>95741</v>
      </c>
      <c r="AC150" s="186" t="n">
        <v>27</v>
      </c>
      <c r="AG150" s="186" t="n">
        <v>2.82</v>
      </c>
      <c r="AM150" s="192" t="n">
        <v>77</v>
      </c>
      <c r="BS150" s="193" t="n">
        <v>44.21</v>
      </c>
      <c r="BU150" s="186" t="n">
        <v>21.77</v>
      </c>
      <c r="BY150" s="186" t="n">
        <v>6.47</v>
      </c>
      <c r="CL150" s="186" t="n">
        <v>0</v>
      </c>
    </row>
    <row r="151" customFormat="false" ht="12.75" hidden="false" customHeight="false" outlineLevel="0" collapsed="false">
      <c r="A151" s="184" t="s">
        <v>493</v>
      </c>
      <c r="B151" s="0" t="s">
        <v>666</v>
      </c>
      <c r="C151" s="0" t="s">
        <v>763</v>
      </c>
      <c r="D151" s="0" t="s">
        <v>764</v>
      </c>
      <c r="E151" s="119" t="n">
        <v>20</v>
      </c>
      <c r="F151" s="119" t="n">
        <v>7</v>
      </c>
      <c r="I151" s="118" t="n">
        <v>9</v>
      </c>
      <c r="K151" s="118" t="n">
        <v>7</v>
      </c>
      <c r="M151" s="186" t="n">
        <v>3.1</v>
      </c>
      <c r="S151" s="192" t="n">
        <v>1272</v>
      </c>
      <c r="U151" s="186" t="n">
        <v>10.8</v>
      </c>
      <c r="Y151" s="186" t="n">
        <v>659</v>
      </c>
      <c r="AA151" s="192" t="n">
        <v>100082</v>
      </c>
      <c r="AC151" s="186" t="n">
        <v>29.5</v>
      </c>
      <c r="AG151" s="186" t="n">
        <v>2.95</v>
      </c>
      <c r="AM151" s="192" t="n">
        <v>77</v>
      </c>
      <c r="BS151" s="193" t="n">
        <v>43.07</v>
      </c>
      <c r="BU151" s="186" t="n">
        <v>22.32</v>
      </c>
      <c r="BY151" s="186" t="n">
        <v>6.35</v>
      </c>
      <c r="CL151" s="186" t="n">
        <v>0</v>
      </c>
    </row>
    <row r="152" customFormat="false" ht="12.75" hidden="false" customHeight="false" outlineLevel="0" collapsed="false">
      <c r="A152" s="184" t="s">
        <v>493</v>
      </c>
      <c r="B152" s="0" t="s">
        <v>669</v>
      </c>
      <c r="C152" s="0" t="s">
        <v>759</v>
      </c>
      <c r="D152" s="0" t="s">
        <v>760</v>
      </c>
      <c r="E152" s="119" t="n">
        <v>6</v>
      </c>
      <c r="F152" s="119" t="n">
        <v>5</v>
      </c>
      <c r="I152" s="118" t="n">
        <v>9</v>
      </c>
      <c r="K152" s="118" t="n">
        <v>9</v>
      </c>
      <c r="M152" s="186" t="n">
        <v>2.74</v>
      </c>
      <c r="S152" s="192" t="n">
        <v>1100</v>
      </c>
      <c r="U152" s="186" t="n">
        <v>10.8</v>
      </c>
      <c r="Y152" s="186" t="n">
        <v>612</v>
      </c>
      <c r="AA152" s="192" t="n">
        <v>95794</v>
      </c>
      <c r="AC152" s="186" t="n">
        <v>26</v>
      </c>
      <c r="AG152" s="186" t="n">
        <v>2.71</v>
      </c>
      <c r="AM152" s="192" t="n">
        <v>77</v>
      </c>
      <c r="BS152" s="193" t="n">
        <v>42.32</v>
      </c>
      <c r="BU152" s="186" t="n">
        <v>23.57</v>
      </c>
      <c r="BY152" s="186" t="n">
        <v>6.78</v>
      </c>
      <c r="CL152" s="186" t="n">
        <v>0</v>
      </c>
    </row>
    <row r="153" customFormat="false" ht="12.75" hidden="false" customHeight="false" outlineLevel="0" collapsed="false">
      <c r="A153" s="184" t="s">
        <v>493</v>
      </c>
      <c r="B153" s="0" t="s">
        <v>669</v>
      </c>
      <c r="C153" s="0" t="s">
        <v>763</v>
      </c>
      <c r="D153" s="0" t="s">
        <v>764</v>
      </c>
      <c r="E153" s="119" t="n">
        <v>31</v>
      </c>
      <c r="F153" s="119" t="n">
        <v>11</v>
      </c>
      <c r="I153" s="118" t="n">
        <v>9</v>
      </c>
      <c r="K153" s="118" t="n">
        <v>9</v>
      </c>
      <c r="M153" s="186" t="n">
        <v>3.26</v>
      </c>
      <c r="S153" s="192" t="n">
        <v>1344</v>
      </c>
      <c r="U153" s="186" t="n">
        <v>10.8</v>
      </c>
      <c r="Y153" s="186" t="n">
        <v>719</v>
      </c>
      <c r="AA153" s="192" t="n">
        <v>108351</v>
      </c>
      <c r="AC153" s="186" t="n">
        <v>31.1</v>
      </c>
      <c r="AG153" s="186" t="n">
        <v>2.87</v>
      </c>
      <c r="AM153" s="192" t="n">
        <v>77</v>
      </c>
      <c r="BS153" s="193" t="n">
        <v>43.21</v>
      </c>
      <c r="BU153" s="186" t="n">
        <v>23.11</v>
      </c>
      <c r="BY153" s="186" t="n">
        <v>6.27</v>
      </c>
      <c r="CL153" s="186" t="n">
        <v>0</v>
      </c>
    </row>
    <row r="154" customFormat="false" ht="12.75" hidden="false" customHeight="false" outlineLevel="0" collapsed="false">
      <c r="A154" s="184" t="s">
        <v>495</v>
      </c>
      <c r="B154" s="0" t="s">
        <v>666</v>
      </c>
      <c r="C154" s="0" t="s">
        <v>759</v>
      </c>
      <c r="D154" s="0" t="s">
        <v>760</v>
      </c>
      <c r="E154" s="119" t="n">
        <v>14</v>
      </c>
      <c r="F154" s="119" t="n">
        <v>3</v>
      </c>
      <c r="I154" s="118" t="n">
        <v>9</v>
      </c>
      <c r="K154" s="118" t="n">
        <v>7</v>
      </c>
      <c r="M154" s="186" t="n">
        <v>2.4</v>
      </c>
      <c r="S154" s="192" t="n">
        <v>1043</v>
      </c>
      <c r="U154" s="186" t="n">
        <v>10.8</v>
      </c>
      <c r="Y154" s="186" t="n">
        <v>507</v>
      </c>
      <c r="AA154" s="192" t="n">
        <v>76061</v>
      </c>
      <c r="AC154" s="186" t="n">
        <v>22.9</v>
      </c>
      <c r="AG154" s="186" t="n">
        <v>3.02</v>
      </c>
      <c r="AM154" s="192" t="n">
        <v>87</v>
      </c>
      <c r="BS154" s="193" t="n">
        <v>45.44</v>
      </c>
      <c r="BU154" s="186" t="n">
        <v>22.11</v>
      </c>
      <c r="BY154" s="186" t="n">
        <v>6.02</v>
      </c>
      <c r="CL154" s="186" t="n">
        <v>0</v>
      </c>
    </row>
    <row r="155" customFormat="false" ht="12.75" hidden="false" customHeight="false" outlineLevel="0" collapsed="false">
      <c r="A155" s="184" t="s">
        <v>495</v>
      </c>
      <c r="B155" s="0" t="s">
        <v>666</v>
      </c>
      <c r="C155" s="0" t="s">
        <v>763</v>
      </c>
      <c r="D155" s="0" t="s">
        <v>764</v>
      </c>
      <c r="E155" s="119" t="n">
        <v>34</v>
      </c>
      <c r="F155" s="119" t="n">
        <v>9</v>
      </c>
      <c r="I155" s="118" t="n">
        <v>9</v>
      </c>
      <c r="K155" s="118" t="n">
        <v>9</v>
      </c>
      <c r="M155" s="186" t="n">
        <v>2.36</v>
      </c>
      <c r="S155" s="192" t="n">
        <v>1000</v>
      </c>
      <c r="U155" s="186" t="n">
        <v>10.8</v>
      </c>
      <c r="Y155" s="186" t="n">
        <v>499</v>
      </c>
      <c r="AA155" s="192" t="n">
        <v>77396</v>
      </c>
      <c r="AC155" s="186" t="n">
        <v>22.6</v>
      </c>
      <c r="AG155" s="186" t="n">
        <v>2.92</v>
      </c>
      <c r="AM155" s="192" t="n">
        <v>87</v>
      </c>
      <c r="BS155" s="193" t="n">
        <v>44.25</v>
      </c>
      <c r="BU155" s="186" t="n">
        <v>22.1</v>
      </c>
      <c r="BY155" s="186" t="n">
        <v>5.91</v>
      </c>
      <c r="CL155" s="186" t="n">
        <v>0</v>
      </c>
    </row>
    <row r="156" customFormat="false" ht="12.75" hidden="false" customHeight="false" outlineLevel="0" collapsed="false">
      <c r="A156" s="184" t="s">
        <v>495</v>
      </c>
      <c r="B156" s="0" t="s">
        <v>669</v>
      </c>
      <c r="C156" s="0" t="s">
        <v>759</v>
      </c>
      <c r="D156" s="0" t="s">
        <v>760</v>
      </c>
      <c r="E156" s="119" t="n">
        <v>2</v>
      </c>
      <c r="F156" s="119" t="n">
        <v>4</v>
      </c>
      <c r="I156" s="118" t="n">
        <v>9</v>
      </c>
      <c r="K156" s="118" t="n">
        <v>7</v>
      </c>
      <c r="M156" s="186" t="n">
        <v>2.31</v>
      </c>
      <c r="S156" s="192" t="n">
        <v>894</v>
      </c>
      <c r="U156" s="186" t="n">
        <v>10.8</v>
      </c>
      <c r="Y156" s="186" t="n">
        <v>564</v>
      </c>
      <c r="AA156" s="192" t="n">
        <v>71886</v>
      </c>
      <c r="AC156" s="186" t="n">
        <v>21.8</v>
      </c>
      <c r="AG156" s="186" t="n">
        <v>3.03</v>
      </c>
      <c r="AM156" s="192" t="n">
        <v>87</v>
      </c>
      <c r="BS156" s="193" t="n">
        <v>41.03</v>
      </c>
      <c r="BU156" s="186" t="n">
        <v>25.88</v>
      </c>
      <c r="BY156" s="186" t="n">
        <v>7.28</v>
      </c>
      <c r="CL156" s="186" t="n">
        <v>0</v>
      </c>
    </row>
    <row r="157" customFormat="false" ht="12.75" hidden="false" customHeight="false" outlineLevel="0" collapsed="false">
      <c r="A157" s="184" t="s">
        <v>495</v>
      </c>
      <c r="B157" s="0" t="s">
        <v>669</v>
      </c>
      <c r="C157" s="0" t="s">
        <v>763</v>
      </c>
      <c r="D157" s="0" t="s">
        <v>764</v>
      </c>
      <c r="E157" s="119" t="n">
        <v>26</v>
      </c>
      <c r="F157" s="119" t="n">
        <v>11</v>
      </c>
      <c r="I157" s="118" t="n">
        <v>9</v>
      </c>
      <c r="K157" s="118" t="n">
        <v>9</v>
      </c>
      <c r="M157" s="186" t="n">
        <v>2.69</v>
      </c>
      <c r="S157" s="192" t="n">
        <v>1027</v>
      </c>
      <c r="U157" s="186" t="n">
        <v>10.8</v>
      </c>
      <c r="Y157" s="186" t="n">
        <v>637</v>
      </c>
      <c r="AA157" s="192" t="n">
        <v>90130</v>
      </c>
      <c r="AC157" s="186" t="n">
        <v>25.3</v>
      </c>
      <c r="AG157" s="186" t="n">
        <v>2.81</v>
      </c>
      <c r="AM157" s="192" t="n">
        <v>87</v>
      </c>
      <c r="BS157" s="193" t="n">
        <v>40.55</v>
      </c>
      <c r="BU157" s="186" t="n">
        <v>25.16</v>
      </c>
      <c r="BY157" s="186" t="n">
        <v>7.48</v>
      </c>
      <c r="CL157" s="186" t="n">
        <v>0</v>
      </c>
    </row>
    <row r="158" customFormat="false" ht="12.75" hidden="false" customHeight="false" outlineLevel="0" collapsed="false">
      <c r="A158" s="184" t="s">
        <v>497</v>
      </c>
      <c r="B158" s="0" t="s">
        <v>666</v>
      </c>
      <c r="C158" s="0" t="s">
        <v>759</v>
      </c>
      <c r="D158" s="0" t="s">
        <v>760</v>
      </c>
      <c r="E158" s="119" t="n">
        <v>5</v>
      </c>
      <c r="F158" s="119" t="n">
        <v>2</v>
      </c>
      <c r="I158" s="118" t="n">
        <v>9</v>
      </c>
      <c r="K158" s="118" t="n">
        <v>9</v>
      </c>
      <c r="M158" s="186" t="n">
        <v>1.97</v>
      </c>
      <c r="S158" s="192" t="n">
        <v>831</v>
      </c>
      <c r="U158" s="186" t="n">
        <v>10.8</v>
      </c>
      <c r="Y158" s="186" t="n">
        <v>391</v>
      </c>
      <c r="AA158" s="192" t="n">
        <v>62597</v>
      </c>
      <c r="AC158" s="186" t="n">
        <v>18.7</v>
      </c>
      <c r="AG158" s="186" t="n">
        <v>2.99</v>
      </c>
      <c r="AM158" s="192" t="n">
        <v>80</v>
      </c>
      <c r="BS158" s="193" t="n">
        <v>44.45</v>
      </c>
      <c r="BU158" s="186" t="n">
        <v>20.94</v>
      </c>
      <c r="BY158" s="186" t="n">
        <v>6.75</v>
      </c>
      <c r="CL158" s="186" t="n">
        <v>0</v>
      </c>
    </row>
    <row r="159" customFormat="false" ht="12.75" hidden="false" customHeight="false" outlineLevel="0" collapsed="false">
      <c r="A159" s="184" t="s">
        <v>497</v>
      </c>
      <c r="B159" s="0" t="s">
        <v>666</v>
      </c>
      <c r="C159" s="0" t="s">
        <v>763</v>
      </c>
      <c r="D159" s="0" t="s">
        <v>764</v>
      </c>
      <c r="E159" s="119" t="n">
        <v>26</v>
      </c>
      <c r="F159" s="119" t="n">
        <v>7</v>
      </c>
      <c r="I159" s="118" t="n">
        <v>9</v>
      </c>
      <c r="K159" s="118" t="n">
        <v>7</v>
      </c>
      <c r="M159" s="186" t="n">
        <v>3.44</v>
      </c>
      <c r="S159" s="192" t="n">
        <v>1380</v>
      </c>
      <c r="U159" s="186" t="n">
        <v>10.8</v>
      </c>
      <c r="Y159" s="186" t="n">
        <v>724</v>
      </c>
      <c r="AA159" s="192" t="n">
        <v>104132</v>
      </c>
      <c r="AC159" s="186" t="n">
        <v>32.3</v>
      </c>
      <c r="AG159" s="186" t="n">
        <v>3.1</v>
      </c>
      <c r="AM159" s="192" t="n">
        <v>77</v>
      </c>
      <c r="BS159" s="193" t="n">
        <v>42.73</v>
      </c>
      <c r="BU159" s="186" t="n">
        <v>22.42</v>
      </c>
      <c r="BY159" s="186" t="n">
        <v>7.74</v>
      </c>
      <c r="CL159" s="186" t="n">
        <v>0</v>
      </c>
    </row>
    <row r="160" customFormat="false" ht="12.75" hidden="false" customHeight="false" outlineLevel="0" collapsed="false">
      <c r="A160" s="184" t="s">
        <v>497</v>
      </c>
      <c r="B160" s="0" t="s">
        <v>669</v>
      </c>
      <c r="C160" s="0" t="s">
        <v>759</v>
      </c>
      <c r="D160" s="0" t="s">
        <v>760</v>
      </c>
      <c r="E160" s="119" t="n">
        <v>12</v>
      </c>
      <c r="F160" s="119" t="n">
        <v>5</v>
      </c>
      <c r="I160" s="118" t="n">
        <v>9</v>
      </c>
      <c r="K160" s="118" t="n">
        <v>9</v>
      </c>
      <c r="M160" s="186" t="n">
        <v>3.03</v>
      </c>
      <c r="S160" s="192" t="n">
        <v>1212</v>
      </c>
      <c r="U160" s="186" t="n">
        <v>10.8</v>
      </c>
      <c r="Y160" s="186" t="n">
        <v>659</v>
      </c>
      <c r="AA160" s="192" t="n">
        <v>92059</v>
      </c>
      <c r="AC160" s="186" t="n">
        <v>28.8</v>
      </c>
      <c r="AG160" s="186" t="n">
        <v>3.13</v>
      </c>
      <c r="AM160" s="192" t="n">
        <v>77</v>
      </c>
      <c r="BS160" s="193" t="n">
        <v>42</v>
      </c>
      <c r="BU160" s="186" t="n">
        <v>22.85</v>
      </c>
      <c r="BY160" s="186" t="n">
        <v>6.43</v>
      </c>
      <c r="CL160" s="186" t="n">
        <v>0</v>
      </c>
    </row>
    <row r="161" customFormat="false" ht="12.75" hidden="false" customHeight="false" outlineLevel="0" collapsed="false">
      <c r="A161" s="184" t="s">
        <v>497</v>
      </c>
      <c r="B161" s="0" t="s">
        <v>669</v>
      </c>
      <c r="C161" s="0" t="s">
        <v>763</v>
      </c>
      <c r="D161" s="0" t="s">
        <v>764</v>
      </c>
      <c r="E161" s="119" t="n">
        <v>32</v>
      </c>
      <c r="F161" s="119" t="n">
        <v>10</v>
      </c>
      <c r="I161" s="118" t="n">
        <v>9</v>
      </c>
      <c r="K161" s="118" t="n">
        <v>7</v>
      </c>
      <c r="M161" s="186" t="n">
        <v>3.19</v>
      </c>
      <c r="S161" s="192" t="n">
        <v>1282</v>
      </c>
      <c r="U161" s="186" t="n">
        <v>10.8</v>
      </c>
      <c r="Y161" s="186" t="n">
        <v>703</v>
      </c>
      <c r="AA161" s="192" t="n">
        <v>95172</v>
      </c>
      <c r="AC161" s="186" t="n">
        <v>30.4</v>
      </c>
      <c r="AG161" s="186" t="n">
        <v>3.19</v>
      </c>
      <c r="AM161" s="192" t="n">
        <v>77</v>
      </c>
      <c r="BS161" s="193" t="n">
        <v>42.16</v>
      </c>
      <c r="BU161" s="186" t="n">
        <v>23.12</v>
      </c>
      <c r="BY161" s="186" t="n">
        <v>6.34</v>
      </c>
      <c r="CL161" s="186" t="n">
        <v>0</v>
      </c>
    </row>
    <row r="162" customFormat="false" ht="12.75" hidden="false" customHeight="false" outlineLevel="0" collapsed="false">
      <c r="A162" s="184" t="s">
        <v>499</v>
      </c>
      <c r="B162" s="0" t="s">
        <v>666</v>
      </c>
      <c r="C162" s="0" t="s">
        <v>759</v>
      </c>
      <c r="D162" s="0" t="s">
        <v>760</v>
      </c>
      <c r="E162" s="119" t="n">
        <v>2</v>
      </c>
      <c r="F162" s="119" t="n">
        <v>1</v>
      </c>
      <c r="I162" s="118" t="n">
        <v>9</v>
      </c>
      <c r="K162" s="118" t="n">
        <v>9</v>
      </c>
      <c r="M162" s="186" t="n">
        <v>2.48</v>
      </c>
      <c r="S162" s="192" t="n">
        <v>978</v>
      </c>
      <c r="U162" s="186" t="n">
        <v>10.8</v>
      </c>
      <c r="Y162" s="186" t="n">
        <v>590</v>
      </c>
      <c r="AA162" s="192" t="n">
        <v>74772</v>
      </c>
      <c r="AC162" s="186" t="n">
        <v>23.4</v>
      </c>
      <c r="AG162" s="186" t="n">
        <v>3.13</v>
      </c>
      <c r="AM162" s="192" t="n">
        <v>81</v>
      </c>
      <c r="BS162" s="193" t="n">
        <v>41.84</v>
      </c>
      <c r="BU162" s="186" t="n">
        <v>25.22</v>
      </c>
      <c r="BY162" s="186" t="n">
        <v>7.34</v>
      </c>
      <c r="CL162" s="186" t="n">
        <v>0</v>
      </c>
    </row>
    <row r="163" customFormat="false" ht="12.75" hidden="false" customHeight="false" outlineLevel="0" collapsed="false">
      <c r="A163" s="184" t="s">
        <v>499</v>
      </c>
      <c r="B163" s="0" t="s">
        <v>666</v>
      </c>
      <c r="C163" s="0" t="s">
        <v>763</v>
      </c>
      <c r="D163" s="0" t="s">
        <v>764</v>
      </c>
      <c r="E163" s="119" t="n">
        <v>21</v>
      </c>
      <c r="F163" s="119" t="n">
        <v>9</v>
      </c>
      <c r="I163" s="118" t="n">
        <v>9</v>
      </c>
      <c r="K163" s="118" t="n">
        <v>9</v>
      </c>
      <c r="M163" s="186" t="n">
        <v>2.88</v>
      </c>
      <c r="S163" s="192" t="n">
        <v>1234</v>
      </c>
      <c r="U163" s="186" t="n">
        <v>10.8</v>
      </c>
      <c r="Y163" s="186" t="n">
        <v>605</v>
      </c>
      <c r="AA163" s="192" t="n">
        <v>88288</v>
      </c>
      <c r="AC163" s="186" t="n">
        <v>27.5</v>
      </c>
      <c r="AG163" s="186" t="n">
        <v>3.11</v>
      </c>
      <c r="AM163" s="192" t="n">
        <v>77</v>
      </c>
      <c r="BS163" s="193" t="n">
        <v>44.94</v>
      </c>
      <c r="BU163" s="186" t="n">
        <v>22.04</v>
      </c>
      <c r="BY163" s="186" t="n">
        <v>6.29</v>
      </c>
      <c r="CL163" s="186" t="n">
        <v>0</v>
      </c>
    </row>
    <row r="164" customFormat="false" ht="12.75" hidden="false" customHeight="false" outlineLevel="0" collapsed="false">
      <c r="A164" s="184" t="s">
        <v>499</v>
      </c>
      <c r="B164" s="0" t="s">
        <v>669</v>
      </c>
      <c r="C164" s="0" t="s">
        <v>759</v>
      </c>
      <c r="D164" s="0" t="s">
        <v>760</v>
      </c>
      <c r="E164" s="119" t="n">
        <v>14</v>
      </c>
      <c r="F164" s="119" t="n">
        <v>5</v>
      </c>
      <c r="I164" s="118" t="n">
        <v>9</v>
      </c>
      <c r="K164" s="118" t="n">
        <v>9</v>
      </c>
      <c r="M164" s="186" t="n">
        <v>3.45</v>
      </c>
      <c r="S164" s="192" t="n">
        <v>1421</v>
      </c>
      <c r="U164" s="186" t="n">
        <v>10.8</v>
      </c>
      <c r="Y164" s="186" t="n">
        <v>784</v>
      </c>
      <c r="AA164" s="192" t="n">
        <v>103327</v>
      </c>
      <c r="AC164" s="186" t="n">
        <v>32.8</v>
      </c>
      <c r="AG164" s="186" t="n">
        <v>3.17</v>
      </c>
      <c r="AM164" s="192" t="n">
        <v>83</v>
      </c>
      <c r="BS164" s="193" t="n">
        <v>43.38</v>
      </c>
      <c r="BU164" s="186" t="n">
        <v>23.92</v>
      </c>
      <c r="BY164" s="186" t="n">
        <v>6.67</v>
      </c>
      <c r="CL164" s="186" t="n">
        <v>0</v>
      </c>
    </row>
    <row r="165" customFormat="false" ht="12.75" hidden="false" customHeight="false" outlineLevel="0" collapsed="false">
      <c r="A165" s="184" t="s">
        <v>499</v>
      </c>
      <c r="B165" s="0" t="s">
        <v>669</v>
      </c>
      <c r="C165" s="0" t="s">
        <v>763</v>
      </c>
      <c r="D165" s="0" t="s">
        <v>764</v>
      </c>
      <c r="E165" s="119" t="n">
        <v>36</v>
      </c>
      <c r="F165" s="119" t="n">
        <v>11</v>
      </c>
      <c r="I165" s="118" t="n">
        <v>9</v>
      </c>
      <c r="K165" s="118" t="n">
        <v>9</v>
      </c>
      <c r="M165" s="186" t="n">
        <v>3.35</v>
      </c>
      <c r="S165" s="192" t="n">
        <v>1439</v>
      </c>
      <c r="U165" s="186" t="n">
        <v>10.8</v>
      </c>
      <c r="Y165" s="186" t="n">
        <v>729</v>
      </c>
      <c r="AA165" s="192" t="n">
        <v>102542</v>
      </c>
      <c r="AC165" s="186" t="n">
        <v>32.1</v>
      </c>
      <c r="AG165" s="186" t="n">
        <v>3.13</v>
      </c>
      <c r="AM165" s="192" t="n">
        <v>80</v>
      </c>
      <c r="BS165" s="193" t="n">
        <v>44.87</v>
      </c>
      <c r="BU165" s="186" t="n">
        <v>22.71</v>
      </c>
      <c r="BY165" s="186" t="n">
        <v>5.89</v>
      </c>
      <c r="CL165" s="186" t="n">
        <v>0</v>
      </c>
    </row>
    <row r="166" customFormat="false" ht="12.75" hidden="false" customHeight="false" outlineLevel="0" collapsed="false">
      <c r="A166" s="184" t="s">
        <v>501</v>
      </c>
      <c r="B166" s="0" t="s">
        <v>666</v>
      </c>
      <c r="C166" s="0" t="s">
        <v>759</v>
      </c>
      <c r="D166" s="0" t="s">
        <v>760</v>
      </c>
      <c r="E166" s="119" t="n">
        <v>14</v>
      </c>
      <c r="F166" s="119" t="n">
        <v>2</v>
      </c>
      <c r="I166" s="118" t="n">
        <v>9</v>
      </c>
      <c r="K166" s="118" t="n">
        <v>9</v>
      </c>
      <c r="M166" s="186" t="n">
        <v>2.14</v>
      </c>
      <c r="S166" s="192" t="n">
        <v>917</v>
      </c>
      <c r="U166" s="186" t="n">
        <v>10.8</v>
      </c>
      <c r="Y166" s="186" t="n">
        <v>432</v>
      </c>
      <c r="AA166" s="192" t="n">
        <v>77017</v>
      </c>
      <c r="AC166" s="186" t="n">
        <v>20.3</v>
      </c>
      <c r="AG166" s="186" t="n">
        <v>2.64</v>
      </c>
      <c r="AM166" s="192" t="n">
        <v>77</v>
      </c>
      <c r="BS166" s="193" t="n">
        <v>45.11</v>
      </c>
      <c r="BU166" s="186" t="n">
        <v>21.25</v>
      </c>
      <c r="BY166" s="186" t="n">
        <v>6.69</v>
      </c>
      <c r="CL166" s="186" t="n">
        <v>0</v>
      </c>
    </row>
    <row r="167" customFormat="false" ht="12.75" hidden="false" customHeight="false" outlineLevel="0" collapsed="false">
      <c r="A167" s="184" t="s">
        <v>501</v>
      </c>
      <c r="B167" s="0" t="s">
        <v>666</v>
      </c>
      <c r="C167" s="0" t="s">
        <v>763</v>
      </c>
      <c r="D167" s="0" t="s">
        <v>764</v>
      </c>
      <c r="E167" s="119" t="n">
        <v>27</v>
      </c>
      <c r="F167" s="119" t="n">
        <v>8</v>
      </c>
      <c r="I167" s="118" t="n">
        <v>9</v>
      </c>
      <c r="K167" s="118" t="n">
        <v>7</v>
      </c>
      <c r="M167" s="186" t="n">
        <v>3.04</v>
      </c>
      <c r="S167" s="192" t="n">
        <v>1242</v>
      </c>
      <c r="U167" s="186" t="n">
        <v>10.8</v>
      </c>
      <c r="Y167" s="186" t="n">
        <v>663</v>
      </c>
      <c r="AA167" s="192" t="n">
        <v>103647</v>
      </c>
      <c r="AC167" s="186" t="n">
        <v>28.7</v>
      </c>
      <c r="AG167" s="186" t="n">
        <v>2.77</v>
      </c>
      <c r="AM167" s="192" t="n">
        <v>80</v>
      </c>
      <c r="BS167" s="193" t="n">
        <v>43.32</v>
      </c>
      <c r="BU167" s="186" t="n">
        <v>23.13</v>
      </c>
      <c r="BY167" s="186" t="n">
        <v>7.31</v>
      </c>
      <c r="CL167" s="186" t="n">
        <v>0</v>
      </c>
    </row>
    <row r="168" customFormat="false" ht="12.75" hidden="false" customHeight="false" outlineLevel="0" collapsed="false">
      <c r="A168" s="184" t="s">
        <v>501</v>
      </c>
      <c r="B168" s="0" t="s">
        <v>669</v>
      </c>
      <c r="C168" s="0" t="s">
        <v>759</v>
      </c>
      <c r="D168" s="0" t="s">
        <v>760</v>
      </c>
      <c r="E168" s="119" t="n">
        <v>6</v>
      </c>
      <c r="F168" s="119" t="n">
        <v>6</v>
      </c>
      <c r="I168" s="118" t="n">
        <v>9</v>
      </c>
      <c r="K168" s="118" t="n">
        <v>9</v>
      </c>
      <c r="M168" s="186" t="n">
        <v>2.96</v>
      </c>
      <c r="S168" s="192" t="n">
        <v>1203</v>
      </c>
      <c r="U168" s="186" t="n">
        <v>10.8</v>
      </c>
      <c r="Y168" s="186" t="n">
        <v>665</v>
      </c>
      <c r="AA168" s="192" t="n">
        <v>113992</v>
      </c>
      <c r="AC168" s="186" t="n">
        <v>28.1</v>
      </c>
      <c r="AG168" s="186" t="n">
        <v>2.47</v>
      </c>
      <c r="AM168" s="192" t="n">
        <v>77</v>
      </c>
      <c r="BS168" s="193" t="n">
        <v>42.8</v>
      </c>
      <c r="BU168" s="186" t="n">
        <v>23.67</v>
      </c>
      <c r="BY168" s="186" t="n">
        <v>6.67</v>
      </c>
      <c r="CL168" s="186" t="n">
        <v>0</v>
      </c>
    </row>
    <row r="169" customFormat="false" ht="12.75" hidden="false" customHeight="false" outlineLevel="0" collapsed="false">
      <c r="A169" s="184" t="s">
        <v>501</v>
      </c>
      <c r="B169" s="0" t="s">
        <v>669</v>
      </c>
      <c r="C169" s="0" t="s">
        <v>763</v>
      </c>
      <c r="D169" s="0" t="s">
        <v>764</v>
      </c>
      <c r="E169" s="119" t="n">
        <v>25</v>
      </c>
      <c r="F169" s="119" t="n">
        <v>12</v>
      </c>
      <c r="I169" s="118" t="n">
        <v>9</v>
      </c>
      <c r="K169" s="118" t="n">
        <v>9</v>
      </c>
      <c r="M169" s="186" t="n">
        <v>3.71</v>
      </c>
      <c r="S169" s="192" t="n">
        <v>1478</v>
      </c>
      <c r="U169" s="186" t="n">
        <v>10.8</v>
      </c>
      <c r="Y169" s="186" t="n">
        <v>839</v>
      </c>
      <c r="AA169" s="192" t="n">
        <v>129942</v>
      </c>
      <c r="AC169" s="186" t="n">
        <v>34.8</v>
      </c>
      <c r="AG169" s="186" t="n">
        <v>2.68</v>
      </c>
      <c r="AM169" s="192" t="n">
        <v>77</v>
      </c>
      <c r="BS169" s="193" t="n">
        <v>42.5</v>
      </c>
      <c r="BU169" s="186" t="n">
        <v>24.12</v>
      </c>
      <c r="BY169" s="186" t="n">
        <v>7.85</v>
      </c>
      <c r="CL169" s="186" t="n">
        <v>0</v>
      </c>
    </row>
    <row r="170" customFormat="false" ht="12.75" hidden="false" customHeight="false" outlineLevel="0" collapsed="false">
      <c r="A170" s="184" t="s">
        <v>503</v>
      </c>
      <c r="B170" s="0" t="s">
        <v>666</v>
      </c>
      <c r="C170" s="0" t="s">
        <v>759</v>
      </c>
      <c r="D170" s="0" t="s">
        <v>760</v>
      </c>
      <c r="E170" s="119" t="n">
        <v>4</v>
      </c>
      <c r="F170" s="119" t="n">
        <v>3</v>
      </c>
      <c r="I170" s="118" t="n">
        <v>9</v>
      </c>
      <c r="K170" s="118" t="n">
        <v>7</v>
      </c>
      <c r="M170" s="186" t="n">
        <v>2.38</v>
      </c>
      <c r="S170" s="192" t="n">
        <v>1021</v>
      </c>
      <c r="U170" s="186" t="n">
        <v>10.8</v>
      </c>
      <c r="Y170" s="186" t="n">
        <v>513</v>
      </c>
      <c r="AA170" s="192" t="n">
        <v>75503</v>
      </c>
      <c r="AC170" s="186" t="n">
        <v>22.6</v>
      </c>
      <c r="AG170" s="186" t="n">
        <v>2.99</v>
      </c>
      <c r="AM170" s="192" t="n">
        <v>77</v>
      </c>
      <c r="BS170" s="193" t="n">
        <v>45.25</v>
      </c>
      <c r="BU170" s="186" t="n">
        <v>22.73</v>
      </c>
      <c r="BY170" s="186" t="n">
        <v>6.86</v>
      </c>
      <c r="CL170" s="186" t="n">
        <v>0</v>
      </c>
    </row>
    <row r="171" customFormat="false" ht="12.75" hidden="false" customHeight="false" outlineLevel="0" collapsed="false">
      <c r="A171" s="184" t="s">
        <v>503</v>
      </c>
      <c r="B171" s="0" t="s">
        <v>666</v>
      </c>
      <c r="C171" s="0" t="s">
        <v>763</v>
      </c>
      <c r="D171" s="0" t="s">
        <v>764</v>
      </c>
      <c r="E171" s="119" t="n">
        <v>35</v>
      </c>
      <c r="F171" s="119" t="n">
        <v>9</v>
      </c>
      <c r="I171" s="118" t="n">
        <v>9</v>
      </c>
      <c r="K171" s="118" t="n">
        <v>9</v>
      </c>
      <c r="M171" s="186" t="n">
        <v>2.96</v>
      </c>
      <c r="S171" s="192" t="n">
        <v>1216</v>
      </c>
      <c r="U171" s="186" t="n">
        <v>10.8</v>
      </c>
      <c r="Y171" s="186" t="n">
        <v>667</v>
      </c>
      <c r="AA171" s="192" t="n">
        <v>97607</v>
      </c>
      <c r="AC171" s="186" t="n">
        <v>28.4</v>
      </c>
      <c r="AG171" s="186" t="n">
        <v>2.91</v>
      </c>
      <c r="AM171" s="192" t="n">
        <v>73</v>
      </c>
      <c r="BS171" s="193" t="n">
        <v>42.87</v>
      </c>
      <c r="BU171" s="186" t="n">
        <v>23.54</v>
      </c>
      <c r="BY171" s="186" t="n">
        <v>5.84</v>
      </c>
      <c r="CL171" s="186" t="n">
        <v>0</v>
      </c>
    </row>
    <row r="172" customFormat="false" ht="12.75" hidden="false" customHeight="false" outlineLevel="0" collapsed="false">
      <c r="A172" s="184" t="s">
        <v>503</v>
      </c>
      <c r="B172" s="0" t="s">
        <v>669</v>
      </c>
      <c r="C172" s="0" t="s">
        <v>759</v>
      </c>
      <c r="D172" s="0" t="s">
        <v>760</v>
      </c>
      <c r="E172" s="119" t="n">
        <v>16</v>
      </c>
      <c r="F172" s="119" t="n">
        <v>4</v>
      </c>
      <c r="I172" s="118" t="n">
        <v>9</v>
      </c>
      <c r="K172" s="118" t="n">
        <v>7</v>
      </c>
      <c r="M172" s="186" t="n">
        <v>2.84</v>
      </c>
      <c r="S172" s="192" t="n">
        <v>1195</v>
      </c>
      <c r="U172" s="186" t="n">
        <v>10.8</v>
      </c>
      <c r="Y172" s="186" t="n">
        <v>640</v>
      </c>
      <c r="AA172" s="192" t="n">
        <v>89100</v>
      </c>
      <c r="AC172" s="186" t="n">
        <v>27</v>
      </c>
      <c r="AG172" s="186" t="n">
        <v>3.03</v>
      </c>
      <c r="AM172" s="192" t="n">
        <v>77</v>
      </c>
      <c r="BS172" s="193" t="n">
        <v>44.23</v>
      </c>
      <c r="BU172" s="186" t="n">
        <v>23.67</v>
      </c>
      <c r="BY172" s="186" t="n">
        <v>6.48</v>
      </c>
      <c r="CL172" s="186" t="n">
        <v>0</v>
      </c>
    </row>
    <row r="173" customFormat="false" ht="12.75" hidden="false" customHeight="false" outlineLevel="0" collapsed="false">
      <c r="A173" s="184" t="s">
        <v>503</v>
      </c>
      <c r="B173" s="0" t="s">
        <v>669</v>
      </c>
      <c r="C173" s="0" t="s">
        <v>763</v>
      </c>
      <c r="D173" s="0" t="s">
        <v>764</v>
      </c>
      <c r="E173" s="119" t="n">
        <v>33</v>
      </c>
      <c r="F173" s="119" t="n">
        <v>12</v>
      </c>
      <c r="I173" s="118" t="n">
        <v>9</v>
      </c>
      <c r="K173" s="118" t="n">
        <v>9</v>
      </c>
      <c r="M173" s="186" t="n">
        <v>3.48</v>
      </c>
      <c r="S173" s="192" t="n">
        <v>1449</v>
      </c>
      <c r="U173" s="186" t="n">
        <v>10.8</v>
      </c>
      <c r="Y173" s="186" t="n">
        <v>816</v>
      </c>
      <c r="AA173" s="192" t="n">
        <v>107358</v>
      </c>
      <c r="AC173" s="186" t="n">
        <v>33.3</v>
      </c>
      <c r="AG173" s="186" t="n">
        <v>3.1</v>
      </c>
      <c r="AM173" s="192" t="n">
        <v>73</v>
      </c>
      <c r="BS173" s="193" t="n">
        <v>43.55</v>
      </c>
      <c r="BU173" s="186" t="n">
        <v>24.5</v>
      </c>
      <c r="BY173" s="186" t="n">
        <v>6.01</v>
      </c>
      <c r="CL173" s="186" t="n">
        <v>0</v>
      </c>
    </row>
    <row r="174" customFormat="false" ht="12.75" hidden="false" customHeight="false" outlineLevel="0" collapsed="false">
      <c r="A174" s="184" t="s">
        <v>505</v>
      </c>
      <c r="B174" s="0" t="s">
        <v>666</v>
      </c>
      <c r="C174" s="0" t="s">
        <v>759</v>
      </c>
      <c r="D174" s="0" t="s">
        <v>760</v>
      </c>
      <c r="E174" s="119" t="n">
        <v>8</v>
      </c>
      <c r="F174" s="119" t="n">
        <v>3</v>
      </c>
      <c r="I174" s="118" t="n">
        <v>9</v>
      </c>
      <c r="K174" s="118" t="n">
        <v>7</v>
      </c>
      <c r="M174" s="186" t="n">
        <v>2.61</v>
      </c>
      <c r="S174" s="192" t="n">
        <v>1084</v>
      </c>
      <c r="U174" s="186" t="n">
        <v>10.8</v>
      </c>
      <c r="Y174" s="186" t="n">
        <v>534</v>
      </c>
      <c r="AA174" s="192" t="n">
        <v>85362</v>
      </c>
      <c r="AC174" s="186" t="n">
        <v>24.8</v>
      </c>
      <c r="AG174" s="186" t="n">
        <v>2.91</v>
      </c>
      <c r="AM174" s="192" t="n">
        <v>73</v>
      </c>
      <c r="BS174" s="193" t="n">
        <v>43.67</v>
      </c>
      <c r="BU174" s="186" t="n">
        <v>21.51</v>
      </c>
      <c r="BY174" s="186" t="n">
        <v>6.54</v>
      </c>
      <c r="CL174" s="186" t="n">
        <v>0</v>
      </c>
    </row>
    <row r="175" customFormat="false" ht="12.75" hidden="false" customHeight="false" outlineLevel="0" collapsed="false">
      <c r="A175" s="184" t="s">
        <v>505</v>
      </c>
      <c r="B175" s="0" t="s">
        <v>666</v>
      </c>
      <c r="C175" s="0" t="s">
        <v>763</v>
      </c>
      <c r="D175" s="0" t="s">
        <v>764</v>
      </c>
      <c r="E175" s="119" t="n">
        <v>23</v>
      </c>
      <c r="F175" s="119" t="n">
        <v>7</v>
      </c>
      <c r="I175" s="118" t="n">
        <v>9</v>
      </c>
      <c r="K175" s="118" t="n">
        <v>7</v>
      </c>
      <c r="M175" s="186" t="n">
        <v>3.15</v>
      </c>
      <c r="S175" s="192" t="n">
        <v>1334</v>
      </c>
      <c r="U175" s="186" t="n">
        <v>10.8</v>
      </c>
      <c r="Y175" s="186" t="n">
        <v>634</v>
      </c>
      <c r="AA175" s="192" t="n">
        <v>103721</v>
      </c>
      <c r="AC175" s="186" t="n">
        <v>30</v>
      </c>
      <c r="AG175" s="186" t="n">
        <v>2.9</v>
      </c>
      <c r="AM175" s="192" t="n">
        <v>69</v>
      </c>
      <c r="BS175" s="193" t="n">
        <v>44.39</v>
      </c>
      <c r="BU175" s="186" t="n">
        <v>21.09</v>
      </c>
      <c r="BY175" s="186" t="n">
        <v>6.25</v>
      </c>
      <c r="CL175" s="186" t="n">
        <v>0</v>
      </c>
    </row>
    <row r="176" customFormat="false" ht="12.75" hidden="false" customHeight="false" outlineLevel="0" collapsed="false">
      <c r="A176" s="184" t="s">
        <v>505</v>
      </c>
      <c r="B176" s="0" t="s">
        <v>669</v>
      </c>
      <c r="C176" s="0" t="s">
        <v>759</v>
      </c>
      <c r="D176" s="0" t="s">
        <v>760</v>
      </c>
      <c r="E176" s="119" t="n">
        <v>13</v>
      </c>
      <c r="F176" s="119" t="n">
        <v>4</v>
      </c>
      <c r="I176" s="118" t="n">
        <v>9</v>
      </c>
      <c r="K176" s="118" t="n">
        <v>7</v>
      </c>
      <c r="M176" s="186" t="n">
        <v>2.92</v>
      </c>
      <c r="S176" s="192" t="n">
        <v>1132</v>
      </c>
      <c r="U176" s="186" t="n">
        <v>10.8</v>
      </c>
      <c r="Y176" s="186" t="n">
        <v>688</v>
      </c>
      <c r="AA176" s="192" t="n">
        <v>100437</v>
      </c>
      <c r="AC176" s="186" t="n">
        <v>27.8</v>
      </c>
      <c r="AG176" s="186" t="n">
        <v>2.77</v>
      </c>
      <c r="AM176" s="192" t="n">
        <v>73</v>
      </c>
      <c r="BS176" s="193" t="n">
        <v>40.73</v>
      </c>
      <c r="BU176" s="186" t="n">
        <v>24.74</v>
      </c>
      <c r="BY176" s="186" t="n">
        <v>6.43</v>
      </c>
      <c r="CL176" s="186" t="n">
        <v>0</v>
      </c>
    </row>
    <row r="177" customFormat="false" ht="12.75" hidden="false" customHeight="false" outlineLevel="0" collapsed="false">
      <c r="A177" s="184" t="s">
        <v>505</v>
      </c>
      <c r="B177" s="0" t="s">
        <v>669</v>
      </c>
      <c r="C177" s="0" t="s">
        <v>763</v>
      </c>
      <c r="D177" s="0" t="s">
        <v>764</v>
      </c>
      <c r="E177" s="119" t="n">
        <v>37</v>
      </c>
      <c r="F177" s="119" t="n">
        <v>10</v>
      </c>
      <c r="I177" s="118" t="n">
        <v>9</v>
      </c>
      <c r="K177" s="118" t="n">
        <v>7</v>
      </c>
      <c r="M177" s="186" t="n">
        <v>3.59</v>
      </c>
      <c r="S177" s="192" t="n">
        <v>1469</v>
      </c>
      <c r="U177" s="186" t="n">
        <v>10.8</v>
      </c>
      <c r="Y177" s="186" t="n">
        <v>779</v>
      </c>
      <c r="AA177" s="192" t="n">
        <v>121476</v>
      </c>
      <c r="AC177" s="186" t="n">
        <v>34.4</v>
      </c>
      <c r="AG177" s="186" t="n">
        <v>2.83</v>
      </c>
      <c r="AM177" s="192" t="n">
        <v>73</v>
      </c>
      <c r="BS177" s="193" t="n">
        <v>42.71</v>
      </c>
      <c r="BU177" s="186" t="n">
        <v>22.64</v>
      </c>
      <c r="BY177" s="186" t="n">
        <v>5.82</v>
      </c>
      <c r="CL177" s="186" t="n">
        <v>0</v>
      </c>
    </row>
    <row r="178" customFormat="false" ht="12.75" hidden="false" customHeight="false" outlineLevel="0" collapsed="false">
      <c r="A178" s="184" t="s">
        <v>507</v>
      </c>
      <c r="B178" s="0" t="s">
        <v>666</v>
      </c>
      <c r="C178" s="0" t="s">
        <v>759</v>
      </c>
      <c r="D178" s="0" t="s">
        <v>760</v>
      </c>
      <c r="E178" s="119" t="n">
        <v>6</v>
      </c>
      <c r="F178" s="119" t="n">
        <v>2</v>
      </c>
      <c r="I178" s="118" t="n">
        <v>9</v>
      </c>
      <c r="K178" s="118" t="n">
        <v>9</v>
      </c>
      <c r="M178" s="186" t="n">
        <v>1.99</v>
      </c>
      <c r="S178" s="192" t="n">
        <v>836</v>
      </c>
      <c r="U178" s="186" t="n">
        <v>10.8</v>
      </c>
      <c r="Y178" s="186" t="n">
        <v>400</v>
      </c>
      <c r="AA178" s="192" t="n">
        <v>67071</v>
      </c>
      <c r="AC178" s="186" t="n">
        <v>18.9</v>
      </c>
      <c r="AG178" s="186" t="n">
        <v>2.81</v>
      </c>
      <c r="AM178" s="192" t="n">
        <v>73</v>
      </c>
      <c r="BS178" s="193" t="n">
        <v>44.32</v>
      </c>
      <c r="BU178" s="186" t="n">
        <v>21.22</v>
      </c>
      <c r="BY178" s="186" t="n">
        <v>6.82</v>
      </c>
      <c r="CL178" s="186" t="n">
        <v>0</v>
      </c>
    </row>
    <row r="179" customFormat="false" ht="12.75" hidden="false" customHeight="false" outlineLevel="0" collapsed="false">
      <c r="A179" s="184" t="s">
        <v>507</v>
      </c>
      <c r="B179" s="0" t="s">
        <v>666</v>
      </c>
      <c r="C179" s="0" t="s">
        <v>763</v>
      </c>
      <c r="D179" s="0" t="s">
        <v>764</v>
      </c>
      <c r="E179" s="119" t="n">
        <v>34</v>
      </c>
      <c r="F179" s="119" t="n">
        <v>8</v>
      </c>
      <c r="I179" s="118" t="n">
        <v>9</v>
      </c>
      <c r="K179" s="118" t="n">
        <v>7</v>
      </c>
      <c r="M179" s="186" t="n">
        <v>3.07</v>
      </c>
      <c r="S179" s="192" t="n">
        <v>1283</v>
      </c>
      <c r="U179" s="186" t="n">
        <v>10.8</v>
      </c>
      <c r="Y179" s="186" t="n">
        <v>621</v>
      </c>
      <c r="AA179" s="192" t="n">
        <v>101293</v>
      </c>
      <c r="AC179" s="186" t="n">
        <v>29.3</v>
      </c>
      <c r="AG179" s="186" t="n">
        <v>2.89</v>
      </c>
      <c r="AM179" s="192" t="n">
        <v>73</v>
      </c>
      <c r="BS179" s="193" t="n">
        <v>43.77</v>
      </c>
      <c r="BU179" s="186" t="n">
        <v>21.18</v>
      </c>
      <c r="BY179" s="186" t="n">
        <v>6.18</v>
      </c>
      <c r="CL179" s="186" t="n">
        <v>0</v>
      </c>
    </row>
    <row r="180" customFormat="false" ht="12.75" hidden="false" customHeight="false" outlineLevel="0" collapsed="false">
      <c r="A180" s="184" t="s">
        <v>507</v>
      </c>
      <c r="B180" s="0" t="s">
        <v>669</v>
      </c>
      <c r="C180" s="0" t="s">
        <v>759</v>
      </c>
      <c r="D180" s="0" t="s">
        <v>760</v>
      </c>
      <c r="E180" s="119" t="n">
        <v>11</v>
      </c>
      <c r="F180" s="119" t="n">
        <v>6</v>
      </c>
      <c r="I180" s="118" t="n">
        <v>9</v>
      </c>
      <c r="K180" s="118" t="n">
        <v>9</v>
      </c>
      <c r="M180" s="186" t="n">
        <v>3.77</v>
      </c>
      <c r="S180" s="192" t="n">
        <v>1624</v>
      </c>
      <c r="U180" s="186" t="n">
        <v>10.8</v>
      </c>
      <c r="Y180" s="186" t="n">
        <v>720</v>
      </c>
      <c r="AA180" s="192" t="n">
        <v>127325</v>
      </c>
      <c r="AC180" s="186" t="n">
        <v>35.9</v>
      </c>
      <c r="AG180" s="186" t="n">
        <v>2.82</v>
      </c>
      <c r="AM180" s="192" t="n">
        <v>73</v>
      </c>
      <c r="BS180" s="193" t="n">
        <v>45.19</v>
      </c>
      <c r="BU180" s="186" t="n">
        <v>20.03</v>
      </c>
      <c r="BY180" s="186" t="n">
        <v>6.33</v>
      </c>
      <c r="CL180" s="186" t="n">
        <v>0</v>
      </c>
    </row>
    <row r="181" customFormat="false" ht="12.75" hidden="false" customHeight="false" outlineLevel="0" collapsed="false">
      <c r="A181" s="184" t="s">
        <v>507</v>
      </c>
      <c r="B181" s="0" t="s">
        <v>669</v>
      </c>
      <c r="C181" s="0" t="s">
        <v>763</v>
      </c>
      <c r="D181" s="0" t="s">
        <v>764</v>
      </c>
      <c r="E181" s="119" t="n">
        <v>37</v>
      </c>
      <c r="F181" s="119" t="n">
        <v>11</v>
      </c>
      <c r="I181" s="118" t="n">
        <v>9</v>
      </c>
      <c r="K181" s="118" t="n">
        <v>9</v>
      </c>
      <c r="M181" s="186" t="n">
        <v>3.88</v>
      </c>
      <c r="S181" s="192" t="n">
        <v>1601</v>
      </c>
      <c r="U181" s="186" t="n">
        <v>10.8</v>
      </c>
      <c r="Y181" s="186" t="n">
        <v>835</v>
      </c>
      <c r="AA181" s="192" t="n">
        <v>128299</v>
      </c>
      <c r="AC181" s="186" t="n">
        <v>37.1</v>
      </c>
      <c r="AG181" s="186" t="n">
        <v>2.9</v>
      </c>
      <c r="AM181" s="192" t="n">
        <v>73</v>
      </c>
      <c r="BS181" s="193" t="n">
        <v>43.1</v>
      </c>
      <c r="BU181" s="186" t="n">
        <v>22.47</v>
      </c>
      <c r="BY181" s="186" t="n">
        <v>5.9</v>
      </c>
      <c r="CL181" s="186" t="n">
        <v>0</v>
      </c>
    </row>
    <row r="182" customFormat="false" ht="12.75" hidden="false" customHeight="false" outlineLevel="0" collapsed="false">
      <c r="A182" s="184" t="s">
        <v>509</v>
      </c>
      <c r="B182" s="0" t="s">
        <v>666</v>
      </c>
      <c r="C182" s="0" t="s">
        <v>759</v>
      </c>
      <c r="D182" s="0" t="s">
        <v>760</v>
      </c>
      <c r="E182" s="119" t="n">
        <v>7</v>
      </c>
      <c r="F182" s="119" t="n">
        <v>2</v>
      </c>
      <c r="I182" s="118" t="n">
        <v>9</v>
      </c>
      <c r="K182" s="118" t="n">
        <v>9</v>
      </c>
      <c r="M182" s="186" t="n">
        <v>1.96</v>
      </c>
      <c r="S182" s="192" t="n">
        <v>849</v>
      </c>
      <c r="U182" s="186" t="n">
        <v>10.8</v>
      </c>
      <c r="Y182" s="186" t="n">
        <v>422</v>
      </c>
      <c r="AA182" s="192" t="n">
        <v>64545</v>
      </c>
      <c r="AC182" s="186" t="n">
        <v>18.7</v>
      </c>
      <c r="AG182" s="186" t="n">
        <v>2.9</v>
      </c>
      <c r="AM182" s="192" t="n">
        <v>73</v>
      </c>
      <c r="BS182" s="193" t="n">
        <v>45.34</v>
      </c>
      <c r="BU182" s="186" t="n">
        <v>22.53</v>
      </c>
      <c r="BY182" s="186" t="n">
        <v>6.07</v>
      </c>
      <c r="CL182" s="186" t="n">
        <v>0</v>
      </c>
    </row>
    <row r="183" customFormat="false" ht="12.75" hidden="false" customHeight="false" outlineLevel="0" collapsed="false">
      <c r="A183" s="184" t="s">
        <v>509</v>
      </c>
      <c r="B183" s="0" t="s">
        <v>666</v>
      </c>
      <c r="C183" s="0" t="s">
        <v>763</v>
      </c>
      <c r="D183" s="0" t="s">
        <v>764</v>
      </c>
      <c r="E183" s="119" t="n">
        <v>20</v>
      </c>
      <c r="F183" s="119" t="n">
        <v>8</v>
      </c>
      <c r="I183" s="118" t="n">
        <v>9</v>
      </c>
      <c r="K183" s="118" t="n">
        <v>7</v>
      </c>
      <c r="M183" s="186" t="n">
        <v>2.41</v>
      </c>
      <c r="S183" s="192" t="n">
        <v>1011</v>
      </c>
      <c r="U183" s="186" t="n">
        <v>10.8</v>
      </c>
      <c r="Y183" s="186" t="n">
        <v>552</v>
      </c>
      <c r="AA183" s="192" t="n">
        <v>75619</v>
      </c>
      <c r="AC183" s="186" t="n">
        <v>23</v>
      </c>
      <c r="AG183" s="186" t="n">
        <v>3.04</v>
      </c>
      <c r="AM183" s="192" t="n">
        <v>73</v>
      </c>
      <c r="BS183" s="193" t="n">
        <v>43.93</v>
      </c>
      <c r="BU183" s="186" t="n">
        <v>24</v>
      </c>
      <c r="BY183" s="186" t="n">
        <v>6.12</v>
      </c>
      <c r="CL183" s="186" t="n">
        <v>0</v>
      </c>
    </row>
    <row r="184" customFormat="false" ht="12.75" hidden="false" customHeight="false" outlineLevel="0" collapsed="false">
      <c r="A184" s="184" t="s">
        <v>509</v>
      </c>
      <c r="B184" s="0" t="s">
        <v>669</v>
      </c>
      <c r="C184" s="0" t="s">
        <v>759</v>
      </c>
      <c r="D184" s="0" t="s">
        <v>760</v>
      </c>
      <c r="E184" s="119" t="n">
        <v>18</v>
      </c>
      <c r="F184" s="119" t="n">
        <v>6</v>
      </c>
      <c r="I184" s="118" t="n">
        <v>9</v>
      </c>
      <c r="K184" s="118" t="n">
        <v>9</v>
      </c>
      <c r="M184" s="186" t="n">
        <v>3.5</v>
      </c>
      <c r="S184" s="192" t="n">
        <v>1499</v>
      </c>
      <c r="U184" s="186" t="n">
        <v>10.8</v>
      </c>
      <c r="Y184" s="186" t="n">
        <v>777</v>
      </c>
      <c r="AA184" s="192" t="n">
        <v>101782</v>
      </c>
      <c r="AC184" s="186" t="n">
        <v>33.5</v>
      </c>
      <c r="AG184" s="186" t="n">
        <v>3.29</v>
      </c>
      <c r="AM184" s="192" t="n">
        <v>73</v>
      </c>
      <c r="BS184" s="193" t="n">
        <v>44.81</v>
      </c>
      <c r="BU184" s="186" t="n">
        <v>23.23</v>
      </c>
      <c r="BY184" s="186" t="n">
        <v>6.07</v>
      </c>
      <c r="CL184" s="186" t="n">
        <v>0</v>
      </c>
    </row>
    <row r="185" customFormat="false" ht="12.75" hidden="false" customHeight="false" outlineLevel="0" collapsed="false">
      <c r="A185" s="184" t="s">
        <v>509</v>
      </c>
      <c r="B185" s="0" t="s">
        <v>669</v>
      </c>
      <c r="C185" s="0" t="s">
        <v>763</v>
      </c>
      <c r="D185" s="0" t="s">
        <v>764</v>
      </c>
      <c r="E185" s="119" t="n">
        <v>30</v>
      </c>
      <c r="F185" s="119" t="n">
        <v>10</v>
      </c>
      <c r="I185" s="118" t="n">
        <v>9</v>
      </c>
      <c r="K185" s="118" t="n">
        <v>7</v>
      </c>
      <c r="M185" s="186" t="n">
        <v>2.65</v>
      </c>
      <c r="S185" s="192" t="n">
        <v>1113</v>
      </c>
      <c r="U185" s="186" t="n">
        <v>10.8</v>
      </c>
      <c r="Y185" s="186" t="n">
        <v>604</v>
      </c>
      <c r="AA185" s="192" t="n">
        <v>82479</v>
      </c>
      <c r="AC185" s="186" t="n">
        <v>25.3</v>
      </c>
      <c r="AG185" s="186" t="n">
        <v>3.07</v>
      </c>
      <c r="AM185" s="192" t="n">
        <v>73</v>
      </c>
      <c r="BS185" s="193" t="n">
        <v>43.93</v>
      </c>
      <c r="BU185" s="186" t="n">
        <v>23.83</v>
      </c>
      <c r="BY185" s="186" t="n">
        <v>6.02</v>
      </c>
      <c r="CL185" s="186" t="n">
        <v>0</v>
      </c>
    </row>
    <row r="186" customFormat="false" ht="12.75" hidden="false" customHeight="false" outlineLevel="0" collapsed="false">
      <c r="A186" s="184" t="s">
        <v>511</v>
      </c>
      <c r="B186" s="0" t="s">
        <v>666</v>
      </c>
      <c r="C186" s="0" t="s">
        <v>759</v>
      </c>
      <c r="D186" s="0" t="s">
        <v>761</v>
      </c>
      <c r="E186" s="119" t="n">
        <v>23</v>
      </c>
      <c r="F186" s="119" t="n">
        <v>3</v>
      </c>
      <c r="I186" s="118" t="n">
        <v>9</v>
      </c>
      <c r="K186" s="118" t="n">
        <v>7</v>
      </c>
      <c r="M186" s="186" t="n">
        <v>3.04</v>
      </c>
      <c r="S186" s="192" t="n">
        <v>1257</v>
      </c>
      <c r="U186" s="186" t="n">
        <v>10.8</v>
      </c>
      <c r="Y186" s="186" t="n">
        <v>629</v>
      </c>
      <c r="AA186" s="192" t="n">
        <v>72195</v>
      </c>
      <c r="AC186" s="186" t="n">
        <v>29</v>
      </c>
      <c r="AG186" s="186" t="n">
        <v>4.01</v>
      </c>
      <c r="AM186" s="192" t="n">
        <v>77</v>
      </c>
      <c r="BS186" s="193" t="n">
        <v>43.41</v>
      </c>
      <c r="BU186" s="186" t="n">
        <v>21.72</v>
      </c>
      <c r="BY186" s="186" t="n">
        <v>6.36</v>
      </c>
      <c r="CL186" s="186" t="n">
        <v>0</v>
      </c>
    </row>
    <row r="187" customFormat="false" ht="12.75" hidden="false" customHeight="false" outlineLevel="0" collapsed="false">
      <c r="A187" s="184" t="s">
        <v>511</v>
      </c>
      <c r="B187" s="0" t="s">
        <v>666</v>
      </c>
      <c r="C187" s="0" t="s">
        <v>763</v>
      </c>
      <c r="D187" s="0" t="s">
        <v>765</v>
      </c>
      <c r="E187" s="119" t="n">
        <v>54</v>
      </c>
      <c r="F187" s="119" t="n">
        <v>8</v>
      </c>
      <c r="I187" s="118" t="n">
        <v>9</v>
      </c>
      <c r="K187" s="118" t="n">
        <v>7</v>
      </c>
      <c r="M187" s="186" t="n">
        <v>3.15</v>
      </c>
      <c r="S187" s="192" t="n">
        <v>1301</v>
      </c>
      <c r="U187" s="186" t="n">
        <v>10.8</v>
      </c>
      <c r="Y187" s="186" t="n">
        <v>662</v>
      </c>
      <c r="AA187" s="192" t="n">
        <v>94127</v>
      </c>
      <c r="AC187" s="186" t="n">
        <v>30.1</v>
      </c>
      <c r="AG187" s="186" t="n">
        <v>3.2</v>
      </c>
      <c r="AM187" s="192" t="n">
        <v>77</v>
      </c>
      <c r="BS187" s="193" t="n">
        <v>43.21</v>
      </c>
      <c r="BU187" s="186" t="n">
        <v>21.98</v>
      </c>
      <c r="BY187" s="186" t="n">
        <v>6.04</v>
      </c>
      <c r="CL187" s="186" t="n">
        <v>0</v>
      </c>
    </row>
    <row r="188" customFormat="false" ht="12.75" hidden="false" customHeight="false" outlineLevel="0" collapsed="false">
      <c r="A188" s="184" t="s">
        <v>511</v>
      </c>
      <c r="B188" s="0" t="s">
        <v>669</v>
      </c>
      <c r="C188" s="0" t="s">
        <v>759</v>
      </c>
      <c r="D188" s="0" t="s">
        <v>761</v>
      </c>
      <c r="E188" s="119" t="n">
        <v>33</v>
      </c>
      <c r="F188" s="119" t="n">
        <v>4</v>
      </c>
      <c r="I188" s="118" t="n">
        <v>9</v>
      </c>
      <c r="K188" s="118" t="n">
        <v>7</v>
      </c>
      <c r="M188" s="186" t="n">
        <v>3.64</v>
      </c>
      <c r="S188" s="192" t="n">
        <v>1440</v>
      </c>
      <c r="U188" s="186" t="n">
        <v>10.8</v>
      </c>
      <c r="Y188" s="186" t="n">
        <v>811</v>
      </c>
      <c r="AA188" s="192" t="n">
        <v>100918</v>
      </c>
      <c r="AC188" s="186" t="n">
        <v>34.8</v>
      </c>
      <c r="AG188" s="186" t="n">
        <v>3.45</v>
      </c>
      <c r="AM188" s="192" t="n">
        <v>77</v>
      </c>
      <c r="BS188" s="193" t="n">
        <v>41.4</v>
      </c>
      <c r="BU188" s="186" t="n">
        <v>23.31</v>
      </c>
      <c r="BY188" s="186" t="n">
        <v>6.07</v>
      </c>
      <c r="CL188" s="186" t="n">
        <v>0</v>
      </c>
    </row>
    <row r="189" customFormat="false" ht="12.75" hidden="false" customHeight="false" outlineLevel="0" collapsed="false">
      <c r="A189" s="184" t="s">
        <v>511</v>
      </c>
      <c r="B189" s="0" t="s">
        <v>669</v>
      </c>
      <c r="C189" s="0" t="s">
        <v>763</v>
      </c>
      <c r="D189" s="0" t="s">
        <v>765</v>
      </c>
      <c r="E189" s="119" t="n">
        <v>44</v>
      </c>
      <c r="F189" s="119" t="n">
        <v>10</v>
      </c>
      <c r="I189" s="118" t="n">
        <v>9</v>
      </c>
      <c r="K189" s="118" t="n">
        <v>7</v>
      </c>
      <c r="M189" s="186" t="n">
        <v>3.48</v>
      </c>
      <c r="S189" s="192" t="n">
        <v>1403</v>
      </c>
      <c r="U189" s="186" t="n">
        <v>10.8</v>
      </c>
      <c r="Y189" s="186" t="n">
        <v>754</v>
      </c>
      <c r="AA189" s="192" t="n">
        <v>101293</v>
      </c>
      <c r="AC189" s="186" t="n">
        <v>33.3</v>
      </c>
      <c r="AG189" s="186" t="n">
        <v>3.29</v>
      </c>
      <c r="AM189" s="192" t="n">
        <v>77</v>
      </c>
      <c r="BS189" s="193" t="n">
        <v>42.16</v>
      </c>
      <c r="BU189" s="186" t="n">
        <v>22.64</v>
      </c>
      <c r="BY189" s="186" t="n">
        <v>5.99</v>
      </c>
      <c r="CL189" s="186" t="n">
        <v>0</v>
      </c>
    </row>
    <row r="190" customFormat="false" ht="12.75" hidden="false" customHeight="false" outlineLevel="0" collapsed="false">
      <c r="A190" s="184" t="s">
        <v>513</v>
      </c>
      <c r="B190" s="0" t="s">
        <v>666</v>
      </c>
      <c r="C190" s="0" t="s">
        <v>759</v>
      </c>
      <c r="D190" s="0" t="s">
        <v>761</v>
      </c>
      <c r="E190" s="119" t="n">
        <v>28</v>
      </c>
      <c r="F190" s="119" t="n">
        <v>3</v>
      </c>
      <c r="I190" s="118" t="n">
        <v>9</v>
      </c>
      <c r="K190" s="118" t="n">
        <v>7</v>
      </c>
      <c r="M190" s="186" t="n">
        <v>2.46</v>
      </c>
      <c r="S190" s="192" t="n">
        <v>1050</v>
      </c>
      <c r="U190" s="186" t="n">
        <v>10.8</v>
      </c>
      <c r="Y190" s="186" t="n">
        <v>520</v>
      </c>
      <c r="AA190" s="192" t="n">
        <v>71386</v>
      </c>
      <c r="AC190" s="186" t="n">
        <v>23.3</v>
      </c>
      <c r="AG190" s="186" t="n">
        <v>3.27</v>
      </c>
      <c r="AM190" s="192" t="n">
        <v>77</v>
      </c>
      <c r="BS190" s="193" t="n">
        <v>45.01</v>
      </c>
      <c r="BU190" s="186" t="n">
        <v>22.29</v>
      </c>
      <c r="BY190" s="186" t="n">
        <v>6.79</v>
      </c>
      <c r="CL190" s="186" t="n">
        <v>0</v>
      </c>
    </row>
    <row r="191" customFormat="false" ht="12.75" hidden="false" customHeight="false" outlineLevel="0" collapsed="false">
      <c r="A191" s="184" t="s">
        <v>513</v>
      </c>
      <c r="B191" s="0" t="s">
        <v>666</v>
      </c>
      <c r="C191" s="0" t="s">
        <v>763</v>
      </c>
      <c r="D191" s="0" t="s">
        <v>765</v>
      </c>
      <c r="E191" s="119" t="n">
        <v>51</v>
      </c>
      <c r="F191" s="119" t="n">
        <v>8</v>
      </c>
      <c r="I191" s="118" t="n">
        <v>9</v>
      </c>
      <c r="K191" s="118" t="n">
        <v>7</v>
      </c>
      <c r="M191" s="186" t="n">
        <v>2.71</v>
      </c>
      <c r="S191" s="192" t="n">
        <v>1228</v>
      </c>
      <c r="U191" s="186" t="n">
        <v>10.8</v>
      </c>
      <c r="Y191" s="186" t="n">
        <v>521</v>
      </c>
      <c r="AA191" s="192" t="n">
        <v>75868</v>
      </c>
      <c r="AC191" s="186" t="n">
        <v>26</v>
      </c>
      <c r="AG191" s="186" t="n">
        <v>3.42</v>
      </c>
      <c r="AM191" s="192" t="n">
        <v>77</v>
      </c>
      <c r="BS191" s="193" t="n">
        <v>47.29</v>
      </c>
      <c r="BU191" s="186" t="n">
        <v>20.06</v>
      </c>
      <c r="BY191" s="186" t="n">
        <v>5.81</v>
      </c>
      <c r="CL191" s="186" t="n">
        <v>0</v>
      </c>
    </row>
    <row r="192" customFormat="false" ht="12.75" hidden="false" customHeight="false" outlineLevel="0" collapsed="false">
      <c r="A192" s="184" t="s">
        <v>513</v>
      </c>
      <c r="B192" s="0" t="s">
        <v>669</v>
      </c>
      <c r="C192" s="0" t="s">
        <v>759</v>
      </c>
      <c r="D192" s="0" t="s">
        <v>761</v>
      </c>
      <c r="E192" s="119" t="n">
        <v>29</v>
      </c>
      <c r="F192" s="119" t="n">
        <v>4</v>
      </c>
      <c r="I192" s="118" t="n">
        <v>9</v>
      </c>
      <c r="K192" s="118" t="n">
        <v>7</v>
      </c>
      <c r="M192" s="186" t="n">
        <v>3.49</v>
      </c>
      <c r="S192" s="192" t="n">
        <v>1379</v>
      </c>
      <c r="U192" s="186" t="n">
        <v>10.8</v>
      </c>
      <c r="Y192" s="186" t="n">
        <v>833</v>
      </c>
      <c r="AA192" s="192" t="n">
        <v>100414</v>
      </c>
      <c r="AC192" s="186" t="n">
        <v>33.1</v>
      </c>
      <c r="AG192" s="186" t="n">
        <v>3.3</v>
      </c>
      <c r="AM192" s="192" t="n">
        <v>80</v>
      </c>
      <c r="BS192" s="193" t="n">
        <v>41.63</v>
      </c>
      <c r="BU192" s="186" t="n">
        <v>25.14</v>
      </c>
      <c r="BY192" s="186" t="n">
        <v>6.68</v>
      </c>
      <c r="CL192" s="186" t="n">
        <v>0</v>
      </c>
    </row>
    <row r="193" customFormat="false" ht="12.75" hidden="false" customHeight="false" outlineLevel="0" collapsed="false">
      <c r="A193" s="184" t="s">
        <v>513</v>
      </c>
      <c r="B193" s="0" t="s">
        <v>669</v>
      </c>
      <c r="C193" s="0" t="s">
        <v>763</v>
      </c>
      <c r="D193" s="0" t="s">
        <v>765</v>
      </c>
      <c r="E193" s="119" t="n">
        <v>46</v>
      </c>
      <c r="F193" s="119" t="n">
        <v>11</v>
      </c>
      <c r="I193" s="118" t="n">
        <v>9</v>
      </c>
      <c r="K193" s="118" t="n">
        <v>9</v>
      </c>
      <c r="M193" s="186" t="n">
        <v>3.73</v>
      </c>
      <c r="S193" s="192" t="n">
        <v>1578</v>
      </c>
      <c r="U193" s="186" t="n">
        <v>10.8</v>
      </c>
      <c r="Y193" s="186" t="n">
        <v>825</v>
      </c>
      <c r="AA193" s="192" t="n">
        <v>116074</v>
      </c>
      <c r="AC193" s="186" t="n">
        <v>35.7</v>
      </c>
      <c r="AG193" s="186" t="n">
        <v>3.08</v>
      </c>
      <c r="AM193" s="192" t="n">
        <v>77</v>
      </c>
      <c r="BS193" s="193" t="n">
        <v>44.16</v>
      </c>
      <c r="BU193" s="186" t="n">
        <v>23.08</v>
      </c>
      <c r="BY193" s="186" t="n">
        <v>5.85</v>
      </c>
      <c r="CL193" s="186" t="n">
        <v>0</v>
      </c>
    </row>
    <row r="194" customFormat="false" ht="12.75" hidden="false" customHeight="false" outlineLevel="0" collapsed="false">
      <c r="A194" s="184" t="s">
        <v>515</v>
      </c>
      <c r="B194" s="0" t="s">
        <v>666</v>
      </c>
      <c r="C194" s="0" t="s">
        <v>759</v>
      </c>
      <c r="D194" s="0" t="s">
        <v>761</v>
      </c>
      <c r="E194" s="119" t="n">
        <v>20</v>
      </c>
      <c r="F194" s="119" t="n">
        <v>2</v>
      </c>
      <c r="I194" s="118" t="n">
        <v>9</v>
      </c>
      <c r="K194" s="118" t="n">
        <v>7</v>
      </c>
      <c r="M194" s="186" t="n">
        <v>2.08</v>
      </c>
      <c r="S194" s="192" t="n">
        <v>892</v>
      </c>
      <c r="U194" s="186" t="n">
        <v>10.8</v>
      </c>
      <c r="Y194" s="186" t="n">
        <v>405</v>
      </c>
      <c r="AA194" s="192" t="n">
        <v>69694</v>
      </c>
      <c r="AC194" s="186" t="n">
        <v>19.8</v>
      </c>
      <c r="AG194" s="186" t="n">
        <v>2.84</v>
      </c>
      <c r="AM194" s="192" t="n">
        <v>77</v>
      </c>
      <c r="BS194" s="193" t="n">
        <v>45.1</v>
      </c>
      <c r="BU194" s="186" t="n">
        <v>20.46</v>
      </c>
      <c r="BY194" s="186" t="n">
        <v>6.57</v>
      </c>
      <c r="CL194" s="186" t="n">
        <v>0</v>
      </c>
    </row>
    <row r="195" customFormat="false" ht="12.75" hidden="false" customHeight="false" outlineLevel="0" collapsed="false">
      <c r="A195" s="184" t="s">
        <v>515</v>
      </c>
      <c r="B195" s="0" t="s">
        <v>666</v>
      </c>
      <c r="C195" s="0" t="s">
        <v>763</v>
      </c>
      <c r="D195" s="0" t="s">
        <v>765</v>
      </c>
      <c r="E195" s="119" t="n">
        <v>46</v>
      </c>
      <c r="F195" s="119" t="n">
        <v>7</v>
      </c>
      <c r="I195" s="118" t="n">
        <v>9</v>
      </c>
      <c r="K195" s="118" t="n">
        <v>7</v>
      </c>
      <c r="M195" s="186" t="n">
        <v>3.03</v>
      </c>
      <c r="S195" s="192" t="n">
        <v>1273</v>
      </c>
      <c r="U195" s="186" t="n">
        <v>10.8</v>
      </c>
      <c r="Y195" s="186" t="n">
        <v>601</v>
      </c>
      <c r="AA195" s="192" t="n">
        <v>100702</v>
      </c>
      <c r="AC195" s="186" t="n">
        <v>29</v>
      </c>
      <c r="AG195" s="186" t="n">
        <v>2.88</v>
      </c>
      <c r="AM195" s="192" t="n">
        <v>77</v>
      </c>
      <c r="BS195" s="193" t="n">
        <v>43.91</v>
      </c>
      <c r="BU195" s="186" t="n">
        <v>20.71</v>
      </c>
      <c r="BY195" s="186" t="n">
        <v>5.96</v>
      </c>
      <c r="CL195" s="186" t="n">
        <v>0</v>
      </c>
    </row>
    <row r="196" customFormat="false" ht="12.75" hidden="false" customHeight="false" outlineLevel="0" collapsed="false">
      <c r="A196" s="184" t="s">
        <v>515</v>
      </c>
      <c r="B196" s="0" t="s">
        <v>669</v>
      </c>
      <c r="C196" s="0" t="s">
        <v>759</v>
      </c>
      <c r="D196" s="0" t="s">
        <v>761</v>
      </c>
      <c r="E196" s="119" t="n">
        <v>34</v>
      </c>
      <c r="F196" s="119" t="n">
        <v>6</v>
      </c>
      <c r="I196" s="118" t="n">
        <v>9</v>
      </c>
      <c r="K196" s="118" t="n">
        <v>9</v>
      </c>
      <c r="M196" s="186" t="n">
        <v>3.61</v>
      </c>
      <c r="S196" s="192" t="n">
        <v>1483</v>
      </c>
      <c r="U196" s="186" t="n">
        <v>10.8</v>
      </c>
      <c r="Y196" s="186" t="n">
        <v>769</v>
      </c>
      <c r="AA196" s="192" t="n">
        <v>118456</v>
      </c>
      <c r="AC196" s="186" t="n">
        <v>34.4</v>
      </c>
      <c r="AG196" s="186" t="n">
        <v>2.9</v>
      </c>
      <c r="AM196" s="192" t="n">
        <v>77</v>
      </c>
      <c r="BS196" s="193" t="n">
        <v>43.16</v>
      </c>
      <c r="BU196" s="186" t="n">
        <v>22.39</v>
      </c>
      <c r="BY196" s="186" t="n">
        <v>6.47</v>
      </c>
      <c r="CL196" s="186" t="n">
        <v>0</v>
      </c>
    </row>
    <row r="197" customFormat="false" ht="12.75" hidden="false" customHeight="false" outlineLevel="0" collapsed="false">
      <c r="A197" s="184" t="s">
        <v>515</v>
      </c>
      <c r="B197" s="0" t="s">
        <v>669</v>
      </c>
      <c r="C197" s="0" t="s">
        <v>763</v>
      </c>
      <c r="D197" s="0" t="s">
        <v>765</v>
      </c>
      <c r="E197" s="119" t="n">
        <v>50</v>
      </c>
      <c r="F197" s="119" t="n">
        <v>12</v>
      </c>
      <c r="I197" s="118" t="n">
        <v>9</v>
      </c>
      <c r="K197" s="118" t="n">
        <v>9</v>
      </c>
      <c r="M197" s="186" t="n">
        <v>3.76</v>
      </c>
      <c r="S197" s="192" t="n">
        <v>1498</v>
      </c>
      <c r="U197" s="186" t="n">
        <v>10.8</v>
      </c>
      <c r="Y197" s="186" t="n">
        <v>863</v>
      </c>
      <c r="AA197" s="192" t="n">
        <v>128285</v>
      </c>
      <c r="AC197" s="186" t="n">
        <v>36</v>
      </c>
      <c r="AG197" s="186" t="n">
        <v>2.8</v>
      </c>
      <c r="AM197" s="192" t="n">
        <v>77</v>
      </c>
      <c r="BS197" s="193" t="n">
        <v>41.65</v>
      </c>
      <c r="BU197" s="186" t="n">
        <v>23.99</v>
      </c>
      <c r="BY197" s="186" t="n">
        <v>5.99</v>
      </c>
      <c r="CL197" s="186" t="n">
        <v>0</v>
      </c>
    </row>
    <row r="198" customFormat="false" ht="12.75" hidden="false" customHeight="false" outlineLevel="0" collapsed="false">
      <c r="A198" s="184" t="s">
        <v>517</v>
      </c>
      <c r="B198" s="0" t="s">
        <v>666</v>
      </c>
      <c r="C198" s="0" t="s">
        <v>759</v>
      </c>
      <c r="D198" s="0" t="s">
        <v>761</v>
      </c>
      <c r="E198" s="119" t="n">
        <v>27</v>
      </c>
      <c r="F198" s="119" t="n">
        <v>2</v>
      </c>
      <c r="I198" s="118" t="n">
        <v>7</v>
      </c>
      <c r="K198" s="118" t="n">
        <v>7</v>
      </c>
      <c r="M198" s="186" t="n">
        <v>2.43</v>
      </c>
      <c r="S198" s="192" t="n">
        <v>1045</v>
      </c>
      <c r="U198" s="186" t="n">
        <v>10.8</v>
      </c>
      <c r="Y198" s="186" t="n">
        <v>495</v>
      </c>
      <c r="AA198" s="192" t="n">
        <v>73659</v>
      </c>
      <c r="AC198" s="186" t="n">
        <v>23</v>
      </c>
      <c r="AG198" s="186" t="n">
        <v>3.12</v>
      </c>
      <c r="AM198" s="192" t="n">
        <v>77</v>
      </c>
      <c r="BS198" s="193" t="n">
        <v>45.42</v>
      </c>
      <c r="BU198" s="186" t="n">
        <v>21.52</v>
      </c>
      <c r="BY198" s="186" t="n">
        <v>6.99</v>
      </c>
      <c r="CL198" s="186" t="n">
        <v>0</v>
      </c>
    </row>
    <row r="199" customFormat="false" ht="12.75" hidden="false" customHeight="false" outlineLevel="0" collapsed="false">
      <c r="A199" s="184" t="s">
        <v>517</v>
      </c>
      <c r="B199" s="0" t="s">
        <v>666</v>
      </c>
      <c r="C199" s="0" t="s">
        <v>763</v>
      </c>
      <c r="D199" s="0" t="s">
        <v>765</v>
      </c>
      <c r="E199" s="119" t="n">
        <v>55</v>
      </c>
      <c r="F199" s="119" t="n">
        <v>9</v>
      </c>
      <c r="I199" s="118" t="n">
        <v>9</v>
      </c>
      <c r="K199" s="118" t="n">
        <v>9</v>
      </c>
      <c r="M199" s="186" t="n">
        <v>2.92</v>
      </c>
      <c r="S199" s="192" t="n">
        <v>1286</v>
      </c>
      <c r="U199" s="186" t="n">
        <v>10.8</v>
      </c>
      <c r="Y199" s="186" t="n">
        <v>581</v>
      </c>
      <c r="AA199" s="192" t="n">
        <v>95676</v>
      </c>
      <c r="AC199" s="186" t="n">
        <v>28</v>
      </c>
      <c r="AG199" s="186" t="n">
        <v>2.93</v>
      </c>
      <c r="AM199" s="192" t="n">
        <v>77</v>
      </c>
      <c r="BS199" s="193" t="n">
        <v>45.95</v>
      </c>
      <c r="BU199" s="186" t="n">
        <v>20.77</v>
      </c>
      <c r="BY199" s="186" t="n">
        <v>5.78</v>
      </c>
      <c r="CL199" s="186" t="n">
        <v>0</v>
      </c>
    </row>
    <row r="200" customFormat="false" ht="12.75" hidden="false" customHeight="false" outlineLevel="0" collapsed="false">
      <c r="A200" s="184" t="s">
        <v>517</v>
      </c>
      <c r="B200" s="0" t="s">
        <v>669</v>
      </c>
      <c r="C200" s="0" t="s">
        <v>759</v>
      </c>
      <c r="D200" s="0" t="s">
        <v>761</v>
      </c>
      <c r="E200" s="119" t="n">
        <v>37</v>
      </c>
      <c r="F200" s="119" t="n">
        <v>6</v>
      </c>
      <c r="I200" s="118" t="n">
        <v>9</v>
      </c>
      <c r="K200" s="118" t="n">
        <v>9</v>
      </c>
      <c r="M200" s="186" t="n">
        <v>3.57</v>
      </c>
      <c r="S200" s="192" t="n">
        <v>1448</v>
      </c>
      <c r="U200" s="186" t="n">
        <v>10.8</v>
      </c>
      <c r="Y200" s="186" t="n">
        <v>825</v>
      </c>
      <c r="AA200" s="192" t="n">
        <v>118004</v>
      </c>
      <c r="AC200" s="186" t="n">
        <v>34.3</v>
      </c>
      <c r="AG200" s="186" t="n">
        <v>2.9</v>
      </c>
      <c r="AM200" s="192" t="n">
        <v>77</v>
      </c>
      <c r="BS200" s="193" t="n">
        <v>42.28</v>
      </c>
      <c r="BU200" s="186" t="n">
        <v>24.08</v>
      </c>
      <c r="BY200" s="186" t="n">
        <v>5.68</v>
      </c>
      <c r="CL200" s="186" t="n">
        <v>0</v>
      </c>
    </row>
    <row r="201" customFormat="false" ht="12.75" hidden="false" customHeight="false" outlineLevel="0" collapsed="false">
      <c r="A201" s="184" t="s">
        <v>517</v>
      </c>
      <c r="B201" s="0" t="s">
        <v>669</v>
      </c>
      <c r="C201" s="0" t="s">
        <v>763</v>
      </c>
      <c r="D201" s="0" t="s">
        <v>765</v>
      </c>
      <c r="E201" s="119" t="n">
        <v>40</v>
      </c>
      <c r="F201" s="119" t="n">
        <v>11</v>
      </c>
      <c r="I201" s="118" t="n">
        <v>9</v>
      </c>
      <c r="K201" s="118" t="n">
        <v>9</v>
      </c>
      <c r="M201" s="186" t="n">
        <v>3.6</v>
      </c>
      <c r="S201" s="192" t="n">
        <v>1518</v>
      </c>
      <c r="U201" s="186" t="n">
        <v>10.8</v>
      </c>
      <c r="Y201" s="186" t="n">
        <v>759</v>
      </c>
      <c r="AA201" s="192" t="n">
        <v>119996</v>
      </c>
      <c r="AC201" s="186" t="n">
        <v>34.6</v>
      </c>
      <c r="AG201" s="186" t="n">
        <v>2.88</v>
      </c>
      <c r="AM201" s="192" t="n">
        <v>77</v>
      </c>
      <c r="BS201" s="193" t="n">
        <v>43.92</v>
      </c>
      <c r="BU201" s="186" t="n">
        <v>21.96</v>
      </c>
      <c r="BY201" s="186" t="n">
        <v>5.62</v>
      </c>
      <c r="CL201" s="186" t="n">
        <v>0</v>
      </c>
    </row>
    <row r="202" customFormat="false" ht="12.75" hidden="false" customHeight="false" outlineLevel="0" collapsed="false">
      <c r="A202" s="184" t="s">
        <v>519</v>
      </c>
      <c r="B202" s="0" t="s">
        <v>666</v>
      </c>
      <c r="C202" s="0" t="s">
        <v>759</v>
      </c>
      <c r="D202" s="0" t="s">
        <v>761</v>
      </c>
      <c r="E202" s="119" t="n">
        <v>34</v>
      </c>
      <c r="F202" s="119" t="n">
        <v>1</v>
      </c>
      <c r="I202" s="118" t="n">
        <v>9</v>
      </c>
      <c r="K202" s="118" t="n">
        <v>9</v>
      </c>
      <c r="M202" s="186" t="n">
        <v>3.19</v>
      </c>
      <c r="S202" s="192" t="n">
        <v>1318</v>
      </c>
      <c r="U202" s="186" t="n">
        <v>10.8</v>
      </c>
      <c r="Y202" s="186" t="n">
        <v>658</v>
      </c>
      <c r="AA202" s="192" t="n">
        <v>102496</v>
      </c>
      <c r="AC202" s="186" t="n">
        <v>30.4</v>
      </c>
      <c r="AG202" s="186" t="n">
        <v>2.97</v>
      </c>
      <c r="AM202" s="192" t="n">
        <v>73</v>
      </c>
      <c r="BS202" s="193" t="n">
        <v>43.35</v>
      </c>
      <c r="BU202" s="186" t="n">
        <v>21.62</v>
      </c>
      <c r="BY202" s="186" t="n">
        <v>6.31</v>
      </c>
      <c r="CL202" s="186" t="n">
        <v>0</v>
      </c>
    </row>
    <row r="203" customFormat="false" ht="12.75" hidden="false" customHeight="false" outlineLevel="0" collapsed="false">
      <c r="A203" s="184" t="s">
        <v>519</v>
      </c>
      <c r="B203" s="0" t="s">
        <v>666</v>
      </c>
      <c r="C203" s="0" t="s">
        <v>763</v>
      </c>
      <c r="D203" s="0" t="s">
        <v>765</v>
      </c>
      <c r="E203" s="119" t="n">
        <v>51</v>
      </c>
      <c r="F203" s="119" t="n">
        <v>9</v>
      </c>
      <c r="I203" s="118" t="n">
        <v>9</v>
      </c>
      <c r="K203" s="118" t="n">
        <v>9</v>
      </c>
      <c r="M203" s="186" t="n">
        <v>3.25</v>
      </c>
      <c r="S203" s="192" t="n">
        <v>1427</v>
      </c>
      <c r="U203" s="186" t="n">
        <v>10.8</v>
      </c>
      <c r="Y203" s="186" t="n">
        <v>595</v>
      </c>
      <c r="AA203" s="192" t="n">
        <v>105937</v>
      </c>
      <c r="AC203" s="186" t="n">
        <v>31.1</v>
      </c>
      <c r="AG203" s="186" t="n">
        <v>2.94</v>
      </c>
      <c r="AM203" s="192" t="n">
        <v>77</v>
      </c>
      <c r="BS203" s="193" t="n">
        <v>45.86</v>
      </c>
      <c r="BU203" s="186" t="n">
        <v>19.13</v>
      </c>
      <c r="BY203" s="186" t="n">
        <v>5.92</v>
      </c>
      <c r="CL203" s="186" t="n">
        <v>0</v>
      </c>
    </row>
    <row r="204" customFormat="false" ht="12.75" hidden="false" customHeight="false" outlineLevel="0" collapsed="false">
      <c r="A204" s="184" t="s">
        <v>519</v>
      </c>
      <c r="B204" s="0" t="s">
        <v>669</v>
      </c>
      <c r="C204" s="0" t="s">
        <v>759</v>
      </c>
      <c r="D204" s="0" t="s">
        <v>761</v>
      </c>
      <c r="E204" s="119" t="n">
        <v>22</v>
      </c>
      <c r="F204" s="119" t="n">
        <v>5</v>
      </c>
      <c r="I204" s="118" t="n">
        <v>9</v>
      </c>
      <c r="K204" s="118" t="n">
        <v>9</v>
      </c>
      <c r="M204" s="186" t="n">
        <v>3.26</v>
      </c>
      <c r="S204" s="192" t="n">
        <v>1232</v>
      </c>
      <c r="U204" s="186" t="n">
        <v>10.8</v>
      </c>
      <c r="Y204" s="186" t="n">
        <v>784</v>
      </c>
      <c r="AA204" s="192" t="n">
        <v>116198</v>
      </c>
      <c r="AC204" s="186" t="n">
        <v>31</v>
      </c>
      <c r="AG204" s="186" t="n">
        <v>2.67</v>
      </c>
      <c r="AM204" s="192" t="n">
        <v>77</v>
      </c>
      <c r="BS204" s="193" t="n">
        <v>39.72</v>
      </c>
      <c r="BU204" s="186" t="n">
        <v>25.25</v>
      </c>
      <c r="BY204" s="186" t="n">
        <v>6.45</v>
      </c>
      <c r="CL204" s="186" t="n">
        <v>9</v>
      </c>
    </row>
    <row r="205" customFormat="false" ht="12.75" hidden="false" customHeight="false" outlineLevel="0" collapsed="false">
      <c r="A205" s="184" t="s">
        <v>519</v>
      </c>
      <c r="B205" s="0" t="s">
        <v>669</v>
      </c>
      <c r="C205" s="0" t="s">
        <v>763</v>
      </c>
      <c r="D205" s="0" t="s">
        <v>765</v>
      </c>
      <c r="E205" s="119" t="n">
        <v>53</v>
      </c>
      <c r="F205" s="119" t="n">
        <v>11</v>
      </c>
      <c r="I205" s="118" t="n">
        <v>9</v>
      </c>
      <c r="K205" s="118" t="n">
        <v>9</v>
      </c>
      <c r="M205" s="186" t="n">
        <v>3.64</v>
      </c>
      <c r="S205" s="192" t="n">
        <v>1501</v>
      </c>
      <c r="U205" s="186" t="n">
        <v>10.8</v>
      </c>
      <c r="Y205" s="186" t="n">
        <v>757</v>
      </c>
      <c r="AA205" s="192" t="n">
        <v>115076</v>
      </c>
      <c r="AC205" s="186" t="n">
        <v>34.9</v>
      </c>
      <c r="AG205" s="186" t="n">
        <v>3.03</v>
      </c>
      <c r="AM205" s="192" t="n">
        <v>77</v>
      </c>
      <c r="BS205" s="193" t="n">
        <v>43.04</v>
      </c>
      <c r="BU205" s="186" t="n">
        <v>21.71</v>
      </c>
      <c r="BY205" s="186" t="n">
        <v>5.81</v>
      </c>
      <c r="CL205" s="186" t="n">
        <v>2</v>
      </c>
    </row>
    <row r="206" customFormat="false" ht="12.75" hidden="false" customHeight="false" outlineLevel="0" collapsed="false">
      <c r="A206" s="184" t="s">
        <v>521</v>
      </c>
      <c r="B206" s="0" t="s">
        <v>666</v>
      </c>
      <c r="C206" s="0" t="s">
        <v>759</v>
      </c>
      <c r="D206" s="0" t="s">
        <v>761</v>
      </c>
      <c r="E206" s="119" t="n">
        <v>37</v>
      </c>
      <c r="F206" s="119" t="n">
        <v>3</v>
      </c>
      <c r="I206" s="118" t="n">
        <v>9</v>
      </c>
      <c r="K206" s="118" t="n">
        <v>7</v>
      </c>
      <c r="M206" s="186" t="n">
        <v>3.15</v>
      </c>
      <c r="S206" s="192" t="n">
        <v>1402</v>
      </c>
      <c r="U206" s="186" t="n">
        <v>10.8</v>
      </c>
      <c r="Y206" s="186" t="n">
        <v>647</v>
      </c>
      <c r="AA206" s="192" t="n">
        <v>96093</v>
      </c>
      <c r="AC206" s="186" t="n">
        <v>30.2</v>
      </c>
      <c r="AG206" s="186" t="n">
        <v>3.15</v>
      </c>
      <c r="AM206" s="192" t="n">
        <v>73</v>
      </c>
      <c r="BS206" s="193" t="n">
        <v>46.36</v>
      </c>
      <c r="BU206" s="186" t="n">
        <v>21.38</v>
      </c>
      <c r="BY206" s="186" t="n">
        <v>5.63</v>
      </c>
      <c r="CL206" s="186" t="n">
        <v>0</v>
      </c>
    </row>
    <row r="207" customFormat="false" ht="12.75" hidden="false" customHeight="false" outlineLevel="0" collapsed="false">
      <c r="A207" s="184" t="s">
        <v>521</v>
      </c>
      <c r="B207" s="0" t="s">
        <v>666</v>
      </c>
      <c r="C207" s="0" t="s">
        <v>763</v>
      </c>
      <c r="D207" s="0" t="s">
        <v>765</v>
      </c>
      <c r="E207" s="119" t="n">
        <v>43</v>
      </c>
      <c r="F207" s="119" t="n">
        <v>9</v>
      </c>
      <c r="I207" s="118" t="n">
        <v>9</v>
      </c>
      <c r="K207" s="118" t="n">
        <v>9</v>
      </c>
      <c r="M207" s="186" t="n">
        <v>3.35</v>
      </c>
      <c r="S207" s="192" t="n">
        <v>1508</v>
      </c>
      <c r="U207" s="186" t="n">
        <v>10.8</v>
      </c>
      <c r="Y207" s="186" t="n">
        <v>662</v>
      </c>
      <c r="AA207" s="192" t="n">
        <v>106903</v>
      </c>
      <c r="AC207" s="186" t="n">
        <v>32.2</v>
      </c>
      <c r="AG207" s="186" t="n">
        <v>3.01</v>
      </c>
      <c r="AM207" s="192" t="n">
        <v>73</v>
      </c>
      <c r="BS207" s="193" t="n">
        <v>46.88</v>
      </c>
      <c r="BU207" s="186" t="n">
        <v>20.58</v>
      </c>
      <c r="BY207" s="186" t="n">
        <v>5.63</v>
      </c>
      <c r="CL207" s="186" t="n">
        <v>0</v>
      </c>
    </row>
    <row r="208" customFormat="false" ht="12.75" hidden="false" customHeight="false" outlineLevel="0" collapsed="false">
      <c r="A208" s="184" t="s">
        <v>521</v>
      </c>
      <c r="B208" s="0" t="s">
        <v>669</v>
      </c>
      <c r="C208" s="0" t="s">
        <v>759</v>
      </c>
      <c r="D208" s="0" t="s">
        <v>761</v>
      </c>
      <c r="E208" s="119" t="n">
        <v>25</v>
      </c>
      <c r="F208" s="119" t="n">
        <v>4</v>
      </c>
      <c r="I208" s="118" t="n">
        <v>9</v>
      </c>
      <c r="K208" s="118" t="n">
        <v>7</v>
      </c>
      <c r="M208" s="186" t="n">
        <v>4.37</v>
      </c>
      <c r="S208" s="192" t="n">
        <v>1728</v>
      </c>
      <c r="U208" s="186" t="n">
        <v>10.8</v>
      </c>
      <c r="Y208" s="186" t="n">
        <v>1034</v>
      </c>
      <c r="AA208" s="192" t="n">
        <v>141658</v>
      </c>
      <c r="AC208" s="186" t="n">
        <v>40.9</v>
      </c>
      <c r="AG208" s="186" t="n">
        <v>2.89</v>
      </c>
      <c r="AM208" s="192" t="n">
        <v>73</v>
      </c>
      <c r="BS208" s="193" t="n">
        <v>42.22</v>
      </c>
      <c r="BU208" s="186" t="n">
        <v>25.28</v>
      </c>
      <c r="BY208" s="186" t="n">
        <v>7.96</v>
      </c>
      <c r="CL208" s="186" t="n">
        <v>0</v>
      </c>
    </row>
    <row r="209" customFormat="false" ht="12.75" hidden="false" customHeight="false" outlineLevel="0" collapsed="false">
      <c r="A209" s="184" t="s">
        <v>521</v>
      </c>
      <c r="B209" s="0" t="s">
        <v>669</v>
      </c>
      <c r="C209" s="0" t="s">
        <v>763</v>
      </c>
      <c r="D209" s="0" t="s">
        <v>765</v>
      </c>
      <c r="E209" s="119" t="n">
        <v>43</v>
      </c>
      <c r="F209" s="119" t="n">
        <v>10</v>
      </c>
      <c r="I209" s="118" t="n">
        <v>9</v>
      </c>
      <c r="K209" s="118" t="n">
        <v>7</v>
      </c>
      <c r="M209" s="186" t="n">
        <v>4</v>
      </c>
      <c r="S209" s="192" t="n">
        <v>1680</v>
      </c>
      <c r="U209" s="186" t="n">
        <v>10.8</v>
      </c>
      <c r="Y209" s="186" t="n">
        <v>888</v>
      </c>
      <c r="AA209" s="192" t="n">
        <v>129783</v>
      </c>
      <c r="AC209" s="186" t="n">
        <v>38.4</v>
      </c>
      <c r="AG209" s="186" t="n">
        <v>2.96</v>
      </c>
      <c r="AM209" s="192" t="n">
        <v>73</v>
      </c>
      <c r="BS209" s="193" t="n">
        <v>43.77</v>
      </c>
      <c r="BU209" s="186" t="n">
        <v>23.14</v>
      </c>
      <c r="BY209" s="186" t="n">
        <v>5.69</v>
      </c>
      <c r="CL209" s="186" t="n">
        <v>0</v>
      </c>
    </row>
    <row r="210" customFormat="false" ht="12.75" hidden="false" customHeight="false" outlineLevel="0" collapsed="false">
      <c r="A210" s="184" t="s">
        <v>523</v>
      </c>
      <c r="B210" s="0" t="s">
        <v>666</v>
      </c>
      <c r="C210" s="0" t="s">
        <v>759</v>
      </c>
      <c r="D210" s="0" t="s">
        <v>761</v>
      </c>
      <c r="E210" s="119" t="n">
        <v>30</v>
      </c>
      <c r="F210" s="119" t="n">
        <v>2</v>
      </c>
      <c r="I210" s="118" t="n">
        <v>7</v>
      </c>
      <c r="K210" s="118" t="n">
        <v>7</v>
      </c>
      <c r="M210" s="186" t="n">
        <v>2.63</v>
      </c>
      <c r="S210" s="192" t="n">
        <v>1073</v>
      </c>
      <c r="U210" s="186" t="n">
        <v>10.8</v>
      </c>
      <c r="Y210" s="186" t="n">
        <v>552</v>
      </c>
      <c r="AA210" s="192" t="n">
        <v>87136</v>
      </c>
      <c r="AC210" s="186" t="n">
        <v>25</v>
      </c>
      <c r="AG210" s="186" t="n">
        <v>2.87</v>
      </c>
      <c r="AM210" s="192" t="n">
        <v>73</v>
      </c>
      <c r="BS210" s="193" t="n">
        <v>42.86</v>
      </c>
      <c r="BU210" s="186" t="n">
        <v>22.05</v>
      </c>
      <c r="BY210" s="186" t="n">
        <v>6.42</v>
      </c>
      <c r="CL210" s="186" t="n">
        <v>0</v>
      </c>
    </row>
    <row r="211" customFormat="false" ht="12.75" hidden="false" customHeight="false" outlineLevel="0" collapsed="false">
      <c r="A211" s="184" t="s">
        <v>523</v>
      </c>
      <c r="B211" s="0" t="s">
        <v>666</v>
      </c>
      <c r="C211" s="0" t="s">
        <v>763</v>
      </c>
      <c r="D211" s="0" t="s">
        <v>765</v>
      </c>
      <c r="E211" s="119" t="n">
        <v>46</v>
      </c>
      <c r="F211" s="119" t="n">
        <v>8</v>
      </c>
      <c r="I211" s="118" t="n">
        <v>9</v>
      </c>
      <c r="K211" s="118" t="n">
        <v>7</v>
      </c>
      <c r="M211" s="186" t="n">
        <v>2.79</v>
      </c>
      <c r="S211" s="192" t="n">
        <v>1196</v>
      </c>
      <c r="U211" s="186" t="n">
        <v>10.8</v>
      </c>
      <c r="Y211" s="186" t="n">
        <v>535</v>
      </c>
      <c r="AA211" s="192" t="n">
        <v>95432</v>
      </c>
      <c r="AC211" s="186" t="n">
        <v>26.8</v>
      </c>
      <c r="AG211" s="186" t="n">
        <v>2.81</v>
      </c>
      <c r="AM211" s="192" t="n">
        <v>73</v>
      </c>
      <c r="BS211" s="193" t="n">
        <v>44.65</v>
      </c>
      <c r="BU211" s="186" t="n">
        <v>19.99</v>
      </c>
      <c r="BY211" s="186" t="n">
        <v>5.68</v>
      </c>
      <c r="CL211" s="186" t="n">
        <v>0</v>
      </c>
    </row>
    <row r="212" customFormat="false" ht="12.75" hidden="false" customHeight="false" outlineLevel="0" collapsed="false">
      <c r="A212" s="184" t="s">
        <v>523</v>
      </c>
      <c r="B212" s="0" t="s">
        <v>669</v>
      </c>
      <c r="C212" s="0" t="s">
        <v>759</v>
      </c>
      <c r="D212" s="0" t="s">
        <v>761</v>
      </c>
      <c r="E212" s="119" t="n">
        <v>26</v>
      </c>
      <c r="F212" s="119" t="n">
        <v>5</v>
      </c>
      <c r="I212" s="118" t="n">
        <v>9</v>
      </c>
      <c r="K212" s="118" t="n">
        <v>7</v>
      </c>
      <c r="M212" s="186" t="n">
        <v>3.17</v>
      </c>
      <c r="S212" s="192" t="n">
        <v>1276</v>
      </c>
      <c r="U212" s="186" t="n">
        <v>10.8</v>
      </c>
      <c r="Y212" s="186" t="n">
        <v>670</v>
      </c>
      <c r="AA212" s="192" t="n">
        <v>100249</v>
      </c>
      <c r="AC212" s="186" t="n">
        <v>29.7</v>
      </c>
      <c r="AG212" s="186" t="n">
        <v>2.96</v>
      </c>
      <c r="AM212" s="192" t="n">
        <v>77</v>
      </c>
      <c r="BS212" s="193" t="n">
        <v>42.95</v>
      </c>
      <c r="BU212" s="186" t="n">
        <v>22.57</v>
      </c>
      <c r="BY212" s="186" t="n">
        <v>7.91</v>
      </c>
      <c r="CL212" s="186" t="n">
        <v>0</v>
      </c>
    </row>
    <row r="213" customFormat="false" ht="12.75" hidden="false" customHeight="false" outlineLevel="0" collapsed="false">
      <c r="A213" s="184" t="s">
        <v>523</v>
      </c>
      <c r="B213" s="0" t="s">
        <v>669</v>
      </c>
      <c r="C213" s="0" t="s">
        <v>763</v>
      </c>
      <c r="D213" s="0" t="s">
        <v>765</v>
      </c>
      <c r="E213" s="119" t="n">
        <v>40</v>
      </c>
      <c r="F213" s="119" t="n">
        <v>10</v>
      </c>
      <c r="I213" s="118" t="n">
        <v>9</v>
      </c>
      <c r="K213" s="118" t="n">
        <v>7</v>
      </c>
      <c r="M213" s="186" t="n">
        <v>3.5</v>
      </c>
      <c r="S213" s="192" t="n">
        <v>1491</v>
      </c>
      <c r="U213" s="186" t="n">
        <v>10.8</v>
      </c>
      <c r="Y213" s="186" t="n">
        <v>703</v>
      </c>
      <c r="AA213" s="192" t="n">
        <v>119258</v>
      </c>
      <c r="AC213" s="186" t="n">
        <v>33.6</v>
      </c>
      <c r="AG213" s="186" t="n">
        <v>2.82</v>
      </c>
      <c r="AM213" s="192" t="n">
        <v>73</v>
      </c>
      <c r="BS213" s="193" t="n">
        <v>44.35</v>
      </c>
      <c r="BU213" s="186" t="n">
        <v>20.9</v>
      </c>
      <c r="BY213" s="186" t="n">
        <v>5.62</v>
      </c>
      <c r="CL213" s="186" t="n">
        <v>0</v>
      </c>
    </row>
    <row r="214" customFormat="false" ht="12.75" hidden="false" customHeight="false" outlineLevel="0" collapsed="false">
      <c r="A214" s="184" t="s">
        <v>525</v>
      </c>
      <c r="B214" s="0" t="s">
        <v>666</v>
      </c>
      <c r="C214" s="0" t="s">
        <v>759</v>
      </c>
      <c r="D214" s="0" t="s">
        <v>761</v>
      </c>
      <c r="E214" s="119" t="n">
        <v>21</v>
      </c>
      <c r="F214" s="119" t="n">
        <v>1</v>
      </c>
      <c r="I214" s="118" t="n">
        <v>9</v>
      </c>
      <c r="K214" s="118" t="n">
        <v>9</v>
      </c>
      <c r="M214" s="186" t="n">
        <v>2.57</v>
      </c>
      <c r="S214" s="192" t="n">
        <v>1089</v>
      </c>
      <c r="U214" s="186" t="n">
        <v>10.8</v>
      </c>
      <c r="Y214" s="186" t="n">
        <v>521</v>
      </c>
      <c r="AA214" s="192" t="n">
        <v>76463</v>
      </c>
      <c r="AC214" s="186" t="n">
        <v>24.5</v>
      </c>
      <c r="AG214" s="186" t="n">
        <v>3.2</v>
      </c>
      <c r="AM214" s="192" t="n">
        <v>80</v>
      </c>
      <c r="BS214" s="193" t="n">
        <v>44.46</v>
      </c>
      <c r="BU214" s="186" t="n">
        <v>21.28</v>
      </c>
      <c r="BY214" s="186" t="n">
        <v>6.35</v>
      </c>
      <c r="CL214" s="186" t="n">
        <v>0</v>
      </c>
    </row>
    <row r="215" customFormat="false" ht="12.75" hidden="false" customHeight="false" outlineLevel="0" collapsed="false">
      <c r="A215" s="184" t="s">
        <v>525</v>
      </c>
      <c r="B215" s="0" t="s">
        <v>666</v>
      </c>
      <c r="C215" s="0" t="s">
        <v>763</v>
      </c>
      <c r="D215" s="0" t="s">
        <v>765</v>
      </c>
      <c r="E215" s="119" t="n">
        <v>53</v>
      </c>
      <c r="F215" s="119" t="n">
        <v>7</v>
      </c>
      <c r="I215" s="118" t="n">
        <v>9</v>
      </c>
      <c r="K215" s="118" t="n">
        <v>7</v>
      </c>
      <c r="M215" s="186" t="n">
        <v>3.54</v>
      </c>
      <c r="S215" s="192" t="n">
        <v>1555</v>
      </c>
      <c r="U215" s="186" t="n">
        <v>10.8</v>
      </c>
      <c r="Y215" s="186" t="n">
        <v>689</v>
      </c>
      <c r="AA215" s="192" t="n">
        <v>100705</v>
      </c>
      <c r="AC215" s="186" t="n">
        <v>33.8</v>
      </c>
      <c r="AG215" s="186" t="n">
        <v>3.36</v>
      </c>
      <c r="AM215" s="192" t="n">
        <v>83</v>
      </c>
      <c r="BS215" s="193" t="n">
        <v>45.95</v>
      </c>
      <c r="BU215" s="186" t="n">
        <v>20.35</v>
      </c>
      <c r="BY215" s="186" t="n">
        <v>6.06</v>
      </c>
      <c r="CL215" s="186" t="n">
        <v>0</v>
      </c>
    </row>
    <row r="216" customFormat="false" ht="12.75" hidden="false" customHeight="false" outlineLevel="0" collapsed="false">
      <c r="A216" s="184" t="s">
        <v>525</v>
      </c>
      <c r="B216" s="0" t="s">
        <v>669</v>
      </c>
      <c r="C216" s="0" t="s">
        <v>759</v>
      </c>
      <c r="D216" s="0" t="s">
        <v>761</v>
      </c>
      <c r="E216" s="119" t="n">
        <v>34</v>
      </c>
      <c r="F216" s="119" t="n">
        <v>5</v>
      </c>
      <c r="I216" s="118" t="n">
        <v>9</v>
      </c>
      <c r="K216" s="118" t="n">
        <v>7</v>
      </c>
      <c r="M216" s="186" t="n">
        <v>2.93</v>
      </c>
      <c r="S216" s="192" t="n">
        <v>1211</v>
      </c>
      <c r="U216" s="186" t="n">
        <v>10.8</v>
      </c>
      <c r="Y216" s="186" t="n">
        <v>650</v>
      </c>
      <c r="AA216" s="192" t="n">
        <v>82194</v>
      </c>
      <c r="AC216" s="186" t="n">
        <v>28</v>
      </c>
      <c r="AG216" s="186" t="n">
        <v>3.4</v>
      </c>
      <c r="AM216" s="192" t="n">
        <v>80</v>
      </c>
      <c r="BS216" s="193" t="n">
        <v>43.3</v>
      </c>
      <c r="BU216" s="186" t="n">
        <v>23.22</v>
      </c>
      <c r="BY216" s="186" t="n">
        <v>6.17</v>
      </c>
      <c r="CL216" s="186" t="n">
        <v>0</v>
      </c>
    </row>
    <row r="217" customFormat="false" ht="12.75" hidden="false" customHeight="false" outlineLevel="0" collapsed="false">
      <c r="A217" s="184" t="s">
        <v>525</v>
      </c>
      <c r="B217" s="0" t="s">
        <v>669</v>
      </c>
      <c r="C217" s="0" t="s">
        <v>763</v>
      </c>
      <c r="D217" s="0" t="s">
        <v>765</v>
      </c>
      <c r="E217" s="119" t="n">
        <v>52</v>
      </c>
      <c r="F217" s="119" t="n">
        <v>11</v>
      </c>
      <c r="I217" s="118" t="n">
        <v>9</v>
      </c>
      <c r="K217" s="118" t="n">
        <v>9</v>
      </c>
      <c r="M217" s="186" t="n">
        <v>3.27</v>
      </c>
      <c r="S217" s="192" t="n">
        <v>1334</v>
      </c>
      <c r="U217" s="186" t="n">
        <v>10.8</v>
      </c>
      <c r="Y217" s="186" t="n">
        <v>723</v>
      </c>
      <c r="AA217" s="192" t="n">
        <v>97891</v>
      </c>
      <c r="AC217" s="186" t="n">
        <v>31.3</v>
      </c>
      <c r="AG217" s="186" t="n">
        <v>3.19</v>
      </c>
      <c r="AM217" s="192" t="n">
        <v>80</v>
      </c>
      <c r="BS217" s="193" t="n">
        <v>42.68</v>
      </c>
      <c r="BU217" s="186" t="n">
        <v>23.12</v>
      </c>
      <c r="BY217" s="186" t="n">
        <v>6.03</v>
      </c>
      <c r="CL217" s="186" t="n">
        <v>0</v>
      </c>
    </row>
    <row r="218" customFormat="false" ht="12.75" hidden="false" customHeight="false" outlineLevel="0" collapsed="false">
      <c r="A218" s="184" t="s">
        <v>527</v>
      </c>
      <c r="B218" s="0" t="s">
        <v>666</v>
      </c>
      <c r="C218" s="0" t="s">
        <v>759</v>
      </c>
      <c r="D218" s="0" t="s">
        <v>761</v>
      </c>
      <c r="E218" s="119" t="n">
        <v>36</v>
      </c>
      <c r="F218" s="119" t="n">
        <v>2</v>
      </c>
      <c r="I218" s="118" t="n">
        <v>7</v>
      </c>
      <c r="K218" s="118" t="n">
        <v>9</v>
      </c>
      <c r="M218" s="186" t="n">
        <v>2.87</v>
      </c>
      <c r="S218" s="192" t="n">
        <v>1269</v>
      </c>
      <c r="U218" s="186" t="n">
        <v>10.8</v>
      </c>
      <c r="Y218" s="186" t="n">
        <v>568</v>
      </c>
      <c r="AA218" s="192" t="n">
        <v>95139</v>
      </c>
      <c r="AC218" s="186" t="n">
        <v>27.5</v>
      </c>
      <c r="AG218" s="186" t="n">
        <v>2.89</v>
      </c>
      <c r="AM218" s="192" t="n">
        <v>83</v>
      </c>
      <c r="BS218" s="193" t="n">
        <v>46.2</v>
      </c>
      <c r="BU218" s="186" t="n">
        <v>20.66</v>
      </c>
      <c r="BY218" s="186" t="n">
        <v>5.94</v>
      </c>
      <c r="CL218" s="186" t="n">
        <v>0</v>
      </c>
    </row>
    <row r="219" customFormat="false" ht="12.75" hidden="false" customHeight="false" outlineLevel="0" collapsed="false">
      <c r="A219" s="184" t="s">
        <v>527</v>
      </c>
      <c r="B219" s="0" t="s">
        <v>666</v>
      </c>
      <c r="C219" s="0" t="s">
        <v>763</v>
      </c>
      <c r="D219" s="0" t="s">
        <v>765</v>
      </c>
      <c r="E219" s="119" t="n">
        <v>42</v>
      </c>
      <c r="F219" s="119" t="n">
        <v>8</v>
      </c>
      <c r="I219" s="118" t="n">
        <v>9</v>
      </c>
      <c r="K219" s="118" t="n">
        <v>7</v>
      </c>
      <c r="M219" s="186" t="n">
        <v>2.66</v>
      </c>
      <c r="S219" s="192" t="n">
        <v>1186</v>
      </c>
      <c r="U219" s="186" t="n">
        <v>10.8</v>
      </c>
      <c r="Y219" s="186" t="n">
        <v>526</v>
      </c>
      <c r="AA219" s="192" t="n">
        <v>91815</v>
      </c>
      <c r="AC219" s="186" t="n">
        <v>25.6</v>
      </c>
      <c r="AG219" s="186" t="n">
        <v>2.79</v>
      </c>
      <c r="AM219" s="192" t="n">
        <v>83</v>
      </c>
      <c r="BS219" s="193" t="n">
        <v>46.36</v>
      </c>
      <c r="BU219" s="186" t="n">
        <v>20.55</v>
      </c>
      <c r="BY219" s="186" t="n">
        <v>5.51</v>
      </c>
      <c r="CL219" s="186" t="n">
        <v>0</v>
      </c>
    </row>
    <row r="220" customFormat="false" ht="12.75" hidden="false" customHeight="false" outlineLevel="0" collapsed="false">
      <c r="A220" s="184" t="s">
        <v>527</v>
      </c>
      <c r="B220" s="0" t="s">
        <v>669</v>
      </c>
      <c r="C220" s="0" t="s">
        <v>759</v>
      </c>
      <c r="D220" s="0" t="s">
        <v>761</v>
      </c>
      <c r="E220" s="119" t="n">
        <v>21</v>
      </c>
      <c r="F220" s="119" t="n">
        <v>6</v>
      </c>
      <c r="I220" s="118" t="n">
        <v>9</v>
      </c>
      <c r="K220" s="118" t="n">
        <v>9</v>
      </c>
      <c r="M220" s="186" t="n">
        <v>4.14</v>
      </c>
      <c r="S220" s="192" t="n">
        <v>1611</v>
      </c>
      <c r="U220" s="186" t="n">
        <v>10.8</v>
      </c>
      <c r="Y220" s="186" t="n">
        <v>988</v>
      </c>
      <c r="AA220" s="192" t="n">
        <v>146865</v>
      </c>
      <c r="AC220" s="186" t="n">
        <v>39.4</v>
      </c>
      <c r="AG220" s="186" t="n">
        <v>2.68</v>
      </c>
      <c r="AM220" s="192" t="n">
        <v>83</v>
      </c>
      <c r="BS220" s="193" t="n">
        <v>40.92</v>
      </c>
      <c r="BU220" s="186" t="n">
        <v>25.1</v>
      </c>
      <c r="BY220" s="186" t="n">
        <v>6.52</v>
      </c>
      <c r="CL220" s="186" t="n">
        <v>0</v>
      </c>
    </row>
    <row r="221" customFormat="false" ht="12.75" hidden="false" customHeight="false" outlineLevel="0" collapsed="false">
      <c r="A221" s="184" t="s">
        <v>527</v>
      </c>
      <c r="B221" s="0" t="s">
        <v>669</v>
      </c>
      <c r="C221" s="0" t="s">
        <v>763</v>
      </c>
      <c r="D221" s="0" t="s">
        <v>765</v>
      </c>
      <c r="E221" s="119" t="n">
        <v>47</v>
      </c>
      <c r="F221" s="119" t="n">
        <v>11</v>
      </c>
      <c r="I221" s="118" t="n">
        <v>9</v>
      </c>
      <c r="K221" s="118" t="n">
        <v>9</v>
      </c>
      <c r="M221" s="186" t="n">
        <v>3.59</v>
      </c>
      <c r="S221" s="192" t="n">
        <v>1526</v>
      </c>
      <c r="U221" s="186" t="n">
        <v>10.8</v>
      </c>
      <c r="Y221" s="186" t="n">
        <v>759</v>
      </c>
      <c r="AA221" s="192" t="n">
        <v>121424</v>
      </c>
      <c r="AC221" s="186" t="n">
        <v>34.4</v>
      </c>
      <c r="AG221" s="186" t="n">
        <v>2.83</v>
      </c>
      <c r="AM221" s="192" t="n">
        <v>80</v>
      </c>
      <c r="BS221" s="193" t="n">
        <v>44.37</v>
      </c>
      <c r="BU221" s="186" t="n">
        <v>22.08</v>
      </c>
      <c r="BY221" s="186" t="n">
        <v>5.83</v>
      </c>
      <c r="CL221" s="186" t="n">
        <v>0</v>
      </c>
    </row>
    <row r="222" customFormat="false" ht="12.75" hidden="false" customHeight="false" outlineLevel="0" collapsed="false">
      <c r="A222" s="184" t="s">
        <v>529</v>
      </c>
      <c r="B222" s="0" t="s">
        <v>666</v>
      </c>
      <c r="C222" s="0" t="s">
        <v>759</v>
      </c>
      <c r="D222" s="0" t="s">
        <v>761</v>
      </c>
      <c r="E222" s="119" t="n">
        <v>20</v>
      </c>
      <c r="F222" s="119" t="n">
        <v>3</v>
      </c>
      <c r="I222" s="118" t="n">
        <v>9</v>
      </c>
      <c r="K222" s="118" t="n">
        <v>7</v>
      </c>
      <c r="M222" s="186" t="n">
        <v>2.3</v>
      </c>
      <c r="S222" s="192" t="n">
        <v>994</v>
      </c>
      <c r="U222" s="186" t="n">
        <v>10.8</v>
      </c>
      <c r="Y222" s="186" t="n">
        <v>461</v>
      </c>
      <c r="AA222" s="192" t="n">
        <v>70899</v>
      </c>
      <c r="AC222" s="186" t="n">
        <v>21.9</v>
      </c>
      <c r="AG222" s="186" t="n">
        <v>3.09</v>
      </c>
      <c r="AM222" s="192" t="n">
        <v>77</v>
      </c>
      <c r="BS222" s="193" t="n">
        <v>45.34</v>
      </c>
      <c r="BU222" s="186" t="n">
        <v>21.01</v>
      </c>
      <c r="BY222" s="186" t="n">
        <v>6.29</v>
      </c>
      <c r="CL222" s="186" t="n">
        <v>0</v>
      </c>
    </row>
    <row r="223" customFormat="false" ht="12.75" hidden="false" customHeight="false" outlineLevel="0" collapsed="false">
      <c r="A223" s="184" t="s">
        <v>529</v>
      </c>
      <c r="B223" s="0" t="s">
        <v>666</v>
      </c>
      <c r="C223" s="0" t="s">
        <v>763</v>
      </c>
      <c r="D223" s="0" t="s">
        <v>765</v>
      </c>
      <c r="E223" s="119" t="n">
        <v>54</v>
      </c>
      <c r="F223" s="119" t="n">
        <v>9</v>
      </c>
      <c r="I223" s="118" t="n">
        <v>9</v>
      </c>
      <c r="K223" s="118" t="n">
        <v>9</v>
      </c>
      <c r="M223" s="186" t="n">
        <v>3.22</v>
      </c>
      <c r="S223" s="192" t="n">
        <v>1414</v>
      </c>
      <c r="U223" s="186" t="n">
        <v>10.8</v>
      </c>
      <c r="Y223" s="186" t="n">
        <v>629</v>
      </c>
      <c r="AA223" s="192" t="n">
        <v>99912</v>
      </c>
      <c r="AC223" s="186" t="n">
        <v>30.8</v>
      </c>
      <c r="AG223" s="186" t="n">
        <v>3.08</v>
      </c>
      <c r="AM223" s="192" t="n">
        <v>77</v>
      </c>
      <c r="BS223" s="193" t="n">
        <v>45.93</v>
      </c>
      <c r="BU223" s="186" t="n">
        <v>20.45</v>
      </c>
      <c r="BY223" s="186" t="n">
        <v>6.06</v>
      </c>
      <c r="CL223" s="186" t="n">
        <v>0</v>
      </c>
    </row>
    <row r="224" customFormat="false" ht="12.75" hidden="false" customHeight="false" outlineLevel="0" collapsed="false">
      <c r="A224" s="184" t="s">
        <v>529</v>
      </c>
      <c r="B224" s="0" t="s">
        <v>669</v>
      </c>
      <c r="C224" s="0" t="s">
        <v>759</v>
      </c>
      <c r="D224" s="0" t="s">
        <v>761</v>
      </c>
      <c r="E224" s="119" t="n">
        <v>36</v>
      </c>
      <c r="F224" s="119" t="n">
        <v>4</v>
      </c>
      <c r="I224" s="118" t="n">
        <v>9</v>
      </c>
      <c r="K224" s="118" t="n">
        <v>7</v>
      </c>
      <c r="M224" s="186" t="n">
        <v>3.96</v>
      </c>
      <c r="S224" s="192" t="n">
        <v>1642</v>
      </c>
      <c r="U224" s="186" t="n">
        <v>10.8</v>
      </c>
      <c r="Y224" s="186" t="n">
        <v>891</v>
      </c>
      <c r="AA224" s="192" t="n">
        <v>126225</v>
      </c>
      <c r="AC224" s="186" t="n">
        <v>37.9</v>
      </c>
      <c r="AG224" s="186" t="n">
        <v>3</v>
      </c>
      <c r="AM224" s="192" t="n">
        <v>77</v>
      </c>
      <c r="BS224" s="193" t="n">
        <v>43.38</v>
      </c>
      <c r="BU224" s="186" t="n">
        <v>23.53</v>
      </c>
      <c r="BY224" s="186" t="n">
        <v>6.06</v>
      </c>
      <c r="CL224" s="186" t="n">
        <v>0</v>
      </c>
    </row>
    <row r="225" customFormat="false" ht="12.75" hidden="false" customHeight="false" outlineLevel="0" collapsed="false">
      <c r="A225" s="184" t="s">
        <v>529</v>
      </c>
      <c r="B225" s="0" t="s">
        <v>669</v>
      </c>
      <c r="C225" s="0" t="s">
        <v>763</v>
      </c>
      <c r="D225" s="0" t="s">
        <v>765</v>
      </c>
      <c r="E225" s="119" t="n">
        <v>45</v>
      </c>
      <c r="F225" s="119" t="n">
        <v>10</v>
      </c>
      <c r="I225" s="118" t="n">
        <v>9</v>
      </c>
      <c r="K225" s="118" t="n">
        <v>7</v>
      </c>
      <c r="M225" s="186" t="n">
        <v>4.32</v>
      </c>
      <c r="S225" s="192" t="n">
        <v>1792</v>
      </c>
      <c r="U225" s="186" t="n">
        <v>10.8</v>
      </c>
      <c r="Y225" s="186" t="n">
        <v>956</v>
      </c>
      <c r="AA225" s="192" t="n">
        <v>138213</v>
      </c>
      <c r="AC225" s="186" t="n">
        <v>41.4</v>
      </c>
      <c r="AG225" s="186" t="n">
        <v>3</v>
      </c>
      <c r="AM225" s="192" t="n">
        <v>77</v>
      </c>
      <c r="BS225" s="193" t="n">
        <v>43.28</v>
      </c>
      <c r="BU225" s="186" t="n">
        <v>23.08</v>
      </c>
      <c r="BY225" s="186" t="n">
        <v>5.81</v>
      </c>
      <c r="CL225" s="186" t="n">
        <v>0</v>
      </c>
    </row>
    <row r="226" customFormat="false" ht="12.75" hidden="false" customHeight="false" outlineLevel="0" collapsed="false">
      <c r="A226" s="184" t="s">
        <v>531</v>
      </c>
      <c r="B226" s="0" t="s">
        <v>666</v>
      </c>
      <c r="C226" s="0" t="s">
        <v>759</v>
      </c>
      <c r="D226" s="0" t="s">
        <v>761</v>
      </c>
      <c r="E226" s="119" t="n">
        <v>29</v>
      </c>
      <c r="F226" s="119" t="n">
        <v>3</v>
      </c>
      <c r="I226" s="118" t="n">
        <v>9</v>
      </c>
      <c r="K226" s="118" t="n">
        <v>7</v>
      </c>
      <c r="M226" s="186" t="n">
        <v>2.52</v>
      </c>
      <c r="S226" s="192" t="n">
        <v>1049</v>
      </c>
      <c r="U226" s="186" t="n">
        <v>10.8</v>
      </c>
      <c r="Y226" s="186" t="n">
        <v>506</v>
      </c>
      <c r="AA226" s="192" t="n">
        <v>79794</v>
      </c>
      <c r="AC226" s="186" t="n">
        <v>24</v>
      </c>
      <c r="AG226" s="186" t="n">
        <v>3.01</v>
      </c>
      <c r="AM226" s="192" t="n">
        <v>83</v>
      </c>
      <c r="BS226" s="193" t="n">
        <v>43.71</v>
      </c>
      <c r="BU226" s="186" t="n">
        <v>21.07</v>
      </c>
      <c r="BY226" s="186" t="n">
        <v>6.4</v>
      </c>
      <c r="CL226" s="186" t="n">
        <v>0</v>
      </c>
    </row>
    <row r="227" customFormat="false" ht="12.75" hidden="false" customHeight="false" outlineLevel="0" collapsed="false">
      <c r="A227" s="184" t="s">
        <v>531</v>
      </c>
      <c r="B227" s="0" t="s">
        <v>666</v>
      </c>
      <c r="C227" s="0" t="s">
        <v>763</v>
      </c>
      <c r="D227" s="0" t="s">
        <v>765</v>
      </c>
      <c r="E227" s="119" t="n">
        <v>47</v>
      </c>
      <c r="F227" s="119" t="n">
        <v>8</v>
      </c>
      <c r="I227" s="118" t="n">
        <v>9</v>
      </c>
      <c r="K227" s="118" t="n">
        <v>7</v>
      </c>
      <c r="M227" s="186" t="n">
        <v>2.79</v>
      </c>
      <c r="S227" s="192" t="n">
        <v>1193</v>
      </c>
      <c r="U227" s="186" t="n">
        <v>10.8</v>
      </c>
      <c r="Y227" s="186" t="n">
        <v>543</v>
      </c>
      <c r="AA227" s="192" t="n">
        <v>94556</v>
      </c>
      <c r="AC227" s="186" t="n">
        <v>26.8</v>
      </c>
      <c r="AG227" s="186" t="n">
        <v>2.83</v>
      </c>
      <c r="AM227" s="192" t="n">
        <v>80</v>
      </c>
      <c r="BS227" s="193" t="n">
        <v>44.51</v>
      </c>
      <c r="BU227" s="186" t="n">
        <v>20.27</v>
      </c>
      <c r="BY227" s="186" t="n">
        <v>5.61</v>
      </c>
      <c r="CL227" s="186" t="n">
        <v>0</v>
      </c>
    </row>
    <row r="228" customFormat="false" ht="12.75" hidden="false" customHeight="false" outlineLevel="0" collapsed="false">
      <c r="A228" s="184" t="s">
        <v>531</v>
      </c>
      <c r="B228" s="0" t="s">
        <v>669</v>
      </c>
      <c r="C228" s="0" t="s">
        <v>759</v>
      </c>
      <c r="D228" s="0" t="s">
        <v>761</v>
      </c>
      <c r="E228" s="119" t="n">
        <v>27</v>
      </c>
      <c r="F228" s="119" t="n">
        <v>4</v>
      </c>
      <c r="I228" s="118" t="n">
        <v>9</v>
      </c>
      <c r="K228" s="118" t="n">
        <v>7</v>
      </c>
      <c r="M228" s="186" t="n">
        <v>3.75</v>
      </c>
      <c r="S228" s="192" t="n">
        <v>1440</v>
      </c>
      <c r="U228" s="186" t="n">
        <v>10.8</v>
      </c>
      <c r="Y228" s="186" t="n">
        <v>843</v>
      </c>
      <c r="AA228" s="192" t="n">
        <v>128938</v>
      </c>
      <c r="AC228" s="186" t="n">
        <v>35.3</v>
      </c>
      <c r="AG228" s="186" t="n">
        <v>2.74</v>
      </c>
      <c r="AM228" s="192" t="n">
        <v>83</v>
      </c>
      <c r="BS228" s="193" t="n">
        <v>40.78</v>
      </c>
      <c r="BU228" s="186" t="n">
        <v>23.88</v>
      </c>
      <c r="BY228" s="186" t="n">
        <v>7.46</v>
      </c>
      <c r="CL228" s="186" t="n">
        <v>0</v>
      </c>
    </row>
    <row r="229" customFormat="false" ht="12.75" hidden="false" customHeight="false" outlineLevel="0" collapsed="false">
      <c r="A229" s="184" t="s">
        <v>531</v>
      </c>
      <c r="B229" s="0" t="s">
        <v>669</v>
      </c>
      <c r="C229" s="0" t="s">
        <v>763</v>
      </c>
      <c r="D229" s="0" t="s">
        <v>765</v>
      </c>
      <c r="E229" s="119" t="n">
        <v>39</v>
      </c>
      <c r="F229" s="119" t="n">
        <v>10</v>
      </c>
      <c r="I229" s="118" t="n">
        <v>9</v>
      </c>
      <c r="K229" s="118" t="n">
        <v>7</v>
      </c>
      <c r="M229" s="186" t="n">
        <v>3.63</v>
      </c>
      <c r="S229" s="192" t="n">
        <v>1479</v>
      </c>
      <c r="U229" s="186" t="n">
        <v>10.8</v>
      </c>
      <c r="Y229" s="186" t="n">
        <v>756</v>
      </c>
      <c r="AA229" s="192" t="n">
        <v>118118</v>
      </c>
      <c r="AC229" s="186" t="n">
        <v>34.8</v>
      </c>
      <c r="AG229" s="186" t="n">
        <v>2.95</v>
      </c>
      <c r="AM229" s="192" t="n">
        <v>80</v>
      </c>
      <c r="BS229" s="193" t="n">
        <v>42.47</v>
      </c>
      <c r="BU229" s="186" t="n">
        <v>21.7</v>
      </c>
      <c r="BY229" s="186" t="n">
        <v>5.69</v>
      </c>
      <c r="CL229" s="186" t="n">
        <v>0</v>
      </c>
    </row>
    <row r="230" customFormat="false" ht="12.75" hidden="false" customHeight="false" outlineLevel="0" collapsed="false">
      <c r="A230" s="184" t="s">
        <v>533</v>
      </c>
      <c r="B230" s="0" t="s">
        <v>666</v>
      </c>
      <c r="C230" s="0" t="s">
        <v>759</v>
      </c>
      <c r="D230" s="0" t="s">
        <v>761</v>
      </c>
      <c r="E230" s="119" t="n">
        <v>22</v>
      </c>
      <c r="F230" s="119" t="n">
        <v>2</v>
      </c>
      <c r="I230" s="118" t="n">
        <v>9</v>
      </c>
      <c r="K230" s="118" t="n">
        <v>9</v>
      </c>
      <c r="M230" s="186" t="n">
        <v>2.69</v>
      </c>
      <c r="S230" s="192" t="n">
        <v>1155</v>
      </c>
      <c r="U230" s="186" t="n">
        <v>10.8</v>
      </c>
      <c r="Y230" s="186" t="n">
        <v>529</v>
      </c>
      <c r="AA230" s="192" t="n">
        <v>86657</v>
      </c>
      <c r="AC230" s="186" t="n">
        <v>25.6</v>
      </c>
      <c r="AG230" s="186" t="n">
        <v>2.96</v>
      </c>
      <c r="AM230" s="192" t="n">
        <v>69</v>
      </c>
      <c r="BS230" s="193" t="n">
        <v>45.09</v>
      </c>
      <c r="BU230" s="186" t="n">
        <v>20.66</v>
      </c>
      <c r="BY230" s="186" t="n">
        <v>6.43</v>
      </c>
      <c r="CL230" s="186" t="n">
        <v>0</v>
      </c>
    </row>
    <row r="231" customFormat="false" ht="12.75" hidden="false" customHeight="false" outlineLevel="0" collapsed="false">
      <c r="A231" s="184" t="s">
        <v>533</v>
      </c>
      <c r="B231" s="0" t="s">
        <v>666</v>
      </c>
      <c r="C231" s="0" t="s">
        <v>763</v>
      </c>
      <c r="D231" s="0" t="s">
        <v>765</v>
      </c>
      <c r="E231" s="119" t="n">
        <v>44</v>
      </c>
      <c r="F231" s="119" t="n">
        <v>8</v>
      </c>
      <c r="I231" s="118" t="n">
        <v>9</v>
      </c>
      <c r="K231" s="118" t="n">
        <v>7</v>
      </c>
      <c r="M231" s="186" t="n">
        <v>3.21</v>
      </c>
      <c r="S231" s="192" t="n">
        <v>1407</v>
      </c>
      <c r="U231" s="186" t="n">
        <v>10.8</v>
      </c>
      <c r="Y231" s="186" t="n">
        <v>627</v>
      </c>
      <c r="AA231" s="192" t="n">
        <v>104563</v>
      </c>
      <c r="AC231" s="186" t="n">
        <v>30.8</v>
      </c>
      <c r="AG231" s="186" t="n">
        <v>2.94</v>
      </c>
      <c r="AM231" s="192" t="n">
        <v>69</v>
      </c>
      <c r="BS231" s="193" t="n">
        <v>45.74</v>
      </c>
      <c r="BU231" s="186" t="n">
        <v>20.37</v>
      </c>
      <c r="BY231" s="186" t="n">
        <v>5.83</v>
      </c>
      <c r="CL231" s="186" t="n">
        <v>0</v>
      </c>
    </row>
    <row r="232" customFormat="false" ht="12.75" hidden="false" customHeight="false" outlineLevel="0" collapsed="false">
      <c r="A232" s="184" t="s">
        <v>533</v>
      </c>
      <c r="B232" s="0" t="s">
        <v>669</v>
      </c>
      <c r="C232" s="0" t="s">
        <v>759</v>
      </c>
      <c r="D232" s="0" t="s">
        <v>761</v>
      </c>
      <c r="E232" s="119" t="n">
        <v>30</v>
      </c>
      <c r="F232" s="119" t="n">
        <v>6</v>
      </c>
      <c r="I232" s="118" t="n">
        <v>9</v>
      </c>
      <c r="K232" s="118" t="n">
        <v>9</v>
      </c>
      <c r="M232" s="186" t="n">
        <v>3.85</v>
      </c>
      <c r="S232" s="192" t="n">
        <v>1564</v>
      </c>
      <c r="U232" s="186" t="n">
        <v>10.8</v>
      </c>
      <c r="Y232" s="186" t="n">
        <v>838</v>
      </c>
      <c r="AA232" s="192" t="n">
        <v>126021</v>
      </c>
      <c r="AC232" s="186" t="n">
        <v>36.5</v>
      </c>
      <c r="AG232" s="186" t="n">
        <v>2.9</v>
      </c>
      <c r="AM232" s="192" t="n">
        <v>69</v>
      </c>
      <c r="BS232" s="193" t="n">
        <v>42.8</v>
      </c>
      <c r="BU232" s="186" t="n">
        <v>22.94</v>
      </c>
      <c r="BY232" s="186" t="n">
        <v>6.7</v>
      </c>
      <c r="CL232" s="186" t="n">
        <v>0</v>
      </c>
    </row>
    <row r="233" customFormat="false" ht="12.75" hidden="false" customHeight="false" outlineLevel="0" collapsed="false">
      <c r="A233" s="184" t="s">
        <v>533</v>
      </c>
      <c r="B233" s="0" t="s">
        <v>669</v>
      </c>
      <c r="C233" s="0" t="s">
        <v>763</v>
      </c>
      <c r="D233" s="0" t="s">
        <v>765</v>
      </c>
      <c r="E233" s="119" t="n">
        <v>53</v>
      </c>
      <c r="F233" s="119" t="n">
        <v>10</v>
      </c>
      <c r="I233" s="118" t="n">
        <v>9</v>
      </c>
      <c r="K233" s="118" t="n">
        <v>7</v>
      </c>
      <c r="M233" s="186" t="n">
        <v>4.1</v>
      </c>
      <c r="S233" s="192" t="n">
        <v>1685</v>
      </c>
      <c r="U233" s="186" t="n">
        <v>10.8</v>
      </c>
      <c r="Y233" s="186" t="n">
        <v>905</v>
      </c>
      <c r="AA233" s="192" t="n">
        <v>130708</v>
      </c>
      <c r="AC233" s="186" t="n">
        <v>39.3</v>
      </c>
      <c r="AG233" s="186" t="n">
        <v>3.01</v>
      </c>
      <c r="AM233" s="192" t="n">
        <v>69</v>
      </c>
      <c r="BS233" s="193" t="n">
        <v>42.85</v>
      </c>
      <c r="BU233" s="186" t="n">
        <v>23.02</v>
      </c>
      <c r="BY233" s="186" t="n">
        <v>5.76</v>
      </c>
      <c r="CL233" s="186" t="n">
        <v>0</v>
      </c>
    </row>
    <row r="234" customFormat="false" ht="12.75" hidden="false" customHeight="false" outlineLevel="0" collapsed="false">
      <c r="A234" s="184" t="s">
        <v>535</v>
      </c>
      <c r="B234" s="0" t="s">
        <v>666</v>
      </c>
      <c r="C234" s="0" t="s">
        <v>759</v>
      </c>
      <c r="D234" s="0" t="s">
        <v>761</v>
      </c>
      <c r="E234" s="119" t="n">
        <v>28</v>
      </c>
      <c r="F234" s="119" t="n">
        <v>2</v>
      </c>
      <c r="I234" s="118" t="n">
        <v>7</v>
      </c>
      <c r="K234" s="118" t="n">
        <v>7</v>
      </c>
      <c r="M234" s="186" t="n">
        <v>2.14</v>
      </c>
      <c r="S234" s="192" t="n">
        <v>898</v>
      </c>
      <c r="U234" s="186" t="n">
        <v>10.8</v>
      </c>
      <c r="Y234" s="186" t="n">
        <v>453</v>
      </c>
      <c r="AA234" s="192" t="n">
        <v>71260</v>
      </c>
      <c r="AC234" s="186" t="n">
        <v>20.3</v>
      </c>
      <c r="AG234" s="186" t="n">
        <v>2.85</v>
      </c>
      <c r="AM234" s="192" t="n">
        <v>83</v>
      </c>
      <c r="BS234" s="193" t="n">
        <v>44.16</v>
      </c>
      <c r="BU234" s="186" t="n">
        <v>22.26</v>
      </c>
      <c r="BY234" s="186" t="n">
        <v>6.61</v>
      </c>
      <c r="CL234" s="186" t="n">
        <v>0</v>
      </c>
    </row>
    <row r="235" customFormat="false" ht="12.75" hidden="false" customHeight="false" outlineLevel="0" collapsed="false">
      <c r="A235" s="184" t="s">
        <v>535</v>
      </c>
      <c r="B235" s="0" t="s">
        <v>666</v>
      </c>
      <c r="C235" s="0" t="s">
        <v>763</v>
      </c>
      <c r="D235" s="0" t="s">
        <v>765</v>
      </c>
      <c r="E235" s="119" t="n">
        <v>40</v>
      </c>
      <c r="F235" s="119" t="n">
        <v>8</v>
      </c>
      <c r="I235" s="118" t="n">
        <v>9</v>
      </c>
      <c r="K235" s="118" t="n">
        <v>7</v>
      </c>
      <c r="M235" s="186" t="n">
        <v>2.66</v>
      </c>
      <c r="S235" s="192" t="n">
        <v>1178</v>
      </c>
      <c r="U235" s="186" t="n">
        <v>10.8</v>
      </c>
      <c r="Y235" s="186" t="n">
        <v>514</v>
      </c>
      <c r="AA235" s="192" t="n">
        <v>89033</v>
      </c>
      <c r="AC235" s="186" t="n">
        <v>25.6</v>
      </c>
      <c r="AG235" s="186" t="n">
        <v>2.87</v>
      </c>
      <c r="AM235" s="192" t="n">
        <v>83</v>
      </c>
      <c r="BS235" s="193" t="n">
        <v>46.05</v>
      </c>
      <c r="BU235" s="186" t="n">
        <v>20.1</v>
      </c>
      <c r="BY235" s="186" t="n">
        <v>5.52</v>
      </c>
      <c r="CL235" s="186" t="n">
        <v>0</v>
      </c>
    </row>
    <row r="236" customFormat="false" ht="12.75" hidden="false" customHeight="false" outlineLevel="0" collapsed="false">
      <c r="A236" s="184" t="s">
        <v>535</v>
      </c>
      <c r="B236" s="0" t="s">
        <v>669</v>
      </c>
      <c r="C236" s="0" t="s">
        <v>759</v>
      </c>
      <c r="D236" s="0" t="s">
        <v>761</v>
      </c>
      <c r="E236" s="119" t="n">
        <v>33</v>
      </c>
      <c r="F236" s="119" t="n">
        <v>6</v>
      </c>
      <c r="I236" s="118" t="n">
        <v>9</v>
      </c>
      <c r="K236" s="118" t="n">
        <v>9</v>
      </c>
      <c r="M236" s="186" t="n">
        <v>3.29</v>
      </c>
      <c r="S236" s="192" t="n">
        <v>1353</v>
      </c>
      <c r="U236" s="186" t="n">
        <v>10.8</v>
      </c>
      <c r="Y236" s="186" t="n">
        <v>709</v>
      </c>
      <c r="AA236" s="192" t="n">
        <v>117028</v>
      </c>
      <c r="AC236" s="186" t="n">
        <v>31.4</v>
      </c>
      <c r="AG236" s="186" t="n">
        <v>2.69</v>
      </c>
      <c r="AM236" s="192" t="n">
        <v>80</v>
      </c>
      <c r="BS236" s="193" t="n">
        <v>43.03</v>
      </c>
      <c r="BU236" s="186" t="n">
        <v>22.54</v>
      </c>
      <c r="BY236" s="186" t="n">
        <v>6.08</v>
      </c>
      <c r="CL236" s="186" t="n">
        <v>0</v>
      </c>
    </row>
    <row r="237" customFormat="false" ht="12.75" hidden="false" customHeight="false" outlineLevel="0" collapsed="false">
      <c r="A237" s="184" t="s">
        <v>535</v>
      </c>
      <c r="B237" s="0" t="s">
        <v>669</v>
      </c>
      <c r="C237" s="0" t="s">
        <v>763</v>
      </c>
      <c r="D237" s="0" t="s">
        <v>765</v>
      </c>
      <c r="E237" s="119" t="n">
        <v>43</v>
      </c>
      <c r="F237" s="119" t="n">
        <v>11</v>
      </c>
      <c r="I237" s="118" t="n">
        <v>9</v>
      </c>
      <c r="K237" s="118" t="n">
        <v>9</v>
      </c>
      <c r="M237" s="186" t="n">
        <v>3.32</v>
      </c>
      <c r="S237" s="192" t="n">
        <v>1391</v>
      </c>
      <c r="U237" s="186" t="n">
        <v>10.8</v>
      </c>
      <c r="Y237" s="186" t="n">
        <v>704</v>
      </c>
      <c r="AA237" s="192" t="n">
        <v>111707</v>
      </c>
      <c r="AC237" s="186" t="n">
        <v>31.8</v>
      </c>
      <c r="AG237" s="186" t="n">
        <v>2.85</v>
      </c>
      <c r="AM237" s="192" t="n">
        <v>80</v>
      </c>
      <c r="BS237" s="193" t="n">
        <v>43.73</v>
      </c>
      <c r="BU237" s="186" t="n">
        <v>22.12</v>
      </c>
      <c r="BY237" s="186" t="n">
        <v>5.84</v>
      </c>
      <c r="CL237" s="186" t="n">
        <v>0</v>
      </c>
    </row>
    <row r="238" customFormat="false" ht="12.75" hidden="false" customHeight="false" outlineLevel="0" collapsed="false">
      <c r="A238" s="184" t="s">
        <v>537</v>
      </c>
      <c r="B238" s="0" t="s">
        <v>666</v>
      </c>
      <c r="C238" s="0" t="s">
        <v>759</v>
      </c>
      <c r="D238" s="0" t="s">
        <v>761</v>
      </c>
      <c r="E238" s="119" t="n">
        <v>33</v>
      </c>
      <c r="F238" s="119" t="n">
        <v>1</v>
      </c>
      <c r="I238" s="118" t="n">
        <v>9</v>
      </c>
      <c r="K238" s="118" t="n">
        <v>9</v>
      </c>
      <c r="M238" s="186" t="n">
        <v>3.75</v>
      </c>
      <c r="S238" s="192" t="n">
        <v>1561</v>
      </c>
      <c r="U238" s="186" t="n">
        <v>10.8</v>
      </c>
      <c r="Y238" s="186" t="n">
        <v>790</v>
      </c>
      <c r="AA238" s="192" t="n">
        <v>129767</v>
      </c>
      <c r="AC238" s="186" t="n">
        <v>35.9</v>
      </c>
      <c r="AG238" s="186" t="n">
        <v>2.76</v>
      </c>
      <c r="AM238" s="192" t="n">
        <v>73</v>
      </c>
      <c r="BS238" s="193" t="n">
        <v>43.53</v>
      </c>
      <c r="BU238" s="186" t="n">
        <v>22.03</v>
      </c>
      <c r="BY238" s="186" t="n">
        <v>6</v>
      </c>
      <c r="CL238" s="186" t="n">
        <v>0</v>
      </c>
    </row>
    <row r="239" customFormat="false" ht="12.75" hidden="false" customHeight="false" outlineLevel="0" collapsed="false">
      <c r="A239" s="184" t="s">
        <v>537</v>
      </c>
      <c r="B239" s="0" t="s">
        <v>666</v>
      </c>
      <c r="C239" s="0" t="s">
        <v>763</v>
      </c>
      <c r="D239" s="0" t="s">
        <v>765</v>
      </c>
      <c r="E239" s="119" t="n">
        <v>43</v>
      </c>
      <c r="F239" s="119" t="n">
        <v>8</v>
      </c>
      <c r="I239" s="118" t="n">
        <v>9</v>
      </c>
      <c r="K239" s="118" t="n">
        <v>7</v>
      </c>
      <c r="M239" s="186" t="n">
        <v>2.96</v>
      </c>
      <c r="S239" s="192" t="n">
        <v>1282</v>
      </c>
      <c r="U239" s="186" t="n">
        <v>10.8</v>
      </c>
      <c r="Y239" s="186" t="n">
        <v>567</v>
      </c>
      <c r="AA239" s="192" t="n">
        <v>94835</v>
      </c>
      <c r="AC239" s="186" t="n">
        <v>28.3</v>
      </c>
      <c r="AG239" s="186" t="n">
        <v>2.99</v>
      </c>
      <c r="AM239" s="192" t="n">
        <v>73</v>
      </c>
      <c r="BS239" s="193" t="n">
        <v>45.24</v>
      </c>
      <c r="BU239" s="186" t="n">
        <v>20.01</v>
      </c>
      <c r="BY239" s="186" t="n">
        <v>5.88</v>
      </c>
      <c r="CL239" s="186" t="n">
        <v>0</v>
      </c>
    </row>
    <row r="240" customFormat="false" ht="12.75" hidden="false" customHeight="false" outlineLevel="0" collapsed="false">
      <c r="A240" s="184" t="s">
        <v>537</v>
      </c>
      <c r="B240" s="0" t="s">
        <v>669</v>
      </c>
      <c r="C240" s="0" t="s">
        <v>759</v>
      </c>
      <c r="D240" s="0" t="s">
        <v>761</v>
      </c>
      <c r="E240" s="119" t="n">
        <v>21</v>
      </c>
      <c r="F240" s="119" t="n">
        <v>5</v>
      </c>
      <c r="I240" s="118" t="n">
        <v>9</v>
      </c>
      <c r="K240" s="118" t="n">
        <v>9</v>
      </c>
      <c r="M240" s="186" t="n">
        <v>3.65</v>
      </c>
      <c r="S240" s="192" t="n">
        <v>1449</v>
      </c>
      <c r="U240" s="186" t="n">
        <v>10.8</v>
      </c>
      <c r="Y240" s="186" t="n">
        <v>833</v>
      </c>
      <c r="AA240" s="192" t="n">
        <v>125839</v>
      </c>
      <c r="AC240" s="186" t="n">
        <v>34.8</v>
      </c>
      <c r="AG240" s="186" t="n">
        <v>2.76</v>
      </c>
      <c r="AM240" s="192" t="n">
        <v>77</v>
      </c>
      <c r="BS240" s="193" t="n">
        <v>41.65</v>
      </c>
      <c r="BU240" s="186" t="n">
        <v>23.96</v>
      </c>
      <c r="BY240" s="186" t="n">
        <v>6.34</v>
      </c>
      <c r="CL240" s="186" t="n">
        <v>0</v>
      </c>
    </row>
    <row r="241" customFormat="false" ht="12.75" hidden="false" customHeight="false" outlineLevel="0" collapsed="false">
      <c r="A241" s="184" t="s">
        <v>537</v>
      </c>
      <c r="B241" s="0" t="s">
        <v>669</v>
      </c>
      <c r="C241" s="0" t="s">
        <v>763</v>
      </c>
      <c r="D241" s="0" t="s">
        <v>765</v>
      </c>
      <c r="E241" s="119" t="n">
        <v>52</v>
      </c>
      <c r="F241" s="119" t="n">
        <v>12</v>
      </c>
      <c r="I241" s="118" t="n">
        <v>9</v>
      </c>
      <c r="K241" s="118" t="n">
        <v>9</v>
      </c>
      <c r="M241" s="186" t="n">
        <v>3.78</v>
      </c>
      <c r="S241" s="192" t="n">
        <v>1594</v>
      </c>
      <c r="U241" s="186" t="n">
        <v>10.8</v>
      </c>
      <c r="Y241" s="186" t="n">
        <v>796</v>
      </c>
      <c r="AA241" s="192" t="n">
        <v>122623</v>
      </c>
      <c r="AC241" s="186" t="n">
        <v>36.2</v>
      </c>
      <c r="AG241" s="186" t="n">
        <v>2.95</v>
      </c>
      <c r="AM241" s="192" t="n">
        <v>69</v>
      </c>
      <c r="BS241" s="193" t="n">
        <v>44</v>
      </c>
      <c r="BU241" s="186" t="n">
        <v>21.99</v>
      </c>
      <c r="BY241" s="186" t="n">
        <v>5.84</v>
      </c>
      <c r="CL241" s="186" t="n">
        <v>0</v>
      </c>
    </row>
    <row r="242" customFormat="false" ht="12.75" hidden="false" customHeight="false" outlineLevel="0" collapsed="false">
      <c r="A242" s="184" t="s">
        <v>539</v>
      </c>
      <c r="B242" s="0" t="s">
        <v>666</v>
      </c>
      <c r="C242" s="0" t="s">
        <v>759</v>
      </c>
      <c r="D242" s="0" t="s">
        <v>761</v>
      </c>
      <c r="E242" s="119" t="n">
        <v>33</v>
      </c>
      <c r="F242" s="119" t="n">
        <v>3</v>
      </c>
      <c r="I242" s="118" t="n">
        <v>9</v>
      </c>
      <c r="K242" s="118" t="n">
        <v>7</v>
      </c>
      <c r="M242" s="186" t="n">
        <v>2.77</v>
      </c>
      <c r="S242" s="192" t="n">
        <v>1193</v>
      </c>
      <c r="U242" s="186" t="n">
        <v>10.8</v>
      </c>
      <c r="Y242" s="186" t="n">
        <v>581</v>
      </c>
      <c r="AA242" s="192" t="n">
        <v>93232</v>
      </c>
      <c r="AC242" s="186" t="n">
        <v>26.5</v>
      </c>
      <c r="AG242" s="186" t="n">
        <v>2.84</v>
      </c>
      <c r="AM242" s="192" t="n">
        <v>77</v>
      </c>
      <c r="BS242" s="193" t="n">
        <v>45.02</v>
      </c>
      <c r="BU242" s="186" t="n">
        <v>21.91</v>
      </c>
      <c r="BY242" s="186" t="n">
        <v>5.98</v>
      </c>
      <c r="CL242" s="186" t="n">
        <v>0</v>
      </c>
    </row>
    <row r="243" customFormat="false" ht="12.75" hidden="false" customHeight="false" outlineLevel="0" collapsed="false">
      <c r="A243" s="184" t="s">
        <v>539</v>
      </c>
      <c r="B243" s="0" t="s">
        <v>666</v>
      </c>
      <c r="C243" s="0" t="s">
        <v>763</v>
      </c>
      <c r="D243" s="0" t="s">
        <v>765</v>
      </c>
      <c r="E243" s="119" t="n">
        <v>50</v>
      </c>
      <c r="F243" s="119" t="n">
        <v>8</v>
      </c>
      <c r="I243" s="118" t="n">
        <v>9</v>
      </c>
      <c r="K243" s="118" t="n">
        <v>7</v>
      </c>
      <c r="M243" s="186" t="n">
        <v>2.3</v>
      </c>
      <c r="S243" s="192" t="n">
        <v>1060</v>
      </c>
      <c r="U243" s="186" t="n">
        <v>10.8</v>
      </c>
      <c r="Y243" s="186" t="n">
        <v>416</v>
      </c>
      <c r="AA243" s="192" t="n">
        <v>76486</v>
      </c>
      <c r="AC243" s="186" t="n">
        <v>22</v>
      </c>
      <c r="AG243" s="186" t="n">
        <v>2.88</v>
      </c>
      <c r="AM243" s="192" t="n">
        <v>80</v>
      </c>
      <c r="BS243" s="193" t="n">
        <v>48.13</v>
      </c>
      <c r="BU243" s="186" t="n">
        <v>18.9</v>
      </c>
      <c r="BY243" s="186" t="n">
        <v>5.87</v>
      </c>
      <c r="CL243" s="186" t="n">
        <v>0</v>
      </c>
    </row>
    <row r="244" customFormat="false" ht="12.75" hidden="false" customHeight="false" outlineLevel="0" collapsed="false">
      <c r="A244" s="184" t="s">
        <v>539</v>
      </c>
      <c r="B244" s="0" t="s">
        <v>669</v>
      </c>
      <c r="C244" s="0" t="s">
        <v>759</v>
      </c>
      <c r="D244" s="0" t="s">
        <v>761</v>
      </c>
      <c r="E244" s="119" t="n">
        <v>21</v>
      </c>
      <c r="F244" s="119" t="n">
        <v>4</v>
      </c>
      <c r="I244" s="118" t="n">
        <v>9</v>
      </c>
      <c r="K244" s="118" t="n">
        <v>7</v>
      </c>
      <c r="M244" s="186" t="n">
        <v>2.81</v>
      </c>
      <c r="S244" s="192" t="n">
        <v>1156</v>
      </c>
      <c r="U244" s="186" t="n">
        <v>10.8</v>
      </c>
      <c r="Y244" s="186" t="n">
        <v>658</v>
      </c>
      <c r="AA244" s="192" t="n">
        <v>98205</v>
      </c>
      <c r="AC244" s="186" t="n">
        <v>26.8</v>
      </c>
      <c r="AG244" s="186" t="n">
        <v>2.73</v>
      </c>
      <c r="AM244" s="192" t="n">
        <v>80</v>
      </c>
      <c r="BS244" s="193" t="n">
        <v>43.17</v>
      </c>
      <c r="BU244" s="186" t="n">
        <v>24.57</v>
      </c>
      <c r="BY244" s="186" t="n">
        <v>6.38</v>
      </c>
      <c r="CL244" s="186" t="n">
        <v>0</v>
      </c>
    </row>
    <row r="245" customFormat="false" ht="12.75" hidden="false" customHeight="false" outlineLevel="0" collapsed="false">
      <c r="A245" s="184" t="s">
        <v>539</v>
      </c>
      <c r="B245" s="0" t="s">
        <v>669</v>
      </c>
      <c r="C245" s="0" t="s">
        <v>763</v>
      </c>
      <c r="D245" s="0" t="s">
        <v>765</v>
      </c>
      <c r="E245" s="119" t="n">
        <v>38</v>
      </c>
      <c r="F245" s="119" t="n">
        <v>11</v>
      </c>
      <c r="I245" s="118" t="n">
        <v>9</v>
      </c>
      <c r="K245" s="118" t="n">
        <v>9</v>
      </c>
      <c r="M245" s="186" t="n">
        <v>3.09</v>
      </c>
      <c r="S245" s="192" t="n">
        <v>1336</v>
      </c>
      <c r="U245" s="186" t="n">
        <v>10.8</v>
      </c>
      <c r="Y245" s="186" t="n">
        <v>658</v>
      </c>
      <c r="AA245" s="192" t="n">
        <v>108464</v>
      </c>
      <c r="AC245" s="186" t="n">
        <v>29.7</v>
      </c>
      <c r="AG245" s="186" t="n">
        <v>2.74</v>
      </c>
      <c r="AM245" s="192" t="n">
        <v>77</v>
      </c>
      <c r="BS245" s="193" t="n">
        <v>44.96</v>
      </c>
      <c r="BU245" s="186" t="n">
        <v>22.14</v>
      </c>
      <c r="BY245" s="186" t="n">
        <v>5.51</v>
      </c>
      <c r="CL245" s="186" t="n">
        <v>0</v>
      </c>
    </row>
    <row r="246" customFormat="false" ht="12.75" hidden="false" customHeight="false" outlineLevel="0" collapsed="false">
      <c r="A246" s="184" t="s">
        <v>541</v>
      </c>
      <c r="B246" s="0" t="s">
        <v>666</v>
      </c>
      <c r="C246" s="0" t="s">
        <v>759</v>
      </c>
      <c r="D246" s="0" t="s">
        <v>761</v>
      </c>
      <c r="E246" s="119" t="n">
        <v>26</v>
      </c>
      <c r="F246" s="119" t="n">
        <v>1</v>
      </c>
      <c r="I246" s="118" t="n">
        <v>9</v>
      </c>
      <c r="K246" s="118" t="n">
        <v>9</v>
      </c>
      <c r="M246" s="186" t="n">
        <v>3.33</v>
      </c>
      <c r="S246" s="192" t="n">
        <v>1293</v>
      </c>
      <c r="U246" s="186" t="n">
        <v>10.8</v>
      </c>
      <c r="Y246" s="186" t="n">
        <v>729</v>
      </c>
      <c r="AA246" s="192" t="n">
        <v>109768</v>
      </c>
      <c r="AC246" s="186" t="n">
        <v>31.2</v>
      </c>
      <c r="AG246" s="186" t="n">
        <v>2.85</v>
      </c>
      <c r="AM246" s="192" t="n">
        <v>77</v>
      </c>
      <c r="BS246" s="193" t="n">
        <v>41.37</v>
      </c>
      <c r="BU246" s="186" t="n">
        <v>23.34</v>
      </c>
      <c r="BY246" s="186" t="n">
        <v>7.78</v>
      </c>
      <c r="CL246" s="186" t="n">
        <v>0</v>
      </c>
    </row>
    <row r="247" customFormat="false" ht="12.75" hidden="false" customHeight="false" outlineLevel="0" collapsed="false">
      <c r="A247" s="184" t="s">
        <v>541</v>
      </c>
      <c r="B247" s="0" t="s">
        <v>666</v>
      </c>
      <c r="C247" s="0" t="s">
        <v>763</v>
      </c>
      <c r="D247" s="0" t="s">
        <v>765</v>
      </c>
      <c r="E247" s="119" t="n">
        <v>49</v>
      </c>
      <c r="F247" s="119" t="n">
        <v>9</v>
      </c>
      <c r="I247" s="118" t="n">
        <v>9</v>
      </c>
      <c r="K247" s="118" t="n">
        <v>9</v>
      </c>
      <c r="M247" s="186" t="n">
        <v>3.38</v>
      </c>
      <c r="S247" s="192" t="n">
        <v>1488</v>
      </c>
      <c r="U247" s="186" t="n">
        <v>10.8</v>
      </c>
      <c r="Y247" s="186" t="n">
        <v>618</v>
      </c>
      <c r="AA247" s="192" t="n">
        <v>101731</v>
      </c>
      <c r="AC247" s="186" t="n">
        <v>32.4</v>
      </c>
      <c r="AG247" s="186" t="n">
        <v>3.18</v>
      </c>
      <c r="AM247" s="192" t="n">
        <v>77</v>
      </c>
      <c r="BS247" s="193" t="n">
        <v>45.99</v>
      </c>
      <c r="BU247" s="186" t="n">
        <v>19.08</v>
      </c>
      <c r="BY247" s="186" t="n">
        <v>5.89</v>
      </c>
      <c r="CL247" s="186" t="n">
        <v>0</v>
      </c>
    </row>
    <row r="248" customFormat="false" ht="12.75" hidden="false" customHeight="false" outlineLevel="0" collapsed="false">
      <c r="A248" s="184" t="s">
        <v>541</v>
      </c>
      <c r="B248" s="0" t="s">
        <v>669</v>
      </c>
      <c r="C248" s="0" t="s">
        <v>759</v>
      </c>
      <c r="D248" s="0" t="s">
        <v>761</v>
      </c>
      <c r="S248" s="192" t="s">
        <v>768</v>
      </c>
      <c r="U248" s="186" t="n">
        <v>10.8</v>
      </c>
      <c r="Y248" s="186" t="s">
        <v>768</v>
      </c>
      <c r="AA248" s="192" t="s">
        <v>768</v>
      </c>
      <c r="AC248" s="186" t="s">
        <v>768</v>
      </c>
      <c r="AG248" s="186" t="n">
        <v>2.88</v>
      </c>
      <c r="AM248" s="192" t="s">
        <v>768</v>
      </c>
      <c r="BS248" s="193" t="n">
        <v>40.61</v>
      </c>
      <c r="BU248" s="186" t="n">
        <v>24.09</v>
      </c>
      <c r="CL248" s="186" t="n">
        <v>0</v>
      </c>
    </row>
    <row r="249" customFormat="false" ht="12.75" hidden="false" customHeight="false" outlineLevel="0" collapsed="false">
      <c r="A249" s="184" t="s">
        <v>541</v>
      </c>
      <c r="B249" s="0" t="s">
        <v>669</v>
      </c>
      <c r="C249" s="0" t="s">
        <v>763</v>
      </c>
      <c r="D249" s="0" t="s">
        <v>765</v>
      </c>
      <c r="E249" s="119" t="n">
        <v>44</v>
      </c>
      <c r="F249" s="119" t="n">
        <v>12</v>
      </c>
      <c r="I249" s="118" t="n">
        <v>9</v>
      </c>
      <c r="K249" s="118" t="n">
        <v>9</v>
      </c>
      <c r="M249" s="186" t="n">
        <v>3.86</v>
      </c>
      <c r="S249" s="192" t="n">
        <v>1585</v>
      </c>
      <c r="U249" s="186" t="n">
        <v>10.8</v>
      </c>
      <c r="Y249" s="186" t="n">
        <v>823</v>
      </c>
      <c r="AA249" s="192" t="n">
        <v>120697</v>
      </c>
      <c r="AC249" s="186" t="n">
        <v>36.9</v>
      </c>
      <c r="AG249" s="186" t="n">
        <v>3.06</v>
      </c>
      <c r="AM249" s="192" t="n">
        <v>77</v>
      </c>
      <c r="BS249" s="193" t="n">
        <v>42.95</v>
      </c>
      <c r="BU249" s="186" t="n">
        <v>22.3</v>
      </c>
      <c r="BY249" s="186" t="n">
        <v>6.05</v>
      </c>
      <c r="CL249" s="186" t="n">
        <v>0</v>
      </c>
    </row>
    <row r="250" customFormat="false" ht="12.75" hidden="false" customHeight="false" outlineLevel="0" collapsed="false">
      <c r="A250" s="184" t="s">
        <v>543</v>
      </c>
      <c r="B250" s="0" t="s">
        <v>666</v>
      </c>
      <c r="C250" s="0" t="s">
        <v>759</v>
      </c>
      <c r="D250" s="0" t="s">
        <v>761</v>
      </c>
      <c r="E250" s="119" t="n">
        <v>24</v>
      </c>
      <c r="F250" s="119" t="n">
        <v>1</v>
      </c>
      <c r="I250" s="118" t="n">
        <v>9</v>
      </c>
      <c r="K250" s="118" t="n">
        <v>9</v>
      </c>
      <c r="M250" s="186" t="n">
        <v>3.42</v>
      </c>
      <c r="S250" s="192" t="s">
        <v>768</v>
      </c>
      <c r="U250" s="186" t="n">
        <v>10.8</v>
      </c>
      <c r="Y250" s="186" t="s">
        <v>768</v>
      </c>
      <c r="AA250" s="192" t="s">
        <v>768</v>
      </c>
      <c r="AC250" s="186" t="n">
        <v>32.3</v>
      </c>
      <c r="AG250" s="186" t="s">
        <v>768</v>
      </c>
      <c r="AM250" s="192" t="n">
        <v>80</v>
      </c>
      <c r="BS250" s="193" t="s">
        <v>768</v>
      </c>
      <c r="BU250" s="186" t="s">
        <v>768</v>
      </c>
      <c r="BY250" s="186" t="n">
        <v>7.08</v>
      </c>
      <c r="CL250" s="186" t="n">
        <v>0</v>
      </c>
    </row>
    <row r="251" customFormat="false" ht="12.75" hidden="false" customHeight="false" outlineLevel="0" collapsed="false">
      <c r="A251" s="184" t="s">
        <v>543</v>
      </c>
      <c r="B251" s="0" t="s">
        <v>666</v>
      </c>
      <c r="C251" s="0" t="s">
        <v>763</v>
      </c>
      <c r="D251" s="0" t="s">
        <v>765</v>
      </c>
      <c r="E251" s="119" t="n">
        <v>48</v>
      </c>
      <c r="F251" s="119" t="n">
        <v>8</v>
      </c>
      <c r="I251" s="118" t="n">
        <v>9</v>
      </c>
      <c r="K251" s="118" t="n">
        <v>7</v>
      </c>
      <c r="M251" s="186" t="n">
        <v>2.22</v>
      </c>
      <c r="S251" s="192" t="n">
        <v>971</v>
      </c>
      <c r="U251" s="186" t="n">
        <v>10.8</v>
      </c>
      <c r="Y251" s="186" t="n">
        <v>436</v>
      </c>
      <c r="AA251" s="192" t="n">
        <v>79752</v>
      </c>
      <c r="AC251" s="186" t="n">
        <v>21.3</v>
      </c>
      <c r="AG251" s="186" t="n">
        <v>2.67</v>
      </c>
      <c r="AM251" s="192" t="n">
        <v>83</v>
      </c>
      <c r="BS251" s="193" t="n">
        <v>45.65</v>
      </c>
      <c r="BU251" s="186" t="n">
        <v>20.52</v>
      </c>
      <c r="BY251" s="186" t="n">
        <v>5.85</v>
      </c>
      <c r="CL251" s="186" t="n">
        <v>0</v>
      </c>
    </row>
    <row r="252" customFormat="false" ht="12.75" hidden="false" customHeight="false" outlineLevel="0" collapsed="false">
      <c r="A252" s="184" t="s">
        <v>543</v>
      </c>
      <c r="B252" s="0" t="s">
        <v>669</v>
      </c>
      <c r="C252" s="0" t="s">
        <v>759</v>
      </c>
      <c r="D252" s="0" t="s">
        <v>761</v>
      </c>
      <c r="E252" s="119" t="n">
        <v>33</v>
      </c>
      <c r="F252" s="119" t="n">
        <v>5</v>
      </c>
      <c r="I252" s="118" t="n">
        <v>9</v>
      </c>
      <c r="K252" s="118" t="n">
        <v>7</v>
      </c>
      <c r="M252" s="186" t="n">
        <v>2.47</v>
      </c>
      <c r="S252" s="192" t="n">
        <v>975</v>
      </c>
      <c r="U252" s="186" t="n">
        <v>10.8</v>
      </c>
      <c r="Y252" s="186" t="n">
        <v>567</v>
      </c>
      <c r="AA252" s="192" t="n">
        <v>94886</v>
      </c>
      <c r="AC252" s="186" t="n">
        <v>23.6</v>
      </c>
      <c r="AG252" s="186" t="n">
        <v>2.49</v>
      </c>
      <c r="AM252" s="192" t="n">
        <v>83</v>
      </c>
      <c r="BS252" s="193" t="n">
        <v>41.36</v>
      </c>
      <c r="BU252" s="186" t="n">
        <v>24.05</v>
      </c>
      <c r="BY252" s="186" t="n">
        <v>6.17</v>
      </c>
      <c r="CL252" s="186" t="n">
        <v>0</v>
      </c>
    </row>
    <row r="253" customFormat="false" ht="12.75" hidden="false" customHeight="false" outlineLevel="0" collapsed="false">
      <c r="A253" s="184" t="s">
        <v>543</v>
      </c>
      <c r="B253" s="0" t="s">
        <v>669</v>
      </c>
      <c r="C253" s="0" t="s">
        <v>763</v>
      </c>
      <c r="D253" s="0" t="s">
        <v>765</v>
      </c>
      <c r="E253" s="119" t="n">
        <v>41</v>
      </c>
      <c r="F253" s="119" t="n">
        <v>10</v>
      </c>
      <c r="I253" s="118" t="n">
        <v>9</v>
      </c>
      <c r="K253" s="118" t="n">
        <v>7</v>
      </c>
      <c r="M253" s="186" t="n">
        <v>2.69</v>
      </c>
      <c r="S253" s="192" t="n">
        <v>1076</v>
      </c>
      <c r="U253" s="186" t="n">
        <v>10.8</v>
      </c>
      <c r="Y253" s="186" t="n">
        <v>622</v>
      </c>
      <c r="AA253" s="192" t="n">
        <v>106783</v>
      </c>
      <c r="AC253" s="186" t="n">
        <v>25.8</v>
      </c>
      <c r="AG253" s="186" t="n">
        <v>2.41</v>
      </c>
      <c r="AM253" s="192" t="n">
        <v>83</v>
      </c>
      <c r="BS253" s="193" t="n">
        <v>41.74</v>
      </c>
      <c r="BU253" s="186" t="n">
        <v>24.13</v>
      </c>
      <c r="BY253" s="186" t="n">
        <v>5.85</v>
      </c>
      <c r="CL253" s="186" t="n">
        <v>0</v>
      </c>
    </row>
    <row r="254" customFormat="false" ht="12.75" hidden="false" customHeight="false" outlineLevel="0" collapsed="false">
      <c r="A254" s="184" t="s">
        <v>545</v>
      </c>
      <c r="B254" s="0" t="s">
        <v>666</v>
      </c>
      <c r="C254" s="0" t="s">
        <v>759</v>
      </c>
      <c r="D254" s="0" t="s">
        <v>761</v>
      </c>
      <c r="E254" s="119" t="n">
        <v>34</v>
      </c>
      <c r="F254" s="119" t="n">
        <v>2</v>
      </c>
      <c r="I254" s="118" t="n">
        <v>5</v>
      </c>
      <c r="K254" s="118" t="n">
        <v>9</v>
      </c>
      <c r="M254" s="186" t="n">
        <v>1.55</v>
      </c>
      <c r="S254" s="192" t="n">
        <v>978</v>
      </c>
      <c r="U254" s="186" t="n">
        <v>10.8</v>
      </c>
      <c r="Y254" s="186" t="n">
        <v>447</v>
      </c>
      <c r="AA254" s="192" t="n">
        <v>67998</v>
      </c>
      <c r="AC254" s="186" t="n">
        <v>21.2</v>
      </c>
      <c r="AG254" s="186" t="n">
        <v>3.11</v>
      </c>
      <c r="AM254" s="192" t="n">
        <v>73</v>
      </c>
      <c r="BS254" s="193" t="n">
        <v>46.21</v>
      </c>
      <c r="BU254" s="186" t="n">
        <v>21.12</v>
      </c>
      <c r="BY254" s="186" t="n">
        <v>6.06</v>
      </c>
      <c r="CL254" s="186" t="n">
        <v>0</v>
      </c>
    </row>
    <row r="255" customFormat="false" ht="12.75" hidden="false" customHeight="false" outlineLevel="0" collapsed="false">
      <c r="A255" s="184" t="s">
        <v>545</v>
      </c>
      <c r="B255" s="0" t="s">
        <v>666</v>
      </c>
      <c r="C255" s="0" t="s">
        <v>763</v>
      </c>
      <c r="D255" s="0" t="s">
        <v>765</v>
      </c>
      <c r="E255" s="119" t="n">
        <v>52</v>
      </c>
      <c r="F255" s="119" t="n">
        <v>7</v>
      </c>
      <c r="I255" s="118" t="n">
        <v>9</v>
      </c>
      <c r="K255" s="118" t="n">
        <v>7</v>
      </c>
      <c r="M255" s="186" t="n">
        <v>2.47</v>
      </c>
      <c r="S255" s="192" t="n">
        <v>1109</v>
      </c>
      <c r="U255" s="186" t="n">
        <v>10.8</v>
      </c>
      <c r="Y255" s="186" t="n">
        <v>497</v>
      </c>
      <c r="AA255" s="192" t="n">
        <v>75601</v>
      </c>
      <c r="AC255" s="186" t="n">
        <v>23.7</v>
      </c>
      <c r="AG255" s="186" t="n">
        <v>3.14</v>
      </c>
      <c r="AM255" s="192" t="n">
        <v>73</v>
      </c>
      <c r="BS255" s="193" t="n">
        <v>46.72</v>
      </c>
      <c r="BU255" s="186" t="n">
        <v>20.95</v>
      </c>
      <c r="BY255" s="186" t="n">
        <v>5.58</v>
      </c>
      <c r="CL255" s="186" t="n">
        <v>0</v>
      </c>
    </row>
    <row r="256" customFormat="false" ht="12.75" hidden="false" customHeight="false" outlineLevel="0" collapsed="false">
      <c r="A256" s="184" t="s">
        <v>545</v>
      </c>
      <c r="B256" s="0" t="s">
        <v>669</v>
      </c>
      <c r="C256" s="0" t="s">
        <v>759</v>
      </c>
      <c r="D256" s="0" t="s">
        <v>761</v>
      </c>
      <c r="E256" s="119" t="n">
        <v>22</v>
      </c>
      <c r="F256" s="119" t="n">
        <v>6</v>
      </c>
      <c r="I256" s="118" t="n">
        <v>9</v>
      </c>
      <c r="K256" s="118" t="n">
        <v>9</v>
      </c>
      <c r="M256" s="186" t="n">
        <v>3.06</v>
      </c>
      <c r="S256" s="192" t="n">
        <v>1249</v>
      </c>
      <c r="U256" s="186" t="n">
        <v>10.8</v>
      </c>
      <c r="Y256" s="186" t="n">
        <v>725</v>
      </c>
      <c r="AA256" s="192" t="n">
        <v>99448</v>
      </c>
      <c r="AC256" s="186" t="n">
        <v>29.2</v>
      </c>
      <c r="AG256" s="186" t="n">
        <v>2.93</v>
      </c>
      <c r="AM256" s="192" t="n">
        <v>77</v>
      </c>
      <c r="BS256" s="193" t="n">
        <v>42.83</v>
      </c>
      <c r="BU256" s="186" t="n">
        <v>24.87</v>
      </c>
      <c r="BY256" s="186" t="n">
        <v>6.34</v>
      </c>
      <c r="CL256" s="186" t="n">
        <v>0</v>
      </c>
    </row>
    <row r="257" customFormat="false" ht="12.75" hidden="false" customHeight="false" outlineLevel="0" collapsed="false">
      <c r="A257" s="184" t="s">
        <v>545</v>
      </c>
      <c r="B257" s="0" t="s">
        <v>669</v>
      </c>
      <c r="C257" s="0" t="s">
        <v>763</v>
      </c>
      <c r="D257" s="0" t="s">
        <v>765</v>
      </c>
      <c r="E257" s="119" t="n">
        <v>39</v>
      </c>
      <c r="F257" s="119" t="n">
        <v>12</v>
      </c>
      <c r="I257" s="118" t="n">
        <v>9</v>
      </c>
      <c r="K257" s="118" t="n">
        <v>9</v>
      </c>
      <c r="M257" s="186" t="n">
        <v>3.12</v>
      </c>
      <c r="S257" s="192" t="n">
        <v>1329</v>
      </c>
      <c r="U257" s="186" t="n">
        <v>10.8</v>
      </c>
      <c r="Y257" s="186" t="n">
        <v>704</v>
      </c>
      <c r="AA257" s="192" t="n">
        <v>98278</v>
      </c>
      <c r="AC257" s="186" t="n">
        <v>30</v>
      </c>
      <c r="AG257" s="186" t="n">
        <v>3.05</v>
      </c>
      <c r="AM257" s="192" t="n">
        <v>73</v>
      </c>
      <c r="BS257" s="193" t="n">
        <v>44.37</v>
      </c>
      <c r="BU257" s="186" t="n">
        <v>23.49</v>
      </c>
      <c r="BY257" s="186" t="n">
        <v>5.64</v>
      </c>
      <c r="CL257" s="186" t="n">
        <v>0</v>
      </c>
    </row>
    <row r="258" customFormat="false" ht="12.75" hidden="false" customHeight="false" outlineLevel="0" collapsed="false">
      <c r="A258" s="184" t="s">
        <v>547</v>
      </c>
      <c r="B258" s="0" t="s">
        <v>666</v>
      </c>
      <c r="C258" s="0" t="s">
        <v>759</v>
      </c>
      <c r="D258" s="0" t="s">
        <v>761</v>
      </c>
      <c r="E258" s="119" t="n">
        <v>24</v>
      </c>
      <c r="F258" s="119" t="n">
        <v>3</v>
      </c>
      <c r="I258" s="118" t="n">
        <v>9</v>
      </c>
      <c r="K258" s="118" t="n">
        <v>7</v>
      </c>
      <c r="M258" s="186" t="n">
        <v>2.5</v>
      </c>
      <c r="S258" s="192" t="n">
        <v>1040</v>
      </c>
      <c r="U258" s="186" t="n">
        <v>10.8</v>
      </c>
      <c r="Y258" s="186" t="n">
        <v>530</v>
      </c>
      <c r="AA258" s="192" t="n">
        <v>73260</v>
      </c>
      <c r="AC258" s="186" t="n">
        <v>23.4</v>
      </c>
      <c r="AG258" s="186" t="n">
        <v>3.2</v>
      </c>
      <c r="AM258" s="192" t="n">
        <v>83</v>
      </c>
      <c r="BS258" s="193" t="n">
        <v>44.38</v>
      </c>
      <c r="BU258" s="186" t="n">
        <v>22.6</v>
      </c>
      <c r="BY258" s="186" t="n">
        <v>7.88</v>
      </c>
      <c r="CL258" s="186" t="n">
        <v>0</v>
      </c>
    </row>
    <row r="259" customFormat="false" ht="12.75" hidden="false" customHeight="false" outlineLevel="0" collapsed="false">
      <c r="A259" s="184" t="s">
        <v>547</v>
      </c>
      <c r="B259" s="0" t="s">
        <v>666</v>
      </c>
      <c r="C259" s="0" t="s">
        <v>763</v>
      </c>
      <c r="D259" s="0" t="s">
        <v>765</v>
      </c>
      <c r="E259" s="119" t="n">
        <v>45</v>
      </c>
      <c r="F259" s="119" t="n">
        <v>9</v>
      </c>
      <c r="I259" s="118" t="n">
        <v>9</v>
      </c>
      <c r="K259" s="118" t="n">
        <v>9</v>
      </c>
      <c r="M259" s="186" t="n">
        <v>2.6</v>
      </c>
      <c r="S259" s="192" t="n">
        <v>1153</v>
      </c>
      <c r="U259" s="186" t="n">
        <v>10.8</v>
      </c>
      <c r="Y259" s="186" t="n">
        <v>503</v>
      </c>
      <c r="AA259" s="192" t="n">
        <v>78012</v>
      </c>
      <c r="AC259" s="186" t="n">
        <v>24.9</v>
      </c>
      <c r="AG259" s="186" t="n">
        <v>3.19</v>
      </c>
      <c r="AM259" s="192" t="n">
        <v>83</v>
      </c>
      <c r="BS259" s="193" t="n">
        <v>46.26</v>
      </c>
      <c r="BU259" s="186" t="n">
        <v>20.18</v>
      </c>
      <c r="BY259" s="186" t="n">
        <v>5.82</v>
      </c>
      <c r="CL259" s="186" t="n">
        <v>0</v>
      </c>
    </row>
    <row r="260" customFormat="false" ht="12.75" hidden="false" customHeight="false" outlineLevel="0" collapsed="false">
      <c r="A260" s="184" t="s">
        <v>547</v>
      </c>
      <c r="B260" s="0" t="s">
        <v>669</v>
      </c>
      <c r="C260" s="0" t="s">
        <v>759</v>
      </c>
      <c r="D260" s="0" t="s">
        <v>761</v>
      </c>
      <c r="E260" s="119" t="n">
        <v>32</v>
      </c>
      <c r="F260" s="119" t="n">
        <v>4</v>
      </c>
      <c r="I260" s="118" t="n">
        <v>9</v>
      </c>
      <c r="K260" s="118" t="n">
        <v>7</v>
      </c>
      <c r="M260" s="186" t="n">
        <v>3.2</v>
      </c>
      <c r="S260" s="192" t="n">
        <v>1342</v>
      </c>
      <c r="U260" s="186" t="n">
        <v>10.8</v>
      </c>
      <c r="Y260" s="186" t="n">
        <v>711</v>
      </c>
      <c r="AA260" s="192" t="n">
        <v>100778</v>
      </c>
      <c r="AC260" s="186" t="n">
        <v>30.6</v>
      </c>
      <c r="AG260" s="186" t="n">
        <v>3.03</v>
      </c>
      <c r="AM260" s="192" t="n">
        <v>83</v>
      </c>
      <c r="BS260" s="193" t="n">
        <v>43.88</v>
      </c>
      <c r="BU260" s="186" t="n">
        <v>23.25</v>
      </c>
      <c r="BY260" s="186" t="n">
        <v>6.08</v>
      </c>
      <c r="CL260" s="186" t="n">
        <v>0</v>
      </c>
    </row>
    <row r="261" customFormat="false" ht="12.75" hidden="false" customHeight="false" outlineLevel="0" collapsed="false">
      <c r="A261" s="184" t="s">
        <v>547</v>
      </c>
      <c r="B261" s="0" t="s">
        <v>669</v>
      </c>
      <c r="C261" s="0" t="s">
        <v>763</v>
      </c>
      <c r="D261" s="0" t="s">
        <v>765</v>
      </c>
      <c r="E261" s="119" t="n">
        <v>48</v>
      </c>
      <c r="F261" s="119" t="n">
        <v>12</v>
      </c>
      <c r="I261" s="118" t="n">
        <v>9</v>
      </c>
      <c r="K261" s="118" t="n">
        <v>9</v>
      </c>
      <c r="M261" s="186" t="n">
        <v>3.64</v>
      </c>
      <c r="S261" s="192" t="n">
        <v>1556</v>
      </c>
      <c r="U261" s="186" t="n">
        <v>10.8</v>
      </c>
      <c r="Y261" s="186" t="n">
        <v>787</v>
      </c>
      <c r="AA261" s="192" t="n">
        <v>117879</v>
      </c>
      <c r="AC261" s="186" t="n">
        <v>34.9</v>
      </c>
      <c r="AG261" s="186" t="n">
        <v>2.96</v>
      </c>
      <c r="AM261" s="192" t="n">
        <v>83</v>
      </c>
      <c r="BS261" s="193" t="n">
        <v>44.53</v>
      </c>
      <c r="BU261" s="186" t="n">
        <v>22.54</v>
      </c>
      <c r="BY261" s="186" t="n">
        <v>5.66</v>
      </c>
      <c r="CL261" s="186" t="n">
        <v>0</v>
      </c>
    </row>
    <row r="262" customFormat="false" ht="12.75" hidden="false" customHeight="false" outlineLevel="0" collapsed="false">
      <c r="A262" s="184" t="s">
        <v>549</v>
      </c>
      <c r="B262" s="0" t="s">
        <v>666</v>
      </c>
      <c r="C262" s="0" t="s">
        <v>759</v>
      </c>
      <c r="D262" s="0" t="s">
        <v>761</v>
      </c>
      <c r="E262" s="119" t="n">
        <v>31</v>
      </c>
      <c r="F262" s="119" t="n">
        <v>3</v>
      </c>
      <c r="I262" s="118" t="n">
        <v>9</v>
      </c>
      <c r="K262" s="118" t="n">
        <v>7</v>
      </c>
      <c r="M262" s="186" t="n">
        <v>3.41</v>
      </c>
      <c r="S262" s="192" t="n">
        <v>1398</v>
      </c>
      <c r="U262" s="186" t="n">
        <v>10.8</v>
      </c>
      <c r="Y262" s="186" t="n">
        <v>742</v>
      </c>
      <c r="AA262" s="192" t="n">
        <v>104191</v>
      </c>
      <c r="AC262" s="186" t="n">
        <v>32.5</v>
      </c>
      <c r="AG262" s="186" t="n">
        <v>3.12</v>
      </c>
      <c r="AM262" s="192" t="n">
        <v>73</v>
      </c>
      <c r="BS262" s="193" t="n">
        <v>42.98</v>
      </c>
      <c r="BU262" s="186" t="n">
        <v>22.81</v>
      </c>
      <c r="BY262" s="186" t="n">
        <v>6.26</v>
      </c>
      <c r="CL262" s="186" t="n">
        <v>0</v>
      </c>
    </row>
    <row r="263" customFormat="false" ht="12.75" hidden="false" customHeight="false" outlineLevel="0" collapsed="false">
      <c r="A263" s="184" t="s">
        <v>549</v>
      </c>
      <c r="B263" s="0" t="s">
        <v>666</v>
      </c>
      <c r="C263" s="0" t="s">
        <v>763</v>
      </c>
      <c r="D263" s="0" t="s">
        <v>765</v>
      </c>
      <c r="E263" s="119" t="n">
        <v>47</v>
      </c>
      <c r="F263" s="119" t="n">
        <v>9</v>
      </c>
      <c r="I263" s="118" t="n">
        <v>9</v>
      </c>
      <c r="K263" s="118" t="n">
        <v>9</v>
      </c>
      <c r="M263" s="186" t="n">
        <v>3.15</v>
      </c>
      <c r="S263" s="192" t="n">
        <v>1410</v>
      </c>
      <c r="U263" s="186" t="n">
        <v>10.8</v>
      </c>
      <c r="Y263" s="186" t="n">
        <v>580</v>
      </c>
      <c r="AA263" s="192" t="n">
        <v>93811</v>
      </c>
      <c r="AC263" s="186" t="n">
        <v>30.2</v>
      </c>
      <c r="AG263" s="186" t="n">
        <v>3.22</v>
      </c>
      <c r="AM263" s="192" t="n">
        <v>69</v>
      </c>
      <c r="BS263" s="193" t="n">
        <v>46.66</v>
      </c>
      <c r="BU263" s="186" t="n">
        <v>19.18</v>
      </c>
      <c r="BY263" s="186" t="n">
        <v>5.72</v>
      </c>
      <c r="CL263" s="186" t="n">
        <v>0</v>
      </c>
    </row>
    <row r="264" customFormat="false" ht="12.75" hidden="false" customHeight="false" outlineLevel="0" collapsed="false">
      <c r="A264" s="184" t="s">
        <v>549</v>
      </c>
      <c r="B264" s="0" t="s">
        <v>669</v>
      </c>
      <c r="C264" s="0" t="s">
        <v>759</v>
      </c>
      <c r="D264" s="0" t="s">
        <v>761</v>
      </c>
      <c r="E264" s="119" t="n">
        <v>28</v>
      </c>
      <c r="F264" s="119" t="n">
        <v>4</v>
      </c>
      <c r="I264" s="118" t="n">
        <v>9</v>
      </c>
      <c r="K264" s="118" t="n">
        <v>7</v>
      </c>
      <c r="M264" s="186" t="n">
        <v>3.97</v>
      </c>
      <c r="S264" s="192" t="n">
        <v>1580</v>
      </c>
      <c r="U264" s="186" t="n">
        <v>10.8</v>
      </c>
      <c r="Y264" s="186" t="n">
        <v>922</v>
      </c>
      <c r="AA264" s="192" t="n">
        <v>112657</v>
      </c>
      <c r="AC264" s="186" t="n">
        <v>37.5</v>
      </c>
      <c r="AG264" s="186" t="n">
        <v>3.33</v>
      </c>
      <c r="AM264" s="192" t="n">
        <v>73</v>
      </c>
      <c r="BS264" s="193" t="n">
        <v>42.14</v>
      </c>
      <c r="BU264" s="186" t="n">
        <v>24.59</v>
      </c>
      <c r="BY264" s="186" t="n">
        <v>7.17</v>
      </c>
      <c r="CL264" s="186" t="n">
        <v>0</v>
      </c>
    </row>
    <row r="265" customFormat="false" ht="12.75" hidden="false" customHeight="false" outlineLevel="0" collapsed="false">
      <c r="A265" s="184" t="s">
        <v>549</v>
      </c>
      <c r="B265" s="0" t="s">
        <v>669</v>
      </c>
      <c r="C265" s="0" t="s">
        <v>763</v>
      </c>
      <c r="D265" s="0" t="s">
        <v>765</v>
      </c>
      <c r="E265" s="119" t="n">
        <v>54</v>
      </c>
      <c r="F265" s="119" t="n">
        <v>12</v>
      </c>
      <c r="I265" s="118" t="n">
        <v>9</v>
      </c>
      <c r="K265" s="118" t="n">
        <v>9</v>
      </c>
      <c r="M265" s="186" t="n">
        <v>3.78</v>
      </c>
      <c r="S265" s="192" t="n">
        <v>1520</v>
      </c>
      <c r="U265" s="186" t="n">
        <v>10.8</v>
      </c>
      <c r="Y265" s="186" t="n">
        <v>860</v>
      </c>
      <c r="AA265" s="192" t="n">
        <v>118365</v>
      </c>
      <c r="AC265" s="186" t="n">
        <v>36.1</v>
      </c>
      <c r="AG265" s="186" t="n">
        <v>3.05</v>
      </c>
      <c r="AM265" s="192" t="n">
        <v>69</v>
      </c>
      <c r="BS265" s="193" t="n">
        <v>42.09</v>
      </c>
      <c r="BU265" s="186" t="n">
        <v>23.82</v>
      </c>
      <c r="BY265" s="186" t="n">
        <v>6.1</v>
      </c>
      <c r="CL265" s="186" t="n">
        <v>0</v>
      </c>
    </row>
    <row r="266" customFormat="false" ht="12.75" hidden="false" customHeight="false" outlineLevel="0" collapsed="false">
      <c r="A266" s="184" t="s">
        <v>551</v>
      </c>
      <c r="B266" s="0" t="s">
        <v>666</v>
      </c>
      <c r="C266" s="0" t="s">
        <v>759</v>
      </c>
      <c r="D266" s="0" t="s">
        <v>761</v>
      </c>
      <c r="E266" s="119" t="n">
        <v>31</v>
      </c>
      <c r="F266" s="119" t="n">
        <v>2</v>
      </c>
      <c r="I266" s="118" t="n">
        <v>7</v>
      </c>
      <c r="K266" s="118" t="n">
        <v>7</v>
      </c>
      <c r="M266" s="186" t="n">
        <v>2.94</v>
      </c>
      <c r="S266" s="192" t="n">
        <v>1167</v>
      </c>
      <c r="U266" s="186" t="n">
        <v>10.8</v>
      </c>
      <c r="Y266" s="186" t="n">
        <v>623</v>
      </c>
      <c r="AA266" s="192" t="n">
        <v>94636</v>
      </c>
      <c r="AC266" s="186" t="n">
        <v>27.9</v>
      </c>
      <c r="AG266" s="186" t="n">
        <v>2.95</v>
      </c>
      <c r="AM266" s="192" t="n">
        <v>73</v>
      </c>
      <c r="BS266" s="193" t="n">
        <v>41.78</v>
      </c>
      <c r="BU266" s="186" t="n">
        <v>22.28</v>
      </c>
      <c r="BY266" s="186" t="n">
        <v>6.6</v>
      </c>
      <c r="CL266" s="186" t="n">
        <v>0</v>
      </c>
    </row>
    <row r="267" customFormat="false" ht="12.75" hidden="false" customHeight="false" outlineLevel="0" collapsed="false">
      <c r="A267" s="184" t="s">
        <v>551</v>
      </c>
      <c r="B267" s="0" t="s">
        <v>666</v>
      </c>
      <c r="C267" s="0" t="s">
        <v>763</v>
      </c>
      <c r="D267" s="0" t="s">
        <v>765</v>
      </c>
      <c r="E267" s="119" t="n">
        <v>50</v>
      </c>
      <c r="F267" s="119" t="n">
        <v>9</v>
      </c>
      <c r="I267" s="118" t="n">
        <v>9</v>
      </c>
      <c r="K267" s="118" t="n">
        <v>9</v>
      </c>
      <c r="M267" s="186" t="n">
        <v>3.05</v>
      </c>
      <c r="S267" s="192" t="n">
        <v>1349</v>
      </c>
      <c r="U267" s="186" t="n">
        <v>10.8</v>
      </c>
      <c r="Y267" s="186" t="n">
        <v>535</v>
      </c>
      <c r="AA267" s="192" t="n">
        <v>92194</v>
      </c>
      <c r="AC267" s="186" t="n">
        <v>29.2</v>
      </c>
      <c r="AG267" s="186" t="n">
        <v>3.17</v>
      </c>
      <c r="AM267" s="192" t="n">
        <v>73</v>
      </c>
      <c r="BS267" s="193" t="n">
        <v>46.14</v>
      </c>
      <c r="BU267" s="186" t="n">
        <v>18.29</v>
      </c>
      <c r="BY267" s="186" t="n">
        <v>5.77</v>
      </c>
      <c r="CL267" s="186" t="n">
        <v>0</v>
      </c>
    </row>
    <row r="268" customFormat="false" ht="12.75" hidden="false" customHeight="false" outlineLevel="0" collapsed="false">
      <c r="A268" s="184" t="s">
        <v>551</v>
      </c>
      <c r="B268" s="0" t="s">
        <v>669</v>
      </c>
      <c r="C268" s="0" t="s">
        <v>759</v>
      </c>
      <c r="D268" s="0" t="s">
        <v>761</v>
      </c>
      <c r="E268" s="119" t="n">
        <v>28</v>
      </c>
      <c r="F268" s="119" t="n">
        <v>6</v>
      </c>
      <c r="I268" s="118" t="n">
        <v>9</v>
      </c>
      <c r="K268" s="118" t="n">
        <v>9</v>
      </c>
      <c r="M268" s="186" t="n">
        <v>3.33</v>
      </c>
      <c r="S268" s="192" t="n">
        <v>1256</v>
      </c>
      <c r="U268" s="186" t="n">
        <v>10.8</v>
      </c>
      <c r="Y268" s="186" t="n">
        <v>772</v>
      </c>
      <c r="AA268" s="192" t="n">
        <v>106944</v>
      </c>
      <c r="AC268" s="186" t="n">
        <v>31.5</v>
      </c>
      <c r="AG268" s="186" t="n">
        <v>2.94</v>
      </c>
      <c r="AM268" s="192" t="n">
        <v>73</v>
      </c>
      <c r="BS268" s="193" t="n">
        <v>39.89</v>
      </c>
      <c r="BU268" s="186" t="n">
        <v>24.52</v>
      </c>
      <c r="BY268" s="186" t="n">
        <v>7.05</v>
      </c>
      <c r="CL268" s="186" t="n">
        <v>0</v>
      </c>
    </row>
    <row r="269" customFormat="false" ht="12.75" hidden="false" customHeight="false" outlineLevel="0" collapsed="false">
      <c r="A269" s="184" t="s">
        <v>551</v>
      </c>
      <c r="B269" s="0" t="s">
        <v>669</v>
      </c>
      <c r="C269" s="0" t="s">
        <v>763</v>
      </c>
      <c r="D269" s="0" t="s">
        <v>765</v>
      </c>
      <c r="E269" s="119" t="n">
        <v>49</v>
      </c>
      <c r="F269" s="119" t="n">
        <v>12</v>
      </c>
      <c r="I269" s="118" t="n">
        <v>9</v>
      </c>
      <c r="K269" s="118" t="n">
        <v>9</v>
      </c>
      <c r="M269" s="186" t="n">
        <v>3.66</v>
      </c>
      <c r="S269" s="192" t="n">
        <v>1465</v>
      </c>
      <c r="U269" s="186" t="n">
        <v>10.8</v>
      </c>
      <c r="Y269" s="186" t="n">
        <v>790</v>
      </c>
      <c r="AA269" s="192" t="n">
        <v>113300</v>
      </c>
      <c r="AC269" s="186" t="n">
        <v>35.1</v>
      </c>
      <c r="AG269" s="186" t="n">
        <v>3.1</v>
      </c>
      <c r="AM269" s="192" t="n">
        <v>73</v>
      </c>
      <c r="BS269" s="193" t="n">
        <v>41.74</v>
      </c>
      <c r="BU269" s="186" t="n">
        <v>22.5</v>
      </c>
      <c r="BY269" s="186" t="n">
        <v>5.74</v>
      </c>
      <c r="CL269" s="186" t="n">
        <v>0</v>
      </c>
    </row>
    <row r="270" customFormat="false" ht="12.75" hidden="false" customHeight="false" outlineLevel="0" collapsed="false">
      <c r="A270" s="184" t="s">
        <v>553</v>
      </c>
      <c r="B270" s="0" t="s">
        <v>666</v>
      </c>
      <c r="C270" s="0" t="s">
        <v>759</v>
      </c>
      <c r="D270" s="0" t="s">
        <v>761</v>
      </c>
      <c r="E270" s="119" t="n">
        <v>26</v>
      </c>
      <c r="F270" s="119" t="n">
        <v>2</v>
      </c>
      <c r="I270" s="118" t="n">
        <v>7</v>
      </c>
      <c r="K270" s="118" t="n">
        <v>7</v>
      </c>
      <c r="M270" s="186" t="n">
        <v>2.26</v>
      </c>
      <c r="S270" s="192" t="n">
        <v>893</v>
      </c>
      <c r="U270" s="186" t="n">
        <v>10.8</v>
      </c>
      <c r="Y270" s="186" t="n">
        <v>461</v>
      </c>
      <c r="AA270" s="192" t="n">
        <v>63225</v>
      </c>
      <c r="AC270" s="186" t="n">
        <v>21.2</v>
      </c>
      <c r="AG270" s="186" t="n">
        <v>3.35</v>
      </c>
      <c r="AM270" s="192" t="n">
        <v>73</v>
      </c>
      <c r="BS270" s="193" t="n">
        <v>42.16</v>
      </c>
      <c r="BU270" s="186" t="n">
        <v>21.77</v>
      </c>
      <c r="BY270" s="186" t="n">
        <v>7.89</v>
      </c>
      <c r="CL270" s="186" t="n">
        <v>0</v>
      </c>
    </row>
    <row r="271" customFormat="false" ht="12.75" hidden="false" customHeight="false" outlineLevel="0" collapsed="false">
      <c r="A271" s="184" t="s">
        <v>553</v>
      </c>
      <c r="B271" s="0" t="s">
        <v>666</v>
      </c>
      <c r="C271" s="0" t="s">
        <v>763</v>
      </c>
      <c r="D271" s="0" t="s">
        <v>765</v>
      </c>
      <c r="E271" s="119" t="n">
        <v>38</v>
      </c>
      <c r="F271" s="119" t="n">
        <v>9</v>
      </c>
      <c r="I271" s="118" t="n">
        <v>9</v>
      </c>
      <c r="K271" s="118" t="n">
        <v>9</v>
      </c>
      <c r="M271" s="186" t="n">
        <v>2.9</v>
      </c>
      <c r="S271" s="192" t="n">
        <v>1235</v>
      </c>
      <c r="U271" s="186" t="n">
        <v>10.8</v>
      </c>
      <c r="Y271" s="186" t="n">
        <v>530</v>
      </c>
      <c r="AA271" s="192" t="n">
        <v>84088</v>
      </c>
      <c r="AC271" s="186" t="n">
        <v>27.8</v>
      </c>
      <c r="AG271" s="186" t="n">
        <v>3.31</v>
      </c>
      <c r="AM271" s="192" t="n">
        <v>73</v>
      </c>
      <c r="BS271" s="193" t="n">
        <v>44.36</v>
      </c>
      <c r="BU271" s="186" t="n">
        <v>19.04</v>
      </c>
      <c r="BY271" s="186" t="n">
        <v>5.62</v>
      </c>
      <c r="CL271" s="186" t="n">
        <v>0</v>
      </c>
    </row>
    <row r="272" customFormat="false" ht="12.75" hidden="false" customHeight="false" outlineLevel="0" collapsed="false">
      <c r="A272" s="184" t="s">
        <v>553</v>
      </c>
      <c r="B272" s="0" t="s">
        <v>669</v>
      </c>
      <c r="C272" s="0" t="s">
        <v>759</v>
      </c>
      <c r="D272" s="0" t="s">
        <v>761</v>
      </c>
      <c r="E272" s="119" t="n">
        <v>35</v>
      </c>
      <c r="F272" s="119" t="n">
        <v>6</v>
      </c>
      <c r="I272" s="118" t="n">
        <v>9</v>
      </c>
      <c r="K272" s="118" t="n">
        <v>9</v>
      </c>
      <c r="M272" s="186" t="n">
        <v>3.01</v>
      </c>
      <c r="S272" s="192" t="n">
        <v>1288</v>
      </c>
      <c r="U272" s="186" t="n">
        <v>10.8</v>
      </c>
      <c r="Y272" s="186" t="n">
        <v>579</v>
      </c>
      <c r="AA272" s="192" t="n">
        <v>92366</v>
      </c>
      <c r="AC272" s="186" t="n">
        <v>28.8</v>
      </c>
      <c r="AG272" s="186" t="n">
        <v>3.12</v>
      </c>
      <c r="AM272" s="192" t="n">
        <v>73</v>
      </c>
      <c r="BS272" s="193" t="n">
        <v>44.71</v>
      </c>
      <c r="BU272" s="186" t="n">
        <v>20.1</v>
      </c>
      <c r="BY272" s="186" t="n">
        <v>5.97</v>
      </c>
      <c r="CL272" s="186" t="n">
        <v>8</v>
      </c>
    </row>
    <row r="273" customFormat="false" ht="12.75" hidden="false" customHeight="false" outlineLevel="0" collapsed="false">
      <c r="A273" s="184" t="s">
        <v>553</v>
      </c>
      <c r="B273" s="0" t="s">
        <v>669</v>
      </c>
      <c r="C273" s="0" t="s">
        <v>763</v>
      </c>
      <c r="D273" s="0" t="s">
        <v>765</v>
      </c>
      <c r="E273" s="119" t="n">
        <v>39</v>
      </c>
      <c r="F273" s="119" t="n">
        <v>11</v>
      </c>
      <c r="I273" s="118" t="n">
        <v>7</v>
      </c>
      <c r="K273" s="118" t="n">
        <v>9</v>
      </c>
      <c r="M273" s="186" t="n">
        <v>3.14</v>
      </c>
      <c r="S273" s="192" t="n">
        <v>1216</v>
      </c>
      <c r="U273" s="186" t="n">
        <v>10.8</v>
      </c>
      <c r="Y273" s="186" t="n">
        <v>671</v>
      </c>
      <c r="AA273" s="192" t="n">
        <v>97868</v>
      </c>
      <c r="AC273" s="186" t="n">
        <v>30.1</v>
      </c>
      <c r="AG273" s="186" t="n">
        <v>3.07</v>
      </c>
      <c r="AM273" s="192" t="n">
        <v>73</v>
      </c>
      <c r="BS273" s="193" t="n">
        <v>40.42</v>
      </c>
      <c r="BU273" s="186" t="n">
        <v>22.3</v>
      </c>
      <c r="BY273" s="186" t="n">
        <v>5.81</v>
      </c>
      <c r="CL273" s="186" t="n">
        <v>2</v>
      </c>
    </row>
    <row r="274" customFormat="false" ht="12.75" hidden="false" customHeight="false" outlineLevel="0" collapsed="false">
      <c r="A274" s="184" t="s">
        <v>555</v>
      </c>
      <c r="B274" s="0" t="s">
        <v>666</v>
      </c>
      <c r="C274" s="0" t="s">
        <v>759</v>
      </c>
      <c r="D274" s="0" t="s">
        <v>761</v>
      </c>
      <c r="E274" s="119" t="n">
        <v>37</v>
      </c>
      <c r="F274" s="119" t="n">
        <v>1</v>
      </c>
      <c r="I274" s="118" t="n">
        <v>9</v>
      </c>
      <c r="K274" s="118" t="n">
        <v>9</v>
      </c>
      <c r="M274" s="186" t="n">
        <v>3</v>
      </c>
      <c r="S274" s="192" t="n">
        <v>1304</v>
      </c>
      <c r="U274" s="186" t="n">
        <v>10.8</v>
      </c>
      <c r="Y274" s="186" t="n">
        <v>602</v>
      </c>
      <c r="AA274" s="192" t="n">
        <v>96651</v>
      </c>
      <c r="AC274" s="186" t="n">
        <v>28.8</v>
      </c>
      <c r="AG274" s="186" t="n">
        <v>2.98</v>
      </c>
      <c r="AM274" s="192" t="n">
        <v>77</v>
      </c>
      <c r="BS274" s="193" t="n">
        <v>45.26</v>
      </c>
      <c r="BU274" s="186" t="n">
        <v>20.89</v>
      </c>
      <c r="BY274" s="186" t="n">
        <v>5.62</v>
      </c>
      <c r="CL274" s="186" t="n">
        <v>0</v>
      </c>
    </row>
    <row r="275" customFormat="false" ht="12.75" hidden="false" customHeight="false" outlineLevel="0" collapsed="false">
      <c r="A275" s="184" t="s">
        <v>555</v>
      </c>
      <c r="B275" s="0" t="s">
        <v>666</v>
      </c>
      <c r="C275" s="0" t="s">
        <v>763</v>
      </c>
      <c r="D275" s="0" t="s">
        <v>765</v>
      </c>
      <c r="E275" s="119" t="n">
        <v>50</v>
      </c>
      <c r="F275" s="119" t="n">
        <v>7</v>
      </c>
      <c r="I275" s="118" t="n">
        <v>9</v>
      </c>
      <c r="K275" s="118" t="n">
        <v>7</v>
      </c>
      <c r="M275" s="186" t="n">
        <v>2.74</v>
      </c>
      <c r="S275" s="192" t="n">
        <v>1239</v>
      </c>
      <c r="U275" s="186" t="n">
        <v>10.8</v>
      </c>
      <c r="Y275" s="186" t="n">
        <v>511</v>
      </c>
      <c r="AA275" s="192" t="n">
        <v>79657</v>
      </c>
      <c r="AC275" s="186" t="n">
        <v>26.3</v>
      </c>
      <c r="AG275" s="186" t="n">
        <v>3.3</v>
      </c>
      <c r="AM275" s="192" t="n">
        <v>77</v>
      </c>
      <c r="BS275" s="193" t="n">
        <v>47.09</v>
      </c>
      <c r="BU275" s="186" t="n">
        <v>19.44</v>
      </c>
      <c r="BY275" s="186" t="n">
        <v>5.64</v>
      </c>
      <c r="CL275" s="186" t="n">
        <v>0</v>
      </c>
    </row>
    <row r="276" customFormat="false" ht="12.75" hidden="false" customHeight="false" outlineLevel="0" collapsed="false">
      <c r="A276" s="184" t="s">
        <v>555</v>
      </c>
      <c r="B276" s="0" t="s">
        <v>669</v>
      </c>
      <c r="C276" s="0" t="s">
        <v>759</v>
      </c>
      <c r="D276" s="0" t="s">
        <v>761</v>
      </c>
      <c r="S276" s="192" t="s">
        <v>768</v>
      </c>
      <c r="U276" s="186" t="n">
        <v>10.8</v>
      </c>
      <c r="Y276" s="186" t="s">
        <v>768</v>
      </c>
      <c r="AA276" s="192" t="s">
        <v>768</v>
      </c>
      <c r="AC276" s="186" t="s">
        <v>768</v>
      </c>
      <c r="AG276" s="186" t="n">
        <v>2.9</v>
      </c>
      <c r="AM276" s="192" t="s">
        <v>768</v>
      </c>
      <c r="BS276" s="193" t="n">
        <v>42.18</v>
      </c>
      <c r="BU276" s="186" t="n">
        <v>24</v>
      </c>
      <c r="CL276" s="186" t="n">
        <v>0</v>
      </c>
    </row>
    <row r="277" customFormat="false" ht="12.75" hidden="false" customHeight="false" outlineLevel="0" collapsed="false">
      <c r="A277" s="184" t="s">
        <v>555</v>
      </c>
      <c r="B277" s="0" t="s">
        <v>669</v>
      </c>
      <c r="C277" s="0" t="s">
        <v>763</v>
      </c>
      <c r="D277" s="0" t="s">
        <v>765</v>
      </c>
      <c r="E277" s="119" t="n">
        <v>38</v>
      </c>
      <c r="F277" s="119" t="n">
        <v>12</v>
      </c>
      <c r="I277" s="118" t="n">
        <v>9</v>
      </c>
      <c r="K277" s="118" t="n">
        <v>9</v>
      </c>
      <c r="M277" s="186" t="n">
        <v>3.15</v>
      </c>
      <c r="S277" s="192" t="n">
        <v>1336</v>
      </c>
      <c r="U277" s="186" t="n">
        <v>10.8</v>
      </c>
      <c r="Y277" s="186" t="n">
        <v>682</v>
      </c>
      <c r="AA277" s="192" t="n">
        <v>98598</v>
      </c>
      <c r="AC277" s="186" t="n">
        <v>30.3</v>
      </c>
      <c r="AG277" s="186" t="n">
        <v>3.07</v>
      </c>
      <c r="AM277" s="192" t="n">
        <v>77</v>
      </c>
      <c r="BS277" s="193" t="n">
        <v>44.15</v>
      </c>
      <c r="BU277" s="186" t="n">
        <v>22.53</v>
      </c>
      <c r="BY277" s="186" t="n">
        <v>5.55</v>
      </c>
      <c r="CL277" s="186" t="n">
        <v>0</v>
      </c>
    </row>
    <row r="278" customFormat="false" ht="12.75" hidden="false" customHeight="false" outlineLevel="0" collapsed="false">
      <c r="A278" s="184" t="s">
        <v>557</v>
      </c>
      <c r="B278" s="0" t="s">
        <v>666</v>
      </c>
      <c r="C278" s="0" t="s">
        <v>759</v>
      </c>
      <c r="D278" s="0" t="s">
        <v>761</v>
      </c>
      <c r="E278" s="119" t="n">
        <v>35</v>
      </c>
      <c r="F278" s="119" t="n">
        <v>3</v>
      </c>
      <c r="I278" s="118" t="n">
        <v>7</v>
      </c>
      <c r="K278" s="118" t="n">
        <v>7</v>
      </c>
      <c r="M278" s="186" t="n">
        <v>1.84</v>
      </c>
      <c r="S278" s="192" t="n">
        <v>771</v>
      </c>
      <c r="U278" s="186" t="n">
        <v>10.8</v>
      </c>
      <c r="Y278" s="186" t="n">
        <v>394</v>
      </c>
      <c r="AA278" s="192" t="n">
        <v>58876</v>
      </c>
      <c r="AC278" s="186" t="n">
        <v>17.6</v>
      </c>
      <c r="AG278" s="186" t="n">
        <v>2.99</v>
      </c>
      <c r="AM278" s="192" t="n">
        <v>83</v>
      </c>
      <c r="BS278" s="193" t="n">
        <v>43.83</v>
      </c>
      <c r="BU278" s="186" t="n">
        <v>22.41</v>
      </c>
      <c r="BY278" s="186" t="n">
        <v>6.04</v>
      </c>
      <c r="CL278" s="186" t="n">
        <v>0</v>
      </c>
    </row>
    <row r="279" customFormat="false" ht="12.75" hidden="false" customHeight="false" outlineLevel="0" collapsed="false">
      <c r="A279" s="184" t="s">
        <v>557</v>
      </c>
      <c r="B279" s="0" t="s">
        <v>666</v>
      </c>
      <c r="C279" s="0" t="s">
        <v>763</v>
      </c>
      <c r="D279" s="0" t="s">
        <v>765</v>
      </c>
      <c r="E279" s="119" t="n">
        <v>43</v>
      </c>
      <c r="F279" s="119" t="n">
        <v>7</v>
      </c>
      <c r="I279" s="118" t="n">
        <v>9</v>
      </c>
      <c r="K279" s="118" t="n">
        <v>7</v>
      </c>
      <c r="M279" s="186" t="n">
        <v>2.47</v>
      </c>
      <c r="S279" s="192" t="n">
        <v>1121</v>
      </c>
      <c r="U279" s="186" t="n">
        <v>10.8</v>
      </c>
      <c r="Y279" s="186" t="n">
        <v>466</v>
      </c>
      <c r="AA279" s="192" t="n">
        <v>82854</v>
      </c>
      <c r="AC279" s="186" t="n">
        <v>23.7</v>
      </c>
      <c r="AG279" s="186" t="n">
        <v>2.86</v>
      </c>
      <c r="AM279" s="192" t="n">
        <v>83</v>
      </c>
      <c r="BS279" s="193" t="n">
        <v>47.33</v>
      </c>
      <c r="BU279" s="186" t="n">
        <v>19.67</v>
      </c>
      <c r="BY279" s="186" t="n">
        <v>5.75</v>
      </c>
      <c r="CL279" s="186" t="n">
        <v>0</v>
      </c>
    </row>
    <row r="280" customFormat="false" ht="12.75" hidden="false" customHeight="false" outlineLevel="0" collapsed="false">
      <c r="A280" s="184" t="s">
        <v>557</v>
      </c>
      <c r="B280" s="0" t="s">
        <v>669</v>
      </c>
      <c r="C280" s="0" t="s">
        <v>759</v>
      </c>
      <c r="D280" s="0" t="s">
        <v>761</v>
      </c>
      <c r="E280" s="119" t="n">
        <v>24</v>
      </c>
      <c r="F280" s="119" t="n">
        <v>4</v>
      </c>
      <c r="I280" s="118" t="n">
        <v>9</v>
      </c>
      <c r="K280" s="118" t="n">
        <v>7</v>
      </c>
      <c r="M280" s="186" t="n">
        <v>3.17</v>
      </c>
      <c r="S280" s="192" t="n">
        <v>1262</v>
      </c>
      <c r="U280" s="186" t="n">
        <v>10.8</v>
      </c>
      <c r="Y280" s="186" t="n">
        <v>726</v>
      </c>
      <c r="AA280" s="192" t="n">
        <v>111089</v>
      </c>
      <c r="AC280" s="186" t="n">
        <v>29.6</v>
      </c>
      <c r="AG280" s="186" t="n">
        <v>2.67</v>
      </c>
      <c r="AM280" s="192" t="n">
        <v>87</v>
      </c>
      <c r="BS280" s="193" t="n">
        <v>42.63</v>
      </c>
      <c r="BU280" s="186" t="n">
        <v>24.53</v>
      </c>
      <c r="BY280" s="186" t="n">
        <v>8.21</v>
      </c>
      <c r="CL280" s="186" t="n">
        <v>0</v>
      </c>
    </row>
    <row r="281" customFormat="false" ht="12.75" hidden="false" customHeight="false" outlineLevel="0" collapsed="false">
      <c r="A281" s="184" t="s">
        <v>557</v>
      </c>
      <c r="B281" s="0" t="s">
        <v>669</v>
      </c>
      <c r="C281" s="0" t="s">
        <v>763</v>
      </c>
      <c r="D281" s="0" t="s">
        <v>765</v>
      </c>
      <c r="E281" s="119" t="n">
        <v>42</v>
      </c>
      <c r="F281" s="119" t="n">
        <v>10</v>
      </c>
      <c r="I281" s="118" t="n">
        <v>9</v>
      </c>
      <c r="K281" s="118" t="n">
        <v>7</v>
      </c>
      <c r="M281" s="186" t="n">
        <v>3.11</v>
      </c>
      <c r="S281" s="192" t="n">
        <v>1316</v>
      </c>
      <c r="U281" s="186" t="n">
        <v>10.8</v>
      </c>
      <c r="Y281" s="186" t="n">
        <v>667</v>
      </c>
      <c r="AA281" s="192" t="n">
        <v>110897</v>
      </c>
      <c r="AC281" s="186" t="n">
        <v>29.8</v>
      </c>
      <c r="AG281" s="186" t="n">
        <v>2.69</v>
      </c>
      <c r="AM281" s="192" t="n">
        <v>83</v>
      </c>
      <c r="BS281" s="193" t="n">
        <v>44.15</v>
      </c>
      <c r="BU281" s="186" t="n">
        <v>22.38</v>
      </c>
      <c r="BY281" s="186" t="n">
        <v>5.78</v>
      </c>
      <c r="CL281" s="186" t="n">
        <v>0</v>
      </c>
    </row>
    <row r="282" customFormat="false" ht="12.75" hidden="false" customHeight="false" outlineLevel="0" collapsed="false">
      <c r="A282" s="184" t="s">
        <v>559</v>
      </c>
      <c r="B282" s="0" t="s">
        <v>666</v>
      </c>
      <c r="C282" s="0" t="s">
        <v>759</v>
      </c>
      <c r="D282" s="0" t="s">
        <v>761</v>
      </c>
      <c r="E282" s="119" t="n">
        <v>29</v>
      </c>
      <c r="F282" s="119" t="n">
        <v>1</v>
      </c>
      <c r="I282" s="118" t="n">
        <v>9</v>
      </c>
      <c r="K282" s="118" t="n">
        <v>9</v>
      </c>
      <c r="M282" s="186" t="n">
        <v>3.31</v>
      </c>
      <c r="S282" s="192" t="n">
        <v>1330</v>
      </c>
      <c r="U282" s="186" t="n">
        <v>10.8</v>
      </c>
      <c r="Y282" s="186" t="n">
        <v>715</v>
      </c>
      <c r="AA282" s="192" t="n">
        <v>106711</v>
      </c>
      <c r="AC282" s="186" t="n">
        <v>31.4</v>
      </c>
      <c r="AG282" s="186" t="n">
        <v>2.94</v>
      </c>
      <c r="AM282" s="192" t="n">
        <v>73</v>
      </c>
      <c r="BS282" s="193" t="n">
        <v>42.39</v>
      </c>
      <c r="BU282" s="186" t="n">
        <v>22.77</v>
      </c>
      <c r="BY282" s="186" t="n">
        <v>6.81</v>
      </c>
      <c r="CL282" s="186" t="n">
        <v>0</v>
      </c>
    </row>
    <row r="283" customFormat="false" ht="12.75" hidden="false" customHeight="false" outlineLevel="0" collapsed="false">
      <c r="A283" s="184" t="s">
        <v>559</v>
      </c>
      <c r="B283" s="0" t="s">
        <v>666</v>
      </c>
      <c r="C283" s="0" t="s">
        <v>763</v>
      </c>
      <c r="D283" s="0" t="s">
        <v>765</v>
      </c>
      <c r="E283" s="119" t="n">
        <v>41</v>
      </c>
      <c r="F283" s="119" t="n">
        <v>8</v>
      </c>
      <c r="I283" s="118" t="n">
        <v>9</v>
      </c>
      <c r="K283" s="118" t="n">
        <v>7</v>
      </c>
      <c r="M283" s="186" t="n">
        <v>3.24</v>
      </c>
      <c r="S283" s="192" t="n">
        <v>1424</v>
      </c>
      <c r="U283" s="186" t="n">
        <v>10.8</v>
      </c>
      <c r="Y283" s="186" t="n">
        <v>608</v>
      </c>
      <c r="AA283" s="192" t="n">
        <v>99921</v>
      </c>
      <c r="AC283" s="186" t="n">
        <v>31.1</v>
      </c>
      <c r="AG283" s="186" t="n">
        <v>3.11</v>
      </c>
      <c r="AM283" s="192" t="n">
        <v>73</v>
      </c>
      <c r="BS283" s="193" t="n">
        <v>45.79</v>
      </c>
      <c r="BU283" s="186" t="n">
        <v>19.56</v>
      </c>
      <c r="BY283" s="186" t="n">
        <v>5.65</v>
      </c>
      <c r="CL283" s="186" t="n">
        <v>0</v>
      </c>
    </row>
    <row r="284" customFormat="false" ht="12.75" hidden="false" customHeight="false" outlineLevel="0" collapsed="false">
      <c r="A284" s="184" t="s">
        <v>559</v>
      </c>
      <c r="B284" s="0" t="s">
        <v>669</v>
      </c>
      <c r="C284" s="0" t="s">
        <v>759</v>
      </c>
      <c r="D284" s="0" t="s">
        <v>761</v>
      </c>
      <c r="E284" s="119" t="n">
        <v>28</v>
      </c>
      <c r="F284" s="119" t="n">
        <v>5</v>
      </c>
      <c r="I284" s="118" t="n">
        <v>9</v>
      </c>
      <c r="K284" s="118" t="n">
        <v>7</v>
      </c>
      <c r="M284" s="186" t="n">
        <v>3.26</v>
      </c>
      <c r="S284" s="192" t="n">
        <v>1265</v>
      </c>
      <c r="U284" s="186" t="n">
        <v>10.8</v>
      </c>
      <c r="Y284" s="186" t="n">
        <v>767</v>
      </c>
      <c r="AA284" s="192" t="n">
        <v>95208</v>
      </c>
      <c r="AC284" s="186" t="n">
        <v>30.8</v>
      </c>
      <c r="AG284" s="186" t="n">
        <v>3.23</v>
      </c>
      <c r="AM284" s="192" t="n">
        <v>73</v>
      </c>
      <c r="BS284" s="193" t="n">
        <v>41.1</v>
      </c>
      <c r="BU284" s="186" t="n">
        <v>24.9</v>
      </c>
      <c r="BY284" s="186" t="n">
        <v>7.18</v>
      </c>
      <c r="CL284" s="186" t="n">
        <v>0</v>
      </c>
    </row>
    <row r="285" customFormat="false" ht="12.75" hidden="false" customHeight="false" outlineLevel="0" collapsed="false">
      <c r="A285" s="184" t="s">
        <v>559</v>
      </c>
      <c r="B285" s="0" t="s">
        <v>669</v>
      </c>
      <c r="C285" s="0" t="s">
        <v>763</v>
      </c>
      <c r="D285" s="0" t="s">
        <v>765</v>
      </c>
      <c r="E285" s="119" t="n">
        <v>42</v>
      </c>
      <c r="F285" s="119" t="n">
        <v>12</v>
      </c>
      <c r="I285" s="118" t="n">
        <v>9</v>
      </c>
      <c r="K285" s="118" t="n">
        <v>9</v>
      </c>
      <c r="M285" s="186" t="n">
        <v>3.63</v>
      </c>
      <c r="S285" s="192" t="n">
        <v>1488</v>
      </c>
      <c r="U285" s="186" t="n">
        <v>10.8</v>
      </c>
      <c r="Y285" s="186" t="n">
        <v>811</v>
      </c>
      <c r="AA285" s="192" t="n">
        <v>110466</v>
      </c>
      <c r="AC285" s="186" t="n">
        <v>34.8</v>
      </c>
      <c r="AG285" s="186" t="n">
        <v>3.15</v>
      </c>
      <c r="AM285" s="192" t="n">
        <v>69</v>
      </c>
      <c r="BS285" s="193" t="n">
        <v>42.77</v>
      </c>
      <c r="BU285" s="186" t="n">
        <v>23.3</v>
      </c>
      <c r="BY285" s="186" t="n">
        <v>5.8</v>
      </c>
      <c r="CL285" s="186" t="n">
        <v>0</v>
      </c>
    </row>
    <row r="286" customFormat="false" ht="12.75" hidden="false" customHeight="false" outlineLevel="0" collapsed="false">
      <c r="A286" s="184" t="s">
        <v>561</v>
      </c>
      <c r="B286" s="0" t="s">
        <v>666</v>
      </c>
      <c r="C286" s="0" t="s">
        <v>759</v>
      </c>
      <c r="D286" s="0" t="s">
        <v>761</v>
      </c>
      <c r="E286" s="119" t="n">
        <v>23</v>
      </c>
      <c r="F286" s="119" t="n">
        <v>1</v>
      </c>
      <c r="I286" s="118" t="n">
        <v>9</v>
      </c>
      <c r="K286" s="118" t="n">
        <v>9</v>
      </c>
      <c r="M286" s="186" t="n">
        <v>3.65</v>
      </c>
      <c r="S286" s="192" t="n">
        <v>1472</v>
      </c>
      <c r="U286" s="186" t="n">
        <v>10.8</v>
      </c>
      <c r="Y286" s="186" t="n">
        <v>766</v>
      </c>
      <c r="AA286" s="192" t="n">
        <v>119459</v>
      </c>
      <c r="AC286" s="186" t="n">
        <v>34.7</v>
      </c>
      <c r="AG286" s="186" t="n">
        <v>2.91</v>
      </c>
      <c r="AM286" s="192" t="n">
        <v>77</v>
      </c>
      <c r="BS286" s="193" t="n">
        <v>42.38</v>
      </c>
      <c r="BU286" s="186" t="n">
        <v>22.04</v>
      </c>
      <c r="BY286" s="186" t="n">
        <v>6.46</v>
      </c>
      <c r="CL286" s="186" t="n">
        <v>0</v>
      </c>
    </row>
    <row r="287" customFormat="false" ht="12.75" hidden="false" customHeight="false" outlineLevel="0" collapsed="false">
      <c r="A287" s="184" t="s">
        <v>561</v>
      </c>
      <c r="B287" s="0" t="s">
        <v>666</v>
      </c>
      <c r="C287" s="0" t="s">
        <v>763</v>
      </c>
      <c r="D287" s="0" t="s">
        <v>765</v>
      </c>
      <c r="E287" s="119" t="n">
        <v>48</v>
      </c>
      <c r="F287" s="119" t="n">
        <v>9</v>
      </c>
      <c r="I287" s="118" t="n">
        <v>9</v>
      </c>
      <c r="K287" s="118" t="n">
        <v>9</v>
      </c>
      <c r="M287" s="186" t="n">
        <v>3.12</v>
      </c>
      <c r="S287" s="192" t="n">
        <v>1360</v>
      </c>
      <c r="U287" s="186" t="n">
        <v>10.8</v>
      </c>
      <c r="Y287" s="186" t="n">
        <v>570</v>
      </c>
      <c r="AA287" s="192" t="n">
        <v>91818</v>
      </c>
      <c r="AC287" s="186" t="n">
        <v>29.9</v>
      </c>
      <c r="AG287" s="186" t="n">
        <v>3.26</v>
      </c>
      <c r="AM287" s="192" t="n">
        <v>77</v>
      </c>
      <c r="BS287" s="193" t="n">
        <v>45.47</v>
      </c>
      <c r="BU287" s="186" t="n">
        <v>19.05</v>
      </c>
      <c r="BY287" s="186" t="n">
        <v>5.8</v>
      </c>
      <c r="CL287" s="186" t="n">
        <v>0</v>
      </c>
    </row>
    <row r="288" customFormat="false" ht="12.75" hidden="false" customHeight="false" outlineLevel="0" collapsed="false">
      <c r="A288" s="184" t="s">
        <v>561</v>
      </c>
      <c r="B288" s="0" t="s">
        <v>669</v>
      </c>
      <c r="C288" s="0" t="s">
        <v>759</v>
      </c>
      <c r="D288" s="0" t="s">
        <v>761</v>
      </c>
      <c r="E288" s="119" t="n">
        <v>36</v>
      </c>
      <c r="F288" s="119" t="n">
        <v>5</v>
      </c>
      <c r="I288" s="118" t="n">
        <v>9</v>
      </c>
      <c r="K288" s="118" t="n">
        <v>7</v>
      </c>
      <c r="M288" s="186" t="n">
        <v>3.4</v>
      </c>
      <c r="S288" s="192" t="n">
        <v>1316</v>
      </c>
      <c r="U288" s="186" t="n">
        <v>10.8</v>
      </c>
      <c r="Y288" s="186" t="n">
        <v>775</v>
      </c>
      <c r="AA288" s="192" t="n">
        <v>106674</v>
      </c>
      <c r="AC288" s="186" t="n">
        <v>32.4</v>
      </c>
      <c r="AG288" s="186" t="n">
        <v>3.04</v>
      </c>
      <c r="AM288" s="192" t="n">
        <v>77</v>
      </c>
      <c r="BS288" s="193" t="n">
        <v>40.58</v>
      </c>
      <c r="BU288" s="186" t="n">
        <v>23.91</v>
      </c>
      <c r="BY288" s="186" t="n">
        <v>6.26</v>
      </c>
      <c r="CL288" s="186" t="n">
        <v>0</v>
      </c>
    </row>
    <row r="289" customFormat="false" ht="12.75" hidden="false" customHeight="false" outlineLevel="0" collapsed="false">
      <c r="A289" s="184" t="s">
        <v>561</v>
      </c>
      <c r="B289" s="0" t="s">
        <v>669</v>
      </c>
      <c r="C289" s="0" t="s">
        <v>763</v>
      </c>
      <c r="D289" s="0" t="s">
        <v>765</v>
      </c>
      <c r="E289" s="119" t="n">
        <v>46</v>
      </c>
      <c r="F289" s="119" t="n">
        <v>12</v>
      </c>
      <c r="I289" s="118" t="n">
        <v>9</v>
      </c>
      <c r="K289" s="118" t="n">
        <v>9</v>
      </c>
      <c r="M289" s="186" t="n">
        <v>3.46</v>
      </c>
      <c r="S289" s="192" t="n">
        <v>1399</v>
      </c>
      <c r="U289" s="186" t="n">
        <v>10.8</v>
      </c>
      <c r="Y289" s="186" t="n">
        <v>740</v>
      </c>
      <c r="AA289" s="192" t="n">
        <v>101657</v>
      </c>
      <c r="AC289" s="186" t="n">
        <v>33</v>
      </c>
      <c r="AG289" s="186" t="n">
        <v>3.25</v>
      </c>
      <c r="AM289" s="192" t="n">
        <v>77</v>
      </c>
      <c r="BS289" s="193" t="n">
        <v>42.38</v>
      </c>
      <c r="BU289" s="186" t="n">
        <v>22.41</v>
      </c>
      <c r="BY289" s="186" t="n">
        <v>6.21</v>
      </c>
      <c r="CL289" s="186" t="n">
        <v>0</v>
      </c>
    </row>
    <row r="290" customFormat="false" ht="12.75" hidden="false" customHeight="false" outlineLevel="0" collapsed="false">
      <c r="A290" s="184" t="s">
        <v>563</v>
      </c>
      <c r="B290" s="0" t="s">
        <v>666</v>
      </c>
      <c r="C290" s="0" t="s">
        <v>759</v>
      </c>
      <c r="D290" s="0" t="s">
        <v>761</v>
      </c>
      <c r="E290" s="119" t="n">
        <v>35</v>
      </c>
      <c r="F290" s="119" t="n">
        <v>2</v>
      </c>
      <c r="I290" s="118" t="n">
        <v>7</v>
      </c>
      <c r="K290" s="118" t="n">
        <v>9</v>
      </c>
      <c r="M290" s="186" t="n">
        <v>2.54</v>
      </c>
      <c r="S290" s="192" t="n">
        <v>1107</v>
      </c>
      <c r="U290" s="186" t="n">
        <v>10.8</v>
      </c>
      <c r="Y290" s="186" t="n">
        <v>496</v>
      </c>
      <c r="AA290" s="192" t="n">
        <v>80373</v>
      </c>
      <c r="AC290" s="186" t="n">
        <v>24.3</v>
      </c>
      <c r="AG290" s="186" t="n">
        <v>3.02</v>
      </c>
      <c r="AM290" s="192" t="n">
        <v>83</v>
      </c>
      <c r="BS290" s="193" t="n">
        <v>45.57</v>
      </c>
      <c r="BU290" s="186" t="n">
        <v>20.4</v>
      </c>
      <c r="BY290" s="186" t="n">
        <v>6</v>
      </c>
      <c r="CL290" s="186" t="n">
        <v>0</v>
      </c>
    </row>
    <row r="291" customFormat="false" ht="12.75" hidden="false" customHeight="false" outlineLevel="0" collapsed="false">
      <c r="A291" s="184" t="s">
        <v>563</v>
      </c>
      <c r="B291" s="0" t="s">
        <v>666</v>
      </c>
      <c r="C291" s="0" t="s">
        <v>763</v>
      </c>
      <c r="D291" s="0" t="s">
        <v>765</v>
      </c>
      <c r="E291" s="119" t="n">
        <v>46</v>
      </c>
      <c r="F291" s="119" t="n">
        <v>9</v>
      </c>
      <c r="I291" s="118" t="n">
        <v>9</v>
      </c>
      <c r="K291" s="118" t="n">
        <v>9</v>
      </c>
      <c r="M291" s="186" t="n">
        <v>2.75</v>
      </c>
      <c r="S291" s="192" t="n">
        <v>1228</v>
      </c>
      <c r="U291" s="186" t="n">
        <v>10.8</v>
      </c>
      <c r="Y291" s="186" t="n">
        <v>503</v>
      </c>
      <c r="AA291" s="192" t="n">
        <v>88162</v>
      </c>
      <c r="AC291" s="186" t="n">
        <v>26.4</v>
      </c>
      <c r="AG291" s="186" t="n">
        <v>2.99</v>
      </c>
      <c r="AM291" s="192" t="n">
        <v>80</v>
      </c>
      <c r="BS291" s="193" t="n">
        <v>46.6</v>
      </c>
      <c r="BU291" s="186" t="n">
        <v>19.07</v>
      </c>
      <c r="BY291" s="186" t="n">
        <v>5.8</v>
      </c>
      <c r="CL291" s="186" t="n">
        <v>0</v>
      </c>
    </row>
    <row r="292" customFormat="false" ht="12.75" hidden="false" customHeight="false" outlineLevel="0" collapsed="false">
      <c r="A292" s="184" t="s">
        <v>563</v>
      </c>
      <c r="B292" s="0" t="s">
        <v>669</v>
      </c>
      <c r="C292" s="0" t="s">
        <v>759</v>
      </c>
      <c r="D292" s="0" t="s">
        <v>761</v>
      </c>
      <c r="E292" s="119" t="n">
        <v>20</v>
      </c>
      <c r="F292" s="119" t="n">
        <v>6</v>
      </c>
      <c r="I292" s="118" t="n">
        <v>9</v>
      </c>
      <c r="K292" s="118" t="n">
        <v>9</v>
      </c>
      <c r="M292" s="186" t="n">
        <v>3.39</v>
      </c>
      <c r="S292" s="192" t="n">
        <v>1362</v>
      </c>
      <c r="U292" s="186" t="n">
        <v>10.8</v>
      </c>
      <c r="Y292" s="186" t="n">
        <v>769</v>
      </c>
      <c r="AA292" s="192" t="n">
        <v>110618</v>
      </c>
      <c r="AC292" s="186" t="n">
        <v>32.2</v>
      </c>
      <c r="AG292" s="186" t="n">
        <v>2.91</v>
      </c>
      <c r="AM292" s="192" t="n">
        <v>83</v>
      </c>
      <c r="BS292" s="193" t="n">
        <v>42.28</v>
      </c>
      <c r="BU292" s="186" t="n">
        <v>23.85</v>
      </c>
      <c r="BY292" s="186" t="n">
        <v>6.58</v>
      </c>
      <c r="CL292" s="186" t="n">
        <v>0</v>
      </c>
    </row>
    <row r="293" customFormat="false" ht="12.75" hidden="false" customHeight="false" outlineLevel="0" collapsed="false">
      <c r="A293" s="184" t="s">
        <v>563</v>
      </c>
      <c r="B293" s="0" t="s">
        <v>669</v>
      </c>
      <c r="C293" s="0" t="s">
        <v>763</v>
      </c>
      <c r="D293" s="0" t="s">
        <v>765</v>
      </c>
      <c r="E293" s="119" t="n">
        <v>41</v>
      </c>
      <c r="F293" s="119" t="n">
        <v>12</v>
      </c>
      <c r="I293" s="118" t="n">
        <v>9</v>
      </c>
      <c r="K293" s="118" t="n">
        <v>9</v>
      </c>
      <c r="M293" s="186" t="n">
        <v>3.17</v>
      </c>
      <c r="S293" s="192" t="n">
        <v>1288</v>
      </c>
      <c r="U293" s="186" t="n">
        <v>10.8</v>
      </c>
      <c r="Y293" s="186" t="n">
        <v>711</v>
      </c>
      <c r="AA293" s="192" t="n">
        <v>104960</v>
      </c>
      <c r="AC293" s="186" t="n">
        <v>30.4</v>
      </c>
      <c r="AG293" s="186" t="n">
        <v>2.89</v>
      </c>
      <c r="AM293" s="192" t="n">
        <v>80</v>
      </c>
      <c r="BS293" s="193" t="n">
        <v>42.42</v>
      </c>
      <c r="BU293" s="186" t="n">
        <v>23.4</v>
      </c>
      <c r="BY293" s="186" t="n">
        <v>5.84</v>
      </c>
      <c r="CL293" s="186" t="n">
        <v>0</v>
      </c>
    </row>
    <row r="294" customFormat="false" ht="12.75" hidden="false" customHeight="false" outlineLevel="0" collapsed="false">
      <c r="A294" s="184" t="s">
        <v>565</v>
      </c>
      <c r="B294" s="0" t="s">
        <v>666</v>
      </c>
      <c r="C294" s="0" t="s">
        <v>759</v>
      </c>
      <c r="D294" s="0" t="s">
        <v>761</v>
      </c>
      <c r="E294" s="119" t="n">
        <v>25</v>
      </c>
      <c r="F294" s="119" t="n">
        <v>3</v>
      </c>
      <c r="I294" s="118" t="n">
        <v>9</v>
      </c>
      <c r="K294" s="118" t="n">
        <v>7</v>
      </c>
      <c r="M294" s="186" t="n">
        <v>2.07</v>
      </c>
      <c r="S294" s="192" t="n">
        <v>844</v>
      </c>
      <c r="U294" s="186" t="n">
        <v>10.8</v>
      </c>
      <c r="Y294" s="186" t="n">
        <v>459</v>
      </c>
      <c r="AA294" s="192" t="n">
        <v>57955</v>
      </c>
      <c r="AC294" s="186" t="n">
        <v>19.6</v>
      </c>
      <c r="AG294" s="186" t="n">
        <v>3.37</v>
      </c>
      <c r="AM294" s="192" t="n">
        <v>87</v>
      </c>
      <c r="BS294" s="193" t="n">
        <v>43.18</v>
      </c>
      <c r="BU294" s="186" t="n">
        <v>23.46</v>
      </c>
      <c r="BY294" s="186" t="n">
        <v>7.16</v>
      </c>
      <c r="CL294" s="186" t="n">
        <v>0</v>
      </c>
    </row>
    <row r="295" customFormat="false" ht="12.75" hidden="false" customHeight="false" outlineLevel="0" collapsed="false">
      <c r="A295" s="184" t="s">
        <v>565</v>
      </c>
      <c r="B295" s="0" t="s">
        <v>666</v>
      </c>
      <c r="C295" s="0" t="s">
        <v>763</v>
      </c>
      <c r="D295" s="0" t="s">
        <v>765</v>
      </c>
      <c r="E295" s="119" t="n">
        <v>44</v>
      </c>
      <c r="F295" s="119" t="n">
        <v>9</v>
      </c>
      <c r="I295" s="118" t="n">
        <v>9</v>
      </c>
      <c r="K295" s="118" t="n">
        <v>9</v>
      </c>
      <c r="M295" s="186" t="n">
        <v>2.29</v>
      </c>
      <c r="S295" s="192" t="n">
        <v>1020</v>
      </c>
      <c r="U295" s="186" t="n">
        <v>10.8</v>
      </c>
      <c r="Y295" s="186" t="n">
        <v>439</v>
      </c>
      <c r="AA295" s="192" t="n">
        <v>67010</v>
      </c>
      <c r="AC295" s="186" t="n">
        <v>21.9</v>
      </c>
      <c r="AG295" s="186" t="n">
        <v>3.27</v>
      </c>
      <c r="AM295" s="192" t="n">
        <v>87</v>
      </c>
      <c r="BS295" s="193" t="n">
        <v>46.49</v>
      </c>
      <c r="BU295" s="186" t="n">
        <v>20.03</v>
      </c>
      <c r="BY295" s="186" t="n">
        <v>5.88</v>
      </c>
      <c r="CL295" s="186" t="n">
        <v>0</v>
      </c>
    </row>
    <row r="296" customFormat="false" ht="12.75" hidden="false" customHeight="false" outlineLevel="0" collapsed="false">
      <c r="A296" s="184" t="s">
        <v>565</v>
      </c>
      <c r="B296" s="0" t="s">
        <v>669</v>
      </c>
      <c r="C296" s="0" t="s">
        <v>759</v>
      </c>
      <c r="D296" s="0" t="s">
        <v>761</v>
      </c>
      <c r="E296" s="119" t="n">
        <v>35</v>
      </c>
      <c r="F296" s="119" t="n">
        <v>4</v>
      </c>
      <c r="I296" s="118" t="n">
        <v>9</v>
      </c>
      <c r="K296" s="118" t="n">
        <v>7</v>
      </c>
      <c r="M296" s="186" t="n">
        <v>4.81</v>
      </c>
      <c r="S296" s="192" t="n">
        <v>1972</v>
      </c>
      <c r="U296" s="186" t="n">
        <v>10.8</v>
      </c>
      <c r="Y296" s="186" t="n">
        <v>1077</v>
      </c>
      <c r="AA296" s="192" t="n">
        <v>149743</v>
      </c>
      <c r="AC296" s="186" t="n">
        <v>46.1</v>
      </c>
      <c r="AG296" s="186" t="n">
        <v>3.08</v>
      </c>
      <c r="AM296" s="192" t="n">
        <v>87</v>
      </c>
      <c r="BS296" s="193" t="n">
        <v>42.76</v>
      </c>
      <c r="BU296" s="186" t="n">
        <v>23.36</v>
      </c>
      <c r="BY296" s="186" t="n">
        <v>5.78</v>
      </c>
      <c r="CL296" s="186" t="n">
        <v>0</v>
      </c>
    </row>
    <row r="297" customFormat="false" ht="12.75" hidden="false" customHeight="false" outlineLevel="0" collapsed="false">
      <c r="A297" s="184" t="s">
        <v>565</v>
      </c>
      <c r="B297" s="0" t="s">
        <v>669</v>
      </c>
      <c r="C297" s="0" t="s">
        <v>763</v>
      </c>
      <c r="D297" s="0" t="s">
        <v>765</v>
      </c>
      <c r="E297" s="119" t="n">
        <v>53</v>
      </c>
      <c r="F297" s="119" t="n">
        <v>12</v>
      </c>
      <c r="I297" s="118" t="n">
        <v>9</v>
      </c>
      <c r="K297" s="118" t="n">
        <v>9</v>
      </c>
      <c r="M297" s="186" t="n">
        <v>2.6</v>
      </c>
      <c r="S297" s="192" t="n">
        <v>1099</v>
      </c>
      <c r="U297" s="186" t="n">
        <v>10.8</v>
      </c>
      <c r="Y297" s="186" t="n">
        <v>572</v>
      </c>
      <c r="AA297" s="192" t="n">
        <v>80646</v>
      </c>
      <c r="AC297" s="186" t="n">
        <v>24.9</v>
      </c>
      <c r="AG297" s="186" t="n">
        <v>3.09</v>
      </c>
      <c r="AM297" s="192" t="n">
        <v>87</v>
      </c>
      <c r="BS297" s="193" t="n">
        <v>44.15</v>
      </c>
      <c r="BU297" s="186" t="n">
        <v>22.99</v>
      </c>
      <c r="BY297" s="186" t="n">
        <v>5.89</v>
      </c>
      <c r="CL297" s="186" t="n">
        <v>0</v>
      </c>
    </row>
    <row r="298" customFormat="false" ht="12.75" hidden="false" customHeight="false" outlineLevel="0" collapsed="false">
      <c r="A298" s="184" t="s">
        <v>567</v>
      </c>
      <c r="B298" s="0" t="s">
        <v>666</v>
      </c>
      <c r="C298" s="0" t="s">
        <v>759</v>
      </c>
      <c r="D298" s="0" t="s">
        <v>761</v>
      </c>
      <c r="E298" s="119" t="n">
        <v>30</v>
      </c>
      <c r="F298" s="119" t="n">
        <v>3</v>
      </c>
      <c r="I298" s="118" t="n">
        <v>9</v>
      </c>
      <c r="K298" s="118" t="n">
        <v>7</v>
      </c>
      <c r="M298" s="186" t="n">
        <v>3.06</v>
      </c>
      <c r="S298" s="192" t="n">
        <v>1274</v>
      </c>
      <c r="U298" s="186" t="n">
        <v>10.8</v>
      </c>
      <c r="Y298" s="186" t="n">
        <v>630</v>
      </c>
      <c r="AA298" s="192" t="n">
        <v>99185</v>
      </c>
      <c r="AC298" s="186" t="n">
        <v>29.1</v>
      </c>
      <c r="AG298" s="186" t="n">
        <v>2.94</v>
      </c>
      <c r="AM298" s="192" t="n">
        <v>73</v>
      </c>
      <c r="BS298" s="193" t="n">
        <v>43.73</v>
      </c>
      <c r="BU298" s="186" t="n">
        <v>21.62</v>
      </c>
      <c r="BY298" s="186" t="n">
        <v>6.46</v>
      </c>
      <c r="CL298" s="186" t="n">
        <v>0</v>
      </c>
    </row>
    <row r="299" customFormat="false" ht="12.75" hidden="false" customHeight="false" outlineLevel="0" collapsed="false">
      <c r="A299" s="184" t="s">
        <v>567</v>
      </c>
      <c r="B299" s="0" t="s">
        <v>666</v>
      </c>
      <c r="C299" s="0" t="s">
        <v>763</v>
      </c>
      <c r="D299" s="0" t="s">
        <v>765</v>
      </c>
      <c r="E299" s="119" t="n">
        <v>49</v>
      </c>
      <c r="F299" s="119" t="n">
        <v>7</v>
      </c>
      <c r="I299" s="118" t="n">
        <v>9</v>
      </c>
      <c r="K299" s="118" t="n">
        <v>7</v>
      </c>
      <c r="M299" s="186" t="n">
        <v>2.63</v>
      </c>
      <c r="S299" s="192" t="n">
        <v>1186</v>
      </c>
      <c r="U299" s="186" t="n">
        <v>10.8</v>
      </c>
      <c r="Y299" s="186" t="n">
        <v>461</v>
      </c>
      <c r="AA299" s="192" t="n">
        <v>80447</v>
      </c>
      <c r="AC299" s="186" t="n">
        <v>25.2</v>
      </c>
      <c r="AG299" s="186" t="n">
        <v>3.13</v>
      </c>
      <c r="AM299" s="192" t="n">
        <v>69</v>
      </c>
      <c r="BS299" s="193" t="n">
        <v>47.04</v>
      </c>
      <c r="BU299" s="186" t="n">
        <v>18.28</v>
      </c>
      <c r="BY299" s="186" t="n">
        <v>5.77</v>
      </c>
      <c r="CL299" s="186" t="n">
        <v>0</v>
      </c>
    </row>
    <row r="300" customFormat="false" ht="12.75" hidden="false" customHeight="false" outlineLevel="0" collapsed="false">
      <c r="A300" s="184" t="s">
        <v>567</v>
      </c>
      <c r="B300" s="0" t="s">
        <v>669</v>
      </c>
      <c r="C300" s="0" t="s">
        <v>759</v>
      </c>
      <c r="D300" s="0" t="s">
        <v>761</v>
      </c>
      <c r="E300" s="119" t="n">
        <v>26</v>
      </c>
      <c r="F300" s="119" t="n">
        <v>4</v>
      </c>
      <c r="I300" s="118" t="n">
        <v>9</v>
      </c>
      <c r="K300" s="118" t="n">
        <v>7</v>
      </c>
      <c r="M300" s="186" t="n">
        <v>3.86</v>
      </c>
      <c r="S300" s="192" t="n">
        <v>1538</v>
      </c>
      <c r="U300" s="186" t="n">
        <v>10.8</v>
      </c>
      <c r="Y300" s="186" t="n">
        <v>837</v>
      </c>
      <c r="AA300" s="192" t="n">
        <v>124344</v>
      </c>
      <c r="AC300" s="186" t="n">
        <v>36.2</v>
      </c>
      <c r="AG300" s="186" t="n">
        <v>2.91</v>
      </c>
      <c r="AM300" s="192" t="n">
        <v>73</v>
      </c>
      <c r="BS300" s="193" t="n">
        <v>42.52</v>
      </c>
      <c r="BU300" s="186" t="n">
        <v>23.13</v>
      </c>
      <c r="BY300" s="186" t="n">
        <v>7.9</v>
      </c>
      <c r="CL300" s="186" t="n">
        <v>0</v>
      </c>
    </row>
    <row r="301" customFormat="false" ht="12.75" hidden="false" customHeight="false" outlineLevel="0" collapsed="false">
      <c r="A301" s="184" t="s">
        <v>567</v>
      </c>
      <c r="B301" s="0" t="s">
        <v>669</v>
      </c>
      <c r="C301" s="0" t="s">
        <v>763</v>
      </c>
      <c r="D301" s="0" t="s">
        <v>765</v>
      </c>
      <c r="E301" s="119" t="n">
        <v>54</v>
      </c>
      <c r="F301" s="119" t="n">
        <v>10</v>
      </c>
      <c r="I301" s="118" t="n">
        <v>9</v>
      </c>
      <c r="K301" s="118" t="n">
        <v>7</v>
      </c>
      <c r="M301" s="186" t="n">
        <v>3.93</v>
      </c>
      <c r="S301" s="192" t="n">
        <v>1640</v>
      </c>
      <c r="U301" s="186" t="n">
        <v>10.8</v>
      </c>
      <c r="Y301" s="186" t="n">
        <v>832</v>
      </c>
      <c r="AA301" s="192" t="n">
        <v>126980</v>
      </c>
      <c r="AC301" s="186" t="n">
        <v>37.6</v>
      </c>
      <c r="AG301" s="186" t="n">
        <v>2.96</v>
      </c>
      <c r="AM301" s="192" t="n">
        <v>73</v>
      </c>
      <c r="BS301" s="193" t="n">
        <v>43.63</v>
      </c>
      <c r="BU301" s="186" t="n">
        <v>22.14</v>
      </c>
      <c r="BY301" s="186" t="n">
        <v>5.98</v>
      </c>
      <c r="CL301" s="186" t="n">
        <v>0</v>
      </c>
    </row>
    <row r="302" customFormat="false" ht="12.75" hidden="false" customHeight="false" outlineLevel="0" collapsed="false">
      <c r="A302" s="184" t="s">
        <v>569</v>
      </c>
      <c r="B302" s="0" t="s">
        <v>666</v>
      </c>
      <c r="C302" s="0" t="s">
        <v>759</v>
      </c>
      <c r="D302" s="0" t="s">
        <v>761</v>
      </c>
      <c r="E302" s="119" t="n">
        <v>30</v>
      </c>
      <c r="F302" s="119" t="n">
        <v>1</v>
      </c>
      <c r="I302" s="118" t="n">
        <v>9</v>
      </c>
      <c r="K302" s="118" t="n">
        <v>9</v>
      </c>
      <c r="M302" s="186" t="n">
        <v>3.39</v>
      </c>
      <c r="S302" s="192" t="n">
        <v>1350</v>
      </c>
      <c r="U302" s="186" t="n">
        <v>10.8</v>
      </c>
      <c r="Y302" s="186" t="n">
        <v>766</v>
      </c>
      <c r="AA302" s="192" t="n">
        <v>100977</v>
      </c>
      <c r="AC302" s="186" t="n">
        <v>32.2</v>
      </c>
      <c r="AG302" s="186" t="n">
        <v>3.19</v>
      </c>
      <c r="AM302" s="192" t="n">
        <v>83</v>
      </c>
      <c r="BS302" s="193" t="n">
        <v>41.93</v>
      </c>
      <c r="BU302" s="186" t="n">
        <v>23.79</v>
      </c>
      <c r="BY302" s="186" t="n">
        <v>6.65</v>
      </c>
      <c r="CL302" s="186" t="n">
        <v>0</v>
      </c>
    </row>
    <row r="303" customFormat="false" ht="12.75" hidden="false" customHeight="false" outlineLevel="0" collapsed="false">
      <c r="A303" s="184" t="s">
        <v>569</v>
      </c>
      <c r="B303" s="0" t="s">
        <v>666</v>
      </c>
      <c r="C303" s="0" t="s">
        <v>763</v>
      </c>
      <c r="D303" s="0" t="s">
        <v>765</v>
      </c>
      <c r="E303" s="119" t="n">
        <v>49</v>
      </c>
      <c r="F303" s="119" t="n">
        <v>8</v>
      </c>
      <c r="I303" s="118" t="n">
        <v>9</v>
      </c>
      <c r="K303" s="118" t="n">
        <v>7</v>
      </c>
      <c r="M303" s="186" t="n">
        <v>2.93</v>
      </c>
      <c r="S303" s="192" t="n">
        <v>1315</v>
      </c>
      <c r="U303" s="186" t="n">
        <v>10.8</v>
      </c>
      <c r="Y303" s="186" t="n">
        <v>538</v>
      </c>
      <c r="AA303" s="192" t="n">
        <v>83432</v>
      </c>
      <c r="AC303" s="186" t="n">
        <v>28.1</v>
      </c>
      <c r="AG303" s="186" t="n">
        <v>3.36</v>
      </c>
      <c r="AM303" s="192" t="n">
        <v>80</v>
      </c>
      <c r="BS303" s="193" t="n">
        <v>46.84</v>
      </c>
      <c r="BU303" s="186" t="n">
        <v>19.17</v>
      </c>
      <c r="BY303" s="186" t="n">
        <v>5.86</v>
      </c>
      <c r="CL303" s="186" t="n">
        <v>0</v>
      </c>
    </row>
    <row r="304" customFormat="false" ht="12.75" hidden="false" customHeight="false" outlineLevel="0" collapsed="false">
      <c r="A304" s="184" t="s">
        <v>569</v>
      </c>
      <c r="B304" s="0" t="s">
        <v>669</v>
      </c>
      <c r="C304" s="0" t="s">
        <v>759</v>
      </c>
      <c r="D304" s="0" t="s">
        <v>761</v>
      </c>
      <c r="E304" s="119" t="n">
        <v>26</v>
      </c>
      <c r="F304" s="119" t="n">
        <v>6</v>
      </c>
      <c r="I304" s="118" t="n">
        <v>9</v>
      </c>
      <c r="K304" s="118" t="n">
        <v>9</v>
      </c>
      <c r="M304" s="186" t="n">
        <v>3.66</v>
      </c>
      <c r="S304" s="192" t="n">
        <v>1419</v>
      </c>
      <c r="U304" s="186" t="n">
        <v>10.8</v>
      </c>
      <c r="Y304" s="186" t="n">
        <v>821</v>
      </c>
      <c r="AA304" s="192" t="n">
        <v>113684</v>
      </c>
      <c r="AC304" s="186" t="n">
        <v>34.1</v>
      </c>
      <c r="AG304" s="186" t="n">
        <v>3</v>
      </c>
      <c r="AM304" s="192" t="n">
        <v>83</v>
      </c>
      <c r="BS304" s="193" t="n">
        <v>41.59</v>
      </c>
      <c r="BU304" s="186" t="n">
        <v>24.06</v>
      </c>
      <c r="BY304" s="186" t="n">
        <v>8.36</v>
      </c>
      <c r="CL304" s="186" t="n">
        <v>5</v>
      </c>
    </row>
    <row r="305" customFormat="false" ht="12.75" hidden="false" customHeight="false" outlineLevel="0" collapsed="false">
      <c r="A305" s="184" t="s">
        <v>569</v>
      </c>
      <c r="B305" s="0" t="s">
        <v>669</v>
      </c>
      <c r="C305" s="0" t="s">
        <v>763</v>
      </c>
      <c r="D305" s="0" t="s">
        <v>765</v>
      </c>
      <c r="E305" s="119" t="n">
        <v>51</v>
      </c>
      <c r="F305" s="119" t="n">
        <v>10</v>
      </c>
      <c r="I305" s="118" t="n">
        <v>9</v>
      </c>
      <c r="K305" s="118" t="n">
        <v>7</v>
      </c>
      <c r="M305" s="186" t="n">
        <v>4.04</v>
      </c>
      <c r="S305" s="192" t="n">
        <v>1654</v>
      </c>
      <c r="U305" s="186" t="n">
        <v>10.8</v>
      </c>
      <c r="Y305" s="186" t="n">
        <v>882</v>
      </c>
      <c r="AA305" s="192" t="n">
        <v>122718</v>
      </c>
      <c r="AC305" s="186" t="n">
        <v>38.7</v>
      </c>
      <c r="AG305" s="186" t="n">
        <v>3.15</v>
      </c>
      <c r="AM305" s="192" t="n">
        <v>80</v>
      </c>
      <c r="BS305" s="193" t="n">
        <v>42.78</v>
      </c>
      <c r="BU305" s="186" t="n">
        <v>22.8</v>
      </c>
      <c r="BY305" s="186" t="n">
        <v>5.95</v>
      </c>
      <c r="CL305" s="186" t="n">
        <v>0</v>
      </c>
    </row>
    <row r="306" customFormat="false" ht="12.75" hidden="false" customHeight="false" outlineLevel="0" collapsed="false">
      <c r="A306" s="184" t="s">
        <v>571</v>
      </c>
      <c r="B306" s="0" t="s">
        <v>666</v>
      </c>
      <c r="C306" s="0" t="s">
        <v>759</v>
      </c>
      <c r="D306" s="0" t="s">
        <v>761</v>
      </c>
      <c r="E306" s="119" t="n">
        <v>27</v>
      </c>
      <c r="F306" s="119" t="n">
        <v>1</v>
      </c>
      <c r="I306" s="118" t="n">
        <v>9</v>
      </c>
      <c r="K306" s="118" t="n">
        <v>9</v>
      </c>
      <c r="M306" s="186" t="n">
        <v>3.66</v>
      </c>
      <c r="S306" s="192" t="n">
        <v>1452</v>
      </c>
      <c r="U306" s="186" t="n">
        <v>10.8</v>
      </c>
      <c r="Y306" s="186" t="n">
        <v>788</v>
      </c>
      <c r="AA306" s="192" t="n">
        <v>120115</v>
      </c>
      <c r="AC306" s="186" t="n">
        <v>34.3</v>
      </c>
      <c r="AG306" s="186" t="n">
        <v>2.86</v>
      </c>
      <c r="AM306" s="192" t="n">
        <v>73</v>
      </c>
      <c r="BS306" s="193" t="n">
        <v>42.3</v>
      </c>
      <c r="BU306" s="186" t="n">
        <v>22.95</v>
      </c>
      <c r="BY306" s="186" t="n">
        <v>7.79</v>
      </c>
      <c r="CL306" s="186" t="n">
        <v>0</v>
      </c>
    </row>
    <row r="307" customFormat="false" ht="12.75" hidden="false" customHeight="false" outlineLevel="0" collapsed="false">
      <c r="A307" s="184" t="s">
        <v>571</v>
      </c>
      <c r="B307" s="0" t="s">
        <v>666</v>
      </c>
      <c r="C307" s="0" t="s">
        <v>763</v>
      </c>
      <c r="D307" s="0" t="s">
        <v>765</v>
      </c>
      <c r="E307" s="119" t="n">
        <v>55</v>
      </c>
      <c r="F307" s="119" t="n">
        <v>8</v>
      </c>
      <c r="I307" s="118" t="n">
        <v>9</v>
      </c>
      <c r="K307" s="118" t="n">
        <v>7</v>
      </c>
      <c r="M307" s="186" t="n">
        <v>3.42</v>
      </c>
      <c r="S307" s="192" t="n">
        <v>1410</v>
      </c>
      <c r="U307" s="186" t="n">
        <v>10.8</v>
      </c>
      <c r="Y307" s="186" t="n">
        <v>723</v>
      </c>
      <c r="AA307" s="192" t="n">
        <v>113032</v>
      </c>
      <c r="AC307" s="186" t="n">
        <v>32.7</v>
      </c>
      <c r="AG307" s="186" t="n">
        <v>2.9</v>
      </c>
      <c r="AM307" s="192" t="n">
        <v>77</v>
      </c>
      <c r="BS307" s="193" t="n">
        <v>43.08</v>
      </c>
      <c r="BU307" s="186" t="n">
        <v>22.07</v>
      </c>
      <c r="BY307" s="186" t="n">
        <v>5.92</v>
      </c>
      <c r="CL307" s="186" t="n">
        <v>0</v>
      </c>
    </row>
    <row r="308" customFormat="false" ht="12.75" hidden="false" customHeight="false" outlineLevel="0" collapsed="false">
      <c r="A308" s="184" t="s">
        <v>571</v>
      </c>
      <c r="B308" s="0" t="s">
        <v>669</v>
      </c>
      <c r="C308" s="0" t="s">
        <v>759</v>
      </c>
      <c r="D308" s="0" t="s">
        <v>761</v>
      </c>
      <c r="E308" s="119" t="n">
        <v>32</v>
      </c>
      <c r="F308" s="119" t="n">
        <v>6</v>
      </c>
      <c r="I308" s="118" t="n">
        <v>9</v>
      </c>
      <c r="K308" s="118" t="n">
        <v>9</v>
      </c>
      <c r="M308" s="186" t="n">
        <v>3.27</v>
      </c>
      <c r="S308" s="192" t="n">
        <v>1354</v>
      </c>
      <c r="U308" s="186" t="n">
        <v>10.8</v>
      </c>
      <c r="Y308" s="186" t="n">
        <v>686</v>
      </c>
      <c r="AA308" s="192" t="n">
        <v>99386</v>
      </c>
      <c r="AC308" s="186" t="n">
        <v>31.1</v>
      </c>
      <c r="AG308" s="186" t="n">
        <v>3.13</v>
      </c>
      <c r="AM308" s="192" t="n">
        <v>77</v>
      </c>
      <c r="BS308" s="193" t="n">
        <v>43.48</v>
      </c>
      <c r="BU308" s="186" t="n">
        <v>22.04</v>
      </c>
      <c r="BY308" s="186" t="n">
        <v>6.43</v>
      </c>
      <c r="CL308" s="186" t="n">
        <v>0</v>
      </c>
    </row>
    <row r="309" customFormat="false" ht="12.75" hidden="false" customHeight="false" outlineLevel="0" collapsed="false">
      <c r="A309" s="184" t="s">
        <v>571</v>
      </c>
      <c r="B309" s="0" t="s">
        <v>669</v>
      </c>
      <c r="C309" s="0" t="s">
        <v>763</v>
      </c>
      <c r="D309" s="0" t="s">
        <v>765</v>
      </c>
      <c r="E309" s="119" t="n">
        <v>52</v>
      </c>
      <c r="F309" s="119" t="n">
        <v>10</v>
      </c>
      <c r="I309" s="118" t="n">
        <v>9</v>
      </c>
      <c r="K309" s="118" t="n">
        <v>7</v>
      </c>
      <c r="M309" s="186" t="n">
        <v>3.67</v>
      </c>
      <c r="S309" s="192" t="n">
        <v>1525</v>
      </c>
      <c r="U309" s="186" t="n">
        <v>10.8</v>
      </c>
      <c r="Y309" s="186" t="n">
        <v>791</v>
      </c>
      <c r="AA309" s="192" t="n">
        <v>113733</v>
      </c>
      <c r="AC309" s="186" t="n">
        <v>35.1</v>
      </c>
      <c r="AG309" s="186" t="n">
        <v>3.09</v>
      </c>
      <c r="AM309" s="192" t="n">
        <v>77</v>
      </c>
      <c r="BS309" s="193" t="n">
        <v>43.44</v>
      </c>
      <c r="BU309" s="186" t="n">
        <v>22.52</v>
      </c>
      <c r="BY309" s="186" t="n">
        <v>6.01</v>
      </c>
      <c r="CL309" s="186" t="n">
        <v>0</v>
      </c>
    </row>
    <row r="310" customFormat="false" ht="12.75" hidden="false" customHeight="false" outlineLevel="0" collapsed="false">
      <c r="A310" s="184" t="s">
        <v>573</v>
      </c>
      <c r="B310" s="0" t="s">
        <v>666</v>
      </c>
      <c r="C310" s="0" t="s">
        <v>759</v>
      </c>
      <c r="D310" s="0" t="s">
        <v>761</v>
      </c>
      <c r="E310" s="119" t="n">
        <v>32</v>
      </c>
      <c r="F310" s="119" t="n">
        <v>1</v>
      </c>
      <c r="I310" s="118" t="n">
        <v>9</v>
      </c>
      <c r="K310" s="118" t="n">
        <v>9</v>
      </c>
      <c r="M310" s="186" t="n">
        <v>3.31</v>
      </c>
      <c r="S310" s="192" t="n">
        <v>1309</v>
      </c>
      <c r="U310" s="186" t="n">
        <v>10.8</v>
      </c>
      <c r="Y310" s="186" t="n">
        <v>768</v>
      </c>
      <c r="AA310" s="192" t="n">
        <v>114391</v>
      </c>
      <c r="AC310" s="186" t="n">
        <v>31.5</v>
      </c>
      <c r="AG310" s="186" t="n">
        <v>2.76</v>
      </c>
      <c r="AM310" s="192" t="n">
        <v>87</v>
      </c>
      <c r="BS310" s="193" t="n">
        <v>41.51</v>
      </c>
      <c r="BU310" s="186" t="n">
        <v>24.36</v>
      </c>
      <c r="BY310" s="186" t="n">
        <v>6.38</v>
      </c>
      <c r="CL310" s="186" t="n">
        <v>7</v>
      </c>
    </row>
    <row r="311" customFormat="false" ht="12.75" hidden="false" customHeight="false" outlineLevel="0" collapsed="false">
      <c r="A311" s="184" t="s">
        <v>573</v>
      </c>
      <c r="B311" s="0" t="s">
        <v>666</v>
      </c>
      <c r="C311" s="0" t="s">
        <v>763</v>
      </c>
      <c r="D311" s="0" t="s">
        <v>765</v>
      </c>
      <c r="E311" s="119" t="n">
        <v>38</v>
      </c>
      <c r="F311" s="119" t="n">
        <v>7</v>
      </c>
      <c r="I311" s="118" t="n">
        <v>9</v>
      </c>
      <c r="K311" s="118" t="n">
        <v>7</v>
      </c>
      <c r="M311" s="186" t="n">
        <v>2.78</v>
      </c>
      <c r="S311" s="192" t="n">
        <v>1234</v>
      </c>
      <c r="U311" s="186" t="n">
        <v>10.8</v>
      </c>
      <c r="Y311" s="186" t="n">
        <v>544</v>
      </c>
      <c r="AA311" s="192" t="n">
        <v>87123</v>
      </c>
      <c r="AC311" s="186" t="n">
        <v>26.7</v>
      </c>
      <c r="AG311" s="186" t="n">
        <v>3.07</v>
      </c>
      <c r="AM311" s="192" t="n">
        <v>83</v>
      </c>
      <c r="BS311" s="193" t="n">
        <v>46.19</v>
      </c>
      <c r="BU311" s="186" t="n">
        <v>20.35</v>
      </c>
      <c r="BY311" s="186" t="n">
        <v>5.56</v>
      </c>
      <c r="CL311" s="186" t="n">
        <v>0</v>
      </c>
    </row>
    <row r="312" customFormat="false" ht="12.75" hidden="false" customHeight="false" outlineLevel="0" collapsed="false">
      <c r="A312" s="184" t="s">
        <v>573</v>
      </c>
      <c r="B312" s="0" t="s">
        <v>669</v>
      </c>
      <c r="C312" s="0" t="s">
        <v>759</v>
      </c>
      <c r="D312" s="0" t="s">
        <v>761</v>
      </c>
      <c r="E312" s="119" t="n">
        <v>24</v>
      </c>
      <c r="F312" s="119" t="n">
        <v>5</v>
      </c>
      <c r="I312" s="118" t="n">
        <v>9</v>
      </c>
      <c r="K312" s="118" t="n">
        <v>9</v>
      </c>
      <c r="M312" s="186" t="n">
        <v>3.4</v>
      </c>
      <c r="S312" s="192" t="n">
        <v>1305</v>
      </c>
      <c r="U312" s="186" t="n">
        <v>10.8</v>
      </c>
      <c r="Y312" s="186" t="n">
        <v>780</v>
      </c>
      <c r="AA312" s="192" t="n">
        <v>124676</v>
      </c>
      <c r="AC312" s="186" t="n">
        <v>31.6</v>
      </c>
      <c r="AG312" s="186" t="n">
        <v>2.53</v>
      </c>
      <c r="AM312" s="192" t="n">
        <v>83</v>
      </c>
      <c r="BS312" s="193" t="n">
        <v>41.36</v>
      </c>
      <c r="BU312" s="186" t="n">
        <v>24.72</v>
      </c>
      <c r="BY312" s="186" t="n">
        <v>8.78</v>
      </c>
      <c r="CL312" s="186" t="n">
        <v>8</v>
      </c>
    </row>
    <row r="313" customFormat="false" ht="12.75" hidden="false" customHeight="false" outlineLevel="0" collapsed="false">
      <c r="A313" s="184" t="s">
        <v>573</v>
      </c>
      <c r="B313" s="0" t="s">
        <v>669</v>
      </c>
      <c r="C313" s="0" t="s">
        <v>763</v>
      </c>
      <c r="D313" s="0" t="s">
        <v>765</v>
      </c>
      <c r="E313" s="119" t="n">
        <v>49</v>
      </c>
      <c r="F313" s="119" t="n">
        <v>11</v>
      </c>
      <c r="I313" s="118" t="n">
        <v>9</v>
      </c>
      <c r="K313" s="118" t="n">
        <v>9</v>
      </c>
      <c r="M313" s="186" t="n">
        <v>3.59</v>
      </c>
      <c r="S313" s="192" t="n">
        <v>1478</v>
      </c>
      <c r="U313" s="186" t="n">
        <v>10.8</v>
      </c>
      <c r="Y313" s="186" t="n">
        <v>791</v>
      </c>
      <c r="AA313" s="192" t="n">
        <v>128679</v>
      </c>
      <c r="AC313" s="186" t="n">
        <v>34.4</v>
      </c>
      <c r="AG313" s="186" t="n">
        <v>2.67</v>
      </c>
      <c r="AM313" s="192" t="n">
        <v>83</v>
      </c>
      <c r="BS313" s="193" t="n">
        <v>42.99</v>
      </c>
      <c r="BU313" s="186" t="n">
        <v>23.01</v>
      </c>
      <c r="BY313" s="186" t="n">
        <v>5.86</v>
      </c>
      <c r="CL313" s="186" t="n">
        <v>0</v>
      </c>
    </row>
    <row r="314" customFormat="false" ht="12.75" hidden="false" customHeight="false" outlineLevel="0" collapsed="false">
      <c r="A314" s="184" t="s">
        <v>575</v>
      </c>
      <c r="B314" s="0" t="s">
        <v>666</v>
      </c>
      <c r="C314" s="0" t="s">
        <v>759</v>
      </c>
      <c r="D314" s="0" t="s">
        <v>761</v>
      </c>
      <c r="E314" s="119" t="n">
        <v>32</v>
      </c>
      <c r="F314" s="119" t="n">
        <v>3</v>
      </c>
      <c r="I314" s="118" t="n">
        <v>7</v>
      </c>
      <c r="K314" s="118" t="n">
        <v>7</v>
      </c>
      <c r="M314" s="186" t="n">
        <v>3.02</v>
      </c>
      <c r="S314" s="192" t="n">
        <v>1256</v>
      </c>
      <c r="U314" s="186" t="n">
        <v>10.8</v>
      </c>
      <c r="Y314" s="186" t="n">
        <v>656</v>
      </c>
      <c r="AA314" s="192" t="n">
        <v>88527</v>
      </c>
      <c r="AC314" s="186" t="n">
        <v>28.8</v>
      </c>
      <c r="AG314" s="186" t="n">
        <v>3.25</v>
      </c>
      <c r="AM314" s="192" t="n">
        <v>77</v>
      </c>
      <c r="BS314" s="193" t="n">
        <v>43.67</v>
      </c>
      <c r="BU314" s="186" t="n">
        <v>22.8</v>
      </c>
      <c r="BY314" s="186" t="n">
        <v>6.38</v>
      </c>
      <c r="CL314" s="186" t="n">
        <v>0</v>
      </c>
    </row>
    <row r="315" customFormat="false" ht="12.75" hidden="false" customHeight="false" outlineLevel="0" collapsed="false">
      <c r="A315" s="184" t="s">
        <v>575</v>
      </c>
      <c r="B315" s="0" t="s">
        <v>666</v>
      </c>
      <c r="C315" s="0" t="s">
        <v>763</v>
      </c>
      <c r="D315" s="0" t="s">
        <v>765</v>
      </c>
      <c r="E315" s="119" t="n">
        <v>52</v>
      </c>
      <c r="F315" s="119" t="n">
        <v>9</v>
      </c>
      <c r="I315" s="118" t="n">
        <v>9</v>
      </c>
      <c r="K315" s="118" t="n">
        <v>9</v>
      </c>
      <c r="M315" s="186" t="n">
        <v>3.01</v>
      </c>
      <c r="S315" s="192" t="n">
        <v>1325</v>
      </c>
      <c r="U315" s="186" t="n">
        <v>10.8</v>
      </c>
      <c r="Y315" s="186" t="n">
        <v>588</v>
      </c>
      <c r="AA315" s="192" t="n">
        <v>95346</v>
      </c>
      <c r="AC315" s="186" t="n">
        <v>28.8</v>
      </c>
      <c r="AG315" s="186" t="n">
        <v>3.03</v>
      </c>
      <c r="AM315" s="192" t="n">
        <v>77</v>
      </c>
      <c r="BS315" s="193" t="n">
        <v>45.94</v>
      </c>
      <c r="BU315" s="186" t="n">
        <v>20.39</v>
      </c>
      <c r="BY315" s="186" t="n">
        <v>5.82</v>
      </c>
      <c r="CL315" s="186" t="n">
        <v>0</v>
      </c>
    </row>
    <row r="316" customFormat="false" ht="12.75" hidden="false" customHeight="false" outlineLevel="0" collapsed="false">
      <c r="A316" s="184" t="s">
        <v>575</v>
      </c>
      <c r="B316" s="0" t="s">
        <v>669</v>
      </c>
      <c r="C316" s="0" t="s">
        <v>759</v>
      </c>
      <c r="D316" s="0" t="s">
        <v>761</v>
      </c>
      <c r="E316" s="119" t="n">
        <v>20</v>
      </c>
      <c r="F316" s="119" t="n">
        <v>4</v>
      </c>
      <c r="I316" s="118" t="n">
        <v>9</v>
      </c>
      <c r="K316" s="118" t="n">
        <v>7</v>
      </c>
      <c r="M316" s="186" t="n">
        <v>2.93</v>
      </c>
      <c r="S316" s="192" t="n">
        <v>1166</v>
      </c>
      <c r="U316" s="186" t="n">
        <v>10.8</v>
      </c>
      <c r="Y316" s="186" t="n">
        <v>678</v>
      </c>
      <c r="AA316" s="192" t="n">
        <v>87415</v>
      </c>
      <c r="AC316" s="186" t="n">
        <v>27.8</v>
      </c>
      <c r="AG316" s="186" t="n">
        <v>3.18</v>
      </c>
      <c r="AM316" s="192" t="n">
        <v>77</v>
      </c>
      <c r="BS316" s="193" t="n">
        <v>41.9</v>
      </c>
      <c r="BU316" s="186" t="n">
        <v>24.35</v>
      </c>
      <c r="BY316" s="186" t="n">
        <v>6.66</v>
      </c>
      <c r="CL316" s="186" t="n">
        <v>0</v>
      </c>
    </row>
    <row r="317" customFormat="false" ht="12.75" hidden="false" customHeight="false" outlineLevel="0" collapsed="false">
      <c r="A317" s="184" t="s">
        <v>575</v>
      </c>
      <c r="B317" s="0" t="s">
        <v>669</v>
      </c>
      <c r="C317" s="0" t="s">
        <v>763</v>
      </c>
      <c r="D317" s="0" t="s">
        <v>765</v>
      </c>
      <c r="E317" s="119" t="n">
        <v>44</v>
      </c>
      <c r="F317" s="119" t="n">
        <v>11</v>
      </c>
      <c r="I317" s="118" t="n">
        <v>9</v>
      </c>
      <c r="K317" s="118" t="n">
        <v>9</v>
      </c>
      <c r="M317" s="186" t="n">
        <v>3.45</v>
      </c>
      <c r="S317" s="192" t="n">
        <v>1391</v>
      </c>
      <c r="U317" s="186" t="n">
        <v>10.8</v>
      </c>
      <c r="Y317" s="186" t="n">
        <v>771</v>
      </c>
      <c r="AA317" s="192" t="n">
        <v>108301</v>
      </c>
      <c r="AC317" s="186" t="n">
        <v>33</v>
      </c>
      <c r="AG317" s="186" t="n">
        <v>3.04</v>
      </c>
      <c r="AM317" s="192" t="n">
        <v>77</v>
      </c>
      <c r="BS317" s="193" t="n">
        <v>42.19</v>
      </c>
      <c r="BU317" s="186" t="n">
        <v>23.39</v>
      </c>
      <c r="BY317" s="186" t="n">
        <v>6.06</v>
      </c>
      <c r="CL317" s="186" t="n">
        <v>0</v>
      </c>
    </row>
    <row r="318" customFormat="false" ht="12.75" hidden="false" customHeight="false" outlineLevel="0" collapsed="false">
      <c r="A318" s="184" t="s">
        <v>577</v>
      </c>
      <c r="B318" s="0" t="s">
        <v>666</v>
      </c>
      <c r="C318" s="0" t="s">
        <v>759</v>
      </c>
      <c r="D318" s="0" t="s">
        <v>761</v>
      </c>
      <c r="E318" s="119" t="n">
        <v>23</v>
      </c>
      <c r="F318" s="119" t="n">
        <v>2</v>
      </c>
      <c r="I318" s="118" t="n">
        <v>9</v>
      </c>
      <c r="K318" s="118" t="n">
        <v>9</v>
      </c>
      <c r="M318" s="186" t="n">
        <v>2.36</v>
      </c>
      <c r="S318" s="192" t="n">
        <v>990</v>
      </c>
      <c r="U318" s="186" t="n">
        <v>10.8</v>
      </c>
      <c r="Y318" s="186" t="n">
        <v>474</v>
      </c>
      <c r="AA318" s="192" t="n">
        <v>80396</v>
      </c>
      <c r="AC318" s="186" t="n">
        <v>22.4</v>
      </c>
      <c r="AG318" s="186" t="n">
        <v>2.79</v>
      </c>
      <c r="AM318" s="192" t="n">
        <v>73</v>
      </c>
      <c r="BS318" s="193" t="n">
        <v>44.11</v>
      </c>
      <c r="BU318" s="186" t="n">
        <v>21.13</v>
      </c>
      <c r="BY318" s="186" t="n">
        <v>6.53</v>
      </c>
      <c r="CL318" s="186" t="n">
        <v>0</v>
      </c>
    </row>
    <row r="319" customFormat="false" ht="12.75" hidden="false" customHeight="false" outlineLevel="0" collapsed="false">
      <c r="A319" s="184" t="s">
        <v>577</v>
      </c>
      <c r="B319" s="0" t="s">
        <v>666</v>
      </c>
      <c r="C319" s="0" t="s">
        <v>763</v>
      </c>
      <c r="D319" s="0" t="s">
        <v>765</v>
      </c>
      <c r="E319" s="119" t="n">
        <v>44</v>
      </c>
      <c r="F319" s="119" t="n">
        <v>7</v>
      </c>
      <c r="I319" s="118" t="n">
        <v>9</v>
      </c>
      <c r="K319" s="118" t="n">
        <v>7</v>
      </c>
      <c r="M319" s="186" t="n">
        <v>3.13</v>
      </c>
      <c r="S319" s="192" t="n">
        <v>1366</v>
      </c>
      <c r="U319" s="186" t="n">
        <v>10.8</v>
      </c>
      <c r="Y319" s="186" t="n">
        <v>605</v>
      </c>
      <c r="AA319" s="192" t="n">
        <v>103558</v>
      </c>
      <c r="AC319" s="186" t="n">
        <v>29.9</v>
      </c>
      <c r="AG319" s="186" t="n">
        <v>2.89</v>
      </c>
      <c r="AM319" s="192" t="n">
        <v>69</v>
      </c>
      <c r="BS319" s="193" t="n">
        <v>45.62</v>
      </c>
      <c r="BU319" s="186" t="n">
        <v>20.21</v>
      </c>
      <c r="BY319" s="186" t="n">
        <v>6.01</v>
      </c>
      <c r="CL319" s="186" t="n">
        <v>0</v>
      </c>
    </row>
    <row r="320" customFormat="false" ht="12.75" hidden="false" customHeight="false" outlineLevel="0" collapsed="false">
      <c r="A320" s="184" t="s">
        <v>577</v>
      </c>
      <c r="B320" s="0" t="s">
        <v>669</v>
      </c>
      <c r="C320" s="0" t="s">
        <v>759</v>
      </c>
      <c r="D320" s="0" t="s">
        <v>761</v>
      </c>
      <c r="E320" s="119" t="n">
        <v>30</v>
      </c>
      <c r="F320" s="119" t="n">
        <v>5</v>
      </c>
      <c r="I320" s="118" t="n">
        <v>9</v>
      </c>
      <c r="K320" s="118" t="n">
        <v>7</v>
      </c>
      <c r="M320" s="186" t="n">
        <v>3.14</v>
      </c>
      <c r="S320" s="192" t="n">
        <v>1247</v>
      </c>
      <c r="U320" s="186" t="n">
        <v>10.8</v>
      </c>
      <c r="Y320" s="186" t="n">
        <v>713</v>
      </c>
      <c r="AA320" s="192" t="n">
        <v>102085</v>
      </c>
      <c r="AC320" s="186" t="n">
        <v>29.8</v>
      </c>
      <c r="AG320" s="186" t="n">
        <v>2.92</v>
      </c>
      <c r="AM320" s="192" t="n">
        <v>69</v>
      </c>
      <c r="BS320" s="193" t="n">
        <v>41.86</v>
      </c>
      <c r="BU320" s="186" t="n">
        <v>23.91</v>
      </c>
      <c r="BY320" s="186" t="n">
        <v>6.74</v>
      </c>
      <c r="CL320" s="186" t="n">
        <v>0</v>
      </c>
    </row>
    <row r="321" customFormat="false" ht="12.75" hidden="false" customHeight="false" outlineLevel="0" collapsed="false">
      <c r="A321" s="184" t="s">
        <v>577</v>
      </c>
      <c r="B321" s="0" t="s">
        <v>669</v>
      </c>
      <c r="C321" s="0" t="s">
        <v>763</v>
      </c>
      <c r="D321" s="0" t="s">
        <v>765</v>
      </c>
      <c r="E321" s="119" t="n">
        <v>50</v>
      </c>
      <c r="F321" s="119" t="n">
        <v>10</v>
      </c>
      <c r="I321" s="118" t="n">
        <v>9</v>
      </c>
      <c r="K321" s="118" t="n">
        <v>7</v>
      </c>
      <c r="M321" s="186" t="n">
        <v>3.27</v>
      </c>
      <c r="S321" s="192" t="n">
        <v>1359</v>
      </c>
      <c r="U321" s="186" t="n">
        <v>10.8</v>
      </c>
      <c r="Y321" s="186" t="n">
        <v>704</v>
      </c>
      <c r="AA321" s="192" t="n">
        <v>113671</v>
      </c>
      <c r="AC321" s="186" t="n">
        <v>31.2</v>
      </c>
      <c r="AG321" s="186" t="n">
        <v>2.75</v>
      </c>
      <c r="AM321" s="192" t="n">
        <v>73</v>
      </c>
      <c r="BS321" s="193" t="n">
        <v>43.5</v>
      </c>
      <c r="BU321" s="186" t="n">
        <v>22.53</v>
      </c>
      <c r="BY321" s="186" t="n">
        <v>6.13</v>
      </c>
      <c r="CL321" s="186" t="n">
        <v>0</v>
      </c>
    </row>
    <row r="322" customFormat="false" ht="12.75" hidden="false" customHeight="false" outlineLevel="0" collapsed="false">
      <c r="A322" s="184" t="s">
        <v>579</v>
      </c>
      <c r="B322" s="0" t="s">
        <v>666</v>
      </c>
      <c r="C322" s="0" t="s">
        <v>759</v>
      </c>
      <c r="D322" s="0" t="s">
        <v>761</v>
      </c>
      <c r="E322" s="119" t="n">
        <v>20</v>
      </c>
      <c r="F322" s="119" t="n">
        <v>1</v>
      </c>
      <c r="I322" s="118" t="n">
        <v>9</v>
      </c>
      <c r="K322" s="118" t="n">
        <v>9</v>
      </c>
      <c r="M322" s="186" t="n">
        <v>2.78</v>
      </c>
      <c r="S322" s="192" t="n">
        <v>1212</v>
      </c>
      <c r="U322" s="186" t="n">
        <v>10.8</v>
      </c>
      <c r="Y322" s="186" t="n">
        <v>557</v>
      </c>
      <c r="AA322" s="192" t="n">
        <v>92953</v>
      </c>
      <c r="AC322" s="186" t="n">
        <v>26.5</v>
      </c>
      <c r="AG322" s="186" t="n">
        <v>2.85</v>
      </c>
      <c r="AM322" s="192" t="n">
        <v>80</v>
      </c>
      <c r="BS322" s="193" t="n">
        <v>45.73</v>
      </c>
      <c r="BU322" s="186" t="n">
        <v>21.03</v>
      </c>
      <c r="BY322" s="186" t="n">
        <v>6.34</v>
      </c>
      <c r="CL322" s="186" t="n">
        <v>0</v>
      </c>
    </row>
    <row r="323" customFormat="false" ht="12.75" hidden="false" customHeight="false" outlineLevel="0" collapsed="false">
      <c r="A323" s="184" t="s">
        <v>579</v>
      </c>
      <c r="B323" s="0" t="s">
        <v>666</v>
      </c>
      <c r="C323" s="0" t="s">
        <v>763</v>
      </c>
      <c r="D323" s="0" t="s">
        <v>765</v>
      </c>
      <c r="E323" s="119" t="n">
        <v>39</v>
      </c>
      <c r="F323" s="119" t="n">
        <v>9</v>
      </c>
      <c r="I323" s="118" t="n">
        <v>9</v>
      </c>
      <c r="K323" s="118" t="n">
        <v>9</v>
      </c>
      <c r="M323" s="186" t="n">
        <v>2.84</v>
      </c>
      <c r="S323" s="192" t="n">
        <v>1289</v>
      </c>
      <c r="U323" s="186" t="n">
        <v>10.8</v>
      </c>
      <c r="Y323" s="186" t="n">
        <v>545</v>
      </c>
      <c r="AA323" s="192" t="n">
        <v>92510</v>
      </c>
      <c r="AC323" s="186" t="n">
        <v>27.3</v>
      </c>
      <c r="AG323" s="186" t="n">
        <v>2.95</v>
      </c>
      <c r="AM323" s="192" t="n">
        <v>83</v>
      </c>
      <c r="BS323" s="193" t="n">
        <v>47.23</v>
      </c>
      <c r="BU323" s="186" t="n">
        <v>19.97</v>
      </c>
      <c r="BY323" s="186" t="n">
        <v>5.57</v>
      </c>
      <c r="CL323" s="186" t="n">
        <v>0</v>
      </c>
    </row>
    <row r="324" customFormat="false" ht="12.75" hidden="false" customHeight="false" outlineLevel="0" collapsed="false">
      <c r="A324" s="184" t="s">
        <v>579</v>
      </c>
      <c r="B324" s="0" t="s">
        <v>669</v>
      </c>
      <c r="C324" s="0" t="s">
        <v>759</v>
      </c>
      <c r="D324" s="0" t="s">
        <v>761</v>
      </c>
      <c r="E324" s="119" t="n">
        <v>32</v>
      </c>
      <c r="F324" s="119" t="n">
        <v>5</v>
      </c>
      <c r="I324" s="118" t="n">
        <v>9</v>
      </c>
      <c r="K324" s="118" t="n">
        <v>7</v>
      </c>
      <c r="M324" s="186" t="n">
        <v>3.04</v>
      </c>
      <c r="S324" s="192" t="n">
        <v>1263</v>
      </c>
      <c r="U324" s="186" t="n">
        <v>10.8</v>
      </c>
      <c r="Y324" s="186" t="n">
        <v>684</v>
      </c>
      <c r="AA324" s="192" t="n">
        <v>104036</v>
      </c>
      <c r="AC324" s="186" t="n">
        <v>29</v>
      </c>
      <c r="AG324" s="186" t="n">
        <v>2.79</v>
      </c>
      <c r="AM324" s="192" t="n">
        <v>80</v>
      </c>
      <c r="BS324" s="193" t="n">
        <v>43.58</v>
      </c>
      <c r="BU324" s="186" t="n">
        <v>23.6</v>
      </c>
      <c r="BY324" s="186" t="n">
        <v>6.31</v>
      </c>
      <c r="CL324" s="186" t="n">
        <v>0</v>
      </c>
    </row>
    <row r="325" customFormat="false" ht="12.75" hidden="false" customHeight="false" outlineLevel="0" collapsed="false">
      <c r="A325" s="184" t="s">
        <v>579</v>
      </c>
      <c r="B325" s="0" t="s">
        <v>669</v>
      </c>
      <c r="C325" s="0" t="s">
        <v>763</v>
      </c>
      <c r="D325" s="0" t="s">
        <v>765</v>
      </c>
      <c r="E325" s="119" t="n">
        <v>54</v>
      </c>
      <c r="F325" s="119" t="n">
        <v>11</v>
      </c>
      <c r="I325" s="118" t="n">
        <v>9</v>
      </c>
      <c r="K325" s="118" t="n">
        <v>9</v>
      </c>
      <c r="M325" s="186" t="n">
        <v>3.11</v>
      </c>
      <c r="S325" s="192" t="n">
        <v>1273</v>
      </c>
      <c r="U325" s="186" t="n">
        <v>10.8</v>
      </c>
      <c r="Y325" s="186" t="n">
        <v>720</v>
      </c>
      <c r="AA325" s="192" t="n">
        <v>112123</v>
      </c>
      <c r="AC325" s="186" t="n">
        <v>29.8</v>
      </c>
      <c r="AG325" s="186" t="n">
        <v>2.66</v>
      </c>
      <c r="AM325" s="192" t="n">
        <v>83</v>
      </c>
      <c r="BS325" s="193" t="n">
        <v>42.7</v>
      </c>
      <c r="BU325" s="186" t="n">
        <v>24.15</v>
      </c>
      <c r="BY325" s="186" t="n">
        <v>5.81</v>
      </c>
      <c r="CL325" s="186" t="n">
        <v>2</v>
      </c>
    </row>
    <row r="326" customFormat="false" ht="12.75" hidden="false" customHeight="false" outlineLevel="0" collapsed="false">
      <c r="A326" s="184" t="s">
        <v>581</v>
      </c>
      <c r="B326" s="0" t="s">
        <v>666</v>
      </c>
      <c r="C326" s="0" t="s">
        <v>759</v>
      </c>
      <c r="D326" s="0" t="s">
        <v>761</v>
      </c>
      <c r="E326" s="119" t="n">
        <v>32</v>
      </c>
      <c r="F326" s="119" t="n">
        <v>2</v>
      </c>
      <c r="I326" s="118" t="n">
        <v>7</v>
      </c>
      <c r="K326" s="118" t="n">
        <v>7</v>
      </c>
      <c r="M326" s="186" t="n">
        <v>2.46</v>
      </c>
      <c r="S326" s="192" t="n">
        <v>1062</v>
      </c>
      <c r="U326" s="186" t="n">
        <v>10.8</v>
      </c>
      <c r="Y326" s="186" t="n">
        <v>470</v>
      </c>
      <c r="AA326" s="192" t="n">
        <v>76904</v>
      </c>
      <c r="AC326" s="186" t="n">
        <v>23.4</v>
      </c>
      <c r="AG326" s="186" t="n">
        <v>3.05</v>
      </c>
      <c r="AM326" s="192" t="n">
        <v>83</v>
      </c>
      <c r="BS326" s="193" t="n">
        <v>45.34</v>
      </c>
      <c r="BU326" s="186" t="n">
        <v>20.09</v>
      </c>
      <c r="BY326" s="186" t="n">
        <v>6.44</v>
      </c>
      <c r="CL326" s="186" t="n">
        <v>0</v>
      </c>
    </row>
    <row r="327" customFormat="false" ht="12.75" hidden="false" customHeight="false" outlineLevel="0" collapsed="false">
      <c r="A327" s="184" t="s">
        <v>581</v>
      </c>
      <c r="B327" s="0" t="s">
        <v>666</v>
      </c>
      <c r="C327" s="0" t="s">
        <v>763</v>
      </c>
      <c r="D327" s="0" t="s">
        <v>765</v>
      </c>
      <c r="E327" s="119" t="n">
        <v>45</v>
      </c>
      <c r="F327" s="119" t="n">
        <v>8</v>
      </c>
      <c r="I327" s="118" t="n">
        <v>9</v>
      </c>
      <c r="K327" s="118" t="n">
        <v>7</v>
      </c>
      <c r="M327" s="186" t="n">
        <v>2.94</v>
      </c>
      <c r="S327" s="192" t="n">
        <v>1264</v>
      </c>
      <c r="U327" s="186" t="n">
        <v>10.8</v>
      </c>
      <c r="Y327" s="186" t="n">
        <v>546</v>
      </c>
      <c r="AA327" s="192" t="n">
        <v>109237</v>
      </c>
      <c r="AC327" s="186" t="n">
        <v>28.1</v>
      </c>
      <c r="AG327" s="186" t="n">
        <v>2.58</v>
      </c>
      <c r="AM327" s="192" t="n">
        <v>83</v>
      </c>
      <c r="BS327" s="193" t="n">
        <v>44.89</v>
      </c>
      <c r="BU327" s="186" t="n">
        <v>19.41</v>
      </c>
      <c r="BY327" s="186" t="n">
        <v>5.9</v>
      </c>
      <c r="CL327" s="186" t="n">
        <v>0</v>
      </c>
    </row>
    <row r="328" customFormat="false" ht="12.75" hidden="false" customHeight="false" outlineLevel="0" collapsed="false">
      <c r="A328" s="184" t="s">
        <v>581</v>
      </c>
      <c r="B328" s="0" t="s">
        <v>669</v>
      </c>
      <c r="C328" s="0" t="s">
        <v>759</v>
      </c>
      <c r="D328" s="0" t="s">
        <v>761</v>
      </c>
      <c r="E328" s="119" t="n">
        <v>24</v>
      </c>
      <c r="F328" s="119" t="n">
        <v>6</v>
      </c>
      <c r="I328" s="118" t="n">
        <v>9</v>
      </c>
      <c r="K328" s="118" t="n">
        <v>9</v>
      </c>
      <c r="M328" s="186" t="n">
        <v>3.77</v>
      </c>
      <c r="S328" s="192" t="n">
        <v>1424</v>
      </c>
      <c r="U328" s="186" t="n">
        <v>10.8</v>
      </c>
      <c r="Y328" s="186" t="n">
        <v>821</v>
      </c>
      <c r="AA328" s="192" t="n">
        <v>141065</v>
      </c>
      <c r="AC328" s="186" t="n">
        <v>35.1</v>
      </c>
      <c r="AG328" s="186" t="n">
        <v>2.49</v>
      </c>
      <c r="AM328" s="192" t="n">
        <v>83</v>
      </c>
      <c r="BS328" s="193" t="n">
        <v>40.59</v>
      </c>
      <c r="BU328" s="186" t="n">
        <v>23.38</v>
      </c>
      <c r="BY328" s="186" t="n">
        <v>8.51</v>
      </c>
      <c r="CL328" s="186" t="n">
        <v>6</v>
      </c>
    </row>
    <row r="329" customFormat="false" ht="12.75" hidden="false" customHeight="false" outlineLevel="0" collapsed="false">
      <c r="A329" s="184" t="s">
        <v>581</v>
      </c>
      <c r="B329" s="0" t="s">
        <v>669</v>
      </c>
      <c r="C329" s="0" t="s">
        <v>763</v>
      </c>
      <c r="D329" s="0" t="s">
        <v>765</v>
      </c>
      <c r="E329" s="119" t="n">
        <v>43</v>
      </c>
      <c r="F329" s="119" t="n">
        <v>12</v>
      </c>
      <c r="I329" s="118" t="n">
        <v>9</v>
      </c>
      <c r="K329" s="118" t="n">
        <v>9</v>
      </c>
      <c r="M329" s="186" t="n">
        <v>3.53</v>
      </c>
      <c r="S329" s="192" t="n">
        <v>1419</v>
      </c>
      <c r="U329" s="186" t="n">
        <v>10.8</v>
      </c>
      <c r="Y329" s="186" t="n">
        <v>752</v>
      </c>
      <c r="AA329" s="192" t="n">
        <v>123395</v>
      </c>
      <c r="AC329" s="186" t="n">
        <v>33.8</v>
      </c>
      <c r="AG329" s="186" t="n">
        <v>2.74</v>
      </c>
      <c r="AM329" s="192" t="n">
        <v>80</v>
      </c>
      <c r="BS329" s="193" t="n">
        <v>41.97</v>
      </c>
      <c r="BU329" s="186" t="n">
        <v>22.25</v>
      </c>
      <c r="BY329" s="186" t="n">
        <v>5.88</v>
      </c>
      <c r="CL329" s="186" t="n">
        <v>0</v>
      </c>
    </row>
    <row r="330" customFormat="false" ht="12.75" hidden="false" customHeight="false" outlineLevel="0" collapsed="false">
      <c r="A330" s="184" t="s">
        <v>583</v>
      </c>
      <c r="B330" s="0" t="s">
        <v>666</v>
      </c>
      <c r="C330" s="0" t="s">
        <v>759</v>
      </c>
      <c r="D330" s="0" t="s">
        <v>761</v>
      </c>
      <c r="E330" s="119" t="n">
        <v>22</v>
      </c>
      <c r="F330" s="119" t="n">
        <v>3</v>
      </c>
      <c r="I330" s="118" t="n">
        <v>9</v>
      </c>
      <c r="K330" s="118" t="n">
        <v>7</v>
      </c>
      <c r="M330" s="186" t="n">
        <v>2.36</v>
      </c>
      <c r="S330" s="192" t="n">
        <v>1054</v>
      </c>
      <c r="U330" s="186" t="n">
        <v>10.8</v>
      </c>
      <c r="Y330" s="186" t="n">
        <v>452</v>
      </c>
      <c r="AA330" s="192" t="n">
        <v>66575</v>
      </c>
      <c r="AC330" s="186" t="n">
        <v>22.5</v>
      </c>
      <c r="AG330" s="186" t="n">
        <v>3.37</v>
      </c>
      <c r="AM330" s="192" t="n">
        <v>83</v>
      </c>
      <c r="BS330" s="193" t="n">
        <v>46.91</v>
      </c>
      <c r="BU330" s="186" t="n">
        <v>20.14</v>
      </c>
      <c r="BY330" s="186" t="n">
        <v>6.45</v>
      </c>
      <c r="CL330" s="186" t="n">
        <v>0</v>
      </c>
    </row>
    <row r="331" customFormat="false" ht="12.75" hidden="false" customHeight="false" outlineLevel="0" collapsed="false">
      <c r="A331" s="184" t="s">
        <v>583</v>
      </c>
      <c r="B331" s="0" t="s">
        <v>666</v>
      </c>
      <c r="C331" s="0" t="s">
        <v>763</v>
      </c>
      <c r="D331" s="0" t="s">
        <v>765</v>
      </c>
      <c r="E331" s="119" t="n">
        <v>53</v>
      </c>
      <c r="F331" s="119" t="n">
        <v>9</v>
      </c>
      <c r="I331" s="118" t="n">
        <v>9</v>
      </c>
      <c r="K331" s="118" t="n">
        <v>9</v>
      </c>
      <c r="M331" s="186" t="n">
        <v>2.66</v>
      </c>
      <c r="S331" s="192" t="n">
        <v>1179</v>
      </c>
      <c r="U331" s="186" t="n">
        <v>10.8</v>
      </c>
      <c r="Y331" s="186" t="n">
        <v>517</v>
      </c>
      <c r="AA331" s="192" t="n">
        <v>80317</v>
      </c>
      <c r="AC331" s="186" t="n">
        <v>25.5</v>
      </c>
      <c r="AG331" s="186" t="n">
        <v>3.17</v>
      </c>
      <c r="AM331" s="192" t="n">
        <v>83</v>
      </c>
      <c r="BS331" s="193" t="n">
        <v>46.26</v>
      </c>
      <c r="BU331" s="186" t="n">
        <v>20.28</v>
      </c>
      <c r="BY331" s="186" t="n">
        <v>5.81</v>
      </c>
      <c r="CL331" s="186" t="n">
        <v>0</v>
      </c>
    </row>
    <row r="332" customFormat="false" ht="12.75" hidden="false" customHeight="false" outlineLevel="0" collapsed="false">
      <c r="A332" s="184" t="s">
        <v>583</v>
      </c>
      <c r="B332" s="0" t="s">
        <v>669</v>
      </c>
      <c r="C332" s="0" t="s">
        <v>759</v>
      </c>
      <c r="D332" s="0" t="s">
        <v>761</v>
      </c>
      <c r="E332" s="119" t="n">
        <v>34</v>
      </c>
      <c r="F332" s="119" t="n">
        <v>4</v>
      </c>
      <c r="I332" s="118" t="n">
        <v>9</v>
      </c>
      <c r="K332" s="118" t="n">
        <v>7</v>
      </c>
      <c r="M332" s="186" t="n">
        <v>2.81</v>
      </c>
      <c r="S332" s="192" t="n">
        <v>1170</v>
      </c>
      <c r="U332" s="186" t="n">
        <v>10.8</v>
      </c>
      <c r="Y332" s="186" t="n">
        <v>629</v>
      </c>
      <c r="AA332" s="192" t="n">
        <v>83190</v>
      </c>
      <c r="AC332" s="186" t="n">
        <v>26.8</v>
      </c>
      <c r="AG332" s="186" t="n">
        <v>3.22</v>
      </c>
      <c r="AM332" s="192" t="n">
        <v>80</v>
      </c>
      <c r="BS332" s="193" t="n">
        <v>43.65</v>
      </c>
      <c r="BU332" s="186" t="n">
        <v>23.47</v>
      </c>
      <c r="BY332" s="186" t="n">
        <v>6.22</v>
      </c>
      <c r="CL332" s="186" t="n">
        <v>0</v>
      </c>
    </row>
    <row r="333" customFormat="false" ht="12.75" hidden="false" customHeight="false" outlineLevel="0" collapsed="false">
      <c r="A333" s="184" t="s">
        <v>583</v>
      </c>
      <c r="B333" s="0" t="s">
        <v>669</v>
      </c>
      <c r="C333" s="0" t="s">
        <v>763</v>
      </c>
      <c r="D333" s="0" t="s">
        <v>765</v>
      </c>
      <c r="E333" s="119" t="n">
        <v>51</v>
      </c>
      <c r="F333" s="119" t="n">
        <v>12</v>
      </c>
      <c r="I333" s="118" t="n">
        <v>9</v>
      </c>
      <c r="K333" s="118" t="n">
        <v>9</v>
      </c>
      <c r="M333" s="186" t="n">
        <v>2.98</v>
      </c>
      <c r="S333" s="192" t="n">
        <v>1239</v>
      </c>
      <c r="U333" s="186" t="n">
        <v>10.8</v>
      </c>
      <c r="Y333" s="186" t="n">
        <v>677</v>
      </c>
      <c r="AA333" s="192" t="n">
        <v>92703</v>
      </c>
      <c r="AC333" s="186" t="n">
        <v>28.6</v>
      </c>
      <c r="AG333" s="186" t="n">
        <v>3.08</v>
      </c>
      <c r="AM333" s="192" t="n">
        <v>83</v>
      </c>
      <c r="BS333" s="193" t="n">
        <v>43.36</v>
      </c>
      <c r="BU333" s="186" t="n">
        <v>23.7</v>
      </c>
      <c r="BY333" s="186" t="n">
        <v>5.79</v>
      </c>
      <c r="CL333" s="186" t="n">
        <v>0</v>
      </c>
    </row>
    <row r="334" customFormat="false" ht="12.75" hidden="false" customHeight="false" outlineLevel="0" collapsed="false">
      <c r="A334" s="184" t="s">
        <v>585</v>
      </c>
      <c r="B334" s="0" t="s">
        <v>666</v>
      </c>
      <c r="C334" s="0" t="s">
        <v>759</v>
      </c>
      <c r="D334" s="0" t="s">
        <v>761</v>
      </c>
      <c r="E334" s="119" t="n">
        <v>26</v>
      </c>
      <c r="F334" s="119" t="n">
        <v>3</v>
      </c>
      <c r="I334" s="118" t="n">
        <v>7</v>
      </c>
      <c r="K334" s="118" t="n">
        <v>7</v>
      </c>
      <c r="M334" s="186" t="n">
        <v>2.95</v>
      </c>
      <c r="S334" s="192" t="n">
        <v>1207</v>
      </c>
      <c r="U334" s="186" t="n">
        <v>10.8</v>
      </c>
      <c r="Y334" s="186" t="n">
        <v>599</v>
      </c>
      <c r="AA334" s="192" t="n">
        <v>95336</v>
      </c>
      <c r="AC334" s="186" t="n">
        <v>27.7</v>
      </c>
      <c r="AG334" s="186" t="n">
        <v>2.91</v>
      </c>
      <c r="AM334" s="192" t="n">
        <v>83</v>
      </c>
      <c r="BS334" s="193" t="n">
        <v>43.52</v>
      </c>
      <c r="BU334" s="186" t="n">
        <v>21.59</v>
      </c>
      <c r="BY334" s="186" t="n">
        <v>7.57</v>
      </c>
      <c r="CL334" s="186" t="n">
        <v>0</v>
      </c>
    </row>
    <row r="335" customFormat="false" ht="12.75" hidden="false" customHeight="false" outlineLevel="0" collapsed="false">
      <c r="A335" s="184" t="s">
        <v>585</v>
      </c>
      <c r="B335" s="0" t="s">
        <v>666</v>
      </c>
      <c r="C335" s="0" t="s">
        <v>763</v>
      </c>
      <c r="D335" s="0" t="s">
        <v>765</v>
      </c>
      <c r="E335" s="119" t="n">
        <v>41</v>
      </c>
      <c r="F335" s="119" t="n">
        <v>7</v>
      </c>
      <c r="I335" s="118" t="n">
        <v>9</v>
      </c>
      <c r="K335" s="118" t="n">
        <v>7</v>
      </c>
      <c r="M335" s="186" t="n">
        <v>2.6</v>
      </c>
      <c r="S335" s="192" t="n">
        <v>1142</v>
      </c>
      <c r="U335" s="186" t="n">
        <v>10.8</v>
      </c>
      <c r="Y335" s="186" t="n">
        <v>474</v>
      </c>
      <c r="AA335" s="192" t="n">
        <v>85636</v>
      </c>
      <c r="AC335" s="186" t="n">
        <v>24.9</v>
      </c>
      <c r="AG335" s="186" t="n">
        <v>2.91</v>
      </c>
      <c r="AM335" s="192" t="n">
        <v>83</v>
      </c>
      <c r="BS335" s="193" t="n">
        <v>45.86</v>
      </c>
      <c r="BU335" s="186" t="n">
        <v>19.06</v>
      </c>
      <c r="BY335" s="186" t="n">
        <v>5.89</v>
      </c>
      <c r="CL335" s="186" t="n">
        <v>0</v>
      </c>
    </row>
    <row r="336" customFormat="false" ht="12.75" hidden="false" customHeight="false" outlineLevel="0" collapsed="false">
      <c r="A336" s="184" t="s">
        <v>585</v>
      </c>
      <c r="B336" s="0" t="s">
        <v>669</v>
      </c>
      <c r="C336" s="0" t="s">
        <v>759</v>
      </c>
      <c r="D336" s="0" t="s">
        <v>761</v>
      </c>
      <c r="E336" s="119" t="n">
        <v>31</v>
      </c>
      <c r="F336" s="119" t="n">
        <v>4</v>
      </c>
      <c r="I336" s="118" t="n">
        <v>9</v>
      </c>
      <c r="K336" s="118" t="n">
        <v>7</v>
      </c>
      <c r="M336" s="186" t="n">
        <v>3.5</v>
      </c>
      <c r="S336" s="192" t="n">
        <v>1349</v>
      </c>
      <c r="U336" s="186" t="n">
        <v>10.8</v>
      </c>
      <c r="Y336" s="186" t="n">
        <v>798</v>
      </c>
      <c r="AA336" s="192" t="n">
        <v>116554</v>
      </c>
      <c r="AC336" s="186" t="n">
        <v>33.3</v>
      </c>
      <c r="AG336" s="186" t="n">
        <v>2.86</v>
      </c>
      <c r="AM336" s="192" t="n">
        <v>83</v>
      </c>
      <c r="BS336" s="193" t="n">
        <v>40.5</v>
      </c>
      <c r="BU336" s="186" t="n">
        <v>23.97</v>
      </c>
      <c r="BY336" s="186" t="n">
        <v>6.49</v>
      </c>
      <c r="CL336" s="186" t="n">
        <v>0</v>
      </c>
    </row>
    <row r="337" customFormat="false" ht="12.75" hidden="false" customHeight="false" outlineLevel="0" collapsed="false">
      <c r="A337" s="184" t="s">
        <v>585</v>
      </c>
      <c r="B337" s="0" t="s">
        <v>669</v>
      </c>
      <c r="C337" s="0" t="s">
        <v>763</v>
      </c>
      <c r="D337" s="0" t="s">
        <v>765</v>
      </c>
      <c r="E337" s="119" t="n">
        <v>55</v>
      </c>
      <c r="F337" s="119" t="n">
        <v>10</v>
      </c>
      <c r="I337" s="118" t="n">
        <v>9</v>
      </c>
      <c r="K337" s="118" t="n">
        <v>7</v>
      </c>
      <c r="M337" s="186" t="n">
        <v>3.91</v>
      </c>
      <c r="S337" s="192" t="n">
        <v>1530</v>
      </c>
      <c r="U337" s="186" t="n">
        <v>10.8</v>
      </c>
      <c r="Y337" s="186" t="n">
        <v>887</v>
      </c>
      <c r="AA337" s="192" t="n">
        <v>137928</v>
      </c>
      <c r="AC337" s="186" t="n">
        <v>37.4</v>
      </c>
      <c r="AG337" s="186" t="n">
        <v>2.71</v>
      </c>
      <c r="AM337" s="192" t="n">
        <v>83</v>
      </c>
      <c r="BS337" s="193" t="n">
        <v>40.92</v>
      </c>
      <c r="BU337" s="186" t="n">
        <v>23.71</v>
      </c>
      <c r="BY337" s="186" t="n">
        <v>6.02</v>
      </c>
      <c r="CL337" s="186" t="n">
        <v>0</v>
      </c>
    </row>
    <row r="338" customFormat="false" ht="12.75" hidden="false" customHeight="false" outlineLevel="0" collapsed="false">
      <c r="A338" s="184" t="s">
        <v>587</v>
      </c>
      <c r="B338" s="0" t="s">
        <v>666</v>
      </c>
      <c r="C338" s="0" t="s">
        <v>759</v>
      </c>
      <c r="D338" s="0" t="s">
        <v>761</v>
      </c>
      <c r="E338" s="119" t="n">
        <v>24</v>
      </c>
      <c r="F338" s="119" t="n">
        <v>2</v>
      </c>
      <c r="I338" s="118" t="n">
        <v>9</v>
      </c>
      <c r="K338" s="118" t="n">
        <v>9</v>
      </c>
      <c r="M338" s="186" t="n">
        <v>2.42</v>
      </c>
      <c r="S338" s="192" t="n">
        <v>948</v>
      </c>
      <c r="U338" s="186" t="n">
        <v>10.8</v>
      </c>
      <c r="Y338" s="186" t="n">
        <v>516</v>
      </c>
      <c r="AA338" s="192" t="n">
        <v>81223</v>
      </c>
      <c r="AC338" s="186" t="n">
        <v>22.5</v>
      </c>
      <c r="AG338" s="186" t="n">
        <v>2.78</v>
      </c>
      <c r="AM338" s="192" t="n">
        <v>80</v>
      </c>
      <c r="BS338" s="193" t="n">
        <v>42.07</v>
      </c>
      <c r="BU338" s="186" t="n">
        <v>22.88</v>
      </c>
      <c r="BY338" s="186" t="n">
        <v>8.45</v>
      </c>
      <c r="CL338" s="186" t="n">
        <v>0</v>
      </c>
    </row>
    <row r="339" customFormat="false" ht="12.75" hidden="false" customHeight="false" outlineLevel="0" collapsed="false">
      <c r="A339" s="184" t="s">
        <v>587</v>
      </c>
      <c r="B339" s="0" t="s">
        <v>666</v>
      </c>
      <c r="C339" s="0" t="s">
        <v>763</v>
      </c>
      <c r="D339" s="0" t="s">
        <v>765</v>
      </c>
      <c r="E339" s="119" t="n">
        <v>52</v>
      </c>
      <c r="F339" s="119" t="n">
        <v>8</v>
      </c>
      <c r="I339" s="118" t="n">
        <v>9</v>
      </c>
      <c r="K339" s="118" t="n">
        <v>7</v>
      </c>
      <c r="M339" s="186" t="n">
        <v>3.13</v>
      </c>
      <c r="S339" s="192" t="n">
        <v>1366</v>
      </c>
      <c r="U339" s="186" t="n">
        <v>10.8</v>
      </c>
      <c r="Y339" s="186" t="n">
        <v>595</v>
      </c>
      <c r="AA339" s="192" t="n">
        <v>101669</v>
      </c>
      <c r="AC339" s="186" t="n">
        <v>30</v>
      </c>
      <c r="AG339" s="186" t="n">
        <v>2.95</v>
      </c>
      <c r="AM339" s="192" t="n">
        <v>80</v>
      </c>
      <c r="BS339" s="193" t="n">
        <v>45.58</v>
      </c>
      <c r="BU339" s="186" t="n">
        <v>19.87</v>
      </c>
      <c r="BY339" s="186" t="n">
        <v>5.92</v>
      </c>
      <c r="CL339" s="186" t="n">
        <v>0</v>
      </c>
    </row>
    <row r="340" customFormat="false" ht="12.75" hidden="false" customHeight="false" outlineLevel="0" collapsed="false">
      <c r="A340" s="184" t="s">
        <v>587</v>
      </c>
      <c r="B340" s="0" t="s">
        <v>669</v>
      </c>
      <c r="C340" s="0" t="s">
        <v>759</v>
      </c>
      <c r="D340" s="0" t="s">
        <v>761</v>
      </c>
      <c r="E340" s="119" t="n">
        <v>29</v>
      </c>
      <c r="F340" s="119" t="n">
        <v>6</v>
      </c>
      <c r="I340" s="118" t="n">
        <v>9</v>
      </c>
      <c r="K340" s="118" t="n">
        <v>9</v>
      </c>
      <c r="M340" s="186" t="n">
        <v>3.64</v>
      </c>
      <c r="S340" s="192" t="n">
        <v>1389</v>
      </c>
      <c r="U340" s="186" t="n">
        <v>10.8</v>
      </c>
      <c r="Y340" s="186" t="n">
        <v>847</v>
      </c>
      <c r="AA340" s="192" t="n">
        <v>126151</v>
      </c>
      <c r="AC340" s="186" t="n">
        <v>34.5</v>
      </c>
      <c r="AG340" s="186" t="n">
        <v>2.74</v>
      </c>
      <c r="AM340" s="192" t="n">
        <v>80</v>
      </c>
      <c r="BS340" s="193" t="n">
        <v>40.23</v>
      </c>
      <c r="BU340" s="186" t="n">
        <v>24.53</v>
      </c>
      <c r="BY340" s="186" t="n">
        <v>6.76</v>
      </c>
      <c r="CL340" s="186" t="n">
        <v>0</v>
      </c>
    </row>
    <row r="341" customFormat="false" ht="12.75" hidden="false" customHeight="false" outlineLevel="0" collapsed="false">
      <c r="A341" s="184" t="s">
        <v>587</v>
      </c>
      <c r="B341" s="0" t="s">
        <v>669</v>
      </c>
      <c r="C341" s="0" t="s">
        <v>763</v>
      </c>
      <c r="D341" s="0" t="s">
        <v>765</v>
      </c>
      <c r="E341" s="119" t="n">
        <v>55</v>
      </c>
      <c r="F341" s="119" t="n">
        <v>11</v>
      </c>
      <c r="I341" s="118" t="n">
        <v>9</v>
      </c>
      <c r="K341" s="118" t="n">
        <v>9</v>
      </c>
      <c r="M341" s="186" t="n">
        <v>3.84</v>
      </c>
      <c r="S341" s="192" t="n">
        <v>1519</v>
      </c>
      <c r="U341" s="186" t="n">
        <v>10.8</v>
      </c>
      <c r="Y341" s="186" t="n">
        <v>862</v>
      </c>
      <c r="AA341" s="192" t="n">
        <v>139386</v>
      </c>
      <c r="AC341" s="186" t="n">
        <v>36.7</v>
      </c>
      <c r="AG341" s="186" t="n">
        <v>2.63</v>
      </c>
      <c r="AM341" s="192" t="n">
        <v>80</v>
      </c>
      <c r="BS341" s="193" t="n">
        <v>41.42</v>
      </c>
      <c r="BU341" s="186" t="n">
        <v>23.5</v>
      </c>
      <c r="BY341" s="186" t="n">
        <v>6.11</v>
      </c>
      <c r="CL341" s="186" t="n">
        <v>0</v>
      </c>
    </row>
    <row r="342" customFormat="false" ht="12.75" hidden="false" customHeight="false" outlineLevel="0" collapsed="false">
      <c r="A342" s="184" t="s">
        <v>589</v>
      </c>
      <c r="B342" s="0" t="s">
        <v>666</v>
      </c>
      <c r="C342" s="0" t="s">
        <v>759</v>
      </c>
      <c r="D342" s="0" t="s">
        <v>761</v>
      </c>
      <c r="E342" s="119" t="n">
        <v>25</v>
      </c>
      <c r="F342" s="119" t="n">
        <v>2</v>
      </c>
      <c r="I342" s="118" t="n">
        <v>9</v>
      </c>
      <c r="K342" s="118" t="n">
        <v>9</v>
      </c>
      <c r="M342" s="186" t="n">
        <v>2.61</v>
      </c>
      <c r="S342" s="192" t="n">
        <v>1045</v>
      </c>
      <c r="U342" s="186" t="n">
        <v>10.8</v>
      </c>
      <c r="Y342" s="186" t="n">
        <v>585</v>
      </c>
      <c r="AA342" s="192" t="n">
        <v>77257</v>
      </c>
      <c r="AC342" s="186" t="n">
        <v>24.5</v>
      </c>
      <c r="AG342" s="186" t="n">
        <v>3.18</v>
      </c>
      <c r="AM342" s="192" t="n">
        <v>83</v>
      </c>
      <c r="BS342" s="193" t="n">
        <v>42.57</v>
      </c>
      <c r="BU342" s="186" t="n">
        <v>23.83</v>
      </c>
      <c r="BY342" s="186" t="n">
        <v>7.59</v>
      </c>
      <c r="CL342" s="186" t="n">
        <v>0</v>
      </c>
    </row>
    <row r="343" customFormat="false" ht="12.75" hidden="false" customHeight="false" outlineLevel="0" collapsed="false">
      <c r="A343" s="184" t="s">
        <v>589</v>
      </c>
      <c r="B343" s="0" t="s">
        <v>666</v>
      </c>
      <c r="C343" s="0" t="s">
        <v>763</v>
      </c>
      <c r="D343" s="0" t="s">
        <v>765</v>
      </c>
      <c r="E343" s="119" t="n">
        <v>38</v>
      </c>
      <c r="F343" s="119" t="n">
        <v>8</v>
      </c>
      <c r="I343" s="118" t="n">
        <v>9</v>
      </c>
      <c r="K343" s="118" t="n">
        <v>7</v>
      </c>
      <c r="M343" s="186" t="n">
        <v>2.2</v>
      </c>
      <c r="S343" s="192" t="n">
        <v>970</v>
      </c>
      <c r="U343" s="186" t="n">
        <v>10.8</v>
      </c>
      <c r="Y343" s="186" t="n">
        <v>434</v>
      </c>
      <c r="AA343" s="192" t="n">
        <v>68212</v>
      </c>
      <c r="AC343" s="186" t="n">
        <v>21.1</v>
      </c>
      <c r="AG343" s="186" t="n">
        <v>3.1</v>
      </c>
      <c r="AM343" s="192" t="n">
        <v>87</v>
      </c>
      <c r="BS343" s="193" t="n">
        <v>45.86</v>
      </c>
      <c r="BU343" s="186" t="n">
        <v>20.53</v>
      </c>
      <c r="BY343" s="186" t="n">
        <v>5.53</v>
      </c>
      <c r="CL343" s="186" t="n">
        <v>0</v>
      </c>
    </row>
    <row r="344" customFormat="false" ht="12.75" hidden="false" customHeight="false" outlineLevel="0" collapsed="false">
      <c r="A344" s="184" t="s">
        <v>589</v>
      </c>
      <c r="B344" s="0" t="s">
        <v>669</v>
      </c>
      <c r="C344" s="0" t="s">
        <v>759</v>
      </c>
      <c r="D344" s="0" t="s">
        <v>761</v>
      </c>
      <c r="E344" s="119" t="n">
        <v>36</v>
      </c>
      <c r="F344" s="119" t="n">
        <v>6</v>
      </c>
      <c r="I344" s="118" t="n">
        <v>9</v>
      </c>
      <c r="K344" s="118" t="n">
        <v>9</v>
      </c>
      <c r="M344" s="186" t="n">
        <v>3.58</v>
      </c>
      <c r="S344" s="192" t="n">
        <v>1425</v>
      </c>
      <c r="U344" s="186" t="n">
        <v>10.8</v>
      </c>
      <c r="Y344" s="186" t="n">
        <v>865</v>
      </c>
      <c r="AA344" s="192" t="n">
        <v>113074</v>
      </c>
      <c r="AC344" s="186" t="n">
        <v>34.9</v>
      </c>
      <c r="AG344" s="186" t="n">
        <v>3.09</v>
      </c>
      <c r="AM344" s="192" t="n">
        <v>83</v>
      </c>
      <c r="BS344" s="193" t="n">
        <v>40.84</v>
      </c>
      <c r="BU344" s="186" t="n">
        <v>24.79</v>
      </c>
      <c r="BY344" s="186" t="n">
        <v>4.22</v>
      </c>
      <c r="CL344" s="186" t="n">
        <v>0</v>
      </c>
    </row>
    <row r="345" customFormat="false" ht="12.75" hidden="false" customHeight="false" outlineLevel="0" collapsed="false">
      <c r="A345" s="184" t="s">
        <v>589</v>
      </c>
      <c r="B345" s="0" t="s">
        <v>669</v>
      </c>
      <c r="C345" s="0" t="s">
        <v>763</v>
      </c>
      <c r="D345" s="0" t="s">
        <v>765</v>
      </c>
      <c r="E345" s="119" t="n">
        <v>48</v>
      </c>
      <c r="F345" s="119" t="n">
        <v>10</v>
      </c>
      <c r="I345" s="118" t="n">
        <v>9</v>
      </c>
      <c r="K345" s="118" t="n">
        <v>7</v>
      </c>
      <c r="M345" s="186" t="n">
        <v>3.23</v>
      </c>
      <c r="S345" s="192" t="n">
        <v>1307</v>
      </c>
      <c r="U345" s="186" t="n">
        <v>10.8</v>
      </c>
      <c r="Y345" s="186" t="n">
        <v>722</v>
      </c>
      <c r="AA345" s="192" t="n">
        <v>98398</v>
      </c>
      <c r="AC345" s="186" t="n">
        <v>30.9</v>
      </c>
      <c r="AG345" s="186" t="n">
        <v>3.14</v>
      </c>
      <c r="AM345" s="192" t="n">
        <v>83</v>
      </c>
      <c r="BS345" s="193" t="n">
        <v>42.34</v>
      </c>
      <c r="BU345" s="186" t="n">
        <v>23.38</v>
      </c>
      <c r="BY345" s="186" t="n">
        <v>6.04</v>
      </c>
      <c r="CL345" s="186" t="n">
        <v>0</v>
      </c>
    </row>
    <row r="346" customFormat="false" ht="12.75" hidden="false" customHeight="false" outlineLevel="0" collapsed="false">
      <c r="A346" s="184" t="s">
        <v>591</v>
      </c>
      <c r="B346" s="0" t="s">
        <v>666</v>
      </c>
      <c r="C346" s="0" t="s">
        <v>759</v>
      </c>
      <c r="D346" s="0" t="s">
        <v>762</v>
      </c>
      <c r="E346" s="119" t="n">
        <v>41</v>
      </c>
      <c r="F346" s="119" t="n">
        <v>3</v>
      </c>
      <c r="I346" s="118" t="n">
        <v>9</v>
      </c>
      <c r="K346" s="118" t="n">
        <v>7</v>
      </c>
      <c r="M346" s="186" t="n">
        <v>2.19</v>
      </c>
      <c r="S346" s="192" t="n">
        <v>966</v>
      </c>
      <c r="U346" s="186" t="n">
        <v>10.8</v>
      </c>
      <c r="Y346" s="186" t="n">
        <v>419</v>
      </c>
      <c r="AA346" s="192" t="n">
        <v>71941</v>
      </c>
      <c r="AC346" s="186" t="n">
        <v>21</v>
      </c>
      <c r="AG346" s="186" t="n">
        <v>2.92</v>
      </c>
      <c r="AM346" s="192" t="n">
        <v>83</v>
      </c>
      <c r="BS346" s="193" t="n">
        <v>45.96</v>
      </c>
      <c r="BU346" s="186" t="n">
        <v>19.95</v>
      </c>
      <c r="BY346" s="186" t="n">
        <v>5.66</v>
      </c>
      <c r="CL346" s="186" t="n">
        <v>0</v>
      </c>
    </row>
    <row r="347" customFormat="false" ht="12.75" hidden="false" customHeight="false" outlineLevel="0" collapsed="false">
      <c r="A347" s="184" t="s">
        <v>591</v>
      </c>
      <c r="B347" s="0" t="s">
        <v>666</v>
      </c>
      <c r="C347" s="0" t="s">
        <v>763</v>
      </c>
      <c r="D347" s="0" t="s">
        <v>766</v>
      </c>
      <c r="E347" s="119" t="n">
        <v>18</v>
      </c>
      <c r="F347" s="119" t="n">
        <v>8</v>
      </c>
      <c r="I347" s="118" t="n">
        <v>7</v>
      </c>
      <c r="K347" s="118" t="n">
        <v>7</v>
      </c>
      <c r="M347" s="186" t="n">
        <v>2.66</v>
      </c>
      <c r="S347" s="192" t="n">
        <v>1139</v>
      </c>
      <c r="U347" s="186" t="n">
        <v>10.8</v>
      </c>
      <c r="Y347" s="186" t="n">
        <v>527</v>
      </c>
      <c r="AA347" s="192" t="n">
        <v>85088</v>
      </c>
      <c r="AC347" s="186" t="n">
        <v>25.4</v>
      </c>
      <c r="AG347" s="186" t="n">
        <v>2.98</v>
      </c>
      <c r="AM347" s="192" t="n">
        <v>83</v>
      </c>
      <c r="BS347" s="193" t="n">
        <v>44.9</v>
      </c>
      <c r="BU347" s="186" t="n">
        <v>20.76</v>
      </c>
      <c r="BY347" s="186" t="n">
        <v>6.27</v>
      </c>
      <c r="CL347" s="186" t="n">
        <v>0</v>
      </c>
    </row>
    <row r="348" customFormat="false" ht="12.75" hidden="false" customHeight="false" outlineLevel="0" collapsed="false">
      <c r="A348" s="184" t="s">
        <v>591</v>
      </c>
      <c r="B348" s="0" t="s">
        <v>669</v>
      </c>
      <c r="C348" s="0" t="s">
        <v>759</v>
      </c>
      <c r="D348" s="0" t="s">
        <v>762</v>
      </c>
      <c r="E348" s="119" t="n">
        <v>51</v>
      </c>
      <c r="F348" s="119" t="n">
        <v>4</v>
      </c>
      <c r="I348" s="118" t="n">
        <v>9</v>
      </c>
      <c r="K348" s="118" t="n">
        <v>7</v>
      </c>
      <c r="M348" s="186" t="n">
        <v>2.89</v>
      </c>
      <c r="S348" s="192" t="n">
        <v>1217</v>
      </c>
      <c r="U348" s="186" t="n">
        <v>10.8</v>
      </c>
      <c r="Y348" s="186" t="n">
        <v>607</v>
      </c>
      <c r="AA348" s="192" t="n">
        <v>95528</v>
      </c>
      <c r="AC348" s="186" t="n">
        <v>27.7</v>
      </c>
      <c r="AG348" s="186" t="n">
        <v>2.9</v>
      </c>
      <c r="AM348" s="192" t="n">
        <v>83</v>
      </c>
      <c r="BS348" s="193" t="n">
        <v>43.99</v>
      </c>
      <c r="BU348" s="186" t="n">
        <v>21.95</v>
      </c>
      <c r="BY348" s="186" t="n">
        <v>5.94</v>
      </c>
      <c r="CL348" s="186" t="n">
        <v>0</v>
      </c>
    </row>
    <row r="349" customFormat="false" ht="12.75" hidden="false" customHeight="false" outlineLevel="0" collapsed="false">
      <c r="A349" s="184" t="s">
        <v>591</v>
      </c>
      <c r="B349" s="0" t="s">
        <v>669</v>
      </c>
      <c r="C349" s="0" t="s">
        <v>763</v>
      </c>
      <c r="D349" s="0" t="s">
        <v>766</v>
      </c>
      <c r="E349" s="119" t="n">
        <v>8</v>
      </c>
      <c r="F349" s="119" t="n">
        <v>10</v>
      </c>
      <c r="I349" s="118" t="n">
        <v>9</v>
      </c>
      <c r="K349" s="118" t="n">
        <v>7</v>
      </c>
      <c r="M349" s="186" t="n">
        <v>3.18</v>
      </c>
      <c r="S349" s="192" t="n">
        <v>1300</v>
      </c>
      <c r="U349" s="186" t="n">
        <v>10.8</v>
      </c>
      <c r="Y349" s="186" t="n">
        <v>664</v>
      </c>
      <c r="AA349" s="192" t="n">
        <v>110796</v>
      </c>
      <c r="AC349" s="186" t="n">
        <v>30.2</v>
      </c>
      <c r="AG349" s="186" t="n">
        <v>2.73</v>
      </c>
      <c r="AM349" s="192" t="n">
        <v>80</v>
      </c>
      <c r="BS349" s="193" t="n">
        <v>42.97</v>
      </c>
      <c r="BU349" s="186" t="n">
        <v>21.96</v>
      </c>
      <c r="BY349" s="186" t="n">
        <v>6.54</v>
      </c>
      <c r="CL349" s="186" t="n">
        <v>0</v>
      </c>
    </row>
    <row r="350" customFormat="false" ht="12.75" hidden="false" customHeight="false" outlineLevel="0" collapsed="false">
      <c r="A350" s="184" t="s">
        <v>593</v>
      </c>
      <c r="B350" s="0" t="s">
        <v>666</v>
      </c>
      <c r="C350" s="0" t="s">
        <v>759</v>
      </c>
      <c r="D350" s="0" t="s">
        <v>762</v>
      </c>
      <c r="E350" s="119" t="n">
        <v>46</v>
      </c>
      <c r="F350" s="119" t="n">
        <v>3</v>
      </c>
      <c r="I350" s="118" t="n">
        <v>9</v>
      </c>
      <c r="K350" s="118" t="n">
        <v>7</v>
      </c>
      <c r="M350" s="186" t="n">
        <v>2.62</v>
      </c>
      <c r="S350" s="192" t="n">
        <v>1140</v>
      </c>
      <c r="U350" s="186" t="n">
        <v>10.8</v>
      </c>
      <c r="Y350" s="186" t="n">
        <v>531</v>
      </c>
      <c r="AA350" s="192" t="n">
        <v>96153</v>
      </c>
      <c r="AC350" s="186" t="n">
        <v>25.1</v>
      </c>
      <c r="AG350" s="186" t="n">
        <v>2.61</v>
      </c>
      <c r="AM350" s="192" t="n">
        <v>83</v>
      </c>
      <c r="BS350" s="193" t="n">
        <v>45.52</v>
      </c>
      <c r="BU350" s="186" t="n">
        <v>21.19</v>
      </c>
      <c r="BY350" s="186" t="n">
        <v>6.03</v>
      </c>
      <c r="CL350" s="186" t="n">
        <v>0</v>
      </c>
    </row>
    <row r="351" customFormat="false" ht="12.75" hidden="false" customHeight="false" outlineLevel="0" collapsed="false">
      <c r="A351" s="184" t="s">
        <v>593</v>
      </c>
      <c r="B351" s="0" t="s">
        <v>666</v>
      </c>
      <c r="C351" s="0" t="s">
        <v>763</v>
      </c>
      <c r="D351" s="0" t="s">
        <v>766</v>
      </c>
      <c r="E351" s="119" t="n">
        <v>15</v>
      </c>
      <c r="F351" s="119" t="n">
        <v>8</v>
      </c>
      <c r="I351" s="118" t="n">
        <v>9</v>
      </c>
      <c r="K351" s="118" t="n">
        <v>7</v>
      </c>
      <c r="M351" s="186" t="n">
        <v>1.35</v>
      </c>
      <c r="S351" s="192" t="n">
        <v>1214</v>
      </c>
      <c r="U351" s="186" t="n">
        <v>10.8</v>
      </c>
      <c r="Y351" s="186" t="n">
        <v>510</v>
      </c>
      <c r="AA351" s="192" t="n">
        <v>98317</v>
      </c>
      <c r="AC351" s="186" t="n">
        <v>25.9</v>
      </c>
      <c r="AG351" s="186" t="n">
        <v>2.64</v>
      </c>
      <c r="AM351" s="192" t="n">
        <v>87</v>
      </c>
      <c r="BS351" s="193" t="n">
        <v>46.83</v>
      </c>
      <c r="BU351" s="186" t="n">
        <v>19.68</v>
      </c>
      <c r="BY351" s="186" t="n">
        <v>5.62</v>
      </c>
      <c r="CL351" s="186" t="n">
        <v>0</v>
      </c>
    </row>
    <row r="352" customFormat="false" ht="12.75" hidden="false" customHeight="false" outlineLevel="0" collapsed="false">
      <c r="A352" s="184" t="s">
        <v>593</v>
      </c>
      <c r="B352" s="0" t="s">
        <v>669</v>
      </c>
      <c r="C352" s="0" t="s">
        <v>759</v>
      </c>
      <c r="D352" s="0" t="s">
        <v>762</v>
      </c>
      <c r="E352" s="119" t="n">
        <v>47</v>
      </c>
      <c r="F352" s="119" t="n">
        <v>4</v>
      </c>
      <c r="I352" s="118" t="n">
        <v>9</v>
      </c>
      <c r="K352" s="118" t="n">
        <v>7</v>
      </c>
      <c r="M352" s="186" t="n">
        <v>3.18</v>
      </c>
      <c r="S352" s="192" t="n">
        <v>1277</v>
      </c>
      <c r="U352" s="186" t="n">
        <v>10.8</v>
      </c>
      <c r="Y352" s="186" t="n">
        <v>736</v>
      </c>
      <c r="AA352" s="192" t="n">
        <v>118933</v>
      </c>
      <c r="AC352" s="186" t="n">
        <v>30.4</v>
      </c>
      <c r="AG352" s="186" t="n">
        <v>2.56</v>
      </c>
      <c r="AM352" s="192" t="n">
        <v>83</v>
      </c>
      <c r="BS352" s="193" t="n">
        <v>41.96</v>
      </c>
      <c r="BU352" s="186" t="n">
        <v>24.19</v>
      </c>
      <c r="BY352" s="186" t="n">
        <v>5.97</v>
      </c>
      <c r="CL352" s="186" t="n">
        <v>0</v>
      </c>
    </row>
    <row r="353" customFormat="false" ht="12.75" hidden="false" customHeight="false" outlineLevel="0" collapsed="false">
      <c r="A353" s="184" t="s">
        <v>593</v>
      </c>
      <c r="B353" s="0" t="s">
        <v>669</v>
      </c>
      <c r="C353" s="0" t="s">
        <v>763</v>
      </c>
      <c r="D353" s="0" t="s">
        <v>766</v>
      </c>
      <c r="E353" s="119" t="n">
        <v>10</v>
      </c>
      <c r="F353" s="119" t="n">
        <v>11</v>
      </c>
      <c r="I353" s="118" t="n">
        <v>9</v>
      </c>
      <c r="K353" s="118" t="n">
        <v>9</v>
      </c>
      <c r="M353" s="186" t="n">
        <v>3.17</v>
      </c>
      <c r="S353" s="192" t="n">
        <v>1257</v>
      </c>
      <c r="U353" s="186" t="n">
        <v>10.8</v>
      </c>
      <c r="Y353" s="186" t="n">
        <v>735</v>
      </c>
      <c r="AA353" s="192" t="n">
        <v>120854</v>
      </c>
      <c r="AC353" s="186" t="n">
        <v>30.1</v>
      </c>
      <c r="AG353" s="186" t="n">
        <v>2.49</v>
      </c>
      <c r="AM353" s="192" t="n">
        <v>83</v>
      </c>
      <c r="BS353" s="193" t="n">
        <v>41.7</v>
      </c>
      <c r="BU353" s="186" t="n">
        <v>24.39</v>
      </c>
      <c r="BY353" s="186" t="n">
        <v>6.58</v>
      </c>
      <c r="CL353" s="186" t="n">
        <v>0</v>
      </c>
    </row>
    <row r="354" customFormat="false" ht="12.75" hidden="false" customHeight="false" outlineLevel="0" collapsed="false">
      <c r="A354" s="184" t="s">
        <v>595</v>
      </c>
      <c r="B354" s="0" t="s">
        <v>666</v>
      </c>
      <c r="C354" s="0" t="s">
        <v>759</v>
      </c>
      <c r="D354" s="0" t="s">
        <v>762</v>
      </c>
      <c r="E354" s="119" t="n">
        <v>38</v>
      </c>
      <c r="F354" s="119" t="n">
        <v>2</v>
      </c>
      <c r="I354" s="118" t="n">
        <v>7</v>
      </c>
      <c r="K354" s="118" t="n">
        <v>9</v>
      </c>
      <c r="M354" s="186" t="n">
        <v>2.39</v>
      </c>
      <c r="S354" s="192" t="n">
        <v>1042</v>
      </c>
      <c r="U354" s="186" t="n">
        <v>10.8</v>
      </c>
      <c r="Y354" s="186" t="n">
        <v>507</v>
      </c>
      <c r="AA354" s="192" t="n">
        <v>68113</v>
      </c>
      <c r="AC354" s="186" t="n">
        <v>23</v>
      </c>
      <c r="AG354" s="186" t="n">
        <v>3.37</v>
      </c>
      <c r="AM354" s="192" t="n">
        <v>83</v>
      </c>
      <c r="BS354" s="193" t="n">
        <v>45.38</v>
      </c>
      <c r="BU354" s="186" t="n">
        <v>22.07</v>
      </c>
      <c r="BY354" s="186" t="n">
        <v>5.56</v>
      </c>
      <c r="CL354" s="186" t="n">
        <v>0</v>
      </c>
    </row>
    <row r="355" customFormat="false" ht="12.75" hidden="false" customHeight="false" outlineLevel="0" collapsed="false">
      <c r="A355" s="184" t="s">
        <v>595</v>
      </c>
      <c r="B355" s="0" t="s">
        <v>666</v>
      </c>
      <c r="C355" s="0" t="s">
        <v>763</v>
      </c>
      <c r="D355" s="0" t="s">
        <v>766</v>
      </c>
      <c r="E355" s="119" t="n">
        <v>10</v>
      </c>
      <c r="F355" s="119" t="n">
        <v>7</v>
      </c>
      <c r="I355" s="118" t="n">
        <v>9</v>
      </c>
      <c r="K355" s="118" t="n">
        <v>7</v>
      </c>
      <c r="M355" s="186" t="n">
        <v>3.28</v>
      </c>
      <c r="S355" s="192" t="n">
        <v>1490</v>
      </c>
      <c r="U355" s="186" t="n">
        <v>10.8</v>
      </c>
      <c r="Y355" s="186" t="n">
        <v>583</v>
      </c>
      <c r="AA355" s="192" t="n">
        <v>93701</v>
      </c>
      <c r="AC355" s="186" t="n">
        <v>31.4</v>
      </c>
      <c r="AG355" s="186" t="n">
        <v>3.35</v>
      </c>
      <c r="AM355" s="192" t="n">
        <v>80</v>
      </c>
      <c r="BS355" s="193" t="n">
        <v>47.51</v>
      </c>
      <c r="BU355" s="186" t="n">
        <v>18.57</v>
      </c>
      <c r="BY355" s="186" t="n">
        <v>6.01</v>
      </c>
      <c r="CL355" s="186" t="n">
        <v>0</v>
      </c>
    </row>
    <row r="356" customFormat="false" ht="12.75" hidden="false" customHeight="false" outlineLevel="0" collapsed="false">
      <c r="A356" s="184" t="s">
        <v>595</v>
      </c>
      <c r="B356" s="0" t="s">
        <v>669</v>
      </c>
      <c r="C356" s="0" t="s">
        <v>759</v>
      </c>
      <c r="D356" s="0" t="s">
        <v>762</v>
      </c>
      <c r="E356" s="119" t="n">
        <v>52</v>
      </c>
      <c r="F356" s="119" t="n">
        <v>6</v>
      </c>
      <c r="I356" s="118" t="n">
        <v>9</v>
      </c>
      <c r="K356" s="118" t="n">
        <v>9</v>
      </c>
      <c r="M356" s="186" t="n">
        <v>3.62</v>
      </c>
      <c r="S356" s="192" t="n">
        <v>1512</v>
      </c>
      <c r="U356" s="186" t="n">
        <v>10.8</v>
      </c>
      <c r="Y356" s="186" t="n">
        <v>797</v>
      </c>
      <c r="AA356" s="192" t="n">
        <v>106873</v>
      </c>
      <c r="AC356" s="186" t="n">
        <v>34.6</v>
      </c>
      <c r="AG356" s="186" t="n">
        <v>3.24</v>
      </c>
      <c r="AM356" s="192" t="n">
        <v>80</v>
      </c>
      <c r="BS356" s="193" t="n">
        <v>43.64</v>
      </c>
      <c r="BU356" s="186" t="n">
        <v>23.01</v>
      </c>
      <c r="BY356" s="186" t="n">
        <v>5.94</v>
      </c>
      <c r="CL356" s="186" t="n">
        <v>0</v>
      </c>
    </row>
    <row r="357" customFormat="false" ht="12.75" hidden="false" customHeight="false" outlineLevel="0" collapsed="false">
      <c r="A357" s="184" t="s">
        <v>595</v>
      </c>
      <c r="B357" s="0" t="s">
        <v>669</v>
      </c>
      <c r="C357" s="0" t="s">
        <v>763</v>
      </c>
      <c r="D357" s="0" t="s">
        <v>766</v>
      </c>
      <c r="E357" s="119" t="n">
        <v>14</v>
      </c>
      <c r="F357" s="119" t="n">
        <v>12</v>
      </c>
      <c r="I357" s="118" t="n">
        <v>9</v>
      </c>
      <c r="K357" s="118" t="n">
        <v>9</v>
      </c>
      <c r="M357" s="186" t="n">
        <v>2.99</v>
      </c>
      <c r="S357" s="192" t="n">
        <v>1216</v>
      </c>
      <c r="U357" s="186" t="n">
        <v>10.8</v>
      </c>
      <c r="Y357" s="186" t="n">
        <v>678</v>
      </c>
      <c r="AA357" s="192" t="n">
        <v>87933</v>
      </c>
      <c r="AC357" s="186" t="n">
        <v>28.4</v>
      </c>
      <c r="AG357" s="186" t="n">
        <v>3.23</v>
      </c>
      <c r="AM357" s="192" t="n">
        <v>80</v>
      </c>
      <c r="BS357" s="193" t="n">
        <v>42.78</v>
      </c>
      <c r="BU357" s="186" t="n">
        <v>23.83</v>
      </c>
      <c r="BY357" s="186" t="n">
        <v>6.56</v>
      </c>
      <c r="CL357" s="186" t="n">
        <v>0</v>
      </c>
    </row>
    <row r="358" customFormat="false" ht="12.75" hidden="false" customHeight="false" outlineLevel="0" collapsed="false">
      <c r="A358" s="184" t="s">
        <v>597</v>
      </c>
      <c r="B358" s="0" t="s">
        <v>666</v>
      </c>
      <c r="C358" s="0" t="s">
        <v>759</v>
      </c>
      <c r="D358" s="0" t="s">
        <v>762</v>
      </c>
      <c r="E358" s="119" t="n">
        <v>45</v>
      </c>
      <c r="F358" s="119" t="n">
        <v>2</v>
      </c>
      <c r="I358" s="118" t="n">
        <v>9</v>
      </c>
      <c r="K358" s="118" t="n">
        <v>9</v>
      </c>
      <c r="M358" s="186" t="n">
        <v>2.48</v>
      </c>
      <c r="S358" s="192" t="n">
        <v>1100</v>
      </c>
      <c r="U358" s="186" t="n">
        <v>10.8</v>
      </c>
      <c r="Y358" s="186" t="n">
        <v>471</v>
      </c>
      <c r="AA358" s="192" t="n">
        <v>89244</v>
      </c>
      <c r="AC358" s="186" t="n">
        <v>23.8</v>
      </c>
      <c r="AG358" s="186" t="n">
        <v>2.67</v>
      </c>
      <c r="AM358" s="192" t="n">
        <v>80</v>
      </c>
      <c r="BS358" s="193" t="n">
        <v>46.26</v>
      </c>
      <c r="BU358" s="186" t="n">
        <v>19.81</v>
      </c>
      <c r="BY358" s="186" t="n">
        <v>5.73</v>
      </c>
      <c r="CL358" s="186" t="n">
        <v>0</v>
      </c>
    </row>
    <row r="359" customFormat="false" ht="12.75" hidden="false" customHeight="false" outlineLevel="0" collapsed="false">
      <c r="A359" s="184" t="s">
        <v>597</v>
      </c>
      <c r="B359" s="0" t="s">
        <v>666</v>
      </c>
      <c r="C359" s="0" t="s">
        <v>763</v>
      </c>
      <c r="D359" s="0" t="s">
        <v>766</v>
      </c>
      <c r="E359" s="119" t="n">
        <v>19</v>
      </c>
      <c r="F359" s="119" t="n">
        <v>9</v>
      </c>
      <c r="I359" s="118" t="n">
        <v>9</v>
      </c>
      <c r="K359" s="118" t="n">
        <v>9</v>
      </c>
      <c r="M359" s="186" t="n">
        <v>2.5</v>
      </c>
      <c r="S359" s="192" t="n">
        <v>1012</v>
      </c>
      <c r="U359" s="186" t="n">
        <v>10.8</v>
      </c>
      <c r="Y359" s="186" t="n">
        <v>555</v>
      </c>
      <c r="AA359" s="192" t="n">
        <v>92499</v>
      </c>
      <c r="AC359" s="186" t="n">
        <v>23.8</v>
      </c>
      <c r="AG359" s="186" t="n">
        <v>2.57</v>
      </c>
      <c r="AM359" s="192" t="n">
        <v>80</v>
      </c>
      <c r="BS359" s="193" t="n">
        <v>42.56</v>
      </c>
      <c r="BU359" s="186" t="n">
        <v>23.32</v>
      </c>
      <c r="BY359" s="186" t="n">
        <v>6.54</v>
      </c>
      <c r="CL359" s="186" t="n">
        <v>0</v>
      </c>
    </row>
    <row r="360" customFormat="false" ht="12.75" hidden="false" customHeight="false" outlineLevel="0" collapsed="false">
      <c r="A360" s="184" t="s">
        <v>597</v>
      </c>
      <c r="B360" s="0" t="s">
        <v>669</v>
      </c>
      <c r="C360" s="0" t="s">
        <v>759</v>
      </c>
      <c r="D360" s="0" t="s">
        <v>762</v>
      </c>
      <c r="E360" s="119" t="n">
        <v>55</v>
      </c>
      <c r="F360" s="119" t="n">
        <v>6</v>
      </c>
      <c r="I360" s="118" t="n">
        <v>9</v>
      </c>
      <c r="K360" s="118" t="n">
        <v>9</v>
      </c>
      <c r="M360" s="186" t="n">
        <v>2.95</v>
      </c>
      <c r="S360" s="192" t="n">
        <v>1151</v>
      </c>
      <c r="U360" s="186" t="n">
        <v>10.8</v>
      </c>
      <c r="Y360" s="186" t="n">
        <v>707</v>
      </c>
      <c r="AA360" s="192" t="n">
        <v>117231</v>
      </c>
      <c r="AC360" s="186" t="n">
        <v>28.1</v>
      </c>
      <c r="AG360" s="186" t="n">
        <v>2.4</v>
      </c>
      <c r="AM360" s="192" t="n">
        <v>77</v>
      </c>
      <c r="BS360" s="193" t="n">
        <v>40.91</v>
      </c>
      <c r="BU360" s="186" t="n">
        <v>25.13</v>
      </c>
      <c r="BY360" s="186" t="n">
        <v>6.25</v>
      </c>
      <c r="CL360" s="186" t="n">
        <v>0</v>
      </c>
    </row>
    <row r="361" customFormat="false" ht="12.75" hidden="false" customHeight="false" outlineLevel="0" collapsed="false">
      <c r="A361" s="184" t="s">
        <v>597</v>
      </c>
      <c r="B361" s="0" t="s">
        <v>669</v>
      </c>
      <c r="C361" s="0" t="s">
        <v>763</v>
      </c>
      <c r="D361" s="0" t="s">
        <v>766</v>
      </c>
      <c r="E361" s="119" t="n">
        <v>4</v>
      </c>
      <c r="F361" s="119" t="n">
        <v>11</v>
      </c>
      <c r="I361" s="118" t="n">
        <v>9</v>
      </c>
      <c r="K361" s="118" t="n">
        <v>9</v>
      </c>
      <c r="M361" s="186" t="n">
        <v>3.16</v>
      </c>
      <c r="S361" s="192" t="n">
        <v>1317</v>
      </c>
      <c r="U361" s="186" t="n">
        <v>10.8</v>
      </c>
      <c r="Y361" s="186" t="n">
        <v>659</v>
      </c>
      <c r="AA361" s="192" t="n">
        <v>118493</v>
      </c>
      <c r="AC361" s="186" t="n">
        <v>30</v>
      </c>
      <c r="AG361" s="186" t="n">
        <v>2.53</v>
      </c>
      <c r="AM361" s="192" t="n">
        <v>80</v>
      </c>
      <c r="BS361" s="193" t="n">
        <v>43.86</v>
      </c>
      <c r="BU361" s="186" t="n">
        <v>21.93</v>
      </c>
      <c r="BY361" s="186" t="n">
        <v>6.59</v>
      </c>
      <c r="CL361" s="186" t="n">
        <v>0</v>
      </c>
    </row>
    <row r="362" customFormat="false" ht="12.75" hidden="false" customHeight="false" outlineLevel="0" collapsed="false">
      <c r="A362" s="184" t="s">
        <v>599</v>
      </c>
      <c r="B362" s="0" t="s">
        <v>666</v>
      </c>
      <c r="C362" s="0" t="s">
        <v>759</v>
      </c>
      <c r="D362" s="0" t="s">
        <v>762</v>
      </c>
      <c r="E362" s="119" t="n">
        <v>52</v>
      </c>
      <c r="F362" s="119" t="n">
        <v>1</v>
      </c>
      <c r="I362" s="118" t="n">
        <v>9</v>
      </c>
      <c r="K362" s="118" t="n">
        <v>9</v>
      </c>
      <c r="M362" s="186" t="n">
        <v>2.91</v>
      </c>
      <c r="S362" s="192" t="n">
        <v>1154</v>
      </c>
      <c r="U362" s="186" t="n">
        <v>10.8</v>
      </c>
      <c r="Y362" s="186" t="n">
        <v>621</v>
      </c>
      <c r="AA362" s="192" t="n">
        <v>88021</v>
      </c>
      <c r="AC362" s="186" t="n">
        <v>27.9</v>
      </c>
      <c r="AG362" s="186" t="n">
        <v>3.17</v>
      </c>
      <c r="AM362" s="192" t="n">
        <v>69</v>
      </c>
      <c r="BS362" s="193" t="n">
        <v>41.43</v>
      </c>
      <c r="BU362" s="186" t="n">
        <v>22.27</v>
      </c>
      <c r="BY362" s="186" t="n">
        <v>5.89</v>
      </c>
      <c r="CL362" s="186" t="n">
        <v>0</v>
      </c>
    </row>
    <row r="363" customFormat="false" ht="12.75" hidden="false" customHeight="false" outlineLevel="0" collapsed="false">
      <c r="A363" s="184" t="s">
        <v>599</v>
      </c>
      <c r="B363" s="0" t="s">
        <v>666</v>
      </c>
      <c r="C363" s="0" t="s">
        <v>763</v>
      </c>
      <c r="D363" s="0" t="s">
        <v>766</v>
      </c>
      <c r="E363" s="119" t="n">
        <v>15</v>
      </c>
      <c r="F363" s="119" t="n">
        <v>9</v>
      </c>
      <c r="I363" s="118" t="n">
        <v>9</v>
      </c>
      <c r="K363" s="118" t="n">
        <v>9</v>
      </c>
      <c r="M363" s="186" t="n">
        <v>2.55</v>
      </c>
      <c r="S363" s="192" t="n">
        <v>1066</v>
      </c>
      <c r="U363" s="186" t="n">
        <v>10.8</v>
      </c>
      <c r="Y363" s="186" t="n">
        <v>472</v>
      </c>
      <c r="AA363" s="192" t="n">
        <v>74569</v>
      </c>
      <c r="AC363" s="186" t="n">
        <v>24.3</v>
      </c>
      <c r="AG363" s="186" t="n">
        <v>3.26</v>
      </c>
      <c r="AM363" s="192" t="n">
        <v>69</v>
      </c>
      <c r="BS363" s="193" t="n">
        <v>43.89</v>
      </c>
      <c r="BU363" s="186" t="n">
        <v>19.43</v>
      </c>
      <c r="BY363" s="186" t="n">
        <v>6.41</v>
      </c>
      <c r="CL363" s="186" t="n">
        <v>0</v>
      </c>
    </row>
    <row r="364" customFormat="false" ht="12.75" hidden="false" customHeight="false" outlineLevel="0" collapsed="false">
      <c r="A364" s="184" t="s">
        <v>599</v>
      </c>
      <c r="B364" s="0" t="s">
        <v>669</v>
      </c>
      <c r="C364" s="0" t="s">
        <v>759</v>
      </c>
      <c r="D364" s="0" t="s">
        <v>762</v>
      </c>
      <c r="E364" s="119" t="n">
        <v>40</v>
      </c>
      <c r="F364" s="119" t="n">
        <v>5</v>
      </c>
      <c r="I364" s="118" t="n">
        <v>9</v>
      </c>
      <c r="K364" s="118" t="n">
        <v>9</v>
      </c>
      <c r="M364" s="186" t="n">
        <v>2.99</v>
      </c>
      <c r="S364" s="192" t="n">
        <v>1195</v>
      </c>
      <c r="U364" s="186" t="n">
        <v>10.8</v>
      </c>
      <c r="Y364" s="186" t="n">
        <v>661</v>
      </c>
      <c r="AA364" s="192" t="n">
        <v>87644</v>
      </c>
      <c r="AC364" s="186" t="n">
        <v>28.7</v>
      </c>
      <c r="AG364" s="186" t="n">
        <v>3.28</v>
      </c>
      <c r="AM364" s="192" t="n">
        <v>69</v>
      </c>
      <c r="BS364" s="193" t="n">
        <v>41.62</v>
      </c>
      <c r="BU364" s="186" t="n">
        <v>23</v>
      </c>
      <c r="BY364" s="186" t="n">
        <v>5.59</v>
      </c>
      <c r="CL364" s="186" t="n">
        <v>0</v>
      </c>
    </row>
    <row r="365" customFormat="false" ht="12.75" hidden="false" customHeight="false" outlineLevel="0" collapsed="false">
      <c r="A365" s="184" t="s">
        <v>599</v>
      </c>
      <c r="B365" s="0" t="s">
        <v>669</v>
      </c>
      <c r="C365" s="0" t="s">
        <v>763</v>
      </c>
      <c r="D365" s="0" t="s">
        <v>766</v>
      </c>
      <c r="S365" s="192" t="s">
        <v>768</v>
      </c>
      <c r="U365" s="186" t="n">
        <v>10.8</v>
      </c>
      <c r="Y365" s="186" t="s">
        <v>768</v>
      </c>
      <c r="AA365" s="192" t="s">
        <v>768</v>
      </c>
      <c r="AC365" s="186" t="s">
        <v>768</v>
      </c>
      <c r="AG365" s="186" t="n">
        <v>2.98</v>
      </c>
      <c r="AM365" s="192" t="s">
        <v>768</v>
      </c>
      <c r="BS365" s="193" t="n">
        <v>38.73</v>
      </c>
      <c r="BU365" s="186" t="n">
        <v>25.27</v>
      </c>
      <c r="CL365" s="186" t="n">
        <v>0</v>
      </c>
    </row>
    <row r="366" customFormat="false" ht="12.75" hidden="false" customHeight="false" outlineLevel="0" collapsed="false">
      <c r="A366" s="184" t="s">
        <v>601</v>
      </c>
      <c r="B366" s="0" t="s">
        <v>666</v>
      </c>
      <c r="C366" s="0" t="s">
        <v>759</v>
      </c>
      <c r="D366" s="0" t="s">
        <v>762</v>
      </c>
      <c r="E366" s="119" t="n">
        <v>55</v>
      </c>
      <c r="F366" s="119" t="n">
        <v>3</v>
      </c>
      <c r="I366" s="118" t="n">
        <v>9</v>
      </c>
      <c r="K366" s="118" t="n">
        <v>7</v>
      </c>
      <c r="M366" s="186" t="n">
        <v>2.8</v>
      </c>
      <c r="S366" s="192" t="n">
        <v>1201</v>
      </c>
      <c r="U366" s="186" t="n">
        <v>10.8</v>
      </c>
      <c r="Y366" s="186" t="n">
        <v>579</v>
      </c>
      <c r="AA366" s="192" t="n">
        <v>93691</v>
      </c>
      <c r="AC366" s="186" t="n">
        <v>26.8</v>
      </c>
      <c r="AG366" s="186" t="n">
        <v>2.86</v>
      </c>
      <c r="AM366" s="192" t="n">
        <v>77</v>
      </c>
      <c r="BS366" s="193" t="n">
        <v>44.87</v>
      </c>
      <c r="BU366" s="186" t="n">
        <v>21.62</v>
      </c>
      <c r="BY366" s="186" t="n">
        <v>6.07</v>
      </c>
      <c r="CL366" s="186" t="n">
        <v>0</v>
      </c>
    </row>
    <row r="367" customFormat="false" ht="12.75" hidden="false" customHeight="false" outlineLevel="0" collapsed="false">
      <c r="A367" s="184" t="s">
        <v>601</v>
      </c>
      <c r="B367" s="0" t="s">
        <v>666</v>
      </c>
      <c r="C367" s="0" t="s">
        <v>763</v>
      </c>
      <c r="D367" s="0" t="s">
        <v>766</v>
      </c>
      <c r="E367" s="119" t="n">
        <v>7</v>
      </c>
      <c r="F367" s="119" t="n">
        <v>9</v>
      </c>
      <c r="I367" s="118" t="n">
        <v>9</v>
      </c>
      <c r="K367" s="118" t="n">
        <v>9</v>
      </c>
      <c r="M367" s="186" t="n">
        <v>3.48</v>
      </c>
      <c r="S367" s="192" t="n">
        <v>1588</v>
      </c>
      <c r="U367" s="186" t="n">
        <v>10.8</v>
      </c>
      <c r="Y367" s="186" t="n">
        <v>586</v>
      </c>
      <c r="AA367" s="192" t="n">
        <v>100276</v>
      </c>
      <c r="AC367" s="186" t="n">
        <v>33.2</v>
      </c>
      <c r="AG367" s="186" t="n">
        <v>3.31</v>
      </c>
      <c r="AM367" s="192" t="n">
        <v>73</v>
      </c>
      <c r="BS367" s="193" t="n">
        <v>47.86</v>
      </c>
      <c r="BU367" s="186" t="n">
        <v>17.65</v>
      </c>
      <c r="BY367" s="186" t="n">
        <v>6.27</v>
      </c>
      <c r="CL367" s="186" t="n">
        <v>0</v>
      </c>
    </row>
    <row r="368" customFormat="false" ht="12.75" hidden="false" customHeight="false" outlineLevel="0" collapsed="false">
      <c r="A368" s="184" t="s">
        <v>601</v>
      </c>
      <c r="B368" s="0" t="s">
        <v>669</v>
      </c>
      <c r="C368" s="0" t="s">
        <v>759</v>
      </c>
      <c r="D368" s="0" t="s">
        <v>762</v>
      </c>
      <c r="E368" s="119" t="n">
        <v>43</v>
      </c>
      <c r="F368" s="119" t="n">
        <v>4</v>
      </c>
      <c r="I368" s="118" t="n">
        <v>9</v>
      </c>
      <c r="K368" s="118" t="n">
        <v>7</v>
      </c>
      <c r="M368" s="186" t="n">
        <v>3.51</v>
      </c>
      <c r="S368" s="192" t="n">
        <v>1478</v>
      </c>
      <c r="U368" s="186" t="n">
        <v>10.8</v>
      </c>
      <c r="Y368" s="186" t="n">
        <v>749</v>
      </c>
      <c r="AA368" s="192" t="n">
        <v>109359</v>
      </c>
      <c r="AC368" s="186" t="n">
        <v>33.7</v>
      </c>
      <c r="AG368" s="186" t="n">
        <v>3.08</v>
      </c>
      <c r="AM368" s="192" t="n">
        <v>77</v>
      </c>
      <c r="BS368" s="193" t="n">
        <v>43.87</v>
      </c>
      <c r="BU368" s="186" t="n">
        <v>22.25</v>
      </c>
      <c r="BY368" s="186" t="n">
        <v>5.69</v>
      </c>
      <c r="CL368" s="186" t="n">
        <v>0</v>
      </c>
    </row>
    <row r="369" customFormat="false" ht="12.75" hidden="false" customHeight="false" outlineLevel="0" collapsed="false">
      <c r="A369" s="184" t="s">
        <v>601</v>
      </c>
      <c r="B369" s="0" t="s">
        <v>669</v>
      </c>
      <c r="C369" s="0" t="s">
        <v>763</v>
      </c>
      <c r="D369" s="0" t="s">
        <v>766</v>
      </c>
      <c r="E369" s="119" t="n">
        <v>7</v>
      </c>
      <c r="F369" s="119" t="n">
        <v>10</v>
      </c>
      <c r="I369" s="118" t="n">
        <v>9</v>
      </c>
      <c r="K369" s="118" t="n">
        <v>7</v>
      </c>
      <c r="M369" s="186" t="n">
        <v>3.46</v>
      </c>
      <c r="S369" s="192" t="n">
        <v>1470</v>
      </c>
      <c r="U369" s="186" t="n">
        <v>10.8</v>
      </c>
      <c r="Y369" s="186" t="n">
        <v>691</v>
      </c>
      <c r="AA369" s="192" t="n">
        <v>103844</v>
      </c>
      <c r="AC369" s="186" t="n">
        <v>32.9</v>
      </c>
      <c r="AG369" s="186" t="n">
        <v>3.17</v>
      </c>
      <c r="AM369" s="192" t="n">
        <v>73</v>
      </c>
      <c r="BS369" s="193" t="n">
        <v>44.61</v>
      </c>
      <c r="BU369" s="186" t="n">
        <v>20.97</v>
      </c>
      <c r="BY369" s="186" t="n">
        <v>6.44</v>
      </c>
      <c r="CL369" s="186" t="n">
        <v>0</v>
      </c>
    </row>
    <row r="370" customFormat="false" ht="12.75" hidden="false" customHeight="false" outlineLevel="0" collapsed="false">
      <c r="A370" s="184" t="s">
        <v>603</v>
      </c>
      <c r="B370" s="0" t="s">
        <v>666</v>
      </c>
      <c r="C370" s="0" t="s">
        <v>759</v>
      </c>
      <c r="D370" s="0" t="s">
        <v>762</v>
      </c>
      <c r="E370" s="119" t="n">
        <v>48</v>
      </c>
      <c r="F370" s="119" t="n">
        <v>2</v>
      </c>
      <c r="I370" s="118" t="n">
        <v>9</v>
      </c>
      <c r="K370" s="118" t="n">
        <v>9</v>
      </c>
      <c r="M370" s="186" t="n">
        <v>2.58</v>
      </c>
      <c r="S370" s="192" t="n">
        <v>1125</v>
      </c>
      <c r="U370" s="186" t="n">
        <v>10.8</v>
      </c>
      <c r="Y370" s="186" t="n">
        <v>521</v>
      </c>
      <c r="AA370" s="192" t="n">
        <v>79014</v>
      </c>
      <c r="AC370" s="186" t="n">
        <v>24.8</v>
      </c>
      <c r="AG370" s="186" t="n">
        <v>3.13</v>
      </c>
      <c r="AM370" s="192" t="n">
        <v>83</v>
      </c>
      <c r="BS370" s="193" t="n">
        <v>45.44</v>
      </c>
      <c r="BU370" s="186" t="n">
        <v>21.03</v>
      </c>
      <c r="BY370" s="186" t="n">
        <v>5.69</v>
      </c>
      <c r="CL370" s="186" t="n">
        <v>0</v>
      </c>
    </row>
    <row r="371" customFormat="false" ht="12.75" hidden="false" customHeight="false" outlineLevel="0" collapsed="false">
      <c r="A371" s="184" t="s">
        <v>603</v>
      </c>
      <c r="B371" s="0" t="s">
        <v>666</v>
      </c>
      <c r="C371" s="0" t="s">
        <v>763</v>
      </c>
      <c r="D371" s="0" t="s">
        <v>766</v>
      </c>
      <c r="E371" s="119" t="n">
        <v>10</v>
      </c>
      <c r="F371" s="119" t="n">
        <v>8</v>
      </c>
      <c r="I371" s="118" t="n">
        <v>5</v>
      </c>
      <c r="K371" s="118" t="n">
        <v>5</v>
      </c>
      <c r="M371" s="186" t="n">
        <v>1.42</v>
      </c>
      <c r="S371" s="192" t="n">
        <v>1286</v>
      </c>
      <c r="U371" s="186" t="n">
        <v>10.8</v>
      </c>
      <c r="Y371" s="186" t="n">
        <v>501</v>
      </c>
      <c r="AA371" s="192" t="n">
        <v>90409</v>
      </c>
      <c r="AC371" s="186" t="n">
        <v>27.1</v>
      </c>
      <c r="AG371" s="186" t="n">
        <v>3</v>
      </c>
      <c r="AM371" s="192" t="n">
        <v>83</v>
      </c>
      <c r="BS371" s="193" t="n">
        <v>47.42</v>
      </c>
      <c r="BU371" s="186" t="n">
        <v>18.47</v>
      </c>
      <c r="BY371" s="186" t="n">
        <v>6.16</v>
      </c>
      <c r="CL371" s="186" t="n">
        <v>0</v>
      </c>
    </row>
    <row r="372" customFormat="false" ht="12.75" hidden="false" customHeight="false" outlineLevel="0" collapsed="false">
      <c r="A372" s="184" t="s">
        <v>603</v>
      </c>
      <c r="B372" s="0" t="s">
        <v>669</v>
      </c>
      <c r="C372" s="0" t="s">
        <v>759</v>
      </c>
      <c r="D372" s="0" t="s">
        <v>762</v>
      </c>
      <c r="E372" s="119" t="n">
        <v>44</v>
      </c>
      <c r="F372" s="119" t="n">
        <v>5</v>
      </c>
      <c r="I372" s="118" t="n">
        <v>9</v>
      </c>
      <c r="K372" s="118" t="n">
        <v>9</v>
      </c>
      <c r="M372" s="186" t="n">
        <v>3.15</v>
      </c>
      <c r="S372" s="192" t="n">
        <v>1277</v>
      </c>
      <c r="U372" s="186" t="n">
        <v>10.8</v>
      </c>
      <c r="Y372" s="186" t="n">
        <v>727</v>
      </c>
      <c r="AA372" s="192" t="n">
        <v>105263</v>
      </c>
      <c r="AC372" s="186" t="n">
        <v>30.1</v>
      </c>
      <c r="AG372" s="186" t="n">
        <v>2.86</v>
      </c>
      <c r="AM372" s="192" t="n">
        <v>83</v>
      </c>
      <c r="BS372" s="193" t="n">
        <v>42.42</v>
      </c>
      <c r="BU372" s="186" t="n">
        <v>24.15</v>
      </c>
      <c r="BY372" s="186" t="n">
        <v>6.08</v>
      </c>
      <c r="CL372" s="186" t="n">
        <v>0</v>
      </c>
    </row>
    <row r="373" customFormat="false" ht="12.75" hidden="false" customHeight="false" outlineLevel="0" collapsed="false">
      <c r="A373" s="184" t="s">
        <v>603</v>
      </c>
      <c r="B373" s="0" t="s">
        <v>669</v>
      </c>
      <c r="C373" s="0" t="s">
        <v>763</v>
      </c>
      <c r="D373" s="0" t="s">
        <v>766</v>
      </c>
      <c r="E373" s="119" t="n">
        <v>4</v>
      </c>
      <c r="F373" s="119" t="n">
        <v>10</v>
      </c>
      <c r="I373" s="118" t="n">
        <v>9</v>
      </c>
      <c r="K373" s="118" t="n">
        <v>7</v>
      </c>
      <c r="M373" s="186" t="n">
        <v>3.57</v>
      </c>
      <c r="S373" s="192" t="n">
        <v>1440</v>
      </c>
      <c r="U373" s="186" t="n">
        <v>10.8</v>
      </c>
      <c r="Y373" s="186" t="n">
        <v>786</v>
      </c>
      <c r="AA373" s="192" t="n">
        <v>124265</v>
      </c>
      <c r="AC373" s="186" t="n">
        <v>33.9</v>
      </c>
      <c r="AG373" s="186" t="n">
        <v>2.72</v>
      </c>
      <c r="AM373" s="192" t="n">
        <v>83</v>
      </c>
      <c r="BS373" s="193" t="n">
        <v>42.55</v>
      </c>
      <c r="BU373" s="186" t="n">
        <v>23.21</v>
      </c>
      <c r="BY373" s="186" t="n">
        <v>6.81</v>
      </c>
      <c r="CL373" s="186" t="n">
        <v>0</v>
      </c>
    </row>
    <row r="374" customFormat="false" ht="12.75" hidden="false" customHeight="false" outlineLevel="0" collapsed="false">
      <c r="A374" s="184" t="s">
        <v>605</v>
      </c>
      <c r="B374" s="0" t="s">
        <v>666</v>
      </c>
      <c r="C374" s="0" t="s">
        <v>759</v>
      </c>
      <c r="D374" s="0" t="s">
        <v>762</v>
      </c>
      <c r="E374" s="119" t="n">
        <v>39</v>
      </c>
      <c r="F374" s="119" t="n">
        <v>1</v>
      </c>
      <c r="I374" s="118" t="n">
        <v>9</v>
      </c>
      <c r="K374" s="118" t="n">
        <v>9</v>
      </c>
      <c r="M374" s="186" t="n">
        <v>3.16</v>
      </c>
      <c r="S374" s="192" t="n">
        <v>1363</v>
      </c>
      <c r="U374" s="186" t="n">
        <v>10.8</v>
      </c>
      <c r="Y374" s="186" t="n">
        <v>645</v>
      </c>
      <c r="AA374" s="192" t="n">
        <v>103135</v>
      </c>
      <c r="AC374" s="186" t="n">
        <v>30.3</v>
      </c>
      <c r="AG374" s="186" t="n">
        <v>2.94</v>
      </c>
      <c r="AM374" s="192" t="n">
        <v>77</v>
      </c>
      <c r="BS374" s="193" t="n">
        <v>44.91</v>
      </c>
      <c r="BU374" s="186" t="n">
        <v>21.26</v>
      </c>
      <c r="BY374" s="186" t="n">
        <v>5.61</v>
      </c>
      <c r="CL374" s="186" t="n">
        <v>0</v>
      </c>
    </row>
    <row r="375" customFormat="false" ht="12.75" hidden="false" customHeight="false" outlineLevel="0" collapsed="false">
      <c r="A375" s="184" t="s">
        <v>605</v>
      </c>
      <c r="B375" s="0" t="s">
        <v>666</v>
      </c>
      <c r="C375" s="0" t="s">
        <v>763</v>
      </c>
      <c r="D375" s="0" t="s">
        <v>766</v>
      </c>
      <c r="E375" s="119" t="n">
        <v>17</v>
      </c>
      <c r="F375" s="119" t="n">
        <v>7</v>
      </c>
      <c r="I375" s="118" t="n">
        <v>9</v>
      </c>
      <c r="K375" s="118" t="n">
        <v>7</v>
      </c>
      <c r="M375" s="186" t="n">
        <v>3.55</v>
      </c>
      <c r="S375" s="192" t="n">
        <v>1656</v>
      </c>
      <c r="U375" s="186" t="n">
        <v>10.8</v>
      </c>
      <c r="Y375" s="186" t="n">
        <v>596</v>
      </c>
      <c r="AA375" s="192" t="n">
        <v>103507</v>
      </c>
      <c r="AC375" s="186" t="n">
        <v>33.9</v>
      </c>
      <c r="AG375" s="186" t="n">
        <v>3.28</v>
      </c>
      <c r="AM375" s="192" t="n">
        <v>77</v>
      </c>
      <c r="BS375" s="193" t="n">
        <v>48.85</v>
      </c>
      <c r="BU375" s="186" t="n">
        <v>17.58</v>
      </c>
      <c r="BY375" s="186" t="n">
        <v>6.15</v>
      </c>
      <c r="CL375" s="186" t="n">
        <v>0</v>
      </c>
    </row>
    <row r="376" customFormat="false" ht="12.75" hidden="false" customHeight="false" outlineLevel="0" collapsed="false">
      <c r="A376" s="184" t="s">
        <v>605</v>
      </c>
      <c r="B376" s="0" t="s">
        <v>669</v>
      </c>
      <c r="C376" s="0" t="s">
        <v>759</v>
      </c>
      <c r="D376" s="0" t="s">
        <v>762</v>
      </c>
      <c r="E376" s="119" t="n">
        <v>52</v>
      </c>
      <c r="F376" s="119" t="n">
        <v>5</v>
      </c>
      <c r="I376" s="118" t="n">
        <v>9</v>
      </c>
      <c r="K376" s="118" t="n">
        <v>9</v>
      </c>
      <c r="M376" s="186" t="n">
        <v>3.31</v>
      </c>
      <c r="S376" s="192" t="n">
        <v>1435</v>
      </c>
      <c r="U376" s="186" t="n">
        <v>10.8</v>
      </c>
      <c r="Y376" s="186" t="n">
        <v>671</v>
      </c>
      <c r="AA376" s="192" t="n">
        <v>101186</v>
      </c>
      <c r="AC376" s="186" t="n">
        <v>31.6</v>
      </c>
      <c r="AG376" s="186" t="n">
        <v>3.13</v>
      </c>
      <c r="AM376" s="192" t="n">
        <v>77</v>
      </c>
      <c r="BS376" s="193" t="n">
        <v>45.35</v>
      </c>
      <c r="BU376" s="186" t="n">
        <v>21.22</v>
      </c>
      <c r="BY376" s="186" t="n">
        <v>6.05</v>
      </c>
      <c r="CL376" s="186" t="n">
        <v>0</v>
      </c>
    </row>
    <row r="377" customFormat="false" ht="12.75" hidden="false" customHeight="false" outlineLevel="0" collapsed="false">
      <c r="A377" s="184" t="s">
        <v>605</v>
      </c>
      <c r="B377" s="0" t="s">
        <v>669</v>
      </c>
      <c r="C377" s="0" t="s">
        <v>763</v>
      </c>
      <c r="D377" s="0" t="s">
        <v>766</v>
      </c>
      <c r="E377" s="119" t="n">
        <v>16</v>
      </c>
      <c r="F377" s="119" t="n">
        <v>11</v>
      </c>
      <c r="I377" s="118" t="n">
        <v>9</v>
      </c>
      <c r="K377" s="118" t="n">
        <v>9</v>
      </c>
      <c r="M377" s="186" t="n">
        <v>3.11</v>
      </c>
      <c r="S377" s="192" t="n">
        <v>1282</v>
      </c>
      <c r="U377" s="186" t="n">
        <v>10.8</v>
      </c>
      <c r="Y377" s="186" t="n">
        <v>691</v>
      </c>
      <c r="AA377" s="192" t="n">
        <v>98910</v>
      </c>
      <c r="AC377" s="186" t="n">
        <v>29.6</v>
      </c>
      <c r="AG377" s="186" t="n">
        <v>3</v>
      </c>
      <c r="AM377" s="192" t="n">
        <v>77</v>
      </c>
      <c r="BS377" s="193" t="n">
        <v>43.27</v>
      </c>
      <c r="BU377" s="186" t="n">
        <v>23.32</v>
      </c>
      <c r="BY377" s="186" t="n">
        <v>6.37</v>
      </c>
      <c r="CL377" s="186" t="n">
        <v>0</v>
      </c>
    </row>
    <row r="378" customFormat="false" ht="12.75" hidden="false" customHeight="false" outlineLevel="0" collapsed="false">
      <c r="A378" s="184" t="s">
        <v>607</v>
      </c>
      <c r="B378" s="0" t="s">
        <v>666</v>
      </c>
      <c r="C378" s="0" t="s">
        <v>759</v>
      </c>
      <c r="D378" s="0" t="s">
        <v>762</v>
      </c>
      <c r="E378" s="119" t="n">
        <v>54</v>
      </c>
      <c r="F378" s="119" t="n">
        <v>2</v>
      </c>
      <c r="I378" s="118" t="n">
        <v>9</v>
      </c>
      <c r="K378" s="118" t="n">
        <v>9</v>
      </c>
      <c r="M378" s="186" t="n">
        <v>2.23</v>
      </c>
      <c r="S378" s="192" t="n">
        <v>979</v>
      </c>
      <c r="U378" s="186" t="n">
        <v>10.8</v>
      </c>
      <c r="Y378" s="186" t="n">
        <v>445</v>
      </c>
      <c r="AA378" s="192" t="n">
        <v>76401</v>
      </c>
      <c r="AC378" s="186" t="n">
        <v>21.4</v>
      </c>
      <c r="AG378" s="186" t="n">
        <v>2.8</v>
      </c>
      <c r="AM378" s="192" t="n">
        <v>80</v>
      </c>
      <c r="BS378" s="193" t="n">
        <v>45.81</v>
      </c>
      <c r="BU378" s="186" t="n">
        <v>20.82</v>
      </c>
      <c r="BY378" s="186" t="n">
        <v>5.81</v>
      </c>
      <c r="CL378" s="186" t="n">
        <v>0</v>
      </c>
    </row>
    <row r="379" customFormat="false" ht="12.75" hidden="false" customHeight="false" outlineLevel="0" collapsed="false">
      <c r="A379" s="184" t="s">
        <v>607</v>
      </c>
      <c r="B379" s="0" t="s">
        <v>666</v>
      </c>
      <c r="C379" s="0" t="s">
        <v>763</v>
      </c>
      <c r="D379" s="0" t="s">
        <v>766</v>
      </c>
      <c r="S379" s="192" t="s">
        <v>768</v>
      </c>
      <c r="U379" s="186" t="n">
        <v>10.8</v>
      </c>
      <c r="Y379" s="186" t="s">
        <v>768</v>
      </c>
      <c r="AA379" s="192" t="s">
        <v>768</v>
      </c>
      <c r="AC379" s="186" t="s">
        <v>768</v>
      </c>
      <c r="AG379" s="186" t="n">
        <v>2.82</v>
      </c>
      <c r="AM379" s="192" t="s">
        <v>768</v>
      </c>
      <c r="BS379" s="193" t="n">
        <v>48.1</v>
      </c>
      <c r="BU379" s="186" t="n">
        <v>18.4</v>
      </c>
      <c r="CL379" s="186" t="n">
        <v>0</v>
      </c>
    </row>
    <row r="380" customFormat="false" ht="12.75" hidden="false" customHeight="false" outlineLevel="0" collapsed="false">
      <c r="A380" s="184" t="s">
        <v>607</v>
      </c>
      <c r="B380" s="0" t="s">
        <v>669</v>
      </c>
      <c r="C380" s="0" t="s">
        <v>759</v>
      </c>
      <c r="D380" s="0" t="s">
        <v>762</v>
      </c>
      <c r="E380" s="119" t="n">
        <v>39</v>
      </c>
      <c r="F380" s="119" t="n">
        <v>6</v>
      </c>
      <c r="I380" s="118" t="n">
        <v>9</v>
      </c>
      <c r="K380" s="118" t="n">
        <v>9</v>
      </c>
      <c r="M380" s="186" t="n">
        <v>3.29</v>
      </c>
      <c r="S380" s="192" t="n">
        <v>1362</v>
      </c>
      <c r="U380" s="186" t="n">
        <v>10.8</v>
      </c>
      <c r="Y380" s="186" t="n">
        <v>717</v>
      </c>
      <c r="AA380" s="192" t="n">
        <v>109400</v>
      </c>
      <c r="AC380" s="186" t="n">
        <v>31.5</v>
      </c>
      <c r="AG380" s="186" t="n">
        <v>2.88</v>
      </c>
      <c r="AM380" s="192" t="n">
        <v>77</v>
      </c>
      <c r="BS380" s="193" t="n">
        <v>43.22</v>
      </c>
      <c r="BU380" s="186" t="n">
        <v>22.75</v>
      </c>
      <c r="BY380" s="186" t="n">
        <v>5.85</v>
      </c>
      <c r="CL380" s="186" t="n">
        <v>0</v>
      </c>
    </row>
    <row r="381" customFormat="false" ht="12.75" hidden="false" customHeight="false" outlineLevel="0" collapsed="false">
      <c r="A381" s="184" t="s">
        <v>607</v>
      </c>
      <c r="B381" s="0" t="s">
        <v>669</v>
      </c>
      <c r="C381" s="0" t="s">
        <v>763</v>
      </c>
      <c r="D381" s="0" t="s">
        <v>766</v>
      </c>
      <c r="E381" s="119" t="n">
        <v>11</v>
      </c>
      <c r="F381" s="119" t="n">
        <v>11</v>
      </c>
      <c r="I381" s="118" t="n">
        <v>9</v>
      </c>
      <c r="K381" s="118" t="n">
        <v>9</v>
      </c>
      <c r="M381" s="186" t="n">
        <v>3.14</v>
      </c>
      <c r="S381" s="192" t="n">
        <v>1274</v>
      </c>
      <c r="U381" s="186" t="n">
        <v>10.8</v>
      </c>
      <c r="Y381" s="186" t="n">
        <v>680</v>
      </c>
      <c r="AA381" s="192" t="n">
        <v>110298</v>
      </c>
      <c r="AC381" s="186" t="n">
        <v>29.9</v>
      </c>
      <c r="AG381" s="186" t="n">
        <v>2.71</v>
      </c>
      <c r="AM381" s="192" t="n">
        <v>77</v>
      </c>
      <c r="BS381" s="193" t="n">
        <v>42.64</v>
      </c>
      <c r="BU381" s="186" t="n">
        <v>22.75</v>
      </c>
      <c r="BY381" s="186" t="n">
        <v>6.46</v>
      </c>
      <c r="CL381" s="186" t="n">
        <v>0</v>
      </c>
    </row>
    <row r="382" customFormat="false" ht="12.75" hidden="false" customHeight="false" outlineLevel="0" collapsed="false">
      <c r="A382" s="184" t="s">
        <v>609</v>
      </c>
      <c r="B382" s="0" t="s">
        <v>666</v>
      </c>
      <c r="C382" s="0" t="s">
        <v>759</v>
      </c>
      <c r="D382" s="0" t="s">
        <v>762</v>
      </c>
      <c r="E382" s="119" t="n">
        <v>38</v>
      </c>
      <c r="F382" s="119" t="n">
        <v>3</v>
      </c>
      <c r="I382" s="118" t="n">
        <v>9</v>
      </c>
      <c r="K382" s="118" t="n">
        <v>7</v>
      </c>
      <c r="M382" s="186" t="n">
        <v>2.31</v>
      </c>
      <c r="S382" s="192" t="n">
        <v>971</v>
      </c>
      <c r="U382" s="186" t="n">
        <v>10.8</v>
      </c>
      <c r="Y382" s="186" t="n">
        <v>499</v>
      </c>
      <c r="AA382" s="192" t="n">
        <v>80721</v>
      </c>
      <c r="AC382" s="186" t="n">
        <v>22.1</v>
      </c>
      <c r="AG382" s="186" t="n">
        <v>2.74</v>
      </c>
      <c r="AM382" s="192" t="n">
        <v>77</v>
      </c>
      <c r="BS382" s="193" t="n">
        <v>43.89</v>
      </c>
      <c r="BU382" s="186" t="n">
        <v>22.56</v>
      </c>
      <c r="BY382" s="186" t="n">
        <v>5.84</v>
      </c>
      <c r="CL382" s="186" t="n">
        <v>0</v>
      </c>
    </row>
    <row r="383" customFormat="false" ht="12.75" hidden="false" customHeight="false" outlineLevel="0" collapsed="false">
      <c r="A383" s="184" t="s">
        <v>609</v>
      </c>
      <c r="B383" s="0" t="s">
        <v>666</v>
      </c>
      <c r="C383" s="0" t="s">
        <v>763</v>
      </c>
      <c r="D383" s="0" t="s">
        <v>766</v>
      </c>
      <c r="E383" s="119" t="n">
        <v>18</v>
      </c>
      <c r="F383" s="119" t="n">
        <v>9</v>
      </c>
      <c r="I383" s="118" t="n">
        <v>9</v>
      </c>
      <c r="K383" s="118" t="n">
        <v>9</v>
      </c>
      <c r="M383" s="186" t="n">
        <v>3.11</v>
      </c>
      <c r="S383" s="192" t="n">
        <v>1227</v>
      </c>
      <c r="U383" s="186" t="n">
        <v>10.8</v>
      </c>
      <c r="Y383" s="186" t="n">
        <v>706</v>
      </c>
      <c r="AA383" s="192" t="n">
        <v>108304</v>
      </c>
      <c r="AC383" s="186" t="n">
        <v>29.6</v>
      </c>
      <c r="AG383" s="186" t="n">
        <v>2.73</v>
      </c>
      <c r="AM383" s="192" t="n">
        <v>77</v>
      </c>
      <c r="BS383" s="193" t="n">
        <v>41.48</v>
      </c>
      <c r="BU383" s="186" t="n">
        <v>23.85</v>
      </c>
      <c r="BY383" s="186" t="n">
        <v>6.53</v>
      </c>
      <c r="CL383" s="186" t="n">
        <v>0</v>
      </c>
    </row>
    <row r="384" customFormat="false" ht="12.75" hidden="false" customHeight="false" outlineLevel="0" collapsed="false">
      <c r="A384" s="184" t="s">
        <v>609</v>
      </c>
      <c r="B384" s="0" t="s">
        <v>669</v>
      </c>
      <c r="C384" s="0" t="s">
        <v>759</v>
      </c>
      <c r="D384" s="0" t="s">
        <v>762</v>
      </c>
      <c r="E384" s="119" t="n">
        <v>54</v>
      </c>
      <c r="F384" s="119" t="n">
        <v>4</v>
      </c>
      <c r="I384" s="118" t="n">
        <v>9</v>
      </c>
      <c r="K384" s="118" t="n">
        <v>7</v>
      </c>
      <c r="M384" s="186" t="n">
        <v>3.57</v>
      </c>
      <c r="S384" s="192" t="n">
        <v>1420</v>
      </c>
      <c r="U384" s="186" t="n">
        <v>10.8</v>
      </c>
      <c r="Y384" s="186" t="n">
        <v>833</v>
      </c>
      <c r="AA384" s="192" t="n">
        <v>126796</v>
      </c>
      <c r="AC384" s="186" t="n">
        <v>34.1</v>
      </c>
      <c r="AG384" s="186" t="n">
        <v>2.69</v>
      </c>
      <c r="AM384" s="192" t="n">
        <v>77</v>
      </c>
      <c r="BS384" s="193" t="n">
        <v>41.69</v>
      </c>
      <c r="BU384" s="186" t="n">
        <v>24.46</v>
      </c>
      <c r="BY384" s="186" t="n">
        <v>6.24</v>
      </c>
      <c r="CL384" s="186" t="n">
        <v>0</v>
      </c>
    </row>
    <row r="385" customFormat="false" ht="12.75" hidden="false" customHeight="false" outlineLevel="0" collapsed="false">
      <c r="A385" s="184" t="s">
        <v>609</v>
      </c>
      <c r="B385" s="0" t="s">
        <v>669</v>
      </c>
      <c r="C385" s="0" t="s">
        <v>763</v>
      </c>
      <c r="D385" s="0" t="s">
        <v>766</v>
      </c>
      <c r="E385" s="119" t="n">
        <v>9</v>
      </c>
      <c r="F385" s="119" t="n">
        <v>10</v>
      </c>
      <c r="I385" s="118" t="n">
        <v>9</v>
      </c>
      <c r="K385" s="118" t="n">
        <v>7</v>
      </c>
      <c r="M385" s="186" t="n">
        <v>3.58</v>
      </c>
      <c r="S385" s="192" t="n">
        <v>1376</v>
      </c>
      <c r="U385" s="186" t="n">
        <v>10.8</v>
      </c>
      <c r="Y385" s="186" t="n">
        <v>840</v>
      </c>
      <c r="AA385" s="192" t="n">
        <v>137381</v>
      </c>
      <c r="AC385" s="186" t="n">
        <v>34</v>
      </c>
      <c r="AG385" s="186" t="n">
        <v>2.48</v>
      </c>
      <c r="AM385" s="192" t="n">
        <v>77</v>
      </c>
      <c r="BS385" s="193" t="n">
        <v>40.42</v>
      </c>
      <c r="BU385" s="186" t="n">
        <v>24.68</v>
      </c>
      <c r="BY385" s="186" t="n">
        <v>6.53</v>
      </c>
      <c r="CL385" s="186" t="n">
        <v>0</v>
      </c>
    </row>
    <row r="386" customFormat="false" ht="12.75" hidden="false" customHeight="false" outlineLevel="0" collapsed="false">
      <c r="A386" s="184" t="s">
        <v>611</v>
      </c>
      <c r="B386" s="0" t="s">
        <v>666</v>
      </c>
      <c r="C386" s="0" t="s">
        <v>759</v>
      </c>
      <c r="D386" s="0" t="s">
        <v>762</v>
      </c>
      <c r="E386" s="119" t="n">
        <v>47</v>
      </c>
      <c r="F386" s="119" t="n">
        <v>3</v>
      </c>
      <c r="I386" s="118" t="n">
        <v>9</v>
      </c>
      <c r="K386" s="118" t="n">
        <v>7</v>
      </c>
      <c r="M386" s="186" t="n">
        <v>2.65</v>
      </c>
      <c r="S386" s="192" t="n">
        <v>1147</v>
      </c>
      <c r="U386" s="186" t="n">
        <v>10.8</v>
      </c>
      <c r="Y386" s="186" t="n">
        <v>519</v>
      </c>
      <c r="AA386" s="192" t="n">
        <v>87961</v>
      </c>
      <c r="AC386" s="186" t="n">
        <v>25.5</v>
      </c>
      <c r="AG386" s="186" t="n">
        <v>2.89</v>
      </c>
      <c r="AM386" s="192" t="n">
        <v>77</v>
      </c>
      <c r="BS386" s="193" t="n">
        <v>45.06</v>
      </c>
      <c r="BU386" s="186" t="n">
        <v>20.39</v>
      </c>
      <c r="BY386" s="186" t="n">
        <v>5.6</v>
      </c>
      <c r="CL386" s="186" t="n">
        <v>0</v>
      </c>
    </row>
    <row r="387" customFormat="false" ht="12.75" hidden="false" customHeight="false" outlineLevel="0" collapsed="false">
      <c r="A387" s="184" t="s">
        <v>611</v>
      </c>
      <c r="B387" s="0" t="s">
        <v>666</v>
      </c>
      <c r="C387" s="0" t="s">
        <v>763</v>
      </c>
      <c r="D387" s="0" t="s">
        <v>766</v>
      </c>
      <c r="E387" s="119" t="n">
        <v>11</v>
      </c>
      <c r="F387" s="119" t="n">
        <v>8</v>
      </c>
      <c r="I387" s="118" t="n">
        <v>7</v>
      </c>
      <c r="K387" s="118" t="n">
        <v>7</v>
      </c>
      <c r="M387" s="186" t="n">
        <v>1.4</v>
      </c>
      <c r="S387" s="192" t="n">
        <v>1197</v>
      </c>
      <c r="U387" s="186" t="n">
        <v>10.8</v>
      </c>
      <c r="Y387" s="186" t="n">
        <v>563</v>
      </c>
      <c r="AA387" s="192" t="n">
        <v>103341</v>
      </c>
      <c r="AC387" s="186" t="n">
        <v>26.7</v>
      </c>
      <c r="AG387" s="186" t="n">
        <v>2.59</v>
      </c>
      <c r="AM387" s="192" t="n">
        <v>80</v>
      </c>
      <c r="BS387" s="193" t="n">
        <v>44.78</v>
      </c>
      <c r="BU387" s="186" t="n">
        <v>21.07</v>
      </c>
      <c r="BY387" s="186" t="n">
        <v>6.15</v>
      </c>
      <c r="CL387" s="186" t="n">
        <v>0</v>
      </c>
    </row>
    <row r="388" customFormat="false" ht="12.75" hidden="false" customHeight="false" outlineLevel="0" collapsed="false">
      <c r="A388" s="184" t="s">
        <v>611</v>
      </c>
      <c r="B388" s="0" t="s">
        <v>669</v>
      </c>
      <c r="C388" s="0" t="s">
        <v>759</v>
      </c>
      <c r="D388" s="0" t="s">
        <v>762</v>
      </c>
      <c r="E388" s="119" t="n">
        <v>45</v>
      </c>
      <c r="F388" s="119" t="n">
        <v>4</v>
      </c>
      <c r="I388" s="118" t="n">
        <v>9</v>
      </c>
      <c r="K388" s="118" t="n">
        <v>7</v>
      </c>
      <c r="M388" s="186" t="n">
        <v>3.42</v>
      </c>
      <c r="S388" s="192" t="n">
        <v>1384</v>
      </c>
      <c r="U388" s="186" t="n">
        <v>10.8</v>
      </c>
      <c r="Y388" s="186" t="n">
        <v>762</v>
      </c>
      <c r="AA388" s="192" t="n">
        <v>109936</v>
      </c>
      <c r="AC388" s="186" t="n">
        <v>32.7</v>
      </c>
      <c r="AG388" s="186" t="n">
        <v>2.98</v>
      </c>
      <c r="AM388" s="192" t="n">
        <v>80</v>
      </c>
      <c r="BS388" s="193" t="n">
        <v>42.29</v>
      </c>
      <c r="BU388" s="186" t="n">
        <v>23.27</v>
      </c>
      <c r="BY388" s="186" t="n">
        <v>5.93</v>
      </c>
      <c r="CL388" s="186" t="n">
        <v>0</v>
      </c>
    </row>
    <row r="389" customFormat="false" ht="12.75" hidden="false" customHeight="false" outlineLevel="0" collapsed="false">
      <c r="A389" s="184" t="s">
        <v>611</v>
      </c>
      <c r="B389" s="0" t="s">
        <v>669</v>
      </c>
      <c r="C389" s="0" t="s">
        <v>763</v>
      </c>
      <c r="D389" s="0" t="s">
        <v>766</v>
      </c>
      <c r="E389" s="119" t="n">
        <v>3</v>
      </c>
      <c r="F389" s="119" t="n">
        <v>10</v>
      </c>
      <c r="I389" s="118" t="n">
        <v>9</v>
      </c>
      <c r="K389" s="118" t="n">
        <v>7</v>
      </c>
      <c r="M389" s="186" t="n">
        <v>3.21</v>
      </c>
      <c r="S389" s="192" t="n">
        <v>1238</v>
      </c>
      <c r="U389" s="186" t="n">
        <v>10.8</v>
      </c>
      <c r="Y389" s="186" t="n">
        <v>718</v>
      </c>
      <c r="AA389" s="192" t="n">
        <v>114439</v>
      </c>
      <c r="AC389" s="186" t="n">
        <v>30.4</v>
      </c>
      <c r="AG389" s="186" t="n">
        <v>2.66</v>
      </c>
      <c r="AM389" s="192" t="n">
        <v>77</v>
      </c>
      <c r="BS389" s="193" t="n">
        <v>40.73</v>
      </c>
      <c r="BU389" s="186" t="n">
        <v>23.61</v>
      </c>
      <c r="BY389" s="186" t="n">
        <v>6.95</v>
      </c>
      <c r="CL389" s="186" t="n">
        <v>0</v>
      </c>
    </row>
    <row r="390" customFormat="false" ht="12.75" hidden="false" customHeight="false" outlineLevel="0" collapsed="false">
      <c r="A390" s="184" t="s">
        <v>613</v>
      </c>
      <c r="B390" s="0" t="s">
        <v>666</v>
      </c>
      <c r="C390" s="0" t="s">
        <v>759</v>
      </c>
      <c r="D390" s="0" t="s">
        <v>762</v>
      </c>
      <c r="E390" s="119" t="n">
        <v>40</v>
      </c>
      <c r="F390" s="119" t="n">
        <v>2</v>
      </c>
      <c r="I390" s="118" t="n">
        <v>9</v>
      </c>
      <c r="K390" s="118" t="n">
        <v>9</v>
      </c>
      <c r="M390" s="186" t="n">
        <v>2.41</v>
      </c>
      <c r="S390" s="192" t="n">
        <v>1049</v>
      </c>
      <c r="U390" s="186" t="n">
        <v>10.8</v>
      </c>
      <c r="Y390" s="186" t="n">
        <v>477</v>
      </c>
      <c r="AA390" s="192" t="n">
        <v>83888</v>
      </c>
      <c r="AC390" s="186" t="n">
        <v>23</v>
      </c>
      <c r="AG390" s="186" t="n">
        <v>2.75</v>
      </c>
      <c r="AM390" s="192" t="n">
        <v>80</v>
      </c>
      <c r="BS390" s="193" t="n">
        <v>45.54</v>
      </c>
      <c r="BU390" s="186" t="n">
        <v>20.71</v>
      </c>
      <c r="BY390" s="186" t="n">
        <v>6.06</v>
      </c>
      <c r="CL390" s="186" t="n">
        <v>0</v>
      </c>
    </row>
    <row r="391" customFormat="false" ht="12.75" hidden="false" customHeight="false" outlineLevel="0" collapsed="false">
      <c r="A391" s="184" t="s">
        <v>613</v>
      </c>
      <c r="B391" s="0" t="s">
        <v>666</v>
      </c>
      <c r="C391" s="0" t="s">
        <v>763</v>
      </c>
      <c r="D391" s="0" t="s">
        <v>766</v>
      </c>
      <c r="E391" s="119" t="n">
        <v>8</v>
      </c>
      <c r="F391" s="119" t="n">
        <v>8</v>
      </c>
      <c r="I391" s="118" t="n">
        <v>5</v>
      </c>
      <c r="K391" s="118" t="n">
        <v>5</v>
      </c>
      <c r="M391" s="186" t="n">
        <v>1.28</v>
      </c>
      <c r="S391" s="192" t="n">
        <v>1170</v>
      </c>
      <c r="U391" s="186" t="n">
        <v>10.8</v>
      </c>
      <c r="Y391" s="186" t="n">
        <v>441</v>
      </c>
      <c r="AA391" s="192" t="n">
        <v>83740</v>
      </c>
      <c r="AC391" s="186" t="n">
        <v>24.5</v>
      </c>
      <c r="AG391" s="186" t="n">
        <v>2.93</v>
      </c>
      <c r="AM391" s="192" t="n">
        <v>80</v>
      </c>
      <c r="BS391" s="193" t="n">
        <v>47.69</v>
      </c>
      <c r="BU391" s="186" t="n">
        <v>17.99</v>
      </c>
      <c r="BY391" s="186" t="n">
        <v>5.81</v>
      </c>
      <c r="CL391" s="186" t="n">
        <v>0</v>
      </c>
    </row>
    <row r="392" customFormat="false" ht="12.75" hidden="false" customHeight="false" outlineLevel="0" collapsed="false">
      <c r="A392" s="184" t="s">
        <v>613</v>
      </c>
      <c r="B392" s="0" t="s">
        <v>669</v>
      </c>
      <c r="C392" s="0" t="s">
        <v>759</v>
      </c>
      <c r="D392" s="0" t="s">
        <v>762</v>
      </c>
      <c r="E392" s="119" t="n">
        <v>48</v>
      </c>
      <c r="F392" s="119" t="n">
        <v>6</v>
      </c>
      <c r="I392" s="118" t="n">
        <v>9</v>
      </c>
      <c r="K392" s="118" t="n">
        <v>9</v>
      </c>
      <c r="M392" s="186" t="n">
        <v>3.63</v>
      </c>
      <c r="S392" s="192" t="n">
        <v>1435</v>
      </c>
      <c r="U392" s="186" t="n">
        <v>10.8</v>
      </c>
      <c r="Y392" s="186" t="n">
        <v>844</v>
      </c>
      <c r="AA392" s="192" t="n">
        <v>128663</v>
      </c>
      <c r="AC392" s="186" t="n">
        <v>34.8</v>
      </c>
      <c r="AG392" s="186" t="n">
        <v>2.7</v>
      </c>
      <c r="AM392" s="192" t="n">
        <v>77</v>
      </c>
      <c r="BS392" s="193" t="n">
        <v>41.27</v>
      </c>
      <c r="BU392" s="186" t="n">
        <v>24.27</v>
      </c>
      <c r="BY392" s="186" t="n">
        <v>5.89</v>
      </c>
      <c r="CL392" s="186" t="n">
        <v>0</v>
      </c>
    </row>
    <row r="393" customFormat="false" ht="12.75" hidden="false" customHeight="false" outlineLevel="0" collapsed="false">
      <c r="A393" s="184" t="s">
        <v>613</v>
      </c>
      <c r="B393" s="0" t="s">
        <v>669</v>
      </c>
      <c r="C393" s="0" t="s">
        <v>763</v>
      </c>
      <c r="D393" s="0" t="s">
        <v>766</v>
      </c>
      <c r="E393" s="119" t="n">
        <v>17</v>
      </c>
      <c r="F393" s="119" t="n">
        <v>10</v>
      </c>
      <c r="I393" s="118" t="n">
        <v>9</v>
      </c>
      <c r="K393" s="118" t="n">
        <v>7</v>
      </c>
      <c r="M393" s="186" t="n">
        <v>3.38</v>
      </c>
      <c r="S393" s="192" t="n">
        <v>1303</v>
      </c>
      <c r="U393" s="186" t="n">
        <v>10.8</v>
      </c>
      <c r="Y393" s="186" t="n">
        <v>797</v>
      </c>
      <c r="AA393" s="192" t="n">
        <v>123093</v>
      </c>
      <c r="AC393" s="186" t="n">
        <v>32.2</v>
      </c>
      <c r="AG393" s="186" t="n">
        <v>2.62</v>
      </c>
      <c r="AM393" s="192" t="n">
        <v>77</v>
      </c>
      <c r="BS393" s="193" t="n">
        <v>40.45</v>
      </c>
      <c r="BU393" s="186" t="n">
        <v>24.75</v>
      </c>
      <c r="BY393" s="186" t="n">
        <v>6.36</v>
      </c>
      <c r="CL393" s="186" t="n">
        <v>0</v>
      </c>
    </row>
    <row r="394" customFormat="false" ht="12.75" hidden="false" customHeight="false" outlineLevel="0" collapsed="false">
      <c r="A394" s="184" t="s">
        <v>615</v>
      </c>
      <c r="B394" s="0" t="s">
        <v>666</v>
      </c>
      <c r="C394" s="0" t="s">
        <v>759</v>
      </c>
      <c r="D394" s="0" t="s">
        <v>762</v>
      </c>
      <c r="E394" s="119" t="n">
        <v>46</v>
      </c>
      <c r="F394" s="119" t="n">
        <v>2</v>
      </c>
      <c r="I394" s="118" t="n">
        <v>9</v>
      </c>
      <c r="K394" s="118" t="n">
        <v>9</v>
      </c>
      <c r="M394" s="186" t="n">
        <v>2.5</v>
      </c>
      <c r="S394" s="192" t="n">
        <v>1086</v>
      </c>
      <c r="U394" s="186" t="n">
        <v>10.8</v>
      </c>
      <c r="Y394" s="186" t="n">
        <v>481</v>
      </c>
      <c r="AA394" s="192" t="n">
        <v>83946</v>
      </c>
      <c r="AC394" s="186" t="n">
        <v>24</v>
      </c>
      <c r="AG394" s="186" t="n">
        <v>2.86</v>
      </c>
      <c r="AM394" s="192" t="n">
        <v>80</v>
      </c>
      <c r="BS394" s="193" t="n">
        <v>45.3</v>
      </c>
      <c r="BU394" s="186" t="n">
        <v>20.05</v>
      </c>
      <c r="BY394" s="186" t="n">
        <v>5.77</v>
      </c>
      <c r="CL394" s="186" t="n">
        <v>0</v>
      </c>
    </row>
    <row r="395" customFormat="false" ht="12.75" hidden="false" customHeight="false" outlineLevel="0" collapsed="false">
      <c r="A395" s="184" t="s">
        <v>615</v>
      </c>
      <c r="B395" s="0" t="s">
        <v>666</v>
      </c>
      <c r="C395" s="0" t="s">
        <v>763</v>
      </c>
      <c r="D395" s="0" t="s">
        <v>766</v>
      </c>
      <c r="S395" s="192" t="s">
        <v>768</v>
      </c>
      <c r="U395" s="186" t="n">
        <v>10.8</v>
      </c>
      <c r="Y395" s="186" t="s">
        <v>768</v>
      </c>
      <c r="AA395" s="192" t="s">
        <v>768</v>
      </c>
      <c r="AC395" s="186" t="s">
        <v>768</v>
      </c>
      <c r="AG395" s="186" t="n">
        <v>2.96</v>
      </c>
      <c r="AM395" s="192" t="s">
        <v>768</v>
      </c>
      <c r="BS395" s="193" t="n">
        <v>46.54</v>
      </c>
      <c r="BU395" s="186" t="n">
        <v>18.48</v>
      </c>
      <c r="CL395" s="186" t="n">
        <v>0</v>
      </c>
    </row>
    <row r="396" customFormat="false" ht="12.75" hidden="false" customHeight="false" outlineLevel="0" collapsed="false">
      <c r="A396" s="184" t="s">
        <v>615</v>
      </c>
      <c r="B396" s="0" t="s">
        <v>669</v>
      </c>
      <c r="C396" s="0" t="s">
        <v>759</v>
      </c>
      <c r="D396" s="0" t="s">
        <v>762</v>
      </c>
      <c r="E396" s="119" t="n">
        <v>51</v>
      </c>
      <c r="F396" s="119" t="n">
        <v>6</v>
      </c>
      <c r="I396" s="118" t="n">
        <v>9</v>
      </c>
      <c r="K396" s="118" t="n">
        <v>9</v>
      </c>
      <c r="M396" s="186" t="n">
        <v>3.33</v>
      </c>
      <c r="S396" s="192" t="n">
        <v>1351</v>
      </c>
      <c r="U396" s="186" t="n">
        <v>10.8</v>
      </c>
      <c r="Y396" s="186" t="n">
        <v>705</v>
      </c>
      <c r="AA396" s="192" t="n">
        <v>108894</v>
      </c>
      <c r="AC396" s="186" t="n">
        <v>31.8</v>
      </c>
      <c r="AG396" s="186" t="n">
        <v>2.92</v>
      </c>
      <c r="AM396" s="192" t="n">
        <v>77</v>
      </c>
      <c r="BS396" s="193" t="n">
        <v>42.42</v>
      </c>
      <c r="BU396" s="186" t="n">
        <v>22.15</v>
      </c>
      <c r="BY396" s="186" t="n">
        <v>6.01</v>
      </c>
      <c r="CL396" s="186" t="n">
        <v>0</v>
      </c>
    </row>
    <row r="397" customFormat="false" ht="12.75" hidden="false" customHeight="false" outlineLevel="0" collapsed="false">
      <c r="A397" s="184" t="s">
        <v>615</v>
      </c>
      <c r="B397" s="0" t="s">
        <v>669</v>
      </c>
      <c r="C397" s="0" t="s">
        <v>763</v>
      </c>
      <c r="D397" s="0" t="s">
        <v>766</v>
      </c>
      <c r="E397" s="119" t="n">
        <v>7</v>
      </c>
      <c r="F397" s="119" t="n">
        <v>11</v>
      </c>
      <c r="I397" s="118" t="n">
        <v>9</v>
      </c>
      <c r="K397" s="118" t="n">
        <v>9</v>
      </c>
      <c r="M397" s="186" t="n">
        <v>3.26</v>
      </c>
      <c r="S397" s="192" t="n">
        <v>1302</v>
      </c>
      <c r="U397" s="186" t="n">
        <v>10.8</v>
      </c>
      <c r="Y397" s="186" t="n">
        <v>674</v>
      </c>
      <c r="AA397" s="192" t="n">
        <v>111234</v>
      </c>
      <c r="AC397" s="186" t="n">
        <v>30.9</v>
      </c>
      <c r="AG397" s="186" t="n">
        <v>2.78</v>
      </c>
      <c r="AM397" s="192" t="n">
        <v>80</v>
      </c>
      <c r="BS397" s="193" t="n">
        <v>42.1</v>
      </c>
      <c r="BU397" s="186" t="n">
        <v>21.8</v>
      </c>
      <c r="BY397" s="186" t="n">
        <v>6.74</v>
      </c>
      <c r="CL397" s="186" t="n">
        <v>0</v>
      </c>
    </row>
    <row r="398" customFormat="false" ht="12.75" hidden="false" customHeight="false" outlineLevel="0" collapsed="false">
      <c r="A398" s="184" t="s">
        <v>617</v>
      </c>
      <c r="B398" s="0" t="s">
        <v>666</v>
      </c>
      <c r="C398" s="0" t="s">
        <v>759</v>
      </c>
      <c r="D398" s="0" t="s">
        <v>762</v>
      </c>
      <c r="E398" s="119" t="n">
        <v>51</v>
      </c>
      <c r="F398" s="119" t="n">
        <v>1</v>
      </c>
      <c r="I398" s="118" t="n">
        <v>9</v>
      </c>
      <c r="K398" s="118" t="n">
        <v>9</v>
      </c>
      <c r="M398" s="186" t="n">
        <v>3.01</v>
      </c>
      <c r="S398" s="192" t="n">
        <v>1335</v>
      </c>
      <c r="U398" s="186" t="n">
        <v>10.8</v>
      </c>
      <c r="Y398" s="186" t="n">
        <v>573</v>
      </c>
      <c r="AA398" s="192" t="n">
        <v>101757</v>
      </c>
      <c r="AC398" s="186" t="n">
        <v>28.8</v>
      </c>
      <c r="AG398" s="186" t="n">
        <v>2.83</v>
      </c>
      <c r="AM398" s="192" t="n">
        <v>80</v>
      </c>
      <c r="BS398" s="193" t="n">
        <v>46.35</v>
      </c>
      <c r="BU398" s="186" t="n">
        <v>19.91</v>
      </c>
      <c r="BY398" s="186" t="n">
        <v>5.99</v>
      </c>
      <c r="CL398" s="186" t="n">
        <v>0</v>
      </c>
    </row>
    <row r="399" customFormat="false" ht="12.75" hidden="false" customHeight="false" outlineLevel="0" collapsed="false">
      <c r="A399" s="184" t="s">
        <v>617</v>
      </c>
      <c r="B399" s="0" t="s">
        <v>666</v>
      </c>
      <c r="C399" s="0" t="s">
        <v>763</v>
      </c>
      <c r="D399" s="0" t="s">
        <v>766</v>
      </c>
      <c r="S399" s="192" t="s">
        <v>768</v>
      </c>
      <c r="U399" s="186" t="n">
        <v>10.8</v>
      </c>
      <c r="Y399" s="186" t="s">
        <v>768</v>
      </c>
      <c r="AA399" s="192" t="s">
        <v>768</v>
      </c>
      <c r="AC399" s="186" t="s">
        <v>768</v>
      </c>
      <c r="AG399" s="186" t="n">
        <v>2.98</v>
      </c>
      <c r="AM399" s="192" t="s">
        <v>768</v>
      </c>
      <c r="BS399" s="193" t="n">
        <v>48.49</v>
      </c>
      <c r="BU399" s="186" t="n">
        <v>17.38</v>
      </c>
      <c r="CL399" s="186" t="n">
        <v>0</v>
      </c>
    </row>
    <row r="400" customFormat="false" ht="12.75" hidden="false" customHeight="false" outlineLevel="0" collapsed="false">
      <c r="A400" s="184" t="s">
        <v>617</v>
      </c>
      <c r="B400" s="0" t="s">
        <v>669</v>
      </c>
      <c r="C400" s="0" t="s">
        <v>759</v>
      </c>
      <c r="D400" s="0" t="s">
        <v>762</v>
      </c>
      <c r="E400" s="119" t="n">
        <v>39</v>
      </c>
      <c r="F400" s="119" t="n">
        <v>5</v>
      </c>
      <c r="I400" s="118" t="n">
        <v>9</v>
      </c>
      <c r="K400" s="118" t="n">
        <v>9</v>
      </c>
      <c r="M400" s="186" t="n">
        <v>3.18</v>
      </c>
      <c r="S400" s="192" t="n">
        <v>1358</v>
      </c>
      <c r="U400" s="186" t="n">
        <v>10.8</v>
      </c>
      <c r="Y400" s="186" t="n">
        <v>665</v>
      </c>
      <c r="AA400" s="192" t="n">
        <v>107881</v>
      </c>
      <c r="AC400" s="186" t="n">
        <v>30.6</v>
      </c>
      <c r="AG400" s="186" t="n">
        <v>2.83</v>
      </c>
      <c r="AM400" s="192" t="n">
        <v>77</v>
      </c>
      <c r="BS400" s="193" t="n">
        <v>44.43</v>
      </c>
      <c r="BU400" s="186" t="n">
        <v>21.77</v>
      </c>
      <c r="BY400" s="186" t="n">
        <v>5.55</v>
      </c>
      <c r="CL400" s="186" t="n">
        <v>0</v>
      </c>
    </row>
    <row r="401" customFormat="false" ht="12.75" hidden="false" customHeight="false" outlineLevel="0" collapsed="false">
      <c r="A401" s="184" t="s">
        <v>617</v>
      </c>
      <c r="B401" s="0" t="s">
        <v>669</v>
      </c>
      <c r="C401" s="0" t="s">
        <v>763</v>
      </c>
      <c r="D401" s="0" t="s">
        <v>766</v>
      </c>
      <c r="S401" s="192" t="s">
        <v>768</v>
      </c>
      <c r="U401" s="186" t="n">
        <v>10.8</v>
      </c>
      <c r="Y401" s="186" t="s">
        <v>768</v>
      </c>
      <c r="AA401" s="192" t="s">
        <v>768</v>
      </c>
      <c r="AC401" s="186" t="s">
        <v>768</v>
      </c>
      <c r="AG401" s="186" t="n">
        <v>2.58</v>
      </c>
      <c r="AM401" s="192" t="s">
        <v>768</v>
      </c>
      <c r="BS401" s="193" t="n">
        <v>43.26</v>
      </c>
      <c r="BU401" s="186" t="n">
        <v>23.48</v>
      </c>
      <c r="CL401" s="186" t="n">
        <v>0</v>
      </c>
    </row>
    <row r="402" customFormat="false" ht="12.75" hidden="false" customHeight="false" outlineLevel="0" collapsed="false">
      <c r="A402" s="184" t="s">
        <v>619</v>
      </c>
      <c r="B402" s="0" t="s">
        <v>666</v>
      </c>
      <c r="C402" s="0" t="s">
        <v>759</v>
      </c>
      <c r="D402" s="0" t="s">
        <v>762</v>
      </c>
      <c r="E402" s="119" t="n">
        <v>51</v>
      </c>
      <c r="F402" s="119" t="n">
        <v>3</v>
      </c>
      <c r="I402" s="118" t="n">
        <v>9</v>
      </c>
      <c r="K402" s="118" t="n">
        <v>7</v>
      </c>
      <c r="M402" s="186" t="n">
        <v>2.94</v>
      </c>
      <c r="S402" s="192" t="n">
        <v>1274</v>
      </c>
      <c r="U402" s="186" t="n">
        <v>10.8</v>
      </c>
      <c r="Y402" s="186" t="n">
        <v>560</v>
      </c>
      <c r="AA402" s="192" t="n">
        <v>88529</v>
      </c>
      <c r="AC402" s="186" t="n">
        <v>28.1</v>
      </c>
      <c r="AG402" s="186" t="n">
        <v>3.18</v>
      </c>
      <c r="AM402" s="192" t="n">
        <v>77</v>
      </c>
      <c r="BS402" s="193" t="n">
        <v>45.25</v>
      </c>
      <c r="BU402" s="186" t="n">
        <v>19.89</v>
      </c>
      <c r="BY402" s="186" t="n">
        <v>5.91</v>
      </c>
      <c r="CL402" s="186" t="n">
        <v>0</v>
      </c>
    </row>
    <row r="403" customFormat="false" ht="12.75" hidden="false" customHeight="false" outlineLevel="0" collapsed="false">
      <c r="A403" s="184" t="s">
        <v>619</v>
      </c>
      <c r="B403" s="0" t="s">
        <v>666</v>
      </c>
      <c r="C403" s="0" t="s">
        <v>763</v>
      </c>
      <c r="D403" s="0" t="s">
        <v>766</v>
      </c>
      <c r="E403" s="119" t="n">
        <v>14</v>
      </c>
      <c r="F403" s="119" t="n">
        <v>8</v>
      </c>
      <c r="I403" s="118" t="n">
        <v>9</v>
      </c>
      <c r="K403" s="118" t="n">
        <v>7</v>
      </c>
      <c r="M403" s="186" t="n">
        <v>1.47</v>
      </c>
      <c r="S403" s="192" t="n">
        <v>1350</v>
      </c>
      <c r="U403" s="186" t="n">
        <v>10.8</v>
      </c>
      <c r="Y403" s="186" t="n">
        <v>498</v>
      </c>
      <c r="AA403" s="192" t="n">
        <v>86658</v>
      </c>
      <c r="AC403" s="186" t="n">
        <v>28.3</v>
      </c>
      <c r="AG403" s="186" t="n">
        <v>3.27</v>
      </c>
      <c r="AM403" s="192" t="n">
        <v>77</v>
      </c>
      <c r="BS403" s="193" t="n">
        <v>47.68</v>
      </c>
      <c r="BU403" s="186" t="n">
        <v>17.6</v>
      </c>
      <c r="BY403" s="186" t="n">
        <v>5.38</v>
      </c>
      <c r="CL403" s="186" t="n">
        <v>0</v>
      </c>
    </row>
    <row r="404" customFormat="false" ht="12.75" hidden="false" customHeight="false" outlineLevel="0" collapsed="false">
      <c r="A404" s="184" t="s">
        <v>619</v>
      </c>
      <c r="B404" s="0" t="s">
        <v>669</v>
      </c>
      <c r="C404" s="0" t="s">
        <v>759</v>
      </c>
      <c r="D404" s="0" t="s">
        <v>762</v>
      </c>
      <c r="E404" s="119" t="n">
        <v>39</v>
      </c>
      <c r="F404" s="119" t="n">
        <v>4</v>
      </c>
      <c r="I404" s="118" t="n">
        <v>9</v>
      </c>
      <c r="K404" s="118" t="n">
        <v>7</v>
      </c>
      <c r="M404" s="186" t="n">
        <v>3.12</v>
      </c>
      <c r="S404" s="192" t="n">
        <v>1274</v>
      </c>
      <c r="U404" s="186" t="n">
        <v>10.8</v>
      </c>
      <c r="Y404" s="186" t="n">
        <v>682</v>
      </c>
      <c r="AA404" s="192" t="n">
        <v>98228</v>
      </c>
      <c r="AC404" s="186" t="n">
        <v>29.9</v>
      </c>
      <c r="AG404" s="186" t="n">
        <v>3.05</v>
      </c>
      <c r="AM404" s="192" t="n">
        <v>77</v>
      </c>
      <c r="BS404" s="193" t="n">
        <v>42.56</v>
      </c>
      <c r="BU404" s="186" t="n">
        <v>22.79</v>
      </c>
      <c r="BY404" s="186" t="n">
        <v>5.68</v>
      </c>
      <c r="CL404" s="186" t="n">
        <v>0</v>
      </c>
    </row>
    <row r="405" customFormat="false" ht="12.75" hidden="false" customHeight="false" outlineLevel="0" collapsed="false">
      <c r="A405" s="184" t="s">
        <v>619</v>
      </c>
      <c r="B405" s="0" t="s">
        <v>669</v>
      </c>
      <c r="C405" s="0" t="s">
        <v>763</v>
      </c>
      <c r="D405" s="0" t="s">
        <v>766</v>
      </c>
      <c r="E405" s="119" t="n">
        <v>2</v>
      </c>
      <c r="F405" s="119" t="n">
        <v>11</v>
      </c>
      <c r="I405" s="118" t="n">
        <v>9</v>
      </c>
      <c r="K405" s="118" t="n">
        <v>9</v>
      </c>
      <c r="M405" s="186" t="n">
        <v>3.29</v>
      </c>
      <c r="S405" s="192" t="n">
        <v>1286</v>
      </c>
      <c r="U405" s="186" t="n">
        <v>10.8</v>
      </c>
      <c r="Y405" s="186" t="n">
        <v>729</v>
      </c>
      <c r="AA405" s="192" t="n">
        <v>103846</v>
      </c>
      <c r="AC405" s="186" t="n">
        <v>31</v>
      </c>
      <c r="AG405" s="186" t="n">
        <v>2.99</v>
      </c>
      <c r="AM405" s="192" t="n">
        <v>77</v>
      </c>
      <c r="BS405" s="193" t="n">
        <v>41.41</v>
      </c>
      <c r="BU405" s="186" t="n">
        <v>23.49</v>
      </c>
      <c r="BY405" s="186" t="n">
        <v>7.25</v>
      </c>
      <c r="CL405" s="186" t="n">
        <v>0</v>
      </c>
    </row>
    <row r="406" customFormat="false" ht="12.75" hidden="false" customHeight="false" outlineLevel="0" collapsed="false">
      <c r="A406" s="184" t="s">
        <v>621</v>
      </c>
      <c r="B406" s="0" t="s">
        <v>666</v>
      </c>
      <c r="C406" s="0" t="s">
        <v>759</v>
      </c>
      <c r="D406" s="0" t="s">
        <v>762</v>
      </c>
      <c r="E406" s="119" t="n">
        <v>44</v>
      </c>
      <c r="F406" s="119" t="n">
        <v>1</v>
      </c>
      <c r="I406" s="118" t="n">
        <v>9</v>
      </c>
      <c r="K406" s="118" t="n">
        <v>9</v>
      </c>
      <c r="M406" s="186" t="n">
        <v>3.48</v>
      </c>
      <c r="S406" s="192" t="n">
        <v>1505</v>
      </c>
      <c r="U406" s="186" t="n">
        <v>10.8</v>
      </c>
      <c r="Y406" s="186" t="n">
        <v>711</v>
      </c>
      <c r="AA406" s="192" t="n">
        <v>121099</v>
      </c>
      <c r="AC406" s="186" t="n">
        <v>33.3</v>
      </c>
      <c r="AG406" s="186" t="n">
        <v>2.75</v>
      </c>
      <c r="AM406" s="192" t="n">
        <v>80</v>
      </c>
      <c r="BS406" s="193" t="n">
        <v>45.18</v>
      </c>
      <c r="BU406" s="186" t="n">
        <v>21.33</v>
      </c>
      <c r="BY406" s="186" t="n">
        <v>5.92</v>
      </c>
      <c r="CL406" s="186" t="n">
        <v>0</v>
      </c>
    </row>
    <row r="407" customFormat="false" ht="12.75" hidden="false" customHeight="false" outlineLevel="0" collapsed="false">
      <c r="A407" s="184" t="s">
        <v>621</v>
      </c>
      <c r="B407" s="0" t="s">
        <v>666</v>
      </c>
      <c r="C407" s="0" t="s">
        <v>763</v>
      </c>
      <c r="D407" s="0" t="s">
        <v>766</v>
      </c>
      <c r="E407" s="119" t="n">
        <v>13</v>
      </c>
      <c r="F407" s="119" t="n">
        <v>9</v>
      </c>
      <c r="I407" s="118" t="n">
        <v>9</v>
      </c>
      <c r="K407" s="118" t="n">
        <v>9</v>
      </c>
      <c r="M407" s="186" t="n">
        <v>3.29</v>
      </c>
      <c r="S407" s="192" t="n">
        <v>1472</v>
      </c>
      <c r="U407" s="186" t="n">
        <v>10.8</v>
      </c>
      <c r="Y407" s="186" t="n">
        <v>603</v>
      </c>
      <c r="AA407" s="192" t="n">
        <v>108066</v>
      </c>
      <c r="AC407" s="186" t="n">
        <v>31.4</v>
      </c>
      <c r="AG407" s="186" t="n">
        <v>2.91</v>
      </c>
      <c r="AM407" s="192" t="n">
        <v>77</v>
      </c>
      <c r="BS407" s="193" t="n">
        <v>46.82</v>
      </c>
      <c r="BU407" s="186" t="n">
        <v>19.16</v>
      </c>
      <c r="BY407" s="186" t="n">
        <v>6.06</v>
      </c>
      <c r="CL407" s="186" t="n">
        <v>0</v>
      </c>
    </row>
    <row r="408" customFormat="false" ht="12.75" hidden="false" customHeight="false" outlineLevel="0" collapsed="false">
      <c r="A408" s="184" t="s">
        <v>621</v>
      </c>
      <c r="B408" s="0" t="s">
        <v>669</v>
      </c>
      <c r="C408" s="0" t="s">
        <v>759</v>
      </c>
      <c r="D408" s="0" t="s">
        <v>762</v>
      </c>
      <c r="E408" s="119" t="n">
        <v>47</v>
      </c>
      <c r="F408" s="119" t="n">
        <v>5</v>
      </c>
      <c r="I408" s="118" t="n">
        <v>9</v>
      </c>
      <c r="K408" s="118" t="n">
        <v>9</v>
      </c>
      <c r="M408" s="186" t="n">
        <v>3.37</v>
      </c>
      <c r="S408" s="192" t="n">
        <v>1393</v>
      </c>
      <c r="U408" s="186" t="n">
        <v>10.8</v>
      </c>
      <c r="Y408" s="186" t="n">
        <v>747</v>
      </c>
      <c r="AA408" s="192" t="n">
        <v>120470</v>
      </c>
      <c r="AC408" s="186" t="n">
        <v>32.3</v>
      </c>
      <c r="AG408" s="186" t="n">
        <v>2.68</v>
      </c>
      <c r="AM408" s="192" t="n">
        <v>77</v>
      </c>
      <c r="BS408" s="193" t="n">
        <v>43.12</v>
      </c>
      <c r="BU408" s="186" t="n">
        <v>23.12</v>
      </c>
      <c r="BY408" s="186" t="n">
        <v>5.79</v>
      </c>
      <c r="CL408" s="186" t="n">
        <v>0</v>
      </c>
    </row>
    <row r="409" customFormat="false" ht="12.75" hidden="false" customHeight="false" outlineLevel="0" collapsed="false">
      <c r="A409" s="184" t="s">
        <v>621</v>
      </c>
      <c r="B409" s="0" t="s">
        <v>669</v>
      </c>
      <c r="C409" s="0" t="s">
        <v>763</v>
      </c>
      <c r="D409" s="0" t="s">
        <v>766</v>
      </c>
      <c r="E409" s="119" t="n">
        <v>8</v>
      </c>
      <c r="F409" s="119" t="n">
        <v>12</v>
      </c>
      <c r="I409" s="118" t="n">
        <v>9</v>
      </c>
      <c r="K409" s="118" t="n">
        <v>9</v>
      </c>
      <c r="M409" s="186" t="n">
        <v>2.97</v>
      </c>
      <c r="S409" s="192" t="n">
        <v>1196</v>
      </c>
      <c r="U409" s="186" t="n">
        <v>10.8</v>
      </c>
      <c r="Y409" s="186" t="n">
        <v>692</v>
      </c>
      <c r="AA409" s="192" t="n">
        <v>104016</v>
      </c>
      <c r="AC409" s="186" t="n">
        <v>28.3</v>
      </c>
      <c r="AG409" s="186" t="n">
        <v>2.72</v>
      </c>
      <c r="AM409" s="192" t="n">
        <v>77</v>
      </c>
      <c r="BS409" s="193" t="n">
        <v>42.28</v>
      </c>
      <c r="BU409" s="186" t="n">
        <v>24.48</v>
      </c>
      <c r="BY409" s="186" t="n">
        <v>6.42</v>
      </c>
      <c r="CL409" s="186" t="n">
        <v>0</v>
      </c>
    </row>
    <row r="410" customFormat="false" ht="12.75" hidden="false" customHeight="false" outlineLevel="0" collapsed="false">
      <c r="A410" s="184" t="s">
        <v>623</v>
      </c>
      <c r="B410" s="0" t="s">
        <v>666</v>
      </c>
      <c r="C410" s="0" t="s">
        <v>759</v>
      </c>
      <c r="D410" s="0" t="s">
        <v>762</v>
      </c>
      <c r="E410" s="119" t="n">
        <v>42</v>
      </c>
      <c r="F410" s="119" t="n">
        <v>1</v>
      </c>
      <c r="I410" s="118" t="n">
        <v>9</v>
      </c>
      <c r="K410" s="118" t="n">
        <v>9</v>
      </c>
      <c r="M410" s="186" t="n">
        <v>2.93</v>
      </c>
      <c r="S410" s="192" t="n">
        <v>1301</v>
      </c>
      <c r="U410" s="186" t="n">
        <v>10.8</v>
      </c>
      <c r="Y410" s="186" t="n">
        <v>572</v>
      </c>
      <c r="AA410" s="192" t="n">
        <v>91133</v>
      </c>
      <c r="AC410" s="186" t="n">
        <v>28.1</v>
      </c>
      <c r="AG410" s="186" t="n">
        <v>3.08</v>
      </c>
      <c r="AM410" s="192" t="n">
        <v>73</v>
      </c>
      <c r="BS410" s="193" t="n">
        <v>46.28</v>
      </c>
      <c r="BU410" s="186" t="n">
        <v>20.34</v>
      </c>
      <c r="BY410" s="186" t="n">
        <v>5.71</v>
      </c>
      <c r="CL410" s="186" t="n">
        <v>0</v>
      </c>
    </row>
    <row r="411" customFormat="false" ht="12.75" hidden="false" customHeight="false" outlineLevel="0" collapsed="false">
      <c r="A411" s="184" t="s">
        <v>623</v>
      </c>
      <c r="B411" s="0" t="s">
        <v>666</v>
      </c>
      <c r="C411" s="0" t="s">
        <v>763</v>
      </c>
      <c r="D411" s="0" t="s">
        <v>766</v>
      </c>
      <c r="E411" s="119" t="n">
        <v>12</v>
      </c>
      <c r="F411" s="119" t="n">
        <v>8</v>
      </c>
      <c r="I411" s="118" t="n">
        <v>7</v>
      </c>
      <c r="K411" s="118" t="n">
        <v>7</v>
      </c>
      <c r="M411" s="186" t="n">
        <v>1.41</v>
      </c>
      <c r="S411" s="192" t="n">
        <v>1292</v>
      </c>
      <c r="U411" s="186" t="n">
        <v>10.8</v>
      </c>
      <c r="Y411" s="186" t="n">
        <v>503</v>
      </c>
      <c r="AA411" s="192" t="n">
        <v>84924</v>
      </c>
      <c r="AC411" s="186" t="n">
        <v>27</v>
      </c>
      <c r="AG411" s="186" t="n">
        <v>3.18</v>
      </c>
      <c r="AM411" s="192" t="n">
        <v>77</v>
      </c>
      <c r="BS411" s="193" t="n">
        <v>47.79</v>
      </c>
      <c r="BU411" s="186" t="n">
        <v>18.61</v>
      </c>
      <c r="BY411" s="186" t="n">
        <v>5.81</v>
      </c>
      <c r="CL411" s="186" t="n">
        <v>0</v>
      </c>
    </row>
    <row r="412" customFormat="false" ht="12.75" hidden="false" customHeight="false" outlineLevel="0" collapsed="false">
      <c r="A412" s="184" t="s">
        <v>623</v>
      </c>
      <c r="B412" s="0" t="s">
        <v>669</v>
      </c>
      <c r="C412" s="0" t="s">
        <v>759</v>
      </c>
      <c r="D412" s="0" t="s">
        <v>762</v>
      </c>
      <c r="E412" s="119" t="n">
        <v>51</v>
      </c>
      <c r="F412" s="119" t="n">
        <v>5</v>
      </c>
      <c r="I412" s="118" t="n">
        <v>9</v>
      </c>
      <c r="K412" s="118" t="n">
        <v>9</v>
      </c>
      <c r="M412" s="186" t="n">
        <v>3.11</v>
      </c>
      <c r="S412" s="192" t="n">
        <v>1307</v>
      </c>
      <c r="U412" s="186" t="n">
        <v>10.8</v>
      </c>
      <c r="Y412" s="186" t="n">
        <v>658</v>
      </c>
      <c r="AA412" s="192" t="n">
        <v>101440</v>
      </c>
      <c r="AC412" s="186" t="n">
        <v>29.7</v>
      </c>
      <c r="AG412" s="186" t="n">
        <v>2.93</v>
      </c>
      <c r="AM412" s="192" t="n">
        <v>73</v>
      </c>
      <c r="BS412" s="193" t="n">
        <v>43.96</v>
      </c>
      <c r="BU412" s="186" t="n">
        <v>22.12</v>
      </c>
      <c r="BY412" s="186" t="n">
        <v>6</v>
      </c>
      <c r="CL412" s="186" t="n">
        <v>0</v>
      </c>
    </row>
    <row r="413" customFormat="false" ht="12.75" hidden="false" customHeight="false" outlineLevel="0" collapsed="false">
      <c r="A413" s="184" t="s">
        <v>623</v>
      </c>
      <c r="B413" s="0" t="s">
        <v>669</v>
      </c>
      <c r="C413" s="0" t="s">
        <v>763</v>
      </c>
      <c r="D413" s="0" t="s">
        <v>766</v>
      </c>
      <c r="E413" s="119" t="n">
        <v>5</v>
      </c>
      <c r="F413" s="119" t="n">
        <v>10</v>
      </c>
      <c r="I413" s="118" t="n">
        <v>9</v>
      </c>
      <c r="K413" s="118" t="n">
        <v>7</v>
      </c>
      <c r="M413" s="186" t="n">
        <v>3.4</v>
      </c>
      <c r="S413" s="192" t="n">
        <v>1408</v>
      </c>
      <c r="U413" s="186" t="n">
        <v>10.8</v>
      </c>
      <c r="Y413" s="186" t="n">
        <v>709</v>
      </c>
      <c r="AA413" s="192" t="n">
        <v>111869</v>
      </c>
      <c r="AC413" s="186" t="n">
        <v>32.2</v>
      </c>
      <c r="AG413" s="186" t="n">
        <v>2.88</v>
      </c>
      <c r="AM413" s="192" t="n">
        <v>73</v>
      </c>
      <c r="BS413" s="193" t="n">
        <v>43.71</v>
      </c>
      <c r="BU413" s="186" t="n">
        <v>22.01</v>
      </c>
      <c r="BY413" s="186" t="n">
        <v>6.88</v>
      </c>
      <c r="CL413" s="186" t="n">
        <v>0</v>
      </c>
    </row>
    <row r="414" customFormat="false" ht="12.75" hidden="false" customHeight="false" outlineLevel="0" collapsed="false">
      <c r="A414" s="184" t="s">
        <v>625</v>
      </c>
      <c r="B414" s="0" t="s">
        <v>666</v>
      </c>
      <c r="C414" s="0" t="s">
        <v>759</v>
      </c>
      <c r="D414" s="0" t="s">
        <v>762</v>
      </c>
      <c r="E414" s="119" t="n">
        <v>52</v>
      </c>
      <c r="F414" s="119" t="n">
        <v>2</v>
      </c>
      <c r="I414" s="118" t="n">
        <v>9</v>
      </c>
      <c r="K414" s="118" t="n">
        <v>9</v>
      </c>
      <c r="M414" s="186" t="n">
        <v>2.04</v>
      </c>
      <c r="S414" s="192" t="n">
        <v>925</v>
      </c>
      <c r="U414" s="186" t="n">
        <v>10.8</v>
      </c>
      <c r="Y414" s="186" t="n">
        <v>388</v>
      </c>
      <c r="AA414" s="192" t="n">
        <v>61975</v>
      </c>
      <c r="AC414" s="186" t="n">
        <v>19.6</v>
      </c>
      <c r="AG414" s="186" t="n">
        <v>3.16</v>
      </c>
      <c r="AM414" s="192" t="n">
        <v>83</v>
      </c>
      <c r="BS414" s="193" t="n">
        <v>47.26</v>
      </c>
      <c r="BU414" s="186" t="n">
        <v>19.83</v>
      </c>
      <c r="BY414" s="186" t="n">
        <v>5.66</v>
      </c>
      <c r="CL414" s="186" t="n">
        <v>0</v>
      </c>
    </row>
    <row r="415" customFormat="false" ht="12.75" hidden="false" customHeight="false" outlineLevel="0" collapsed="false">
      <c r="A415" s="184" t="s">
        <v>625</v>
      </c>
      <c r="B415" s="0" t="s">
        <v>666</v>
      </c>
      <c r="C415" s="0" t="s">
        <v>763</v>
      </c>
      <c r="D415" s="0" t="s">
        <v>766</v>
      </c>
      <c r="E415" s="119" t="n">
        <v>16</v>
      </c>
      <c r="F415" s="119" t="n">
        <v>7</v>
      </c>
      <c r="I415" s="118" t="n">
        <v>9</v>
      </c>
      <c r="K415" s="118" t="n">
        <v>7</v>
      </c>
      <c r="M415" s="186" t="n">
        <v>3.25</v>
      </c>
      <c r="S415" s="192" t="n">
        <v>1467</v>
      </c>
      <c r="U415" s="186" t="n">
        <v>10.8</v>
      </c>
      <c r="Y415" s="186" t="n">
        <v>596</v>
      </c>
      <c r="AA415" s="192" t="n">
        <v>103163</v>
      </c>
      <c r="AC415" s="186" t="n">
        <v>31</v>
      </c>
      <c r="AG415" s="186" t="n">
        <v>3.01</v>
      </c>
      <c r="AM415" s="192" t="n">
        <v>83</v>
      </c>
      <c r="BS415" s="193" t="n">
        <v>47.29</v>
      </c>
      <c r="BU415" s="186" t="n">
        <v>19.19</v>
      </c>
      <c r="BY415" s="186" t="n">
        <v>6.17</v>
      </c>
      <c r="CL415" s="186" t="n">
        <v>0</v>
      </c>
    </row>
    <row r="416" customFormat="false" ht="12.75" hidden="false" customHeight="false" outlineLevel="0" collapsed="false">
      <c r="A416" s="184" t="s">
        <v>625</v>
      </c>
      <c r="B416" s="0" t="s">
        <v>669</v>
      </c>
      <c r="C416" s="0" t="s">
        <v>759</v>
      </c>
      <c r="D416" s="0" t="s">
        <v>762</v>
      </c>
      <c r="E416" s="119" t="n">
        <v>40</v>
      </c>
      <c r="F416" s="119" t="n">
        <v>6</v>
      </c>
      <c r="I416" s="118" t="n">
        <v>9</v>
      </c>
      <c r="K416" s="118" t="n">
        <v>9</v>
      </c>
      <c r="M416" s="186" t="n">
        <v>3.07</v>
      </c>
      <c r="S416" s="192" t="n">
        <v>1277</v>
      </c>
      <c r="U416" s="186" t="n">
        <v>10.8</v>
      </c>
      <c r="Y416" s="186" t="n">
        <v>693</v>
      </c>
      <c r="AA416" s="192" t="n">
        <v>102120</v>
      </c>
      <c r="AC416" s="186" t="n">
        <v>29.5</v>
      </c>
      <c r="AG416" s="186" t="n">
        <v>2.89</v>
      </c>
      <c r="AM416" s="192" t="n">
        <v>83</v>
      </c>
      <c r="BS416" s="193" t="n">
        <v>43.31</v>
      </c>
      <c r="BU416" s="186" t="n">
        <v>23.48</v>
      </c>
      <c r="BY416" s="186" t="n">
        <v>5.58</v>
      </c>
      <c r="CL416" s="186" t="n">
        <v>0</v>
      </c>
    </row>
    <row r="417" customFormat="false" ht="12.75" hidden="false" customHeight="false" outlineLevel="0" collapsed="false">
      <c r="A417" s="184" t="s">
        <v>625</v>
      </c>
      <c r="B417" s="0" t="s">
        <v>669</v>
      </c>
      <c r="C417" s="0" t="s">
        <v>763</v>
      </c>
      <c r="D417" s="0" t="s">
        <v>766</v>
      </c>
      <c r="E417" s="119" t="n">
        <v>3</v>
      </c>
      <c r="F417" s="119" t="n">
        <v>12</v>
      </c>
      <c r="I417" s="118" t="n">
        <v>9</v>
      </c>
      <c r="K417" s="118" t="n">
        <v>9</v>
      </c>
      <c r="M417" s="186" t="n">
        <v>3.13</v>
      </c>
      <c r="S417" s="192" t="n">
        <v>1289</v>
      </c>
      <c r="U417" s="186" t="n">
        <v>10.8</v>
      </c>
      <c r="Y417" s="186" t="n">
        <v>689</v>
      </c>
      <c r="AA417" s="192" t="n">
        <v>106597</v>
      </c>
      <c r="AC417" s="186" t="n">
        <v>29.7</v>
      </c>
      <c r="AG417" s="186" t="n">
        <v>2.78</v>
      </c>
      <c r="AM417" s="192" t="n">
        <v>83</v>
      </c>
      <c r="BS417" s="193" t="n">
        <v>43.46</v>
      </c>
      <c r="BU417" s="186" t="n">
        <v>23.22</v>
      </c>
      <c r="BY417" s="186" t="n">
        <v>6.85</v>
      </c>
      <c r="CL417" s="186" t="n">
        <v>0</v>
      </c>
    </row>
    <row r="418" customFormat="false" ht="12.75" hidden="false" customHeight="false" outlineLevel="0" collapsed="false">
      <c r="A418" s="184" t="s">
        <v>627</v>
      </c>
      <c r="B418" s="0" t="s">
        <v>666</v>
      </c>
      <c r="C418" s="0" t="s">
        <v>759</v>
      </c>
      <c r="D418" s="0" t="s">
        <v>762</v>
      </c>
      <c r="E418" s="119" t="n">
        <v>42</v>
      </c>
      <c r="F418" s="119" t="n">
        <v>3</v>
      </c>
      <c r="I418" s="118" t="n">
        <v>9</v>
      </c>
      <c r="K418" s="118" t="n">
        <v>7</v>
      </c>
      <c r="M418" s="186" t="n">
        <v>2.75</v>
      </c>
      <c r="S418" s="192" t="n">
        <v>1259</v>
      </c>
      <c r="U418" s="186" t="n">
        <v>10.8</v>
      </c>
      <c r="Y418" s="186" t="n">
        <v>508</v>
      </c>
      <c r="AA418" s="192" t="n">
        <v>84453</v>
      </c>
      <c r="AC418" s="186" t="n">
        <v>26.4</v>
      </c>
      <c r="AG418" s="186" t="n">
        <v>3.13</v>
      </c>
      <c r="AM418" s="192" t="n">
        <v>77</v>
      </c>
      <c r="BS418" s="193" t="n">
        <v>47.63</v>
      </c>
      <c r="BU418" s="186" t="n">
        <v>19.23</v>
      </c>
      <c r="BY418" s="186" t="n">
        <v>5.53</v>
      </c>
      <c r="CL418" s="186" t="n">
        <v>0</v>
      </c>
    </row>
    <row r="419" customFormat="false" ht="12.75" hidden="false" customHeight="false" outlineLevel="0" collapsed="false">
      <c r="A419" s="184" t="s">
        <v>627</v>
      </c>
      <c r="B419" s="0" t="s">
        <v>666</v>
      </c>
      <c r="C419" s="0" t="s">
        <v>763</v>
      </c>
      <c r="D419" s="0" t="s">
        <v>766</v>
      </c>
      <c r="E419" s="119" t="n">
        <v>9</v>
      </c>
      <c r="F419" s="119" t="n">
        <v>9</v>
      </c>
      <c r="I419" s="118" t="n">
        <v>9</v>
      </c>
      <c r="K419" s="118" t="n">
        <v>9</v>
      </c>
      <c r="M419" s="186" t="n">
        <v>3.83</v>
      </c>
      <c r="S419" s="192" t="n">
        <v>1752</v>
      </c>
      <c r="U419" s="186" t="n">
        <v>10.8</v>
      </c>
      <c r="Y419" s="186" t="n">
        <v>668</v>
      </c>
      <c r="AA419" s="192" t="n">
        <v>121468</v>
      </c>
      <c r="AC419" s="186" t="n">
        <v>36.6</v>
      </c>
      <c r="AG419" s="186" t="n">
        <v>3.02</v>
      </c>
      <c r="AM419" s="192" t="n">
        <v>73</v>
      </c>
      <c r="BS419" s="193" t="n">
        <v>47.83</v>
      </c>
      <c r="BU419" s="186" t="n">
        <v>18.24</v>
      </c>
      <c r="BY419" s="186" t="n">
        <v>6.01</v>
      </c>
      <c r="CL419" s="186" t="n">
        <v>0</v>
      </c>
    </row>
    <row r="420" customFormat="false" ht="12.75" hidden="false" customHeight="false" outlineLevel="0" collapsed="false">
      <c r="A420" s="184" t="s">
        <v>627</v>
      </c>
      <c r="B420" s="0" t="s">
        <v>669</v>
      </c>
      <c r="C420" s="0" t="s">
        <v>759</v>
      </c>
      <c r="D420" s="0" t="s">
        <v>762</v>
      </c>
      <c r="E420" s="119" t="n">
        <v>50</v>
      </c>
      <c r="F420" s="119" t="n">
        <v>4</v>
      </c>
      <c r="I420" s="118" t="n">
        <v>9</v>
      </c>
      <c r="K420" s="118" t="n">
        <v>7</v>
      </c>
      <c r="M420" s="186" t="n">
        <v>3.52</v>
      </c>
      <c r="S420" s="192" t="n">
        <v>1494</v>
      </c>
      <c r="U420" s="186" t="n">
        <v>10.8</v>
      </c>
      <c r="Y420" s="186" t="n">
        <v>748</v>
      </c>
      <c r="AA420" s="192" t="n">
        <v>111425</v>
      </c>
      <c r="AC420" s="186" t="n">
        <v>33.7</v>
      </c>
      <c r="AG420" s="186" t="n">
        <v>3.03</v>
      </c>
      <c r="AM420" s="192" t="n">
        <v>77</v>
      </c>
      <c r="BS420" s="193" t="n">
        <v>44.3</v>
      </c>
      <c r="BU420" s="186" t="n">
        <v>22.18</v>
      </c>
      <c r="BY420" s="186" t="n">
        <v>5.8</v>
      </c>
      <c r="CL420" s="186" t="n">
        <v>0</v>
      </c>
    </row>
    <row r="421" customFormat="false" ht="12.75" hidden="false" customHeight="false" outlineLevel="0" collapsed="false">
      <c r="A421" s="184" t="s">
        <v>627</v>
      </c>
      <c r="B421" s="0" t="s">
        <v>669</v>
      </c>
      <c r="C421" s="0" t="s">
        <v>763</v>
      </c>
      <c r="D421" s="0" t="s">
        <v>766</v>
      </c>
      <c r="E421" s="119" t="n">
        <v>12</v>
      </c>
      <c r="F421" s="119" t="n">
        <v>12</v>
      </c>
      <c r="I421" s="118" t="n">
        <v>9</v>
      </c>
      <c r="K421" s="118" t="n">
        <v>9</v>
      </c>
      <c r="M421" s="186" t="n">
        <v>3.29</v>
      </c>
      <c r="S421" s="192" t="n">
        <v>1393</v>
      </c>
      <c r="U421" s="186" t="n">
        <v>10.8</v>
      </c>
      <c r="Y421" s="186" t="n">
        <v>720</v>
      </c>
      <c r="AA421" s="192" t="n">
        <v>106185</v>
      </c>
      <c r="AC421" s="186" t="n">
        <v>31.4</v>
      </c>
      <c r="AG421" s="186" t="n">
        <v>2.96</v>
      </c>
      <c r="AM421" s="192" t="n">
        <v>73</v>
      </c>
      <c r="BS421" s="193" t="n">
        <v>44.38</v>
      </c>
      <c r="BU421" s="186" t="n">
        <v>22.93</v>
      </c>
      <c r="BY421" s="186" t="n">
        <v>6.25</v>
      </c>
      <c r="CL421" s="186" t="n">
        <v>0</v>
      </c>
    </row>
    <row r="422" customFormat="false" ht="12.75" hidden="false" customHeight="false" outlineLevel="0" collapsed="false">
      <c r="A422" s="184" t="s">
        <v>629</v>
      </c>
      <c r="B422" s="0" t="s">
        <v>666</v>
      </c>
      <c r="C422" s="0" t="s">
        <v>759</v>
      </c>
      <c r="D422" s="0" t="s">
        <v>762</v>
      </c>
      <c r="E422" s="119" t="n">
        <v>49</v>
      </c>
      <c r="F422" s="119" t="n">
        <v>3</v>
      </c>
      <c r="I422" s="118" t="n">
        <v>9</v>
      </c>
      <c r="K422" s="118" t="n">
        <v>7</v>
      </c>
      <c r="M422" s="186" t="n">
        <v>2.76</v>
      </c>
      <c r="S422" s="192" t="n">
        <v>1202</v>
      </c>
      <c r="U422" s="186" t="n">
        <v>10.8</v>
      </c>
      <c r="Y422" s="186" t="n">
        <v>564</v>
      </c>
      <c r="AA422" s="192" t="n">
        <v>95974</v>
      </c>
      <c r="AC422" s="186" t="n">
        <v>26.4</v>
      </c>
      <c r="AG422" s="186" t="n">
        <v>2.76</v>
      </c>
      <c r="AM422" s="192" t="n">
        <v>77</v>
      </c>
      <c r="BS422" s="193" t="n">
        <v>45.46</v>
      </c>
      <c r="BU422" s="186" t="n">
        <v>21.33</v>
      </c>
      <c r="BY422" s="186" t="n">
        <v>5.82</v>
      </c>
      <c r="CL422" s="186" t="n">
        <v>0</v>
      </c>
    </row>
    <row r="423" customFormat="false" ht="12.75" hidden="false" customHeight="false" outlineLevel="0" collapsed="false">
      <c r="A423" s="184" t="s">
        <v>629</v>
      </c>
      <c r="B423" s="0" t="s">
        <v>666</v>
      </c>
      <c r="C423" s="0" t="s">
        <v>763</v>
      </c>
      <c r="D423" s="0" t="s">
        <v>766</v>
      </c>
      <c r="E423" s="119" t="n">
        <v>11</v>
      </c>
      <c r="F423" s="119" t="n">
        <v>9</v>
      </c>
      <c r="I423" s="118" t="n">
        <v>9</v>
      </c>
      <c r="K423" s="118" t="n">
        <v>9</v>
      </c>
      <c r="M423" s="186" t="n">
        <v>3.76</v>
      </c>
      <c r="S423" s="192" t="n">
        <v>1610</v>
      </c>
      <c r="U423" s="186" t="n">
        <v>10.8</v>
      </c>
      <c r="Y423" s="186" t="n">
        <v>769</v>
      </c>
      <c r="AA423" s="192" t="n">
        <v>128959</v>
      </c>
      <c r="AC423" s="186" t="n">
        <v>36</v>
      </c>
      <c r="AG423" s="186" t="n">
        <v>2.79</v>
      </c>
      <c r="AM423" s="192" t="n">
        <v>77</v>
      </c>
      <c r="BS423" s="193" t="n">
        <v>44.76</v>
      </c>
      <c r="BU423" s="186" t="n">
        <v>21.37</v>
      </c>
      <c r="BY423" s="186" t="n">
        <v>5.96</v>
      </c>
      <c r="CL423" s="186" t="n">
        <v>0</v>
      </c>
    </row>
    <row r="424" customFormat="false" ht="12.75" hidden="false" customHeight="false" outlineLevel="0" collapsed="false">
      <c r="A424" s="184" t="s">
        <v>629</v>
      </c>
      <c r="B424" s="0" t="s">
        <v>669</v>
      </c>
      <c r="C424" s="0" t="s">
        <v>759</v>
      </c>
      <c r="D424" s="0" t="s">
        <v>762</v>
      </c>
      <c r="E424" s="119" t="n">
        <v>46</v>
      </c>
      <c r="F424" s="119" t="n">
        <v>4</v>
      </c>
      <c r="I424" s="118" t="n">
        <v>9</v>
      </c>
      <c r="K424" s="118" t="n">
        <v>7</v>
      </c>
      <c r="M424" s="186" t="n">
        <v>3.09</v>
      </c>
      <c r="S424" s="192" t="n">
        <v>1336</v>
      </c>
      <c r="U424" s="186" t="n">
        <v>10.8</v>
      </c>
      <c r="Y424" s="186" t="n">
        <v>670</v>
      </c>
      <c r="AA424" s="192" t="n">
        <v>112107</v>
      </c>
      <c r="AC424" s="186" t="n">
        <v>29.6</v>
      </c>
      <c r="AG424" s="186" t="n">
        <v>2.64</v>
      </c>
      <c r="AM424" s="192" t="n">
        <v>80</v>
      </c>
      <c r="BS424" s="193" t="n">
        <v>45.05</v>
      </c>
      <c r="BU424" s="186" t="n">
        <v>22.59</v>
      </c>
      <c r="BY424" s="186" t="n">
        <v>5.71</v>
      </c>
      <c r="CL424" s="186" t="n">
        <v>0</v>
      </c>
    </row>
    <row r="425" customFormat="false" ht="12.75" hidden="false" customHeight="false" outlineLevel="0" collapsed="false">
      <c r="A425" s="184" t="s">
        <v>629</v>
      </c>
      <c r="B425" s="0" t="s">
        <v>669</v>
      </c>
      <c r="C425" s="0" t="s">
        <v>763</v>
      </c>
      <c r="D425" s="0" t="s">
        <v>766</v>
      </c>
      <c r="E425" s="119" t="n">
        <v>18</v>
      </c>
      <c r="F425" s="119" t="n">
        <v>12</v>
      </c>
      <c r="I425" s="118" t="n">
        <v>9</v>
      </c>
      <c r="K425" s="118" t="n">
        <v>9</v>
      </c>
      <c r="M425" s="186" t="n">
        <v>3.37</v>
      </c>
      <c r="S425" s="192" t="n">
        <v>1342</v>
      </c>
      <c r="U425" s="186" t="n">
        <v>10.8</v>
      </c>
      <c r="Y425" s="186" t="n">
        <v>816</v>
      </c>
      <c r="AA425" s="192" t="n">
        <v>127852</v>
      </c>
      <c r="AC425" s="186" t="n">
        <v>32.2</v>
      </c>
      <c r="AG425" s="186" t="n">
        <v>2.51</v>
      </c>
      <c r="AM425" s="192" t="n">
        <v>77</v>
      </c>
      <c r="BS425" s="193" t="n">
        <v>41.75</v>
      </c>
      <c r="BU425" s="186" t="n">
        <v>25.38</v>
      </c>
      <c r="BY425" s="186" t="n">
        <v>6.23</v>
      </c>
      <c r="CL425" s="186" t="n">
        <v>0</v>
      </c>
    </row>
    <row r="426" customFormat="false" ht="12.75" hidden="false" customHeight="false" outlineLevel="0" collapsed="false">
      <c r="A426" s="184" t="s">
        <v>631</v>
      </c>
      <c r="B426" s="0" t="s">
        <v>666</v>
      </c>
      <c r="C426" s="0" t="s">
        <v>759</v>
      </c>
      <c r="D426" s="0" t="s">
        <v>762</v>
      </c>
      <c r="E426" s="119" t="n">
        <v>49</v>
      </c>
      <c r="F426" s="119" t="n">
        <v>2</v>
      </c>
      <c r="I426" s="118" t="n">
        <v>9</v>
      </c>
      <c r="K426" s="118" t="n">
        <v>9</v>
      </c>
      <c r="M426" s="186" t="n">
        <v>2.34</v>
      </c>
      <c r="S426" s="192" t="n">
        <v>1047</v>
      </c>
      <c r="U426" s="186" t="n">
        <v>10.8</v>
      </c>
      <c r="Y426" s="186" t="n">
        <v>462</v>
      </c>
      <c r="AA426" s="192" t="n">
        <v>76946</v>
      </c>
      <c r="AC426" s="186" t="n">
        <v>22.4</v>
      </c>
      <c r="AG426" s="186" t="n">
        <v>2.92</v>
      </c>
      <c r="AM426" s="192" t="n">
        <v>80</v>
      </c>
      <c r="BS426" s="193" t="n">
        <v>46.64</v>
      </c>
      <c r="BU426" s="186" t="n">
        <v>20.57</v>
      </c>
      <c r="BY426" s="186" t="n">
        <v>5.75</v>
      </c>
      <c r="CL426" s="186" t="n">
        <v>0</v>
      </c>
    </row>
    <row r="427" customFormat="false" ht="12.75" hidden="false" customHeight="false" outlineLevel="0" collapsed="false">
      <c r="A427" s="184" t="s">
        <v>631</v>
      </c>
      <c r="B427" s="0" t="s">
        <v>666</v>
      </c>
      <c r="C427" s="0" t="s">
        <v>763</v>
      </c>
      <c r="D427" s="0" t="s">
        <v>766</v>
      </c>
      <c r="E427" s="119" t="n">
        <v>14</v>
      </c>
      <c r="F427" s="119" t="n">
        <v>9</v>
      </c>
      <c r="I427" s="118" t="n">
        <v>9</v>
      </c>
      <c r="K427" s="118" t="n">
        <v>9</v>
      </c>
      <c r="M427" s="186" t="n">
        <v>2.59</v>
      </c>
      <c r="S427" s="192" t="n">
        <v>1201</v>
      </c>
      <c r="U427" s="186" t="n">
        <v>10.8</v>
      </c>
      <c r="Y427" s="186" t="n">
        <v>452</v>
      </c>
      <c r="AA427" s="192" t="n">
        <v>80190</v>
      </c>
      <c r="AC427" s="186" t="n">
        <v>24.7</v>
      </c>
      <c r="AG427" s="186" t="n">
        <v>3.08</v>
      </c>
      <c r="AM427" s="192" t="n">
        <v>77</v>
      </c>
      <c r="BS427" s="193" t="n">
        <v>48.61</v>
      </c>
      <c r="BU427" s="186" t="n">
        <v>18.29</v>
      </c>
      <c r="BY427" s="186" t="n">
        <v>6.25</v>
      </c>
      <c r="CL427" s="186" t="n">
        <v>0</v>
      </c>
    </row>
    <row r="428" customFormat="false" ht="12.75" hidden="false" customHeight="false" outlineLevel="0" collapsed="false">
      <c r="A428" s="184" t="s">
        <v>631</v>
      </c>
      <c r="B428" s="0" t="s">
        <v>669</v>
      </c>
      <c r="C428" s="0" t="s">
        <v>759</v>
      </c>
      <c r="D428" s="0" t="s">
        <v>762</v>
      </c>
      <c r="E428" s="119" t="n">
        <v>46</v>
      </c>
      <c r="F428" s="119" t="n">
        <v>6</v>
      </c>
      <c r="I428" s="118" t="n">
        <v>9</v>
      </c>
      <c r="K428" s="118" t="n">
        <v>9</v>
      </c>
      <c r="M428" s="186" t="n">
        <v>3.06</v>
      </c>
      <c r="S428" s="192" t="n">
        <v>1286</v>
      </c>
      <c r="U428" s="186" t="n">
        <v>10.8</v>
      </c>
      <c r="Y428" s="186" t="n">
        <v>691</v>
      </c>
      <c r="AA428" s="192" t="n">
        <v>104362</v>
      </c>
      <c r="AC428" s="186" t="n">
        <v>29.3</v>
      </c>
      <c r="AG428" s="186" t="n">
        <v>2.81</v>
      </c>
      <c r="AM428" s="192" t="n">
        <v>77</v>
      </c>
      <c r="BS428" s="193" t="n">
        <v>43.84</v>
      </c>
      <c r="BU428" s="186" t="n">
        <v>23.53</v>
      </c>
      <c r="BY428" s="186" t="n">
        <v>5.76</v>
      </c>
      <c r="CL428" s="186" t="n">
        <v>0</v>
      </c>
    </row>
    <row r="429" customFormat="false" ht="12.75" hidden="false" customHeight="false" outlineLevel="0" collapsed="false">
      <c r="A429" s="184" t="s">
        <v>631</v>
      </c>
      <c r="B429" s="0" t="s">
        <v>669</v>
      </c>
      <c r="C429" s="0" t="s">
        <v>763</v>
      </c>
      <c r="D429" s="0" t="s">
        <v>766</v>
      </c>
      <c r="E429" s="119" t="n">
        <v>13</v>
      </c>
      <c r="F429" s="119" t="n">
        <v>12</v>
      </c>
      <c r="I429" s="118" t="n">
        <v>9</v>
      </c>
      <c r="K429" s="118" t="n">
        <v>9</v>
      </c>
      <c r="M429" s="186" t="n">
        <v>2.77</v>
      </c>
      <c r="S429" s="192" t="n">
        <v>1155</v>
      </c>
      <c r="U429" s="186" t="n">
        <v>10.8</v>
      </c>
      <c r="Y429" s="186" t="n">
        <v>602</v>
      </c>
      <c r="AA429" s="192" t="n">
        <v>92577</v>
      </c>
      <c r="AC429" s="186" t="n">
        <v>26.5</v>
      </c>
      <c r="AG429" s="186" t="n">
        <v>2.86</v>
      </c>
      <c r="AM429" s="192" t="n">
        <v>77</v>
      </c>
      <c r="BS429" s="193" t="n">
        <v>43.62</v>
      </c>
      <c r="BU429" s="186" t="n">
        <v>22.74</v>
      </c>
      <c r="BY429" s="186" t="n">
        <v>6.04</v>
      </c>
      <c r="CL429" s="186" t="n">
        <v>0</v>
      </c>
    </row>
    <row r="430" customFormat="false" ht="12.75" hidden="false" customHeight="false" outlineLevel="0" collapsed="false">
      <c r="A430" s="184" t="s">
        <v>633</v>
      </c>
      <c r="B430" s="0" t="s">
        <v>666</v>
      </c>
      <c r="C430" s="0" t="s">
        <v>759</v>
      </c>
      <c r="D430" s="0" t="s">
        <v>762</v>
      </c>
      <c r="E430" s="119" t="n">
        <v>44</v>
      </c>
      <c r="F430" s="119" t="n">
        <v>2</v>
      </c>
      <c r="I430" s="118" t="n">
        <v>9</v>
      </c>
      <c r="K430" s="118" t="n">
        <v>9</v>
      </c>
      <c r="M430" s="186" t="n">
        <v>2.27</v>
      </c>
      <c r="S430" s="192" t="n">
        <v>972</v>
      </c>
      <c r="U430" s="186" t="n">
        <v>10.8</v>
      </c>
      <c r="Y430" s="186" t="n">
        <v>434</v>
      </c>
      <c r="AA430" s="192" t="n">
        <v>70715</v>
      </c>
      <c r="AC430" s="186" t="n">
        <v>21.7</v>
      </c>
      <c r="AG430" s="186" t="n">
        <v>3.07</v>
      </c>
      <c r="AM430" s="192" t="n">
        <v>77</v>
      </c>
      <c r="BS430" s="193" t="n">
        <v>44.75</v>
      </c>
      <c r="BU430" s="186" t="n">
        <v>19.97</v>
      </c>
      <c r="BY430" s="186" t="n">
        <v>6</v>
      </c>
      <c r="CL430" s="186" t="n">
        <v>0</v>
      </c>
    </row>
    <row r="431" customFormat="false" ht="12.75" hidden="false" customHeight="false" outlineLevel="0" collapsed="false">
      <c r="A431" s="184" t="s">
        <v>633</v>
      </c>
      <c r="B431" s="0" t="s">
        <v>666</v>
      </c>
      <c r="C431" s="0" t="s">
        <v>763</v>
      </c>
      <c r="D431" s="0" t="s">
        <v>766</v>
      </c>
      <c r="E431" s="119" t="n">
        <v>2</v>
      </c>
      <c r="F431" s="119" t="n">
        <v>9</v>
      </c>
      <c r="I431" s="118" t="n">
        <v>9</v>
      </c>
      <c r="K431" s="118" t="n">
        <v>9</v>
      </c>
      <c r="M431" s="186" t="n">
        <v>3.34</v>
      </c>
      <c r="S431" s="192" t="n">
        <v>1351</v>
      </c>
      <c r="U431" s="186" t="n">
        <v>10.8</v>
      </c>
      <c r="Y431" s="186" t="n">
        <v>689</v>
      </c>
      <c r="AA431" s="192" t="n">
        <v>106021</v>
      </c>
      <c r="AC431" s="186" t="n">
        <v>31.4</v>
      </c>
      <c r="AG431" s="186" t="n">
        <v>2.97</v>
      </c>
      <c r="AM431" s="192" t="n">
        <v>77</v>
      </c>
      <c r="BS431" s="193" t="n">
        <v>42.99</v>
      </c>
      <c r="BU431" s="186" t="n">
        <v>21.91</v>
      </c>
      <c r="BY431" s="186" t="n">
        <v>7.5</v>
      </c>
      <c r="CL431" s="186" t="n">
        <v>0</v>
      </c>
    </row>
    <row r="432" customFormat="false" ht="12.75" hidden="false" customHeight="false" outlineLevel="0" collapsed="false">
      <c r="A432" s="184" t="s">
        <v>633</v>
      </c>
      <c r="B432" s="0" t="s">
        <v>669</v>
      </c>
      <c r="C432" s="0" t="s">
        <v>759</v>
      </c>
      <c r="D432" s="0" t="s">
        <v>762</v>
      </c>
      <c r="E432" s="119" t="n">
        <v>53</v>
      </c>
      <c r="F432" s="119" t="n">
        <v>6</v>
      </c>
      <c r="I432" s="118" t="n">
        <v>9</v>
      </c>
      <c r="K432" s="118" t="n">
        <v>9</v>
      </c>
      <c r="M432" s="186" t="n">
        <v>3.55</v>
      </c>
      <c r="S432" s="192" t="n">
        <v>1455</v>
      </c>
      <c r="U432" s="186" t="n">
        <v>10.8</v>
      </c>
      <c r="Y432" s="186" t="n">
        <v>766</v>
      </c>
      <c r="AA432" s="192" t="n">
        <v>113502</v>
      </c>
      <c r="AC432" s="186" t="n">
        <v>33.9</v>
      </c>
      <c r="AG432" s="186" t="n">
        <v>2.99</v>
      </c>
      <c r="AM432" s="192" t="n">
        <v>77</v>
      </c>
      <c r="BS432" s="193" t="n">
        <v>42.87</v>
      </c>
      <c r="BU432" s="186" t="n">
        <v>22.58</v>
      </c>
      <c r="BY432" s="186" t="n">
        <v>6.04</v>
      </c>
      <c r="CL432" s="186" t="n">
        <v>0</v>
      </c>
    </row>
    <row r="433" customFormat="false" ht="12.75" hidden="false" customHeight="false" outlineLevel="0" collapsed="false">
      <c r="A433" s="184" t="s">
        <v>633</v>
      </c>
      <c r="B433" s="0" t="s">
        <v>669</v>
      </c>
      <c r="C433" s="0" t="s">
        <v>763</v>
      </c>
      <c r="D433" s="0" t="s">
        <v>766</v>
      </c>
      <c r="E433" s="119" t="n">
        <v>3</v>
      </c>
      <c r="F433" s="119" t="n">
        <v>11</v>
      </c>
      <c r="I433" s="118" t="n">
        <v>9</v>
      </c>
      <c r="K433" s="118" t="n">
        <v>9</v>
      </c>
      <c r="M433" s="186" t="n">
        <v>2.9</v>
      </c>
      <c r="S433" s="192" t="n">
        <v>1180</v>
      </c>
      <c r="U433" s="186" t="n">
        <v>10.8</v>
      </c>
      <c r="Y433" s="186" t="n">
        <v>600</v>
      </c>
      <c r="AA433" s="192" t="n">
        <v>94584</v>
      </c>
      <c r="AC433" s="186" t="n">
        <v>27.5</v>
      </c>
      <c r="AG433" s="186" t="n">
        <v>2.91</v>
      </c>
      <c r="AM433" s="192" t="n">
        <v>73</v>
      </c>
      <c r="BS433" s="193" t="n">
        <v>42.94</v>
      </c>
      <c r="BU433" s="186" t="n">
        <v>21.83</v>
      </c>
      <c r="BY433" s="186" t="n">
        <v>6.87</v>
      </c>
      <c r="CL433" s="186" t="n">
        <v>0</v>
      </c>
    </row>
    <row r="434" customFormat="false" ht="12.75" hidden="false" customHeight="false" outlineLevel="0" collapsed="false">
      <c r="A434" s="184" t="s">
        <v>635</v>
      </c>
      <c r="B434" s="0" t="s">
        <v>666</v>
      </c>
      <c r="C434" s="0" t="s">
        <v>759</v>
      </c>
      <c r="D434" s="0" t="s">
        <v>762</v>
      </c>
      <c r="E434" s="119" t="n">
        <v>55</v>
      </c>
      <c r="F434" s="119" t="n">
        <v>1</v>
      </c>
      <c r="I434" s="118" t="n">
        <v>9</v>
      </c>
      <c r="K434" s="118" t="n">
        <v>9</v>
      </c>
      <c r="M434" s="186" t="n">
        <v>3.46</v>
      </c>
      <c r="S434" s="192" t="n">
        <v>1459</v>
      </c>
      <c r="U434" s="186" t="n">
        <v>10.8</v>
      </c>
      <c r="Y434" s="186" t="n">
        <v>733</v>
      </c>
      <c r="AA434" s="192" t="n">
        <v>107700</v>
      </c>
      <c r="AC434" s="186" t="n">
        <v>33.1</v>
      </c>
      <c r="AG434" s="186" t="n">
        <v>3.07</v>
      </c>
      <c r="AM434" s="192" t="n">
        <v>77</v>
      </c>
      <c r="BS434" s="193" t="n">
        <v>44.08</v>
      </c>
      <c r="BU434" s="186" t="n">
        <v>22.13</v>
      </c>
      <c r="BY434" s="186" t="n">
        <v>5.95</v>
      </c>
      <c r="CL434" s="186" t="n">
        <v>0</v>
      </c>
    </row>
    <row r="435" customFormat="false" ht="12.75" hidden="false" customHeight="false" outlineLevel="0" collapsed="false">
      <c r="A435" s="184" t="s">
        <v>635</v>
      </c>
      <c r="B435" s="0" t="s">
        <v>666</v>
      </c>
      <c r="C435" s="0" t="s">
        <v>763</v>
      </c>
      <c r="D435" s="0" t="s">
        <v>766</v>
      </c>
      <c r="E435" s="119" t="n">
        <v>14</v>
      </c>
      <c r="F435" s="119" t="n">
        <v>7</v>
      </c>
      <c r="I435" s="118" t="n">
        <v>9</v>
      </c>
      <c r="K435" s="118" t="n">
        <v>7</v>
      </c>
      <c r="M435" s="186" t="n">
        <v>3.39</v>
      </c>
      <c r="S435" s="192" t="n">
        <v>1519</v>
      </c>
      <c r="U435" s="186" t="n">
        <v>10.8</v>
      </c>
      <c r="Y435" s="186" t="n">
        <v>631</v>
      </c>
      <c r="AA435" s="192" t="n">
        <v>99103</v>
      </c>
      <c r="AC435" s="186" t="n">
        <v>32.4</v>
      </c>
      <c r="AG435" s="186" t="n">
        <v>3.27</v>
      </c>
      <c r="AM435" s="192" t="n">
        <v>73</v>
      </c>
      <c r="BS435" s="193" t="n">
        <v>46.94</v>
      </c>
      <c r="BU435" s="186" t="n">
        <v>19.49</v>
      </c>
      <c r="BY435" s="186" t="n">
        <v>6.16</v>
      </c>
      <c r="CL435" s="186" t="n">
        <v>0</v>
      </c>
    </row>
    <row r="436" customFormat="false" ht="12.75" hidden="false" customHeight="false" outlineLevel="0" collapsed="false">
      <c r="A436" s="184" t="s">
        <v>635</v>
      </c>
      <c r="B436" s="0" t="s">
        <v>669</v>
      </c>
      <c r="C436" s="0" t="s">
        <v>759</v>
      </c>
      <c r="D436" s="0" t="s">
        <v>762</v>
      </c>
      <c r="E436" s="119" t="n">
        <v>38</v>
      </c>
      <c r="F436" s="119" t="n">
        <v>5</v>
      </c>
      <c r="I436" s="118" t="n">
        <v>9</v>
      </c>
      <c r="K436" s="118" t="n">
        <v>7</v>
      </c>
      <c r="M436" s="186" t="n">
        <v>3.21</v>
      </c>
      <c r="S436" s="192" t="n">
        <v>1343</v>
      </c>
      <c r="U436" s="186" t="n">
        <v>10.8</v>
      </c>
      <c r="Y436" s="186" t="n">
        <v>763</v>
      </c>
      <c r="AA436" s="192" t="n">
        <v>100715</v>
      </c>
      <c r="AC436" s="186" t="n">
        <v>31.6</v>
      </c>
      <c r="AG436" s="186" t="n">
        <v>3.14</v>
      </c>
      <c r="AM436" s="192" t="n">
        <v>73</v>
      </c>
      <c r="BS436" s="193" t="n">
        <v>42.5</v>
      </c>
      <c r="BU436" s="186" t="n">
        <v>24.15</v>
      </c>
      <c r="BY436" s="186" t="n">
        <v>3.26</v>
      </c>
      <c r="CL436" s="186" t="n">
        <v>0</v>
      </c>
    </row>
    <row r="437" customFormat="false" ht="12.75" hidden="false" customHeight="false" outlineLevel="0" collapsed="false">
      <c r="A437" s="184" t="s">
        <v>635</v>
      </c>
      <c r="B437" s="0" t="s">
        <v>669</v>
      </c>
      <c r="C437" s="0" t="s">
        <v>763</v>
      </c>
      <c r="D437" s="0" t="s">
        <v>766</v>
      </c>
      <c r="E437" s="119" t="n">
        <v>2</v>
      </c>
      <c r="F437" s="119" t="n">
        <v>12</v>
      </c>
      <c r="I437" s="118" t="n">
        <v>9</v>
      </c>
      <c r="K437" s="118" t="n">
        <v>9</v>
      </c>
      <c r="M437" s="186" t="n">
        <v>2.88</v>
      </c>
      <c r="S437" s="192" t="n">
        <v>1130</v>
      </c>
      <c r="U437" s="186" t="n">
        <v>10.8</v>
      </c>
      <c r="Y437" s="186" t="n">
        <v>678</v>
      </c>
      <c r="AA437" s="192" t="n">
        <v>96775</v>
      </c>
      <c r="AC437" s="186" t="n">
        <v>27.2</v>
      </c>
      <c r="AG437" s="186" t="n">
        <v>2.81</v>
      </c>
      <c r="AM437" s="192" t="n">
        <v>73</v>
      </c>
      <c r="BS437" s="193" t="n">
        <v>41.48</v>
      </c>
      <c r="BU437" s="186" t="n">
        <v>24.89</v>
      </c>
      <c r="BY437" s="186" t="n">
        <v>7.07</v>
      </c>
      <c r="CL437" s="186" t="n">
        <v>0</v>
      </c>
    </row>
    <row r="438" customFormat="false" ht="12.75" hidden="false" customHeight="false" outlineLevel="0" collapsed="false">
      <c r="A438" s="184" t="s">
        <v>637</v>
      </c>
      <c r="B438" s="0" t="s">
        <v>666</v>
      </c>
      <c r="C438" s="0" t="s">
        <v>759</v>
      </c>
      <c r="D438" s="0" t="s">
        <v>762</v>
      </c>
      <c r="E438" s="119" t="n">
        <v>53</v>
      </c>
      <c r="F438" s="119" t="n">
        <v>3</v>
      </c>
      <c r="I438" s="118" t="n">
        <v>9</v>
      </c>
      <c r="K438" s="118" t="n">
        <v>7</v>
      </c>
      <c r="M438" s="186" t="n">
        <v>2.29</v>
      </c>
      <c r="S438" s="192" t="n">
        <v>1003</v>
      </c>
      <c r="U438" s="186" t="n">
        <v>10.8</v>
      </c>
      <c r="Y438" s="186" t="n">
        <v>458</v>
      </c>
      <c r="AA438" s="192" t="n">
        <v>85778</v>
      </c>
      <c r="AC438" s="186" t="n">
        <v>21.9</v>
      </c>
      <c r="AG438" s="186" t="n">
        <v>2.55</v>
      </c>
      <c r="AM438" s="192" t="n">
        <v>83</v>
      </c>
      <c r="BS438" s="193" t="n">
        <v>45.78</v>
      </c>
      <c r="BU438" s="186" t="n">
        <v>20.93</v>
      </c>
      <c r="BY438" s="186" t="n">
        <v>6</v>
      </c>
      <c r="CL438" s="186" t="n">
        <v>0</v>
      </c>
    </row>
    <row r="439" customFormat="false" ht="12.75" hidden="false" customHeight="false" outlineLevel="0" collapsed="false">
      <c r="A439" s="184" t="s">
        <v>637</v>
      </c>
      <c r="B439" s="0" t="s">
        <v>666</v>
      </c>
      <c r="C439" s="0" t="s">
        <v>763</v>
      </c>
      <c r="D439" s="0" t="s">
        <v>766</v>
      </c>
      <c r="E439" s="119" t="n">
        <v>7</v>
      </c>
      <c r="F439" s="119" t="n">
        <v>7</v>
      </c>
      <c r="I439" s="118" t="n">
        <v>9</v>
      </c>
      <c r="K439" s="118" t="n">
        <v>7</v>
      </c>
      <c r="M439" s="186" t="n">
        <v>2.26</v>
      </c>
      <c r="S439" s="192" t="n">
        <v>1040</v>
      </c>
      <c r="U439" s="186" t="n">
        <v>10.8</v>
      </c>
      <c r="Y439" s="186" t="n">
        <v>390</v>
      </c>
      <c r="AA439" s="192" t="n">
        <v>86454</v>
      </c>
      <c r="AC439" s="186" t="n">
        <v>21.6</v>
      </c>
      <c r="AG439" s="186" t="n">
        <v>2.49</v>
      </c>
      <c r="AM439" s="192" t="n">
        <v>83</v>
      </c>
      <c r="BS439" s="193" t="n">
        <v>48.25</v>
      </c>
      <c r="BU439" s="186" t="n">
        <v>18.11</v>
      </c>
      <c r="BY439" s="186" t="n">
        <v>6.26</v>
      </c>
      <c r="CL439" s="186" t="n">
        <v>0</v>
      </c>
    </row>
    <row r="440" customFormat="false" ht="12.75" hidden="false" customHeight="false" outlineLevel="0" collapsed="false">
      <c r="A440" s="184" t="s">
        <v>637</v>
      </c>
      <c r="B440" s="0" t="s">
        <v>669</v>
      </c>
      <c r="C440" s="0" t="s">
        <v>759</v>
      </c>
      <c r="D440" s="0" t="s">
        <v>762</v>
      </c>
      <c r="E440" s="119" t="n">
        <v>42</v>
      </c>
      <c r="F440" s="119" t="n">
        <v>4</v>
      </c>
      <c r="I440" s="118" t="n">
        <v>9</v>
      </c>
      <c r="K440" s="118" t="n">
        <v>7</v>
      </c>
      <c r="M440" s="186" t="n">
        <v>2.43</v>
      </c>
      <c r="S440" s="192" t="n">
        <v>1035</v>
      </c>
      <c r="U440" s="186" t="n">
        <v>10.8</v>
      </c>
      <c r="Y440" s="186" t="n">
        <v>514</v>
      </c>
      <c r="AA440" s="192" t="n">
        <v>92838</v>
      </c>
      <c r="AC440" s="186" t="n">
        <v>23.3</v>
      </c>
      <c r="AG440" s="186" t="n">
        <v>2.51</v>
      </c>
      <c r="AM440" s="192" t="n">
        <v>83</v>
      </c>
      <c r="BS440" s="193" t="n">
        <v>44.46</v>
      </c>
      <c r="BU440" s="186" t="n">
        <v>22.07</v>
      </c>
      <c r="BY440" s="186" t="n">
        <v>5.88</v>
      </c>
      <c r="CL440" s="186" t="n">
        <v>0</v>
      </c>
    </row>
    <row r="441" customFormat="false" ht="12.75" hidden="false" customHeight="false" outlineLevel="0" collapsed="false">
      <c r="A441" s="184" t="s">
        <v>637</v>
      </c>
      <c r="B441" s="0" t="s">
        <v>669</v>
      </c>
      <c r="C441" s="0" t="s">
        <v>763</v>
      </c>
      <c r="D441" s="0" t="s">
        <v>766</v>
      </c>
      <c r="E441" s="119" t="n">
        <v>6</v>
      </c>
      <c r="F441" s="119" t="n">
        <v>10</v>
      </c>
      <c r="I441" s="118" t="n">
        <v>9</v>
      </c>
      <c r="K441" s="118" t="n">
        <v>7</v>
      </c>
      <c r="M441" s="186" t="n">
        <v>3.01</v>
      </c>
      <c r="S441" s="192" t="n">
        <v>1246</v>
      </c>
      <c r="U441" s="186" t="n">
        <v>10.8</v>
      </c>
      <c r="Y441" s="186" t="n">
        <v>637</v>
      </c>
      <c r="AA441" s="192" t="n">
        <v>122075</v>
      </c>
      <c r="AC441" s="186" t="n">
        <v>28.6</v>
      </c>
      <c r="AG441" s="186" t="n">
        <v>2.34</v>
      </c>
      <c r="AM441" s="192" t="n">
        <v>87</v>
      </c>
      <c r="BS441" s="193" t="n">
        <v>43.56</v>
      </c>
      <c r="BU441" s="186" t="n">
        <v>22.26</v>
      </c>
      <c r="BY441" s="186" t="n">
        <v>6.59</v>
      </c>
      <c r="CL441" s="186" t="n">
        <v>0</v>
      </c>
    </row>
    <row r="442" customFormat="false" ht="12.75" hidden="false" customHeight="false" outlineLevel="0" collapsed="false">
      <c r="A442" s="184" t="s">
        <v>639</v>
      </c>
      <c r="B442" s="0" t="s">
        <v>666</v>
      </c>
      <c r="C442" s="0" t="s">
        <v>759</v>
      </c>
      <c r="D442" s="0" t="s">
        <v>762</v>
      </c>
      <c r="E442" s="119" t="n">
        <v>47</v>
      </c>
      <c r="F442" s="119" t="n">
        <v>1</v>
      </c>
      <c r="I442" s="118" t="n">
        <v>9</v>
      </c>
      <c r="K442" s="118" t="n">
        <v>9</v>
      </c>
      <c r="M442" s="186" t="n">
        <v>3.38</v>
      </c>
      <c r="S442" s="192" t="n">
        <v>1410</v>
      </c>
      <c r="U442" s="186" t="n">
        <v>10.8</v>
      </c>
      <c r="Y442" s="186" t="n">
        <v>680</v>
      </c>
      <c r="AA442" s="192" t="n">
        <v>110606</v>
      </c>
      <c r="AC442" s="186" t="n">
        <v>32.4</v>
      </c>
      <c r="AG442" s="186" t="n">
        <v>2.93</v>
      </c>
      <c r="AM442" s="192" t="n">
        <v>73</v>
      </c>
      <c r="BS442" s="193" t="n">
        <v>43.6</v>
      </c>
      <c r="BU442" s="186" t="n">
        <v>21.02</v>
      </c>
      <c r="BY442" s="186" t="n">
        <v>5.93</v>
      </c>
      <c r="CL442" s="186" t="n">
        <v>0</v>
      </c>
    </row>
    <row r="443" customFormat="false" ht="12.75" hidden="false" customHeight="false" outlineLevel="0" collapsed="false">
      <c r="A443" s="184" t="s">
        <v>639</v>
      </c>
      <c r="B443" s="0" t="s">
        <v>666</v>
      </c>
      <c r="C443" s="0" t="s">
        <v>763</v>
      </c>
      <c r="D443" s="0" t="s">
        <v>766</v>
      </c>
      <c r="S443" s="192" t="s">
        <v>768</v>
      </c>
      <c r="U443" s="186" t="n">
        <v>10.8</v>
      </c>
      <c r="Y443" s="186" t="s">
        <v>768</v>
      </c>
      <c r="AA443" s="192" t="s">
        <v>768</v>
      </c>
      <c r="AC443" s="186" t="s">
        <v>768</v>
      </c>
      <c r="AG443" s="186" t="n">
        <v>3.05</v>
      </c>
      <c r="AM443" s="192" t="s">
        <v>768</v>
      </c>
      <c r="BS443" s="193" t="n">
        <v>47.22</v>
      </c>
      <c r="BU443" s="186" t="n">
        <v>17.89</v>
      </c>
      <c r="CL443" s="186" t="n">
        <v>0</v>
      </c>
    </row>
    <row r="444" customFormat="false" ht="12.75" hidden="false" customHeight="false" outlineLevel="0" collapsed="false">
      <c r="A444" s="184" t="s">
        <v>639</v>
      </c>
      <c r="B444" s="0" t="s">
        <v>669</v>
      </c>
      <c r="C444" s="0" t="s">
        <v>759</v>
      </c>
      <c r="D444" s="0" t="s">
        <v>762</v>
      </c>
      <c r="E444" s="119" t="n">
        <v>46</v>
      </c>
      <c r="F444" s="119" t="n">
        <v>5</v>
      </c>
      <c r="I444" s="118" t="n">
        <v>9</v>
      </c>
      <c r="K444" s="118" t="n">
        <v>9</v>
      </c>
      <c r="M444" s="186" t="n">
        <v>3.49</v>
      </c>
      <c r="S444" s="192" t="n">
        <v>1417</v>
      </c>
      <c r="U444" s="186" t="n">
        <v>10.8</v>
      </c>
      <c r="Y444" s="186" t="n">
        <v>780</v>
      </c>
      <c r="AA444" s="192" t="n">
        <v>114644</v>
      </c>
      <c r="AC444" s="186" t="n">
        <v>33.4</v>
      </c>
      <c r="AG444" s="186" t="n">
        <v>2.92</v>
      </c>
      <c r="AM444" s="192" t="n">
        <v>73</v>
      </c>
      <c r="BS444" s="193" t="n">
        <v>42.39</v>
      </c>
      <c r="BU444" s="186" t="n">
        <v>23.35</v>
      </c>
      <c r="BY444" s="186" t="n">
        <v>5.88</v>
      </c>
      <c r="CL444" s="186" t="n">
        <v>0</v>
      </c>
    </row>
    <row r="445" customFormat="false" ht="12.75" hidden="false" customHeight="false" outlineLevel="0" collapsed="false">
      <c r="A445" s="184" t="s">
        <v>639</v>
      </c>
      <c r="B445" s="0" t="s">
        <v>669</v>
      </c>
      <c r="C445" s="0" t="s">
        <v>763</v>
      </c>
      <c r="D445" s="0" t="s">
        <v>766</v>
      </c>
      <c r="E445" s="119" t="n">
        <v>6</v>
      </c>
      <c r="F445" s="119" t="n">
        <v>12</v>
      </c>
      <c r="I445" s="118" t="n">
        <v>9</v>
      </c>
      <c r="K445" s="118" t="n">
        <v>9</v>
      </c>
      <c r="M445" s="186" t="n">
        <v>2.82</v>
      </c>
      <c r="S445" s="192" t="n">
        <v>1142</v>
      </c>
      <c r="U445" s="186" t="n">
        <v>10.8</v>
      </c>
      <c r="Y445" s="186" t="n">
        <v>622</v>
      </c>
      <c r="AA445" s="192" t="n">
        <v>92824</v>
      </c>
      <c r="AC445" s="186" t="n">
        <v>26.8</v>
      </c>
      <c r="AG445" s="186" t="n">
        <v>2.89</v>
      </c>
      <c r="AM445" s="192" t="n">
        <v>73</v>
      </c>
      <c r="BS445" s="193" t="n">
        <v>42.61</v>
      </c>
      <c r="BU445" s="186" t="n">
        <v>23.2</v>
      </c>
      <c r="BY445" s="186" t="n">
        <v>6.61</v>
      </c>
      <c r="CL445" s="186" t="n">
        <v>0</v>
      </c>
    </row>
    <row r="446" customFormat="false" ht="12.75" hidden="false" customHeight="false" outlineLevel="0" collapsed="false">
      <c r="A446" s="184" t="s">
        <v>641</v>
      </c>
      <c r="B446" s="0" t="s">
        <v>666</v>
      </c>
      <c r="C446" s="0" t="s">
        <v>759</v>
      </c>
      <c r="D446" s="0" t="s">
        <v>762</v>
      </c>
      <c r="E446" s="119" t="n">
        <v>41</v>
      </c>
      <c r="F446" s="119" t="n">
        <v>1</v>
      </c>
      <c r="I446" s="118" t="n">
        <v>9</v>
      </c>
      <c r="K446" s="118" t="n">
        <v>9</v>
      </c>
      <c r="M446" s="186" t="n">
        <v>3.15</v>
      </c>
      <c r="S446" s="192" t="n">
        <v>1360</v>
      </c>
      <c r="U446" s="186" t="n">
        <v>10.8</v>
      </c>
      <c r="Y446" s="186" t="n">
        <v>606</v>
      </c>
      <c r="AA446" s="192" t="n">
        <v>105867</v>
      </c>
      <c r="AC446" s="186" t="n">
        <v>30.1</v>
      </c>
      <c r="AG446" s="186" t="n">
        <v>2.85</v>
      </c>
      <c r="AM446" s="192" t="n">
        <v>77</v>
      </c>
      <c r="BS446" s="193" t="n">
        <v>45.13</v>
      </c>
      <c r="BU446" s="186" t="n">
        <v>20.11</v>
      </c>
      <c r="BY446" s="186" t="n">
        <v>5.97</v>
      </c>
      <c r="CL446" s="186" t="n">
        <v>0</v>
      </c>
    </row>
    <row r="447" customFormat="false" ht="12.75" hidden="false" customHeight="false" outlineLevel="0" collapsed="false">
      <c r="A447" s="184" t="s">
        <v>641</v>
      </c>
      <c r="B447" s="0" t="s">
        <v>666</v>
      </c>
      <c r="C447" s="0" t="s">
        <v>763</v>
      </c>
      <c r="D447" s="0" t="s">
        <v>766</v>
      </c>
      <c r="E447" s="119" t="n">
        <v>12</v>
      </c>
      <c r="F447" s="119" t="n">
        <v>9</v>
      </c>
      <c r="I447" s="118" t="n">
        <v>9</v>
      </c>
      <c r="K447" s="118" t="n">
        <v>9</v>
      </c>
      <c r="M447" s="186" t="n">
        <v>3.13</v>
      </c>
      <c r="S447" s="192" t="n">
        <v>1397</v>
      </c>
      <c r="U447" s="186" t="n">
        <v>10.8</v>
      </c>
      <c r="Y447" s="186" t="n">
        <v>546</v>
      </c>
      <c r="AA447" s="192" t="n">
        <v>103265</v>
      </c>
      <c r="AC447" s="186" t="n">
        <v>29.8</v>
      </c>
      <c r="AG447" s="186" t="n">
        <v>2.89</v>
      </c>
      <c r="AM447" s="192" t="n">
        <v>73</v>
      </c>
      <c r="BS447" s="193" t="n">
        <v>46.81</v>
      </c>
      <c r="BU447" s="186" t="n">
        <v>18.32</v>
      </c>
      <c r="BY447" s="186" t="n">
        <v>6.32</v>
      </c>
      <c r="CL447" s="186" t="n">
        <v>0</v>
      </c>
    </row>
    <row r="448" customFormat="false" ht="12.75" hidden="false" customHeight="false" outlineLevel="0" collapsed="false">
      <c r="A448" s="184" t="s">
        <v>641</v>
      </c>
      <c r="B448" s="0" t="s">
        <v>669</v>
      </c>
      <c r="C448" s="0" t="s">
        <v>759</v>
      </c>
      <c r="D448" s="0" t="s">
        <v>762</v>
      </c>
      <c r="E448" s="119" t="n">
        <v>54</v>
      </c>
      <c r="F448" s="119" t="n">
        <v>5</v>
      </c>
      <c r="I448" s="118" t="n">
        <v>9</v>
      </c>
      <c r="K448" s="118" t="n">
        <v>9</v>
      </c>
      <c r="M448" s="186" t="n">
        <v>3.44</v>
      </c>
      <c r="S448" s="192" t="n">
        <v>1354</v>
      </c>
      <c r="U448" s="186" t="n">
        <v>10.8</v>
      </c>
      <c r="Y448" s="186" t="n">
        <v>780</v>
      </c>
      <c r="AA448" s="192" t="n">
        <v>117324</v>
      </c>
      <c r="AC448" s="186" t="n">
        <v>32.8</v>
      </c>
      <c r="AG448" s="186" t="n">
        <v>2.8</v>
      </c>
      <c r="AM448" s="192" t="n">
        <v>77</v>
      </c>
      <c r="BS448" s="193" t="n">
        <v>41.26</v>
      </c>
      <c r="BU448" s="186" t="n">
        <v>23.78</v>
      </c>
      <c r="BY448" s="186" t="n">
        <v>6.26</v>
      </c>
      <c r="CL448" s="186" t="n">
        <v>0</v>
      </c>
    </row>
    <row r="449" customFormat="false" ht="12.75" hidden="false" customHeight="false" outlineLevel="0" collapsed="false">
      <c r="A449" s="184" t="s">
        <v>641</v>
      </c>
      <c r="B449" s="0" t="s">
        <v>669</v>
      </c>
      <c r="C449" s="0" t="s">
        <v>763</v>
      </c>
      <c r="D449" s="0" t="s">
        <v>766</v>
      </c>
      <c r="E449" s="119" t="n">
        <v>10</v>
      </c>
      <c r="F449" s="119" t="n">
        <v>12</v>
      </c>
      <c r="I449" s="118" t="n">
        <v>9</v>
      </c>
      <c r="K449" s="118" t="n">
        <v>9</v>
      </c>
      <c r="M449" s="186" t="n">
        <v>2.9</v>
      </c>
      <c r="S449" s="192" t="n">
        <v>1165</v>
      </c>
      <c r="U449" s="186" t="n">
        <v>10.8</v>
      </c>
      <c r="Y449" s="186" t="n">
        <v>641</v>
      </c>
      <c r="AA449" s="192" t="n">
        <v>110110</v>
      </c>
      <c r="AC449" s="186" t="n">
        <v>27.6</v>
      </c>
      <c r="AG449" s="186" t="n">
        <v>2.51</v>
      </c>
      <c r="AM449" s="192" t="n">
        <v>73</v>
      </c>
      <c r="BS449" s="193" t="n">
        <v>42.23</v>
      </c>
      <c r="BU449" s="186" t="n">
        <v>23.24</v>
      </c>
      <c r="BY449" s="186" t="n">
        <v>6.51</v>
      </c>
      <c r="CL449" s="186" t="n">
        <v>0</v>
      </c>
    </row>
    <row r="450" customFormat="false" ht="12.75" hidden="false" customHeight="false" outlineLevel="0" collapsed="false">
      <c r="A450" s="184" t="s">
        <v>643</v>
      </c>
      <c r="B450" s="0" t="s">
        <v>666</v>
      </c>
      <c r="C450" s="0" t="s">
        <v>759</v>
      </c>
      <c r="D450" s="0" t="s">
        <v>762</v>
      </c>
      <c r="E450" s="119" t="n">
        <v>53</v>
      </c>
      <c r="F450" s="119" t="n">
        <v>2</v>
      </c>
      <c r="I450" s="118" t="n">
        <v>9</v>
      </c>
      <c r="K450" s="118" t="n">
        <v>9</v>
      </c>
      <c r="M450" s="186" t="n">
        <v>2.41</v>
      </c>
      <c r="S450" s="192" t="n">
        <v>1059</v>
      </c>
      <c r="U450" s="186" t="n">
        <v>10.8</v>
      </c>
      <c r="Y450" s="186" t="n">
        <v>455</v>
      </c>
      <c r="AA450" s="192" t="n">
        <v>72043</v>
      </c>
      <c r="AC450" s="186" t="n">
        <v>23.1</v>
      </c>
      <c r="AG450" s="186" t="n">
        <v>3.2</v>
      </c>
      <c r="AM450" s="192" t="n">
        <v>80</v>
      </c>
      <c r="BS450" s="193" t="n">
        <v>45.9</v>
      </c>
      <c r="BU450" s="186" t="n">
        <v>19.71</v>
      </c>
      <c r="BY450" s="186" t="n">
        <v>5.93</v>
      </c>
      <c r="CL450" s="186" t="n">
        <v>0</v>
      </c>
    </row>
    <row r="451" customFormat="false" ht="12.75" hidden="false" customHeight="false" outlineLevel="0" collapsed="false">
      <c r="A451" s="184" t="s">
        <v>643</v>
      </c>
      <c r="B451" s="0" t="s">
        <v>666</v>
      </c>
      <c r="C451" s="0" t="s">
        <v>763</v>
      </c>
      <c r="D451" s="0" t="s">
        <v>766</v>
      </c>
      <c r="E451" s="119" t="n">
        <v>10</v>
      </c>
      <c r="F451" s="119" t="n">
        <v>9</v>
      </c>
      <c r="I451" s="118" t="n">
        <v>9</v>
      </c>
      <c r="K451" s="118" t="n">
        <v>9</v>
      </c>
      <c r="M451" s="186" t="n">
        <v>3.57</v>
      </c>
      <c r="S451" s="192" t="n">
        <v>1551</v>
      </c>
      <c r="U451" s="186" t="n">
        <v>10.8</v>
      </c>
      <c r="Y451" s="186" t="n">
        <v>653</v>
      </c>
      <c r="AA451" s="192" t="n">
        <v>103213</v>
      </c>
      <c r="AC451" s="186" t="n">
        <v>34</v>
      </c>
      <c r="AG451" s="186" t="n">
        <v>3.29</v>
      </c>
      <c r="AM451" s="192" t="n">
        <v>77</v>
      </c>
      <c r="BS451" s="193" t="n">
        <v>45.62</v>
      </c>
      <c r="BU451" s="186" t="n">
        <v>19.22</v>
      </c>
      <c r="BY451" s="186" t="n">
        <v>6.42</v>
      </c>
      <c r="CL451" s="186" t="n">
        <v>0</v>
      </c>
    </row>
    <row r="452" customFormat="false" ht="12.75" hidden="false" customHeight="false" outlineLevel="0" collapsed="false">
      <c r="A452" s="184" t="s">
        <v>643</v>
      </c>
      <c r="B452" s="0" t="s">
        <v>669</v>
      </c>
      <c r="C452" s="0" t="s">
        <v>759</v>
      </c>
      <c r="D452" s="0" t="s">
        <v>762</v>
      </c>
      <c r="E452" s="119" t="n">
        <v>38</v>
      </c>
      <c r="F452" s="119" t="n">
        <v>6</v>
      </c>
      <c r="I452" s="118" t="n">
        <v>9</v>
      </c>
      <c r="K452" s="118" t="n">
        <v>9</v>
      </c>
      <c r="M452" s="186" t="n">
        <v>3.25</v>
      </c>
      <c r="S452" s="192" t="n">
        <v>1309</v>
      </c>
      <c r="U452" s="186" t="n">
        <v>10.8</v>
      </c>
      <c r="Y452" s="186" t="n">
        <v>718</v>
      </c>
      <c r="AA452" s="192" t="n">
        <v>97974</v>
      </c>
      <c r="AC452" s="186" t="n">
        <v>31.1</v>
      </c>
      <c r="AG452" s="186" t="n">
        <v>3.17</v>
      </c>
      <c r="AM452" s="192" t="n">
        <v>77</v>
      </c>
      <c r="BS452" s="193" t="n">
        <v>42.1</v>
      </c>
      <c r="BU452" s="186" t="n">
        <v>23.08</v>
      </c>
      <c r="BY452" s="186" t="n">
        <v>5.99</v>
      </c>
      <c r="CL452" s="186" t="n">
        <v>0</v>
      </c>
    </row>
    <row r="453" customFormat="false" ht="12.75" hidden="false" customHeight="false" outlineLevel="0" collapsed="false">
      <c r="A453" s="184" t="s">
        <v>643</v>
      </c>
      <c r="B453" s="0" t="s">
        <v>669</v>
      </c>
      <c r="C453" s="0" t="s">
        <v>763</v>
      </c>
      <c r="D453" s="0" t="s">
        <v>766</v>
      </c>
      <c r="E453" s="119" t="n">
        <v>5</v>
      </c>
      <c r="F453" s="119" t="n">
        <v>12</v>
      </c>
      <c r="I453" s="118" t="n">
        <v>9</v>
      </c>
      <c r="K453" s="118" t="n">
        <v>9</v>
      </c>
      <c r="M453" s="186" t="n">
        <v>3.3</v>
      </c>
      <c r="S453" s="192" t="n">
        <v>1310</v>
      </c>
      <c r="U453" s="186" t="n">
        <v>10.8</v>
      </c>
      <c r="Y453" s="186" t="n">
        <v>703</v>
      </c>
      <c r="AA453" s="192" t="n">
        <v>103803</v>
      </c>
      <c r="AC453" s="186" t="n">
        <v>31.3</v>
      </c>
      <c r="AG453" s="186" t="n">
        <v>3.02</v>
      </c>
      <c r="AM453" s="192" t="n">
        <v>77</v>
      </c>
      <c r="BS453" s="193" t="n">
        <v>41.82</v>
      </c>
      <c r="BU453" s="186" t="n">
        <v>22.44</v>
      </c>
      <c r="BY453" s="186" t="n">
        <v>6.7</v>
      </c>
      <c r="CL453" s="186" t="n">
        <v>0</v>
      </c>
    </row>
    <row r="454" customFormat="false" ht="12.75" hidden="false" customHeight="false" outlineLevel="0" collapsed="false">
      <c r="A454" s="184" t="s">
        <v>645</v>
      </c>
      <c r="B454" s="0" t="s">
        <v>666</v>
      </c>
      <c r="C454" s="0" t="s">
        <v>759</v>
      </c>
      <c r="D454" s="0" t="s">
        <v>762</v>
      </c>
      <c r="E454" s="119" t="n">
        <v>43</v>
      </c>
      <c r="F454" s="119" t="n">
        <v>3</v>
      </c>
      <c r="I454" s="118" t="n">
        <v>9</v>
      </c>
      <c r="K454" s="118" t="n">
        <v>7</v>
      </c>
      <c r="M454" s="186" t="n">
        <v>2.29</v>
      </c>
      <c r="S454" s="192" t="n">
        <v>1024</v>
      </c>
      <c r="U454" s="186" t="n">
        <v>10.8</v>
      </c>
      <c r="Y454" s="186" t="n">
        <v>450</v>
      </c>
      <c r="AA454" s="192" t="n">
        <v>73448</v>
      </c>
      <c r="AC454" s="186" t="n">
        <v>21.9</v>
      </c>
      <c r="AG454" s="186" t="n">
        <v>2.99</v>
      </c>
      <c r="AM454" s="192" t="n">
        <v>83</v>
      </c>
      <c r="BS454" s="193" t="n">
        <v>46.64</v>
      </c>
      <c r="BU454" s="186" t="n">
        <v>20.48</v>
      </c>
      <c r="BY454" s="186" t="n">
        <v>5.8</v>
      </c>
      <c r="CL454" s="186" t="n">
        <v>0</v>
      </c>
    </row>
    <row r="455" customFormat="false" ht="12.75" hidden="false" customHeight="false" outlineLevel="0" collapsed="false">
      <c r="A455" s="184" t="s">
        <v>645</v>
      </c>
      <c r="B455" s="0" t="s">
        <v>666</v>
      </c>
      <c r="C455" s="0" t="s">
        <v>763</v>
      </c>
      <c r="D455" s="0" t="s">
        <v>766</v>
      </c>
      <c r="E455" s="119" t="n">
        <v>8</v>
      </c>
      <c r="F455" s="119" t="n">
        <v>9</v>
      </c>
      <c r="I455" s="118" t="n">
        <v>9</v>
      </c>
      <c r="K455" s="118" t="n">
        <v>9</v>
      </c>
      <c r="M455" s="186" t="n">
        <v>2.87</v>
      </c>
      <c r="S455" s="192" t="n">
        <v>1301</v>
      </c>
      <c r="U455" s="186" t="n">
        <v>10.8</v>
      </c>
      <c r="Y455" s="186" t="n">
        <v>511</v>
      </c>
      <c r="AA455" s="192" t="n">
        <v>90917</v>
      </c>
      <c r="AC455" s="186" t="n">
        <v>27.4</v>
      </c>
      <c r="AG455" s="186" t="n">
        <v>3.01</v>
      </c>
      <c r="AM455" s="192" t="n">
        <v>80</v>
      </c>
      <c r="BS455" s="193" t="n">
        <v>47.55</v>
      </c>
      <c r="BU455" s="186" t="n">
        <v>18.69</v>
      </c>
      <c r="BY455" s="186" t="n">
        <v>6.32</v>
      </c>
      <c r="CL455" s="186" t="n">
        <v>0</v>
      </c>
    </row>
    <row r="456" customFormat="false" ht="12.75" hidden="false" customHeight="false" outlineLevel="0" collapsed="false">
      <c r="A456" s="184" t="s">
        <v>645</v>
      </c>
      <c r="B456" s="0" t="s">
        <v>669</v>
      </c>
      <c r="C456" s="0" t="s">
        <v>759</v>
      </c>
      <c r="D456" s="0" t="s">
        <v>762</v>
      </c>
      <c r="E456" s="119" t="n">
        <v>53</v>
      </c>
      <c r="F456" s="119" t="n">
        <v>4</v>
      </c>
      <c r="I456" s="118" t="n">
        <v>9</v>
      </c>
      <c r="K456" s="118" t="n">
        <v>7</v>
      </c>
      <c r="M456" s="186" t="n">
        <v>3.11</v>
      </c>
      <c r="S456" s="192" t="n">
        <v>1285</v>
      </c>
      <c r="U456" s="186" t="n">
        <v>10.8</v>
      </c>
      <c r="Y456" s="186" t="n">
        <v>703</v>
      </c>
      <c r="AA456" s="192" t="n">
        <v>105772</v>
      </c>
      <c r="AC456" s="186" t="n">
        <v>29.8</v>
      </c>
      <c r="AG456" s="186" t="n">
        <v>2.82</v>
      </c>
      <c r="AM456" s="192" t="n">
        <v>87</v>
      </c>
      <c r="BS456" s="193" t="n">
        <v>43.08</v>
      </c>
      <c r="BU456" s="186" t="n">
        <v>23.57</v>
      </c>
      <c r="BY456" s="186" t="n">
        <v>5.77</v>
      </c>
      <c r="CL456" s="186" t="n">
        <v>0</v>
      </c>
    </row>
    <row r="457" customFormat="false" ht="12.75" hidden="false" customHeight="false" outlineLevel="0" collapsed="false">
      <c r="A457" s="184" t="s">
        <v>645</v>
      </c>
      <c r="B457" s="0" t="s">
        <v>669</v>
      </c>
      <c r="C457" s="0" t="s">
        <v>763</v>
      </c>
      <c r="D457" s="0" t="s">
        <v>766</v>
      </c>
      <c r="E457" s="119" t="n">
        <v>17</v>
      </c>
      <c r="F457" s="119" t="n">
        <v>12</v>
      </c>
      <c r="I457" s="118" t="n">
        <v>9</v>
      </c>
      <c r="K457" s="118" t="n">
        <v>9</v>
      </c>
      <c r="M457" s="186" t="n">
        <v>2.94</v>
      </c>
      <c r="S457" s="192" t="n">
        <v>1138</v>
      </c>
      <c r="U457" s="186" t="n">
        <v>10.8</v>
      </c>
      <c r="Y457" s="186" t="n">
        <v>738</v>
      </c>
      <c r="AA457" s="192" t="n">
        <v>98426</v>
      </c>
      <c r="AC457" s="186" t="n">
        <v>28</v>
      </c>
      <c r="AG457" s="186" t="n">
        <v>2.85</v>
      </c>
      <c r="AM457" s="192" t="n">
        <v>83</v>
      </c>
      <c r="BS457" s="193" t="n">
        <v>40.58</v>
      </c>
      <c r="BU457" s="186" t="n">
        <v>26.32</v>
      </c>
      <c r="BY457" s="186" t="n">
        <v>6.28</v>
      </c>
      <c r="CL457" s="186" t="n">
        <v>0</v>
      </c>
    </row>
    <row r="458" customFormat="false" ht="12.75" hidden="false" customHeight="false" outlineLevel="0" collapsed="false">
      <c r="A458" s="184" t="s">
        <v>647</v>
      </c>
      <c r="B458" s="0" t="s">
        <v>666</v>
      </c>
      <c r="C458" s="0" t="s">
        <v>759</v>
      </c>
      <c r="D458" s="0" t="s">
        <v>762</v>
      </c>
      <c r="E458" s="119" t="n">
        <v>48</v>
      </c>
      <c r="F458" s="119" t="n">
        <v>3</v>
      </c>
      <c r="I458" s="118" t="n">
        <v>9</v>
      </c>
      <c r="K458" s="118" t="n">
        <v>7</v>
      </c>
      <c r="M458" s="186" t="n">
        <v>2.86</v>
      </c>
      <c r="S458" s="192" t="n">
        <v>1244</v>
      </c>
      <c r="U458" s="186" t="n">
        <v>10.8</v>
      </c>
      <c r="Y458" s="186" t="n">
        <v>585</v>
      </c>
      <c r="AA458" s="192" t="n">
        <v>92201</v>
      </c>
      <c r="AC458" s="186" t="n">
        <v>27.4</v>
      </c>
      <c r="AG458" s="186" t="n">
        <v>2.98</v>
      </c>
      <c r="AM458" s="192" t="n">
        <v>77</v>
      </c>
      <c r="BS458" s="193" t="n">
        <v>45.34</v>
      </c>
      <c r="BU458" s="186" t="n">
        <v>21.31</v>
      </c>
      <c r="BY458" s="186" t="n">
        <v>5.73</v>
      </c>
      <c r="CL458" s="186" t="n">
        <v>0</v>
      </c>
    </row>
    <row r="459" customFormat="false" ht="12.75" hidden="false" customHeight="false" outlineLevel="0" collapsed="false">
      <c r="A459" s="184" t="s">
        <v>647</v>
      </c>
      <c r="B459" s="0" t="s">
        <v>666</v>
      </c>
      <c r="C459" s="0" t="s">
        <v>763</v>
      </c>
      <c r="D459" s="0" t="s">
        <v>766</v>
      </c>
      <c r="E459" s="119" t="n">
        <v>13</v>
      </c>
      <c r="F459" s="119" t="n">
        <v>7</v>
      </c>
      <c r="I459" s="118" t="n">
        <v>9</v>
      </c>
      <c r="K459" s="118" t="n">
        <v>7</v>
      </c>
      <c r="M459" s="186" t="n">
        <v>3.99</v>
      </c>
      <c r="S459" s="192" t="n">
        <v>1790</v>
      </c>
      <c r="U459" s="186" t="n">
        <v>10.8</v>
      </c>
      <c r="Y459" s="186" t="n">
        <v>748</v>
      </c>
      <c r="AA459" s="192" t="n">
        <v>125641</v>
      </c>
      <c r="AC459" s="186" t="n">
        <v>38</v>
      </c>
      <c r="AG459" s="186" t="n">
        <v>3.03</v>
      </c>
      <c r="AM459" s="192" t="n">
        <v>77</v>
      </c>
      <c r="BS459" s="193" t="n">
        <v>47.05</v>
      </c>
      <c r="BU459" s="186" t="n">
        <v>19.67</v>
      </c>
      <c r="BY459" s="186" t="n">
        <v>6.31</v>
      </c>
      <c r="CL459" s="186" t="n">
        <v>0</v>
      </c>
    </row>
    <row r="460" customFormat="false" ht="12.75" hidden="false" customHeight="false" outlineLevel="0" collapsed="false">
      <c r="A460" s="184" t="s">
        <v>647</v>
      </c>
      <c r="B460" s="0" t="s">
        <v>669</v>
      </c>
      <c r="C460" s="0" t="s">
        <v>759</v>
      </c>
      <c r="D460" s="0" t="s">
        <v>762</v>
      </c>
      <c r="E460" s="119" t="n">
        <v>44</v>
      </c>
      <c r="F460" s="119" t="n">
        <v>4</v>
      </c>
      <c r="I460" s="118" t="n">
        <v>9</v>
      </c>
      <c r="K460" s="118" t="n">
        <v>7</v>
      </c>
      <c r="M460" s="186" t="n">
        <v>3.45</v>
      </c>
      <c r="S460" s="192" t="n">
        <v>1452</v>
      </c>
      <c r="U460" s="186" t="n">
        <v>10.8</v>
      </c>
      <c r="Y460" s="186" t="n">
        <v>758</v>
      </c>
      <c r="AA460" s="192" t="n">
        <v>100824</v>
      </c>
      <c r="AC460" s="186" t="n">
        <v>33.1</v>
      </c>
      <c r="AG460" s="186" t="n">
        <v>3.28</v>
      </c>
      <c r="AM460" s="192" t="n">
        <v>77</v>
      </c>
      <c r="BS460" s="193" t="n">
        <v>43.95</v>
      </c>
      <c r="BU460" s="186" t="n">
        <v>22.94</v>
      </c>
      <c r="BY460" s="186" t="n">
        <v>5.85</v>
      </c>
      <c r="CL460" s="186" t="n">
        <v>0</v>
      </c>
    </row>
    <row r="461" customFormat="false" ht="12.75" hidden="false" customHeight="false" outlineLevel="0" collapsed="false">
      <c r="A461" s="184" t="s">
        <v>647</v>
      </c>
      <c r="B461" s="0" t="s">
        <v>669</v>
      </c>
      <c r="C461" s="0" t="s">
        <v>763</v>
      </c>
      <c r="D461" s="0" t="s">
        <v>766</v>
      </c>
      <c r="E461" s="119" t="n">
        <v>18</v>
      </c>
      <c r="F461" s="119" t="n">
        <v>10</v>
      </c>
      <c r="I461" s="118" t="n">
        <v>9</v>
      </c>
      <c r="K461" s="118" t="n">
        <v>7</v>
      </c>
      <c r="M461" s="186" t="n">
        <v>3.35</v>
      </c>
      <c r="S461" s="192" t="n">
        <v>1345</v>
      </c>
      <c r="U461" s="186" t="n">
        <v>10.8</v>
      </c>
      <c r="Y461" s="186" t="n">
        <v>788</v>
      </c>
      <c r="AA461" s="192" t="n">
        <v>108900</v>
      </c>
      <c r="AC461" s="186" t="n">
        <v>31.9</v>
      </c>
      <c r="AG461" s="186" t="n">
        <v>2.93</v>
      </c>
      <c r="AM461" s="192" t="n">
        <v>77</v>
      </c>
      <c r="BS461" s="193" t="n">
        <v>42.16</v>
      </c>
      <c r="BU461" s="186" t="n">
        <v>24.7</v>
      </c>
      <c r="BY461" s="186" t="n">
        <v>6.4</v>
      </c>
      <c r="CL461" s="186" t="n">
        <v>0</v>
      </c>
    </row>
    <row r="462" customFormat="false" ht="12.75" hidden="false" customHeight="false" outlineLevel="0" collapsed="false">
      <c r="A462" s="184" t="s">
        <v>649</v>
      </c>
      <c r="B462" s="0" t="s">
        <v>666</v>
      </c>
      <c r="C462" s="0" t="s">
        <v>759</v>
      </c>
      <c r="D462" s="0" t="s">
        <v>762</v>
      </c>
      <c r="E462" s="119" t="n">
        <v>48</v>
      </c>
      <c r="F462" s="119" t="n">
        <v>1</v>
      </c>
      <c r="I462" s="118" t="n">
        <v>9</v>
      </c>
      <c r="K462" s="118" t="n">
        <v>9</v>
      </c>
      <c r="M462" s="186" t="n">
        <v>2.88</v>
      </c>
      <c r="S462" s="192" t="n">
        <v>1240</v>
      </c>
      <c r="U462" s="186" t="n">
        <v>10.8</v>
      </c>
      <c r="Y462" s="186" t="n">
        <v>588</v>
      </c>
      <c r="AA462" s="192" t="n">
        <v>94775</v>
      </c>
      <c r="AC462" s="186" t="n">
        <v>27.6</v>
      </c>
      <c r="AG462" s="186" t="n">
        <v>2.91</v>
      </c>
      <c r="AM462" s="192" t="n">
        <v>83</v>
      </c>
      <c r="BS462" s="193" t="n">
        <v>44.93</v>
      </c>
      <c r="BU462" s="186" t="n">
        <v>21.3</v>
      </c>
      <c r="BY462" s="186" t="n">
        <v>5.82</v>
      </c>
      <c r="CL462" s="186" t="n">
        <v>0</v>
      </c>
    </row>
    <row r="463" customFormat="false" ht="12.75" hidden="false" customHeight="false" outlineLevel="0" collapsed="false">
      <c r="A463" s="184" t="s">
        <v>649</v>
      </c>
      <c r="B463" s="0" t="s">
        <v>666</v>
      </c>
      <c r="C463" s="0" t="s">
        <v>763</v>
      </c>
      <c r="D463" s="0" t="s">
        <v>766</v>
      </c>
      <c r="E463" s="119" t="n">
        <v>13</v>
      </c>
      <c r="F463" s="119" t="n">
        <v>8</v>
      </c>
      <c r="I463" s="118" t="n">
        <v>7</v>
      </c>
      <c r="K463" s="118" t="n">
        <v>7</v>
      </c>
      <c r="M463" s="186" t="n">
        <v>1.48</v>
      </c>
      <c r="S463" s="192" t="n">
        <v>1348</v>
      </c>
      <c r="U463" s="186" t="n">
        <v>10.8</v>
      </c>
      <c r="Y463" s="186" t="n">
        <v>550</v>
      </c>
      <c r="AA463" s="192" t="n">
        <v>94515</v>
      </c>
      <c r="AC463" s="186" t="n">
        <v>28.6</v>
      </c>
      <c r="AG463" s="186" t="n">
        <v>3.03</v>
      </c>
      <c r="AM463" s="192" t="n">
        <v>83</v>
      </c>
      <c r="BS463" s="193" t="n">
        <v>47.04</v>
      </c>
      <c r="BU463" s="186" t="n">
        <v>19.19</v>
      </c>
      <c r="BY463" s="186" t="n">
        <v>4.88</v>
      </c>
      <c r="CL463" s="186" t="n">
        <v>0</v>
      </c>
    </row>
    <row r="464" customFormat="false" ht="12.75" hidden="false" customHeight="false" outlineLevel="0" collapsed="false">
      <c r="A464" s="184" t="s">
        <v>649</v>
      </c>
      <c r="B464" s="0" t="s">
        <v>669</v>
      </c>
      <c r="C464" s="0" t="s">
        <v>759</v>
      </c>
      <c r="D464" s="0" t="s">
        <v>762</v>
      </c>
      <c r="E464" s="119" t="n">
        <v>44</v>
      </c>
      <c r="F464" s="119" t="n">
        <v>6</v>
      </c>
      <c r="I464" s="118" t="n">
        <v>9</v>
      </c>
      <c r="K464" s="118" t="n">
        <v>9</v>
      </c>
      <c r="M464" s="186" t="n">
        <v>3.21</v>
      </c>
      <c r="S464" s="192" t="n">
        <v>1313</v>
      </c>
      <c r="U464" s="186" t="n">
        <v>10.8</v>
      </c>
      <c r="Y464" s="186" t="n">
        <v>710</v>
      </c>
      <c r="AA464" s="192" t="n">
        <v>106331</v>
      </c>
      <c r="AC464" s="186" t="n">
        <v>30.7</v>
      </c>
      <c r="AG464" s="186" t="n">
        <v>2.89</v>
      </c>
      <c r="AM464" s="192" t="n">
        <v>83</v>
      </c>
      <c r="BS464" s="193" t="n">
        <v>42.72</v>
      </c>
      <c r="BU464" s="186" t="n">
        <v>23.11</v>
      </c>
      <c r="BY464" s="186" t="n">
        <v>5.92</v>
      </c>
      <c r="CL464" s="186" t="n">
        <v>0</v>
      </c>
    </row>
    <row r="465" customFormat="false" ht="12.75" hidden="false" customHeight="false" outlineLevel="0" collapsed="false">
      <c r="A465" s="184" t="s">
        <v>649</v>
      </c>
      <c r="B465" s="0" t="s">
        <v>669</v>
      </c>
      <c r="C465" s="0" t="s">
        <v>763</v>
      </c>
      <c r="D465" s="0" t="s">
        <v>766</v>
      </c>
      <c r="E465" s="119" t="n">
        <v>15</v>
      </c>
      <c r="F465" s="119" t="n">
        <v>10</v>
      </c>
      <c r="I465" s="118" t="n">
        <v>9</v>
      </c>
      <c r="K465" s="118" t="n">
        <v>7</v>
      </c>
      <c r="M465" s="186" t="n">
        <v>3.33</v>
      </c>
      <c r="S465" s="192" t="n">
        <v>1363</v>
      </c>
      <c r="U465" s="186" t="n">
        <v>10.8</v>
      </c>
      <c r="Y465" s="186" t="n">
        <v>716</v>
      </c>
      <c r="AA465" s="192" t="n">
        <v>110387</v>
      </c>
      <c r="AC465" s="186" t="n">
        <v>31.7</v>
      </c>
      <c r="AG465" s="186" t="n">
        <v>2.88</v>
      </c>
      <c r="AM465" s="192" t="n">
        <v>83</v>
      </c>
      <c r="BS465" s="193" t="n">
        <v>42.94</v>
      </c>
      <c r="BU465" s="186" t="n">
        <v>22.55</v>
      </c>
      <c r="BY465" s="186" t="n">
        <v>6.31</v>
      </c>
      <c r="CL465" s="186" t="n">
        <v>0</v>
      </c>
    </row>
    <row r="466" customFormat="false" ht="12.75" hidden="false" customHeight="false" outlineLevel="0" collapsed="false">
      <c r="A466" s="184" t="s">
        <v>651</v>
      </c>
      <c r="B466" s="0" t="s">
        <v>666</v>
      </c>
      <c r="C466" s="0" t="s">
        <v>759</v>
      </c>
      <c r="D466" s="0" t="s">
        <v>762</v>
      </c>
      <c r="E466" s="119" t="n">
        <v>45</v>
      </c>
      <c r="F466" s="119" t="n">
        <v>1</v>
      </c>
      <c r="I466" s="118" t="n">
        <v>9</v>
      </c>
      <c r="K466" s="118" t="n">
        <v>9</v>
      </c>
      <c r="M466" s="186" t="n">
        <v>2.69</v>
      </c>
      <c r="S466" s="192" t="n">
        <v>1130</v>
      </c>
      <c r="U466" s="186" t="n">
        <v>10.8</v>
      </c>
      <c r="Y466" s="186" t="n">
        <v>538</v>
      </c>
      <c r="AA466" s="192" t="n">
        <v>97720</v>
      </c>
      <c r="AC466" s="186" t="n">
        <v>25.8</v>
      </c>
      <c r="AG466" s="186" t="n">
        <v>2.64</v>
      </c>
      <c r="AM466" s="192" t="n">
        <v>83</v>
      </c>
      <c r="BS466" s="193" t="n">
        <v>43.77</v>
      </c>
      <c r="BU466" s="186" t="n">
        <v>20.83</v>
      </c>
      <c r="BY466" s="186" t="n">
        <v>5.7</v>
      </c>
      <c r="CL466" s="186" t="n">
        <v>0</v>
      </c>
    </row>
    <row r="467" customFormat="false" ht="12.75" hidden="false" customHeight="false" outlineLevel="0" collapsed="false">
      <c r="A467" s="184" t="s">
        <v>651</v>
      </c>
      <c r="B467" s="0" t="s">
        <v>666</v>
      </c>
      <c r="C467" s="0" t="s">
        <v>763</v>
      </c>
      <c r="D467" s="0" t="s">
        <v>766</v>
      </c>
      <c r="E467" s="119" t="n">
        <v>19</v>
      </c>
      <c r="F467" s="119" t="n">
        <v>8</v>
      </c>
      <c r="I467" s="118" t="n">
        <v>7</v>
      </c>
      <c r="K467" s="118" t="n">
        <v>7</v>
      </c>
      <c r="M467" s="186" t="n">
        <v>2.37</v>
      </c>
      <c r="S467" s="192" t="n">
        <v>941</v>
      </c>
      <c r="U467" s="186" t="n">
        <v>10.8</v>
      </c>
      <c r="Y467" s="186" t="n">
        <v>528</v>
      </c>
      <c r="AA467" s="192" t="n">
        <v>81553</v>
      </c>
      <c r="AC467" s="186" t="n">
        <v>22.6</v>
      </c>
      <c r="AG467" s="186" t="n">
        <v>2.77</v>
      </c>
      <c r="AM467" s="192" t="n">
        <v>80</v>
      </c>
      <c r="BS467" s="193" t="n">
        <v>41.73</v>
      </c>
      <c r="BU467" s="186" t="n">
        <v>23.42</v>
      </c>
      <c r="BY467" s="186" t="n">
        <v>6.45</v>
      </c>
      <c r="CL467" s="186" t="n">
        <v>0</v>
      </c>
    </row>
    <row r="468" customFormat="false" ht="12.75" hidden="false" customHeight="false" outlineLevel="0" collapsed="false">
      <c r="A468" s="184" t="s">
        <v>651</v>
      </c>
      <c r="B468" s="0" t="s">
        <v>669</v>
      </c>
      <c r="C468" s="0" t="s">
        <v>759</v>
      </c>
      <c r="D468" s="0" t="s">
        <v>762</v>
      </c>
      <c r="E468" s="119" t="n">
        <v>50</v>
      </c>
      <c r="F468" s="119" t="n">
        <v>6</v>
      </c>
      <c r="I468" s="118" t="n">
        <v>9</v>
      </c>
      <c r="K468" s="118" t="n">
        <v>9</v>
      </c>
      <c r="M468" s="186" t="n">
        <v>3.02</v>
      </c>
      <c r="S468" s="192" t="n">
        <v>1221</v>
      </c>
      <c r="U468" s="186" t="n">
        <v>10.8</v>
      </c>
      <c r="Y468" s="186" t="n">
        <v>665</v>
      </c>
      <c r="AA468" s="192" t="n">
        <v>104786</v>
      </c>
      <c r="AC468" s="186" t="n">
        <v>28.9</v>
      </c>
      <c r="AG468" s="186" t="n">
        <v>2.76</v>
      </c>
      <c r="AM468" s="192" t="n">
        <v>83</v>
      </c>
      <c r="BS468" s="193" t="n">
        <v>42.22</v>
      </c>
      <c r="BU468" s="186" t="n">
        <v>23</v>
      </c>
      <c r="BY468" s="186" t="n">
        <v>5.86</v>
      </c>
      <c r="CL468" s="186" t="n">
        <v>0</v>
      </c>
    </row>
    <row r="469" customFormat="false" ht="12.75" hidden="false" customHeight="false" outlineLevel="0" collapsed="false">
      <c r="A469" s="184" t="s">
        <v>651</v>
      </c>
      <c r="B469" s="0" t="s">
        <v>669</v>
      </c>
      <c r="C469" s="0" t="s">
        <v>763</v>
      </c>
      <c r="D469" s="0" t="s">
        <v>766</v>
      </c>
      <c r="E469" s="119" t="n">
        <v>16</v>
      </c>
      <c r="F469" s="119" t="n">
        <v>10</v>
      </c>
      <c r="I469" s="118" t="n">
        <v>9</v>
      </c>
      <c r="K469" s="118" t="n">
        <v>7</v>
      </c>
      <c r="M469" s="186" t="n">
        <v>3.33</v>
      </c>
      <c r="S469" s="192" t="n">
        <v>1354</v>
      </c>
      <c r="U469" s="186" t="n">
        <v>10.8</v>
      </c>
      <c r="Y469" s="186" t="n">
        <v>718</v>
      </c>
      <c r="AA469" s="192" t="n">
        <v>119279</v>
      </c>
      <c r="AC469" s="186" t="n">
        <v>31.7</v>
      </c>
      <c r="AG469" s="186" t="n">
        <v>2.66</v>
      </c>
      <c r="AM469" s="192" t="n">
        <v>83</v>
      </c>
      <c r="BS469" s="193" t="n">
        <v>42.64</v>
      </c>
      <c r="BU469" s="186" t="n">
        <v>22.63</v>
      </c>
      <c r="BY469" s="186" t="n">
        <v>6.31</v>
      </c>
      <c r="CL469" s="186" t="n">
        <v>0</v>
      </c>
    </row>
    <row r="470" customFormat="false" ht="12.75" hidden="false" customHeight="false" outlineLevel="0" collapsed="false">
      <c r="A470" s="184" t="s">
        <v>653</v>
      </c>
      <c r="B470" s="0" t="s">
        <v>666</v>
      </c>
      <c r="C470" s="0" t="s">
        <v>759</v>
      </c>
      <c r="D470" s="0" t="s">
        <v>762</v>
      </c>
      <c r="E470" s="119" t="n">
        <v>50</v>
      </c>
      <c r="F470" s="119" t="n">
        <v>1</v>
      </c>
      <c r="I470" s="118" t="n">
        <v>9</v>
      </c>
      <c r="K470" s="118" t="n">
        <v>9</v>
      </c>
      <c r="M470" s="186" t="n">
        <v>3.63</v>
      </c>
      <c r="S470" s="192" t="n">
        <v>1662</v>
      </c>
      <c r="U470" s="186" t="n">
        <v>10.8</v>
      </c>
      <c r="Y470" s="186" t="n">
        <v>686</v>
      </c>
      <c r="AA470" s="192" t="n">
        <v>115233</v>
      </c>
      <c r="AC470" s="186" t="n">
        <v>34.8</v>
      </c>
      <c r="AG470" s="186" t="n">
        <v>3.02</v>
      </c>
      <c r="AM470" s="192" t="n">
        <v>73</v>
      </c>
      <c r="BS470" s="193" t="n">
        <v>47.83</v>
      </c>
      <c r="BU470" s="186" t="n">
        <v>19.74</v>
      </c>
      <c r="BY470" s="186" t="n">
        <v>5.89</v>
      </c>
      <c r="CL470" s="186" t="n">
        <v>0</v>
      </c>
    </row>
    <row r="471" customFormat="false" ht="12.75" hidden="false" customHeight="false" outlineLevel="0" collapsed="false">
      <c r="A471" s="184" t="s">
        <v>653</v>
      </c>
      <c r="B471" s="0" t="s">
        <v>666</v>
      </c>
      <c r="C471" s="0" t="s">
        <v>763</v>
      </c>
      <c r="D471" s="0" t="s">
        <v>766</v>
      </c>
      <c r="E471" s="119" t="n">
        <v>2</v>
      </c>
      <c r="F471" s="119" t="n">
        <v>7</v>
      </c>
      <c r="I471" s="118" t="n">
        <v>9</v>
      </c>
      <c r="K471" s="118" t="n">
        <v>7</v>
      </c>
      <c r="M471" s="186" t="n">
        <v>3.1</v>
      </c>
      <c r="S471" s="192" t="n">
        <v>1337</v>
      </c>
      <c r="U471" s="186" t="n">
        <v>10.8</v>
      </c>
      <c r="Y471" s="186" t="n">
        <v>628</v>
      </c>
      <c r="AA471" s="192" t="n">
        <v>101078</v>
      </c>
      <c r="AC471" s="186" t="n">
        <v>29.3</v>
      </c>
      <c r="AG471" s="186" t="n">
        <v>2.9</v>
      </c>
      <c r="AM471" s="192" t="n">
        <v>73</v>
      </c>
      <c r="BS471" s="193" t="n">
        <v>45.64</v>
      </c>
      <c r="BU471" s="186" t="n">
        <v>21.43</v>
      </c>
      <c r="BY471" s="186" t="n">
        <v>7.11</v>
      </c>
      <c r="CL471" s="186" t="n">
        <v>0</v>
      </c>
    </row>
    <row r="472" customFormat="false" ht="12.75" hidden="false" customHeight="false" outlineLevel="0" collapsed="false">
      <c r="A472" s="184" t="s">
        <v>653</v>
      </c>
      <c r="B472" s="0" t="s">
        <v>669</v>
      </c>
      <c r="C472" s="0" t="s">
        <v>759</v>
      </c>
      <c r="D472" s="0" t="s">
        <v>762</v>
      </c>
      <c r="E472" s="119" t="n">
        <v>42</v>
      </c>
      <c r="F472" s="119" t="n">
        <v>5</v>
      </c>
      <c r="I472" s="118" t="n">
        <v>9</v>
      </c>
      <c r="K472" s="118" t="n">
        <v>9</v>
      </c>
      <c r="M472" s="186" t="n">
        <v>3.57</v>
      </c>
      <c r="S472" s="192" t="n">
        <v>1596</v>
      </c>
      <c r="U472" s="186" t="n">
        <v>10.8</v>
      </c>
      <c r="Y472" s="186" t="n">
        <v>701</v>
      </c>
      <c r="AA472" s="192" t="n">
        <v>116423</v>
      </c>
      <c r="AC472" s="186" t="n">
        <v>34.3</v>
      </c>
      <c r="AG472" s="186" t="n">
        <v>2.94</v>
      </c>
      <c r="AM472" s="192" t="n">
        <v>73</v>
      </c>
      <c r="BS472" s="193" t="n">
        <v>46.59</v>
      </c>
      <c r="BU472" s="186" t="n">
        <v>20.46</v>
      </c>
      <c r="BY472" s="186" t="n">
        <v>5.71</v>
      </c>
      <c r="CL472" s="186" t="n">
        <v>0</v>
      </c>
    </row>
    <row r="473" customFormat="false" ht="12.75" hidden="false" customHeight="false" outlineLevel="0" collapsed="false">
      <c r="A473" s="184" t="s">
        <v>653</v>
      </c>
      <c r="B473" s="0" t="s">
        <v>669</v>
      </c>
      <c r="C473" s="0" t="s">
        <v>763</v>
      </c>
      <c r="D473" s="0" t="s">
        <v>766</v>
      </c>
      <c r="E473" s="119" t="n">
        <v>13</v>
      </c>
      <c r="F473" s="119" t="n">
        <v>11</v>
      </c>
      <c r="I473" s="118" t="n">
        <v>9</v>
      </c>
      <c r="K473" s="118" t="n">
        <v>9</v>
      </c>
      <c r="M473" s="186" t="n">
        <v>3.61</v>
      </c>
      <c r="S473" s="192" t="n">
        <v>1588</v>
      </c>
      <c r="U473" s="186" t="n">
        <v>10.8</v>
      </c>
      <c r="Y473" s="186" t="n">
        <v>701</v>
      </c>
      <c r="AA473" s="192" t="n">
        <v>117334</v>
      </c>
      <c r="AC473" s="186" t="n">
        <v>34.5</v>
      </c>
      <c r="AG473" s="186" t="n">
        <v>2.94</v>
      </c>
      <c r="AM473" s="192" t="n">
        <v>73</v>
      </c>
      <c r="BS473" s="193" t="n">
        <v>46.08</v>
      </c>
      <c r="BU473" s="186" t="n">
        <v>20.34</v>
      </c>
      <c r="BY473" s="186" t="n">
        <v>6.19</v>
      </c>
      <c r="CL473" s="186" t="n">
        <v>0</v>
      </c>
    </row>
    <row r="474" customFormat="false" ht="12.75" hidden="false" customHeight="false" outlineLevel="0" collapsed="false">
      <c r="A474" s="184" t="s">
        <v>655</v>
      </c>
      <c r="B474" s="0" t="s">
        <v>666</v>
      </c>
      <c r="C474" s="0" t="s">
        <v>759</v>
      </c>
      <c r="D474" s="0" t="s">
        <v>762</v>
      </c>
      <c r="E474" s="119" t="n">
        <v>50</v>
      </c>
      <c r="F474" s="119" t="n">
        <v>3</v>
      </c>
      <c r="I474" s="118" t="n">
        <v>9</v>
      </c>
      <c r="K474" s="118" t="n">
        <v>7</v>
      </c>
      <c r="M474" s="186" t="n">
        <v>2.74</v>
      </c>
      <c r="S474" s="192" t="n">
        <v>1160</v>
      </c>
      <c r="U474" s="186" t="n">
        <v>10.8</v>
      </c>
      <c r="Y474" s="186" t="n">
        <v>549</v>
      </c>
      <c r="AA474" s="192" t="n">
        <v>84658</v>
      </c>
      <c r="AC474" s="186" t="n">
        <v>26.2</v>
      </c>
      <c r="AG474" s="186" t="n">
        <v>3.1</v>
      </c>
      <c r="AM474" s="192" t="n">
        <v>80</v>
      </c>
      <c r="BS474" s="193" t="n">
        <v>44.23</v>
      </c>
      <c r="BU474" s="186" t="n">
        <v>20.92</v>
      </c>
      <c r="BY474" s="186" t="n">
        <v>5.92</v>
      </c>
      <c r="CL474" s="186" t="n">
        <v>0</v>
      </c>
    </row>
    <row r="475" customFormat="false" ht="12.75" hidden="false" customHeight="false" outlineLevel="0" collapsed="false">
      <c r="A475" s="184" t="s">
        <v>655</v>
      </c>
      <c r="B475" s="0" t="s">
        <v>666</v>
      </c>
      <c r="C475" s="0" t="s">
        <v>763</v>
      </c>
      <c r="D475" s="0" t="s">
        <v>766</v>
      </c>
      <c r="E475" s="119" t="n">
        <v>16</v>
      </c>
      <c r="F475" s="119" t="n">
        <v>9</v>
      </c>
      <c r="I475" s="118" t="n">
        <v>9</v>
      </c>
      <c r="K475" s="118" t="n">
        <v>9</v>
      </c>
      <c r="M475" s="186" t="n">
        <v>2.67</v>
      </c>
      <c r="S475" s="192" t="n">
        <v>1148</v>
      </c>
      <c r="U475" s="186" t="n">
        <v>10.8</v>
      </c>
      <c r="Y475" s="186" t="n">
        <v>502</v>
      </c>
      <c r="AA475" s="192" t="n">
        <v>85683</v>
      </c>
      <c r="AC475" s="186" t="n">
        <v>25.5</v>
      </c>
      <c r="AG475" s="186" t="n">
        <v>2.97</v>
      </c>
      <c r="AM475" s="192" t="n">
        <v>80</v>
      </c>
      <c r="BS475" s="193" t="n">
        <v>45.1</v>
      </c>
      <c r="BU475" s="186" t="n">
        <v>19.73</v>
      </c>
      <c r="BY475" s="186" t="n">
        <v>6.3</v>
      </c>
      <c r="CL475" s="186" t="n">
        <v>0</v>
      </c>
    </row>
    <row r="476" customFormat="false" ht="12.75" hidden="false" customHeight="false" outlineLevel="0" collapsed="false">
      <c r="A476" s="184" t="s">
        <v>655</v>
      </c>
      <c r="B476" s="0" t="s">
        <v>669</v>
      </c>
      <c r="C476" s="0" t="s">
        <v>759</v>
      </c>
      <c r="D476" s="0" t="s">
        <v>762</v>
      </c>
      <c r="E476" s="119" t="n">
        <v>38</v>
      </c>
      <c r="F476" s="119" t="n">
        <v>4</v>
      </c>
      <c r="I476" s="118" t="n">
        <v>9</v>
      </c>
      <c r="K476" s="118" t="n">
        <v>7</v>
      </c>
      <c r="M476" s="186" t="n">
        <v>3.35</v>
      </c>
      <c r="S476" s="192" t="n">
        <v>1322</v>
      </c>
      <c r="U476" s="186" t="n">
        <v>10.8</v>
      </c>
      <c r="Y476" s="186" t="n">
        <v>743</v>
      </c>
      <c r="AA476" s="192" t="n">
        <v>107654</v>
      </c>
      <c r="AC476" s="186" t="n">
        <v>32</v>
      </c>
      <c r="AG476" s="186" t="n">
        <v>2.98</v>
      </c>
      <c r="AM476" s="192" t="n">
        <v>83</v>
      </c>
      <c r="BS476" s="193" t="n">
        <v>41.27</v>
      </c>
      <c r="BU476" s="186" t="n">
        <v>23.18</v>
      </c>
      <c r="BY476" s="186" t="n">
        <v>6.04</v>
      </c>
      <c r="CL476" s="186" t="n">
        <v>0</v>
      </c>
    </row>
    <row r="477" customFormat="false" ht="12.75" hidden="false" customHeight="false" outlineLevel="0" collapsed="false">
      <c r="A477" s="184" t="s">
        <v>655</v>
      </c>
      <c r="B477" s="0" t="s">
        <v>669</v>
      </c>
      <c r="C477" s="0" t="s">
        <v>763</v>
      </c>
      <c r="D477" s="0" t="s">
        <v>766</v>
      </c>
      <c r="E477" s="119" t="n">
        <v>8</v>
      </c>
      <c r="F477" s="119" t="n">
        <v>11</v>
      </c>
      <c r="I477" s="118" t="n">
        <v>9</v>
      </c>
      <c r="K477" s="118" t="n">
        <v>9</v>
      </c>
      <c r="M477" s="186" t="n">
        <v>3.09</v>
      </c>
      <c r="S477" s="192" t="n">
        <v>1201</v>
      </c>
      <c r="U477" s="186" t="n">
        <v>10.8</v>
      </c>
      <c r="Y477" s="186" t="n">
        <v>693</v>
      </c>
      <c r="AA477" s="192" t="n">
        <v>102160</v>
      </c>
      <c r="AC477" s="186" t="n">
        <v>29.3</v>
      </c>
      <c r="AG477" s="186" t="n">
        <v>2.87</v>
      </c>
      <c r="AM477" s="192" t="n">
        <v>83</v>
      </c>
      <c r="BS477" s="193" t="n">
        <v>40.95</v>
      </c>
      <c r="BU477" s="186" t="n">
        <v>23.64</v>
      </c>
      <c r="BY477" s="186" t="n">
        <v>6.71</v>
      </c>
      <c r="CL477" s="186" t="n">
        <v>0</v>
      </c>
    </row>
    <row r="478" customFormat="false" ht="12.75" hidden="false" customHeight="false" outlineLevel="0" collapsed="false">
      <c r="A478" s="184" t="s">
        <v>657</v>
      </c>
      <c r="B478" s="0" t="s">
        <v>666</v>
      </c>
      <c r="C478" s="0" t="s">
        <v>759</v>
      </c>
      <c r="D478" s="0" t="s">
        <v>762</v>
      </c>
      <c r="E478" s="119" t="n">
        <v>41</v>
      </c>
      <c r="F478" s="119" t="n">
        <v>2</v>
      </c>
      <c r="I478" s="118" t="n">
        <v>9</v>
      </c>
      <c r="K478" s="118" t="n">
        <v>9</v>
      </c>
      <c r="M478" s="186" t="n">
        <v>2.06</v>
      </c>
      <c r="S478" s="192" t="n">
        <v>938</v>
      </c>
      <c r="U478" s="186" t="n">
        <v>10.8</v>
      </c>
      <c r="Y478" s="186" t="n">
        <v>388</v>
      </c>
      <c r="AA478" s="192" t="n">
        <v>66414</v>
      </c>
      <c r="AC478" s="186" t="n">
        <v>19.7</v>
      </c>
      <c r="AG478" s="186" t="n">
        <v>2.97</v>
      </c>
      <c r="AM478" s="192" t="n">
        <v>80</v>
      </c>
      <c r="BS478" s="193" t="n">
        <v>47.51</v>
      </c>
      <c r="BU478" s="186" t="n">
        <v>19.64</v>
      </c>
      <c r="BY478" s="186" t="n">
        <v>5.79</v>
      </c>
      <c r="CL478" s="186" t="n">
        <v>0</v>
      </c>
    </row>
    <row r="479" customFormat="false" ht="12.75" hidden="false" customHeight="false" outlineLevel="0" collapsed="false">
      <c r="A479" s="184" t="s">
        <v>657</v>
      </c>
      <c r="B479" s="0" t="s">
        <v>666</v>
      </c>
      <c r="C479" s="0" t="s">
        <v>763</v>
      </c>
      <c r="D479" s="0" t="s">
        <v>766</v>
      </c>
      <c r="E479" s="119" t="n">
        <v>8</v>
      </c>
      <c r="F479" s="119" t="n">
        <v>7</v>
      </c>
      <c r="I479" s="118" t="n">
        <v>9</v>
      </c>
      <c r="K479" s="118" t="n">
        <v>7</v>
      </c>
      <c r="M479" s="186" t="n">
        <v>2.53</v>
      </c>
      <c r="S479" s="192" t="n">
        <v>1174</v>
      </c>
      <c r="U479" s="186" t="n">
        <v>10.8</v>
      </c>
      <c r="Y479" s="186" t="n">
        <v>448</v>
      </c>
      <c r="AA479" s="192" t="n">
        <v>82535</v>
      </c>
      <c r="AC479" s="186" t="n">
        <v>24.2</v>
      </c>
      <c r="AG479" s="186" t="n">
        <v>2.93</v>
      </c>
      <c r="AM479" s="192" t="n">
        <v>77</v>
      </c>
      <c r="BS479" s="193" t="n">
        <v>48.51</v>
      </c>
      <c r="BU479" s="186" t="n">
        <v>18.51</v>
      </c>
      <c r="BY479" s="186" t="n">
        <v>6.02</v>
      </c>
      <c r="CL479" s="186" t="n">
        <v>0</v>
      </c>
    </row>
    <row r="480" customFormat="false" ht="12.75" hidden="false" customHeight="false" outlineLevel="0" collapsed="false">
      <c r="A480" s="184" t="s">
        <v>657</v>
      </c>
      <c r="B480" s="0" t="s">
        <v>669</v>
      </c>
      <c r="C480" s="0" t="s">
        <v>759</v>
      </c>
      <c r="D480" s="0" t="s">
        <v>762</v>
      </c>
      <c r="E480" s="119" t="n">
        <v>48</v>
      </c>
      <c r="F480" s="119" t="n">
        <v>5</v>
      </c>
      <c r="I480" s="118" t="n">
        <v>9</v>
      </c>
      <c r="K480" s="118" t="n">
        <v>9</v>
      </c>
      <c r="M480" s="186" t="n">
        <v>3.32</v>
      </c>
      <c r="S480" s="192" t="n">
        <v>1415</v>
      </c>
      <c r="U480" s="186" t="n">
        <v>10.8</v>
      </c>
      <c r="Y480" s="186" t="n">
        <v>712</v>
      </c>
      <c r="AA480" s="192" t="n">
        <v>113905</v>
      </c>
      <c r="AC480" s="186" t="n">
        <v>31.8</v>
      </c>
      <c r="AG480" s="186" t="n">
        <v>2.79</v>
      </c>
      <c r="AM480" s="192" t="n">
        <v>77</v>
      </c>
      <c r="BS480" s="193" t="n">
        <v>44.51</v>
      </c>
      <c r="BU480" s="186" t="n">
        <v>22.38</v>
      </c>
      <c r="BY480" s="186" t="n">
        <v>5.86</v>
      </c>
      <c r="CL480" s="186" t="n">
        <v>0</v>
      </c>
    </row>
    <row r="481" customFormat="false" ht="12.75" hidden="false" customHeight="false" outlineLevel="0" collapsed="false">
      <c r="A481" s="184" t="s">
        <v>657</v>
      </c>
      <c r="B481" s="0" t="s">
        <v>669</v>
      </c>
      <c r="C481" s="0" t="s">
        <v>763</v>
      </c>
      <c r="D481" s="0" t="s">
        <v>766</v>
      </c>
      <c r="E481" s="119" t="n">
        <v>14</v>
      </c>
      <c r="F481" s="119" t="n">
        <v>10</v>
      </c>
      <c r="I481" s="118" t="n">
        <v>9</v>
      </c>
      <c r="K481" s="118" t="n">
        <v>7</v>
      </c>
      <c r="M481" s="186" t="n">
        <v>3.17</v>
      </c>
      <c r="S481" s="192" t="n">
        <v>1334</v>
      </c>
      <c r="U481" s="186" t="n">
        <v>10.8</v>
      </c>
      <c r="Y481" s="186" t="n">
        <v>672</v>
      </c>
      <c r="AA481" s="192" t="n">
        <v>109684</v>
      </c>
      <c r="AC481" s="186" t="n">
        <v>30.2</v>
      </c>
      <c r="AG481" s="186" t="n">
        <v>2.75</v>
      </c>
      <c r="AM481" s="192" t="n">
        <v>77</v>
      </c>
      <c r="BS481" s="193" t="n">
        <v>44.21</v>
      </c>
      <c r="BU481" s="186" t="n">
        <v>22.26</v>
      </c>
      <c r="BY481" s="186" t="n">
        <v>6.44</v>
      </c>
      <c r="CL481" s="186" t="n">
        <v>0</v>
      </c>
    </row>
    <row r="482" customFormat="false" ht="12.75" hidden="false" customHeight="false" outlineLevel="0" collapsed="false">
      <c r="A482" s="184" t="s">
        <v>659</v>
      </c>
      <c r="B482" s="0" t="s">
        <v>666</v>
      </c>
      <c r="C482" s="0" t="s">
        <v>759</v>
      </c>
      <c r="D482" s="0" t="s">
        <v>762</v>
      </c>
      <c r="E482" s="119" t="n">
        <v>38</v>
      </c>
      <c r="F482" s="119" t="n">
        <v>1</v>
      </c>
      <c r="I482" s="118" t="n">
        <v>9</v>
      </c>
      <c r="K482" s="118" t="n">
        <v>7</v>
      </c>
      <c r="M482" s="186" t="n">
        <v>2.86</v>
      </c>
      <c r="S482" s="192" t="n">
        <v>1193</v>
      </c>
      <c r="U482" s="186" t="n">
        <v>10.8</v>
      </c>
      <c r="Y482" s="186" t="n">
        <v>597</v>
      </c>
      <c r="AA482" s="192" t="n">
        <v>99828</v>
      </c>
      <c r="AC482" s="186" t="n">
        <v>27.4</v>
      </c>
      <c r="AG482" s="186" t="n">
        <v>2.74</v>
      </c>
      <c r="AM482" s="192" t="n">
        <v>83</v>
      </c>
      <c r="BS482" s="193" t="n">
        <v>43.57</v>
      </c>
      <c r="BU482" s="186" t="n">
        <v>21.81</v>
      </c>
      <c r="BY482" s="186" t="n">
        <v>5.89</v>
      </c>
      <c r="CL482" s="186" t="n">
        <v>0</v>
      </c>
    </row>
    <row r="483" customFormat="false" ht="12.75" hidden="false" customHeight="false" outlineLevel="0" collapsed="false">
      <c r="A483" s="184" t="s">
        <v>659</v>
      </c>
      <c r="B483" s="0" t="s">
        <v>666</v>
      </c>
      <c r="C483" s="0" t="s">
        <v>763</v>
      </c>
      <c r="D483" s="0" t="s">
        <v>766</v>
      </c>
      <c r="E483" s="119" t="n">
        <v>3</v>
      </c>
      <c r="F483" s="119" t="n">
        <v>9</v>
      </c>
      <c r="I483" s="118" t="n">
        <v>9</v>
      </c>
      <c r="K483" s="118" t="n">
        <v>9</v>
      </c>
      <c r="M483" s="186" t="n">
        <v>2.55</v>
      </c>
      <c r="S483" s="192" t="n">
        <v>1019</v>
      </c>
      <c r="U483" s="186" t="n">
        <v>10.8</v>
      </c>
      <c r="Y483" s="186" t="n">
        <v>536</v>
      </c>
      <c r="AA483" s="192" t="n">
        <v>97118</v>
      </c>
      <c r="AC483" s="186" t="n">
        <v>24.2</v>
      </c>
      <c r="AG483" s="186" t="n">
        <v>2.49</v>
      </c>
      <c r="AM483" s="192" t="n">
        <v>83</v>
      </c>
      <c r="BS483" s="193" t="n">
        <v>42.13</v>
      </c>
      <c r="BU483" s="186" t="n">
        <v>22.15</v>
      </c>
      <c r="BY483" s="186" t="n">
        <v>6.77</v>
      </c>
      <c r="CL483" s="186" t="n">
        <v>0</v>
      </c>
    </row>
    <row r="484" customFormat="false" ht="12.75" hidden="false" customHeight="false" outlineLevel="0" collapsed="false">
      <c r="A484" s="184" t="s">
        <v>659</v>
      </c>
      <c r="B484" s="0" t="s">
        <v>669</v>
      </c>
      <c r="C484" s="0" t="s">
        <v>759</v>
      </c>
      <c r="D484" s="0" t="s">
        <v>762</v>
      </c>
      <c r="E484" s="119" t="n">
        <v>50</v>
      </c>
      <c r="F484" s="119" t="n">
        <v>5</v>
      </c>
      <c r="I484" s="118" t="n">
        <v>9</v>
      </c>
      <c r="K484" s="118" t="n">
        <v>9</v>
      </c>
      <c r="M484" s="186" t="n">
        <v>2.77</v>
      </c>
      <c r="S484" s="192" t="n">
        <v>1143</v>
      </c>
      <c r="U484" s="186" t="n">
        <v>10.8</v>
      </c>
      <c r="Y484" s="186" t="n">
        <v>583</v>
      </c>
      <c r="AA484" s="192" t="n">
        <v>92263</v>
      </c>
      <c r="AC484" s="186" t="n">
        <v>26.5</v>
      </c>
      <c r="AG484" s="186" t="n">
        <v>2.87</v>
      </c>
      <c r="AM484" s="192" t="n">
        <v>83</v>
      </c>
      <c r="BS484" s="193" t="n">
        <v>43.16</v>
      </c>
      <c r="BU484" s="186" t="n">
        <v>22.01</v>
      </c>
      <c r="BY484" s="186" t="n">
        <v>6.01</v>
      </c>
      <c r="CL484" s="186" t="n">
        <v>0</v>
      </c>
    </row>
    <row r="485" customFormat="false" ht="12.75" hidden="false" customHeight="false" outlineLevel="0" collapsed="false">
      <c r="A485" s="184" t="s">
        <v>659</v>
      </c>
      <c r="B485" s="0" t="s">
        <v>669</v>
      </c>
      <c r="C485" s="0" t="s">
        <v>763</v>
      </c>
      <c r="D485" s="0" t="s">
        <v>766</v>
      </c>
      <c r="E485" s="119" t="n">
        <v>18</v>
      </c>
      <c r="F485" s="119" t="n">
        <v>11</v>
      </c>
      <c r="I485" s="118" t="n">
        <v>9</v>
      </c>
      <c r="K485" s="118" t="n">
        <v>9</v>
      </c>
      <c r="M485" s="186" t="n">
        <v>2.78</v>
      </c>
      <c r="S485" s="192" t="n">
        <v>1077</v>
      </c>
      <c r="U485" s="186" t="n">
        <v>10.8</v>
      </c>
      <c r="Y485" s="186" t="n">
        <v>677</v>
      </c>
      <c r="AA485" s="192" t="n">
        <v>93193</v>
      </c>
      <c r="AC485" s="186" t="n">
        <v>26.5</v>
      </c>
      <c r="AG485" s="186" t="n">
        <v>2.84</v>
      </c>
      <c r="AM485" s="192" t="n">
        <v>83</v>
      </c>
      <c r="BS485" s="193" t="n">
        <v>40.7</v>
      </c>
      <c r="BU485" s="186" t="n">
        <v>25.59</v>
      </c>
      <c r="BY485" s="186" t="n">
        <v>6.44</v>
      </c>
      <c r="CL485" s="186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36" activeCellId="0" sqref="G36"/>
    </sheetView>
  </sheetViews>
  <sheetFormatPr defaultColWidth="11.57421875" defaultRowHeight="12.75" customHeight="true" zeroHeight="false" outlineLevelRow="0" outlineLevelCol="0"/>
  <cols>
    <col collapsed="false" customWidth="true" hidden="false" outlineLevel="0" max="1" min="1" style="194" width="16.29"/>
    <col collapsed="false" customWidth="true" hidden="false" outlineLevel="0" max="2" min="2" style="195" width="7.57"/>
    <col collapsed="false" customWidth="true" hidden="false" outlineLevel="0" max="3" min="3" style="194" width="9.43"/>
    <col collapsed="false" customWidth="true" hidden="false" outlineLevel="0" max="4" min="4" style="196" width="9"/>
    <col collapsed="false" customWidth="true" hidden="false" outlineLevel="0" max="5" min="5" style="196" width="14.14"/>
    <col collapsed="false" customWidth="true" hidden="false" outlineLevel="0" max="6" min="6" style="196" width="12.43"/>
    <col collapsed="false" customWidth="false" hidden="false" outlineLevel="0" max="16384" min="7" style="197" width="11.57"/>
  </cols>
  <sheetData>
    <row r="1" customFormat="false" ht="12.75" hidden="false" customHeight="false" outlineLevel="0" collapsed="false">
      <c r="A1" s="198" t="s">
        <v>215</v>
      </c>
      <c r="B1" s="199" t="s">
        <v>216</v>
      </c>
      <c r="C1" s="198" t="s">
        <v>217</v>
      </c>
      <c r="D1" s="200" t="s">
        <v>218</v>
      </c>
      <c r="E1" s="200" t="s">
        <v>219</v>
      </c>
      <c r="F1" s="200" t="s">
        <v>29</v>
      </c>
    </row>
    <row r="2" customFormat="false" ht="12.75" hidden="false" customHeight="false" outlineLevel="0" collapsed="false">
      <c r="A2" s="194" t="s">
        <v>769</v>
      </c>
      <c r="B2" s="195" t="s">
        <v>770</v>
      </c>
      <c r="C2" s="194" t="s">
        <v>771</v>
      </c>
    </row>
    <row r="3" customFormat="false" ht="12.75" hidden="false" customHeight="false" outlineLevel="0" collapsed="false">
      <c r="A3" s="194" t="s">
        <v>772</v>
      </c>
      <c r="B3" s="195" t="s">
        <v>770</v>
      </c>
      <c r="C3" s="194" t="s">
        <v>771</v>
      </c>
    </row>
    <row r="4" customFormat="false" ht="12.75" hidden="false" customHeight="false" outlineLevel="0" collapsed="false">
      <c r="A4" s="194" t="s">
        <v>773</v>
      </c>
      <c r="B4" s="195" t="s">
        <v>770</v>
      </c>
      <c r="C4" s="194" t="s">
        <v>771</v>
      </c>
    </row>
    <row r="5" customFormat="false" ht="12.75" hidden="false" customHeight="false" outlineLevel="0" collapsed="false">
      <c r="A5" s="194" t="s">
        <v>774</v>
      </c>
      <c r="B5" s="195" t="s">
        <v>770</v>
      </c>
      <c r="C5" s="194" t="s">
        <v>771</v>
      </c>
    </row>
    <row r="6" customFormat="false" ht="12.75" hidden="false" customHeight="false" outlineLevel="0" collapsed="false">
      <c r="A6" s="194" t="s">
        <v>775</v>
      </c>
      <c r="B6" s="195" t="s">
        <v>770</v>
      </c>
      <c r="C6" s="194" t="s">
        <v>771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G54" activeCellId="0" sqref="G54"/>
    </sheetView>
  </sheetViews>
  <sheetFormatPr defaultColWidth="10.71484375" defaultRowHeight="12" customHeight="true" zeroHeight="false" outlineLevelRow="0" outlineLevelCol="0"/>
  <cols>
    <col collapsed="false" customWidth="true" hidden="false" outlineLevel="0" max="1" min="1" style="201" width="9.29"/>
    <col collapsed="false" customWidth="true" hidden="false" outlineLevel="0" max="2" min="2" style="201" width="10.43"/>
    <col collapsed="false" customWidth="true" hidden="false" outlineLevel="0" max="3" min="3" style="201" width="11"/>
  </cols>
  <sheetData>
    <row r="1" s="128" customFormat="true" ht="12" hidden="false" customHeight="false" outlineLevel="0" collapsed="false">
      <c r="A1" s="202" t="s">
        <v>233</v>
      </c>
      <c r="B1" s="202" t="s">
        <v>234</v>
      </c>
      <c r="C1" s="202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70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E5" activeCellId="0" sqref="E5"/>
    </sheetView>
  </sheetViews>
  <sheetFormatPr defaultColWidth="9.00390625" defaultRowHeight="12" customHeight="true" zeroHeight="false" outlineLevelRow="0" outlineLevelCol="0"/>
  <cols>
    <col collapsed="false" customWidth="true" hidden="false" outlineLevel="0" max="1" min="1" style="0" width="82.14"/>
    <col collapsed="false" customWidth="true" hidden="false" outlineLevel="0" max="2" min="2" style="0" width="105.29"/>
    <col collapsed="false" customWidth="true" hidden="false" outlineLevel="0" max="3" min="3" style="0" width="83.14"/>
    <col collapsed="false" customWidth="true" hidden="false" outlineLevel="0" max="4" min="4" style="0" width="27.86"/>
    <col collapsed="false" customWidth="true" hidden="false" outlineLevel="0" max="5" min="5" style="0" width="46"/>
  </cols>
  <sheetData>
    <row r="1" customFormat="false" ht="12" hidden="false" customHeight="false" outlineLevel="0" collapsed="false">
      <c r="A1" s="203" t="s">
        <v>146</v>
      </c>
      <c r="B1" s="203" t="s">
        <v>776</v>
      </c>
      <c r="C1" s="203" t="s">
        <v>149</v>
      </c>
      <c r="D1" s="203" t="s">
        <v>26</v>
      </c>
      <c r="E1" s="203" t="s">
        <v>65</v>
      </c>
    </row>
    <row r="2" customFormat="false" ht="12" hidden="false" customHeight="false" outlineLevel="0" collapsed="false">
      <c r="A2" s="203" t="s">
        <v>777</v>
      </c>
      <c r="B2" s="203" t="s">
        <v>778</v>
      </c>
      <c r="C2" s="203" t="s">
        <v>779</v>
      </c>
      <c r="D2" s="203" t="s">
        <v>780</v>
      </c>
      <c r="E2" s="203" t="s">
        <v>781</v>
      </c>
    </row>
    <row r="3" customFormat="false" ht="12" hidden="false" customHeight="false" outlineLevel="0" collapsed="false">
      <c r="A3" s="203" t="s">
        <v>782</v>
      </c>
      <c r="B3" s="203" t="s">
        <v>783</v>
      </c>
      <c r="C3" s="203" t="s">
        <v>784</v>
      </c>
      <c r="D3" s="203" t="s">
        <v>785</v>
      </c>
      <c r="E3" s="203" t="s">
        <v>786</v>
      </c>
    </row>
    <row r="4" customFormat="false" ht="12" hidden="false" customHeight="false" outlineLevel="0" collapsed="false">
      <c r="A4" s="203" t="s">
        <v>787</v>
      </c>
      <c r="B4" s="203" t="s">
        <v>788</v>
      </c>
      <c r="C4" s="203" t="s">
        <v>789</v>
      </c>
      <c r="D4" s="203" t="s">
        <v>790</v>
      </c>
      <c r="E4" s="203" t="s">
        <v>791</v>
      </c>
    </row>
    <row r="5" customFormat="false" ht="12" hidden="false" customHeight="false" outlineLevel="0" collapsed="false">
      <c r="A5" s="203" t="s">
        <v>792</v>
      </c>
      <c r="B5" s="203" t="s">
        <v>793</v>
      </c>
      <c r="C5" s="203" t="s">
        <v>794</v>
      </c>
      <c r="D5" s="203" t="s">
        <v>795</v>
      </c>
      <c r="E5" s="203" t="s">
        <v>796</v>
      </c>
    </row>
    <row r="6" customFormat="false" ht="12" hidden="false" customHeight="false" outlineLevel="0" collapsed="false">
      <c r="A6" s="203" t="s">
        <v>797</v>
      </c>
      <c r="B6" s="203" t="s">
        <v>798</v>
      </c>
      <c r="C6" s="203" t="s">
        <v>799</v>
      </c>
      <c r="D6" s="203" t="s">
        <v>800</v>
      </c>
      <c r="E6" s="203" t="s">
        <v>90</v>
      </c>
    </row>
    <row r="7" customFormat="false" ht="12" hidden="false" customHeight="false" outlineLevel="0" collapsed="false">
      <c r="A7" s="203" t="s">
        <v>801</v>
      </c>
      <c r="B7" s="203" t="s">
        <v>802</v>
      </c>
      <c r="C7" s="203" t="s">
        <v>803</v>
      </c>
      <c r="D7" s="203" t="s">
        <v>804</v>
      </c>
      <c r="E7" s="203" t="s">
        <v>805</v>
      </c>
    </row>
    <row r="8" customFormat="false" ht="12" hidden="false" customHeight="false" outlineLevel="0" collapsed="false">
      <c r="A8" s="203" t="s">
        <v>806</v>
      </c>
      <c r="B8" s="203" t="s">
        <v>807</v>
      </c>
      <c r="C8" s="203" t="s">
        <v>808</v>
      </c>
      <c r="D8" s="203" t="s">
        <v>809</v>
      </c>
      <c r="E8" s="203" t="s">
        <v>810</v>
      </c>
    </row>
    <row r="9" customFormat="false" ht="12" hidden="false" customHeight="false" outlineLevel="0" collapsed="false">
      <c r="A9" s="203" t="s">
        <v>811</v>
      </c>
      <c r="B9" s="203" t="s">
        <v>812</v>
      </c>
      <c r="C9" s="203" t="s">
        <v>813</v>
      </c>
      <c r="D9" s="203" t="s">
        <v>814</v>
      </c>
      <c r="E9" s="203" t="s">
        <v>815</v>
      </c>
    </row>
    <row r="10" customFormat="false" ht="12" hidden="false" customHeight="false" outlineLevel="0" collapsed="false">
      <c r="A10" s="203" t="s">
        <v>816</v>
      </c>
      <c r="B10" s="203" t="s">
        <v>817</v>
      </c>
      <c r="C10" s="203" t="s">
        <v>818</v>
      </c>
      <c r="D10" s="203" t="s">
        <v>819</v>
      </c>
      <c r="E10" s="203" t="s">
        <v>820</v>
      </c>
    </row>
    <row r="11" customFormat="false" ht="12" hidden="false" customHeight="false" outlineLevel="0" collapsed="false">
      <c r="A11" s="203" t="s">
        <v>821</v>
      </c>
      <c r="B11" s="203" t="s">
        <v>822</v>
      </c>
      <c r="C11" s="203" t="s">
        <v>823</v>
      </c>
      <c r="D11" s="203" t="s">
        <v>824</v>
      </c>
      <c r="E11" s="203" t="s">
        <v>825</v>
      </c>
    </row>
    <row r="12" customFormat="false" ht="12" hidden="false" customHeight="false" outlineLevel="0" collapsed="false">
      <c r="A12" s="203" t="s">
        <v>826</v>
      </c>
      <c r="B12" s="203" t="s">
        <v>827</v>
      </c>
      <c r="C12" s="203" t="s">
        <v>828</v>
      </c>
      <c r="D12" s="203" t="s">
        <v>829</v>
      </c>
      <c r="E12" s="203" t="s">
        <v>830</v>
      </c>
    </row>
    <row r="13" customFormat="false" ht="12" hidden="false" customHeight="false" outlineLevel="0" collapsed="false">
      <c r="A13" s="203" t="s">
        <v>831</v>
      </c>
      <c r="B13" s="203" t="s">
        <v>832</v>
      </c>
      <c r="C13" s="203" t="s">
        <v>833</v>
      </c>
      <c r="D13" s="203" t="s">
        <v>834</v>
      </c>
      <c r="E13" s="203" t="s">
        <v>835</v>
      </c>
    </row>
    <row r="14" customFormat="false" ht="12" hidden="false" customHeight="false" outlineLevel="0" collapsed="false">
      <c r="A14" s="203" t="s">
        <v>836</v>
      </c>
      <c r="B14" s="203" t="s">
        <v>837</v>
      </c>
      <c r="C14" s="203" t="s">
        <v>838</v>
      </c>
      <c r="D14" s="203" t="s">
        <v>839</v>
      </c>
      <c r="E14" s="203" t="s">
        <v>840</v>
      </c>
    </row>
    <row r="15" customFormat="false" ht="12" hidden="false" customHeight="false" outlineLevel="0" collapsed="false">
      <c r="A15" s="203" t="s">
        <v>841</v>
      </c>
      <c r="B15" s="203" t="s">
        <v>842</v>
      </c>
      <c r="C15" s="203" t="s">
        <v>843</v>
      </c>
      <c r="D15" s="203" t="s">
        <v>844</v>
      </c>
      <c r="E15" s="203" t="s">
        <v>845</v>
      </c>
    </row>
    <row r="16" customFormat="false" ht="12" hidden="false" customHeight="false" outlineLevel="0" collapsed="false">
      <c r="A16" s="203" t="s">
        <v>846</v>
      </c>
      <c r="B16" s="203" t="s">
        <v>847</v>
      </c>
      <c r="C16" s="203" t="s">
        <v>848</v>
      </c>
      <c r="D16" s="203" t="s">
        <v>849</v>
      </c>
      <c r="E16" s="203" t="s">
        <v>850</v>
      </c>
    </row>
    <row r="17" customFormat="false" ht="12" hidden="false" customHeight="false" outlineLevel="0" collapsed="false">
      <c r="A17" s="203" t="s">
        <v>851</v>
      </c>
      <c r="B17" s="203" t="s">
        <v>852</v>
      </c>
      <c r="C17" s="203" t="s">
        <v>853</v>
      </c>
      <c r="D17" s="203" t="s">
        <v>854</v>
      </c>
      <c r="E17" s="203" t="s">
        <v>855</v>
      </c>
    </row>
    <row r="18" customFormat="false" ht="12" hidden="false" customHeight="false" outlineLevel="0" collapsed="false">
      <c r="A18" s="203" t="s">
        <v>856</v>
      </c>
      <c r="B18" s="203" t="s">
        <v>857</v>
      </c>
      <c r="C18" s="203" t="s">
        <v>858</v>
      </c>
      <c r="D18" s="203" t="s">
        <v>859</v>
      </c>
      <c r="E18" s="203" t="s">
        <v>860</v>
      </c>
    </row>
    <row r="19" customFormat="false" ht="12" hidden="false" customHeight="false" outlineLevel="0" collapsed="false">
      <c r="A19" s="203" t="s">
        <v>861</v>
      </c>
      <c r="B19" s="203" t="s">
        <v>862</v>
      </c>
      <c r="C19" s="203" t="s">
        <v>863</v>
      </c>
      <c r="D19" s="203" t="s">
        <v>864</v>
      </c>
      <c r="E19" s="203" t="s">
        <v>865</v>
      </c>
    </row>
    <row r="20" customFormat="false" ht="12" hidden="false" customHeight="false" outlineLevel="0" collapsed="false">
      <c r="A20" s="203" t="s">
        <v>866</v>
      </c>
      <c r="B20" s="203" t="s">
        <v>867</v>
      </c>
      <c r="C20" s="203" t="s">
        <v>868</v>
      </c>
      <c r="D20" s="203" t="s">
        <v>869</v>
      </c>
      <c r="E20" s="203" t="s">
        <v>870</v>
      </c>
    </row>
    <row r="21" customFormat="false" ht="12" hidden="false" customHeight="false" outlineLevel="0" collapsed="false">
      <c r="A21" s="203" t="s">
        <v>871</v>
      </c>
      <c r="B21" s="203" t="s">
        <v>872</v>
      </c>
      <c r="C21" s="203" t="s">
        <v>873</v>
      </c>
      <c r="D21" s="203" t="s">
        <v>874</v>
      </c>
      <c r="E21" s="203" t="s">
        <v>875</v>
      </c>
    </row>
    <row r="22" customFormat="false" ht="12" hidden="false" customHeight="false" outlineLevel="0" collapsed="false">
      <c r="A22" s="203" t="s">
        <v>876</v>
      </c>
      <c r="B22" s="203" t="s">
        <v>877</v>
      </c>
      <c r="D22" s="203" t="s">
        <v>878</v>
      </c>
      <c r="E22" s="203" t="s">
        <v>879</v>
      </c>
    </row>
    <row r="23" customFormat="false" ht="12" hidden="false" customHeight="false" outlineLevel="0" collapsed="false">
      <c r="A23" s="203" t="s">
        <v>880</v>
      </c>
      <c r="B23" s="203" t="s">
        <v>881</v>
      </c>
      <c r="D23" s="203" t="s">
        <v>882</v>
      </c>
      <c r="E23" s="203" t="s">
        <v>883</v>
      </c>
    </row>
    <row r="24" customFormat="false" ht="12" hidden="false" customHeight="false" outlineLevel="0" collapsed="false">
      <c r="A24" s="203" t="s">
        <v>884</v>
      </c>
      <c r="B24" s="203" t="s">
        <v>885</v>
      </c>
      <c r="D24" s="203" t="s">
        <v>886</v>
      </c>
      <c r="E24" s="203" t="s">
        <v>887</v>
      </c>
    </row>
    <row r="25" customFormat="false" ht="12" hidden="false" customHeight="false" outlineLevel="0" collapsed="false">
      <c r="A25" s="203" t="s">
        <v>888</v>
      </c>
      <c r="B25" s="203" t="s">
        <v>889</v>
      </c>
      <c r="D25" s="203" t="s">
        <v>890</v>
      </c>
    </row>
    <row r="26" customFormat="false" ht="12" hidden="false" customHeight="false" outlineLevel="0" collapsed="false">
      <c r="A26" s="203" t="s">
        <v>891</v>
      </c>
      <c r="B26" s="203" t="s">
        <v>892</v>
      </c>
      <c r="D26" s="203" t="s">
        <v>893</v>
      </c>
    </row>
    <row r="27" customFormat="false" ht="12" hidden="false" customHeight="false" outlineLevel="0" collapsed="false">
      <c r="A27" s="203" t="s">
        <v>894</v>
      </c>
      <c r="B27" s="203" t="s">
        <v>895</v>
      </c>
      <c r="D27" s="203" t="s">
        <v>896</v>
      </c>
    </row>
    <row r="28" customFormat="false" ht="12" hidden="false" customHeight="false" outlineLevel="0" collapsed="false">
      <c r="A28" s="203" t="s">
        <v>897</v>
      </c>
      <c r="B28" s="203" t="s">
        <v>898</v>
      </c>
      <c r="D28" s="203" t="s">
        <v>899</v>
      </c>
    </row>
    <row r="29" customFormat="false" ht="12" hidden="false" customHeight="false" outlineLevel="0" collapsed="false">
      <c r="A29" s="203" t="s">
        <v>900</v>
      </c>
      <c r="B29" s="203" t="s">
        <v>901</v>
      </c>
      <c r="D29" s="203" t="s">
        <v>902</v>
      </c>
    </row>
    <row r="30" customFormat="false" ht="12" hidden="false" customHeight="false" outlineLevel="0" collapsed="false">
      <c r="A30" s="203" t="s">
        <v>903</v>
      </c>
      <c r="B30" s="203" t="s">
        <v>904</v>
      </c>
      <c r="D30" s="203" t="s">
        <v>905</v>
      </c>
    </row>
    <row r="31" customFormat="false" ht="12" hidden="false" customHeight="false" outlineLevel="0" collapsed="false">
      <c r="A31" s="203" t="s">
        <v>906</v>
      </c>
      <c r="B31" s="203" t="s">
        <v>907</v>
      </c>
      <c r="D31" s="203" t="s">
        <v>908</v>
      </c>
    </row>
    <row r="32" customFormat="false" ht="12" hidden="false" customHeight="false" outlineLevel="0" collapsed="false">
      <c r="A32" s="203" t="s">
        <v>909</v>
      </c>
      <c r="B32" s="203" t="s">
        <v>910</v>
      </c>
      <c r="D32" s="203" t="s">
        <v>911</v>
      </c>
    </row>
    <row r="33" customFormat="false" ht="12" hidden="false" customHeight="false" outlineLevel="0" collapsed="false">
      <c r="A33" s="203" t="s">
        <v>912</v>
      </c>
      <c r="B33" s="203" t="s">
        <v>913</v>
      </c>
      <c r="D33" s="203" t="s">
        <v>914</v>
      </c>
    </row>
    <row r="34" customFormat="false" ht="12" hidden="false" customHeight="false" outlineLevel="0" collapsed="false">
      <c r="A34" s="203" t="s">
        <v>915</v>
      </c>
      <c r="B34" s="203" t="s">
        <v>916</v>
      </c>
      <c r="D34" s="203" t="s">
        <v>917</v>
      </c>
    </row>
    <row r="35" customFormat="false" ht="12" hidden="false" customHeight="false" outlineLevel="0" collapsed="false">
      <c r="A35" s="203" t="s">
        <v>918</v>
      </c>
      <c r="B35" s="203" t="s">
        <v>919</v>
      </c>
      <c r="D35" s="203" t="s">
        <v>920</v>
      </c>
    </row>
    <row r="36" customFormat="false" ht="12" hidden="false" customHeight="false" outlineLevel="0" collapsed="false">
      <c r="A36" s="203" t="s">
        <v>921</v>
      </c>
      <c r="B36" s="203" t="s">
        <v>922</v>
      </c>
      <c r="D36" s="203" t="s">
        <v>923</v>
      </c>
    </row>
    <row r="37" customFormat="false" ht="12" hidden="false" customHeight="false" outlineLevel="0" collapsed="false">
      <c r="A37" s="203" t="s">
        <v>924</v>
      </c>
      <c r="B37" s="203" t="s">
        <v>925</v>
      </c>
      <c r="D37" s="203" t="s">
        <v>926</v>
      </c>
    </row>
    <row r="38" customFormat="false" ht="12" hidden="false" customHeight="false" outlineLevel="0" collapsed="false">
      <c r="A38" s="203" t="s">
        <v>927</v>
      </c>
      <c r="B38" s="203" t="s">
        <v>928</v>
      </c>
      <c r="D38" s="203" t="s">
        <v>929</v>
      </c>
    </row>
    <row r="39" customFormat="false" ht="12" hidden="false" customHeight="false" outlineLevel="0" collapsed="false">
      <c r="A39" s="203" t="s">
        <v>930</v>
      </c>
      <c r="B39" s="203" t="s">
        <v>931</v>
      </c>
      <c r="D39" s="203" t="s">
        <v>932</v>
      </c>
    </row>
    <row r="40" customFormat="false" ht="12" hidden="false" customHeight="false" outlineLevel="0" collapsed="false">
      <c r="A40" s="203" t="s">
        <v>933</v>
      </c>
      <c r="B40" s="203" t="s">
        <v>934</v>
      </c>
      <c r="D40" s="203" t="s">
        <v>935</v>
      </c>
    </row>
    <row r="41" customFormat="false" ht="12" hidden="false" customHeight="false" outlineLevel="0" collapsed="false">
      <c r="A41" s="203" t="s">
        <v>936</v>
      </c>
      <c r="B41" s="203" t="s">
        <v>937</v>
      </c>
      <c r="D41" s="203" t="s">
        <v>938</v>
      </c>
    </row>
    <row r="42" customFormat="false" ht="12" hidden="false" customHeight="false" outlineLevel="0" collapsed="false">
      <c r="A42" s="203" t="s">
        <v>939</v>
      </c>
      <c r="B42" s="203" t="s">
        <v>940</v>
      </c>
      <c r="D42" s="203" t="s">
        <v>941</v>
      </c>
    </row>
    <row r="43" customFormat="false" ht="12" hidden="false" customHeight="false" outlineLevel="0" collapsed="false">
      <c r="A43" s="203" t="s">
        <v>942</v>
      </c>
      <c r="B43" s="203" t="s">
        <v>943</v>
      </c>
      <c r="D43" s="203" t="s">
        <v>944</v>
      </c>
    </row>
    <row r="44" customFormat="false" ht="12" hidden="false" customHeight="false" outlineLevel="0" collapsed="false">
      <c r="A44" s="203" t="s">
        <v>945</v>
      </c>
      <c r="B44" s="203" t="s">
        <v>946</v>
      </c>
      <c r="D44" s="203" t="s">
        <v>947</v>
      </c>
    </row>
    <row r="45" customFormat="false" ht="12" hidden="false" customHeight="false" outlineLevel="0" collapsed="false">
      <c r="A45" s="203" t="s">
        <v>948</v>
      </c>
      <c r="B45" s="203" t="s">
        <v>949</v>
      </c>
      <c r="D45" s="203" t="s">
        <v>950</v>
      </c>
    </row>
    <row r="46" customFormat="false" ht="12" hidden="false" customHeight="false" outlineLevel="0" collapsed="false">
      <c r="A46" s="203" t="s">
        <v>951</v>
      </c>
      <c r="B46" s="203" t="s">
        <v>952</v>
      </c>
      <c r="D46" s="203" t="s">
        <v>953</v>
      </c>
    </row>
    <row r="47" customFormat="false" ht="12" hidden="false" customHeight="false" outlineLevel="0" collapsed="false">
      <c r="A47" s="203" t="s">
        <v>954</v>
      </c>
      <c r="B47" s="203" t="s">
        <v>955</v>
      </c>
      <c r="D47" s="203" t="s">
        <v>956</v>
      </c>
    </row>
    <row r="48" customFormat="false" ht="12" hidden="false" customHeight="false" outlineLevel="0" collapsed="false">
      <c r="A48" s="203" t="s">
        <v>957</v>
      </c>
      <c r="B48" s="203" t="s">
        <v>958</v>
      </c>
      <c r="D48" s="203" t="s">
        <v>959</v>
      </c>
    </row>
    <row r="49" customFormat="false" ht="12" hidden="false" customHeight="false" outlineLevel="0" collapsed="false">
      <c r="A49" s="203" t="s">
        <v>960</v>
      </c>
      <c r="B49" s="203" t="s">
        <v>961</v>
      </c>
      <c r="D49" s="203" t="s">
        <v>962</v>
      </c>
    </row>
    <row r="50" customFormat="false" ht="12" hidden="false" customHeight="false" outlineLevel="0" collapsed="false">
      <c r="A50" s="203" t="s">
        <v>963</v>
      </c>
      <c r="B50" s="203" t="s">
        <v>964</v>
      </c>
      <c r="D50" s="203" t="s">
        <v>965</v>
      </c>
    </row>
    <row r="51" customFormat="false" ht="12" hidden="false" customHeight="false" outlineLevel="0" collapsed="false">
      <c r="A51" s="203" t="s">
        <v>966</v>
      </c>
      <c r="B51" s="203" t="s">
        <v>967</v>
      </c>
      <c r="D51" s="203" t="s">
        <v>968</v>
      </c>
    </row>
    <row r="52" customFormat="false" ht="12" hidden="false" customHeight="false" outlineLevel="0" collapsed="false">
      <c r="A52" s="203" t="s">
        <v>969</v>
      </c>
      <c r="B52" s="203" t="s">
        <v>970</v>
      </c>
      <c r="D52" s="203" t="s">
        <v>971</v>
      </c>
    </row>
    <row r="53" customFormat="false" ht="12" hidden="false" customHeight="false" outlineLevel="0" collapsed="false">
      <c r="A53" s="203" t="s">
        <v>972</v>
      </c>
      <c r="B53" s="203" t="s">
        <v>973</v>
      </c>
      <c r="D53" s="203" t="s">
        <v>974</v>
      </c>
    </row>
    <row r="54" customFormat="false" ht="12" hidden="false" customHeight="false" outlineLevel="0" collapsed="false">
      <c r="A54" s="203" t="s">
        <v>975</v>
      </c>
      <c r="B54" s="203" t="s">
        <v>976</v>
      </c>
      <c r="D54" s="203" t="s">
        <v>977</v>
      </c>
    </row>
    <row r="55" customFormat="false" ht="12" hidden="false" customHeight="false" outlineLevel="0" collapsed="false">
      <c r="A55" s="203" t="s">
        <v>978</v>
      </c>
      <c r="B55" s="203" t="s">
        <v>979</v>
      </c>
      <c r="D55" s="203" t="s">
        <v>980</v>
      </c>
    </row>
    <row r="56" customFormat="false" ht="12" hidden="false" customHeight="false" outlineLevel="0" collapsed="false">
      <c r="A56" s="203" t="s">
        <v>981</v>
      </c>
      <c r="B56" s="203" t="s">
        <v>982</v>
      </c>
      <c r="D56" s="203" t="s">
        <v>983</v>
      </c>
    </row>
    <row r="57" customFormat="false" ht="12" hidden="false" customHeight="false" outlineLevel="0" collapsed="false">
      <c r="A57" s="203" t="s">
        <v>984</v>
      </c>
      <c r="B57" s="203" t="s">
        <v>985</v>
      </c>
      <c r="D57" s="203" t="s">
        <v>986</v>
      </c>
    </row>
    <row r="58" customFormat="false" ht="12" hidden="false" customHeight="false" outlineLevel="0" collapsed="false">
      <c r="A58" s="203" t="s">
        <v>987</v>
      </c>
      <c r="B58" s="203" t="s">
        <v>988</v>
      </c>
      <c r="D58" s="203" t="s">
        <v>989</v>
      </c>
    </row>
    <row r="59" customFormat="false" ht="12" hidden="false" customHeight="false" outlineLevel="0" collapsed="false">
      <c r="A59" s="203" t="s">
        <v>990</v>
      </c>
      <c r="B59" s="203" t="s">
        <v>991</v>
      </c>
      <c r="D59" s="203" t="s">
        <v>992</v>
      </c>
    </row>
    <row r="60" customFormat="false" ht="12" hidden="false" customHeight="false" outlineLevel="0" collapsed="false">
      <c r="A60" s="203" t="s">
        <v>993</v>
      </c>
      <c r="B60" s="203" t="s">
        <v>994</v>
      </c>
      <c r="D60" s="203" t="s">
        <v>995</v>
      </c>
    </row>
    <row r="61" customFormat="false" ht="12" hidden="false" customHeight="false" outlineLevel="0" collapsed="false">
      <c r="A61" s="203" t="s">
        <v>996</v>
      </c>
      <c r="B61" s="203" t="s">
        <v>997</v>
      </c>
      <c r="D61" s="203" t="s">
        <v>998</v>
      </c>
    </row>
    <row r="62" customFormat="false" ht="12" hidden="false" customHeight="false" outlineLevel="0" collapsed="false">
      <c r="A62" s="203" t="s">
        <v>999</v>
      </c>
      <c r="B62" s="203" t="s">
        <v>1000</v>
      </c>
      <c r="D62" s="203" t="s">
        <v>1001</v>
      </c>
    </row>
    <row r="63" customFormat="false" ht="12" hidden="false" customHeight="false" outlineLevel="0" collapsed="false">
      <c r="A63" s="203" t="s">
        <v>1002</v>
      </c>
      <c r="B63" s="203" t="s">
        <v>1003</v>
      </c>
      <c r="D63" s="203" t="s">
        <v>1004</v>
      </c>
    </row>
    <row r="64" customFormat="false" ht="12" hidden="false" customHeight="false" outlineLevel="0" collapsed="false">
      <c r="A64" s="203" t="s">
        <v>1005</v>
      </c>
      <c r="B64" s="203" t="s">
        <v>1006</v>
      </c>
      <c r="D64" s="203" t="s">
        <v>1007</v>
      </c>
    </row>
    <row r="65" customFormat="false" ht="12" hidden="false" customHeight="false" outlineLevel="0" collapsed="false">
      <c r="A65" s="203" t="s">
        <v>1008</v>
      </c>
      <c r="B65" s="203" t="s">
        <v>1009</v>
      </c>
      <c r="D65" s="203" t="s">
        <v>1010</v>
      </c>
    </row>
    <row r="66" customFormat="false" ht="12" hidden="false" customHeight="false" outlineLevel="0" collapsed="false">
      <c r="A66" s="203" t="s">
        <v>1011</v>
      </c>
      <c r="B66" s="203" t="s">
        <v>1012</v>
      </c>
      <c r="D66" s="203" t="s">
        <v>1013</v>
      </c>
    </row>
    <row r="67" customFormat="false" ht="12" hidden="false" customHeight="false" outlineLevel="0" collapsed="false">
      <c r="A67" s="203" t="s">
        <v>1014</v>
      </c>
      <c r="B67" s="203" t="s">
        <v>1015</v>
      </c>
      <c r="D67" s="203" t="s">
        <v>1016</v>
      </c>
    </row>
    <row r="68" customFormat="false" ht="12" hidden="false" customHeight="false" outlineLevel="0" collapsed="false">
      <c r="A68" s="203" t="s">
        <v>1017</v>
      </c>
      <c r="B68" s="203" t="s">
        <v>1018</v>
      </c>
      <c r="D68" s="203" t="s">
        <v>1019</v>
      </c>
    </row>
    <row r="69" customFormat="false" ht="12" hidden="false" customHeight="false" outlineLevel="0" collapsed="false">
      <c r="A69" s="203" t="s">
        <v>1020</v>
      </c>
      <c r="B69" s="203" t="s">
        <v>1021</v>
      </c>
      <c r="D69" s="203" t="s">
        <v>1022</v>
      </c>
    </row>
    <row r="70" customFormat="false" ht="12" hidden="false" customHeight="false" outlineLevel="0" collapsed="false">
      <c r="A70" s="203" t="s">
        <v>1023</v>
      </c>
      <c r="B70" s="203" t="s">
        <v>1024</v>
      </c>
      <c r="D70" s="203" t="s">
        <v>1025</v>
      </c>
    </row>
    <row r="71" customFormat="false" ht="12" hidden="false" customHeight="false" outlineLevel="0" collapsed="false">
      <c r="A71" s="203" t="s">
        <v>1026</v>
      </c>
      <c r="B71" s="203" t="s">
        <v>1027</v>
      </c>
      <c r="D71" s="203" t="s">
        <v>1028</v>
      </c>
    </row>
    <row r="72" customFormat="false" ht="12" hidden="false" customHeight="false" outlineLevel="0" collapsed="false">
      <c r="A72" s="203" t="s">
        <v>1029</v>
      </c>
      <c r="B72" s="203" t="s">
        <v>1030</v>
      </c>
      <c r="D72" s="203" t="s">
        <v>1031</v>
      </c>
    </row>
    <row r="73" customFormat="false" ht="12" hidden="false" customHeight="false" outlineLevel="0" collapsed="false">
      <c r="A73" s="203" t="s">
        <v>1032</v>
      </c>
      <c r="B73" s="203" t="s">
        <v>1033</v>
      </c>
      <c r="D73" s="203" t="s">
        <v>1034</v>
      </c>
    </row>
    <row r="74" customFormat="false" ht="12" hidden="false" customHeight="false" outlineLevel="0" collapsed="false">
      <c r="A74" s="203" t="s">
        <v>1035</v>
      </c>
      <c r="B74" s="203" t="s">
        <v>1036</v>
      </c>
      <c r="D74" s="203" t="s">
        <v>1037</v>
      </c>
    </row>
    <row r="75" customFormat="false" ht="12" hidden="false" customHeight="false" outlineLevel="0" collapsed="false">
      <c r="A75" s="203" t="s">
        <v>1038</v>
      </c>
      <c r="B75" s="203" t="s">
        <v>1039</v>
      </c>
      <c r="D75" s="203" t="s">
        <v>1040</v>
      </c>
    </row>
    <row r="76" customFormat="false" ht="12" hidden="false" customHeight="false" outlineLevel="0" collapsed="false">
      <c r="A76" s="203" t="s">
        <v>430</v>
      </c>
      <c r="B76" s="203" t="s">
        <v>1041</v>
      </c>
      <c r="D76" s="203" t="s">
        <v>1042</v>
      </c>
    </row>
    <row r="77" customFormat="false" ht="12" hidden="false" customHeight="false" outlineLevel="0" collapsed="false">
      <c r="A77" s="203" t="s">
        <v>1043</v>
      </c>
      <c r="B77" s="203" t="s">
        <v>1044</v>
      </c>
      <c r="D77" s="203" t="s">
        <v>1045</v>
      </c>
    </row>
    <row r="78" customFormat="false" ht="12" hidden="false" customHeight="false" outlineLevel="0" collapsed="false">
      <c r="A78" s="203" t="s">
        <v>1046</v>
      </c>
      <c r="B78" s="203" t="s">
        <v>1047</v>
      </c>
      <c r="D78" s="203" t="s">
        <v>1048</v>
      </c>
    </row>
    <row r="79" customFormat="false" ht="12" hidden="false" customHeight="false" outlineLevel="0" collapsed="false">
      <c r="A79" s="203" t="s">
        <v>1049</v>
      </c>
      <c r="B79" s="203" t="s">
        <v>1050</v>
      </c>
      <c r="D79" s="203" t="s">
        <v>1051</v>
      </c>
    </row>
    <row r="80" customFormat="false" ht="12" hidden="false" customHeight="false" outlineLevel="0" collapsed="false">
      <c r="A80" s="203" t="s">
        <v>1052</v>
      </c>
      <c r="B80" s="203" t="s">
        <v>1053</v>
      </c>
      <c r="D80" s="203" t="s">
        <v>1054</v>
      </c>
    </row>
    <row r="81" customFormat="false" ht="12" hidden="false" customHeight="false" outlineLevel="0" collapsed="false">
      <c r="A81" s="203" t="s">
        <v>1055</v>
      </c>
      <c r="B81" s="203" t="s">
        <v>1056</v>
      </c>
      <c r="D81" s="203" t="s">
        <v>1057</v>
      </c>
    </row>
    <row r="82" customFormat="false" ht="12" hidden="false" customHeight="false" outlineLevel="0" collapsed="false">
      <c r="A82" s="203" t="s">
        <v>1058</v>
      </c>
      <c r="B82" s="203" t="s">
        <v>1059</v>
      </c>
      <c r="D82" s="203" t="s">
        <v>1060</v>
      </c>
    </row>
    <row r="83" customFormat="false" ht="12" hidden="false" customHeight="false" outlineLevel="0" collapsed="false">
      <c r="A83" s="203" t="s">
        <v>1061</v>
      </c>
      <c r="B83" s="203" t="s">
        <v>1062</v>
      </c>
      <c r="D83" s="203" t="s">
        <v>1063</v>
      </c>
    </row>
    <row r="84" customFormat="false" ht="12" hidden="false" customHeight="false" outlineLevel="0" collapsed="false">
      <c r="A84" s="203" t="s">
        <v>1064</v>
      </c>
      <c r="B84" s="203" t="s">
        <v>1065</v>
      </c>
      <c r="D84" s="203" t="s">
        <v>1066</v>
      </c>
    </row>
    <row r="85" customFormat="false" ht="12" hidden="false" customHeight="false" outlineLevel="0" collapsed="false">
      <c r="A85" s="203" t="s">
        <v>1067</v>
      </c>
      <c r="B85" s="203" t="s">
        <v>1068</v>
      </c>
      <c r="D85" s="203" t="s">
        <v>1069</v>
      </c>
    </row>
    <row r="86" customFormat="false" ht="12" hidden="false" customHeight="false" outlineLevel="0" collapsed="false">
      <c r="A86" s="203" t="s">
        <v>1070</v>
      </c>
      <c r="B86" s="203" t="s">
        <v>1071</v>
      </c>
      <c r="D86" s="203" t="s">
        <v>1072</v>
      </c>
    </row>
    <row r="87" customFormat="false" ht="12" hidden="false" customHeight="false" outlineLevel="0" collapsed="false">
      <c r="A87" s="203" t="s">
        <v>1073</v>
      </c>
      <c r="B87" s="203" t="s">
        <v>1074</v>
      </c>
      <c r="D87" s="203" t="s">
        <v>1075</v>
      </c>
    </row>
    <row r="88" customFormat="false" ht="12" hidden="false" customHeight="false" outlineLevel="0" collapsed="false">
      <c r="A88" s="203" t="s">
        <v>1076</v>
      </c>
      <c r="B88" s="203" t="s">
        <v>1077</v>
      </c>
      <c r="D88" s="203" t="s">
        <v>1078</v>
      </c>
    </row>
    <row r="89" customFormat="false" ht="12" hidden="false" customHeight="false" outlineLevel="0" collapsed="false">
      <c r="A89" s="203" t="s">
        <v>1079</v>
      </c>
      <c r="B89" s="203" t="s">
        <v>1080</v>
      </c>
      <c r="D89" s="203" t="s">
        <v>1081</v>
      </c>
    </row>
    <row r="90" customFormat="false" ht="12" hidden="false" customHeight="false" outlineLevel="0" collapsed="false">
      <c r="A90" s="203" t="s">
        <v>1082</v>
      </c>
      <c r="B90" s="203" t="s">
        <v>1083</v>
      </c>
      <c r="D90" s="203" t="s">
        <v>1084</v>
      </c>
    </row>
    <row r="91" customFormat="false" ht="12" hidden="false" customHeight="false" outlineLevel="0" collapsed="false">
      <c r="A91" s="203" t="s">
        <v>1085</v>
      </c>
      <c r="B91" s="203" t="s">
        <v>1086</v>
      </c>
      <c r="D91" s="203" t="s">
        <v>1087</v>
      </c>
    </row>
    <row r="92" customFormat="false" ht="12" hidden="false" customHeight="false" outlineLevel="0" collapsed="false">
      <c r="A92" s="203" t="s">
        <v>1088</v>
      </c>
      <c r="B92" s="203" t="s">
        <v>1089</v>
      </c>
      <c r="D92" s="203" t="s">
        <v>1090</v>
      </c>
    </row>
    <row r="93" customFormat="false" ht="12" hidden="false" customHeight="false" outlineLevel="0" collapsed="false">
      <c r="A93" s="203" t="s">
        <v>1091</v>
      </c>
      <c r="B93" s="203" t="s">
        <v>1092</v>
      </c>
      <c r="D93" s="203" t="s">
        <v>1093</v>
      </c>
    </row>
    <row r="94" customFormat="false" ht="12" hidden="false" customHeight="false" outlineLevel="0" collapsed="false">
      <c r="A94" s="203" t="s">
        <v>1094</v>
      </c>
      <c r="B94" s="203" t="s">
        <v>1095</v>
      </c>
      <c r="D94" s="203" t="s">
        <v>1096</v>
      </c>
    </row>
    <row r="95" customFormat="false" ht="12" hidden="false" customHeight="false" outlineLevel="0" collapsed="false">
      <c r="A95" s="203" t="s">
        <v>1097</v>
      </c>
      <c r="B95" s="203" t="s">
        <v>1098</v>
      </c>
      <c r="D95" s="203" t="s">
        <v>119</v>
      </c>
    </row>
    <row r="96" customFormat="false" ht="12" hidden="false" customHeight="false" outlineLevel="0" collapsed="false">
      <c r="A96" s="203" t="s">
        <v>1099</v>
      </c>
      <c r="B96" s="203" t="s">
        <v>1100</v>
      </c>
      <c r="D96" s="203" t="s">
        <v>1101</v>
      </c>
    </row>
    <row r="97" customFormat="false" ht="12" hidden="false" customHeight="false" outlineLevel="0" collapsed="false">
      <c r="A97" s="203" t="s">
        <v>1102</v>
      </c>
      <c r="B97" s="203" t="s">
        <v>1103</v>
      </c>
      <c r="D97" s="203" t="s">
        <v>1104</v>
      </c>
    </row>
    <row r="98" customFormat="false" ht="12" hidden="false" customHeight="false" outlineLevel="0" collapsed="false">
      <c r="A98" s="203" t="s">
        <v>1105</v>
      </c>
      <c r="B98" s="203" t="s">
        <v>1106</v>
      </c>
      <c r="D98" s="203" t="s">
        <v>1107</v>
      </c>
    </row>
    <row r="99" customFormat="false" ht="12" hidden="false" customHeight="false" outlineLevel="0" collapsed="false">
      <c r="A99" s="203" t="s">
        <v>1108</v>
      </c>
      <c r="B99" s="203" t="s">
        <v>1109</v>
      </c>
      <c r="D99" s="203" t="s">
        <v>1110</v>
      </c>
    </row>
    <row r="100" customFormat="false" ht="12" hidden="false" customHeight="false" outlineLevel="0" collapsed="false">
      <c r="A100" s="203" t="s">
        <v>1111</v>
      </c>
      <c r="B100" s="203" t="s">
        <v>1112</v>
      </c>
      <c r="D100" s="203" t="s">
        <v>1113</v>
      </c>
    </row>
    <row r="101" customFormat="false" ht="12" hidden="false" customHeight="false" outlineLevel="0" collapsed="false">
      <c r="A101" s="203" t="s">
        <v>1114</v>
      </c>
      <c r="B101" s="203" t="s">
        <v>1115</v>
      </c>
      <c r="D101" s="203" t="s">
        <v>1116</v>
      </c>
    </row>
    <row r="102" customFormat="false" ht="12" hidden="false" customHeight="false" outlineLevel="0" collapsed="false">
      <c r="A102" s="203" t="s">
        <v>1117</v>
      </c>
      <c r="B102" s="203" t="s">
        <v>1118</v>
      </c>
      <c r="D102" s="203" t="s">
        <v>1119</v>
      </c>
    </row>
    <row r="103" customFormat="false" ht="12" hidden="false" customHeight="false" outlineLevel="0" collapsed="false">
      <c r="A103" s="203" t="s">
        <v>1120</v>
      </c>
      <c r="B103" s="203" t="s">
        <v>1121</v>
      </c>
      <c r="D103" s="203" t="s">
        <v>1122</v>
      </c>
    </row>
    <row r="104" customFormat="false" ht="12" hidden="false" customHeight="false" outlineLevel="0" collapsed="false">
      <c r="A104" s="203" t="s">
        <v>1123</v>
      </c>
      <c r="B104" s="203" t="s">
        <v>1124</v>
      </c>
      <c r="D104" s="203" t="s">
        <v>1125</v>
      </c>
    </row>
    <row r="105" customFormat="false" ht="12" hidden="false" customHeight="false" outlineLevel="0" collapsed="false">
      <c r="A105" s="203" t="s">
        <v>1126</v>
      </c>
      <c r="B105" s="203" t="s">
        <v>1127</v>
      </c>
      <c r="D105" s="203" t="s">
        <v>1128</v>
      </c>
    </row>
    <row r="106" customFormat="false" ht="12" hidden="false" customHeight="false" outlineLevel="0" collapsed="false">
      <c r="A106" s="203" t="s">
        <v>1129</v>
      </c>
      <c r="B106" s="203" t="s">
        <v>1130</v>
      </c>
      <c r="D106" s="203" t="s">
        <v>1131</v>
      </c>
    </row>
    <row r="107" customFormat="false" ht="12" hidden="false" customHeight="false" outlineLevel="0" collapsed="false">
      <c r="A107" s="203" t="s">
        <v>1132</v>
      </c>
      <c r="B107" s="203" t="s">
        <v>1133</v>
      </c>
      <c r="D107" s="203" t="s">
        <v>1134</v>
      </c>
    </row>
    <row r="108" customFormat="false" ht="12" hidden="false" customHeight="false" outlineLevel="0" collapsed="false">
      <c r="A108" s="203" t="s">
        <v>1135</v>
      </c>
      <c r="B108" s="203" t="s">
        <v>1136</v>
      </c>
      <c r="D108" s="203" t="s">
        <v>1137</v>
      </c>
    </row>
    <row r="109" customFormat="false" ht="12" hidden="false" customHeight="false" outlineLevel="0" collapsed="false">
      <c r="A109" s="203" t="s">
        <v>1138</v>
      </c>
      <c r="B109" s="203" t="s">
        <v>1139</v>
      </c>
      <c r="D109" s="203" t="s">
        <v>1140</v>
      </c>
    </row>
    <row r="110" customFormat="false" ht="12" hidden="false" customHeight="false" outlineLevel="0" collapsed="false">
      <c r="A110" s="203" t="s">
        <v>1141</v>
      </c>
      <c r="B110" s="203" t="s">
        <v>1142</v>
      </c>
      <c r="D110" s="203" t="s">
        <v>1143</v>
      </c>
    </row>
    <row r="111" customFormat="false" ht="12" hidden="false" customHeight="false" outlineLevel="0" collapsed="false">
      <c r="A111" s="203" t="s">
        <v>1144</v>
      </c>
      <c r="B111" s="203" t="s">
        <v>1145</v>
      </c>
      <c r="D111" s="203" t="s">
        <v>1146</v>
      </c>
    </row>
    <row r="112" customFormat="false" ht="12" hidden="false" customHeight="false" outlineLevel="0" collapsed="false">
      <c r="A112" s="203" t="s">
        <v>1147</v>
      </c>
      <c r="B112" s="203" t="s">
        <v>1148</v>
      </c>
      <c r="D112" s="203" t="s">
        <v>1149</v>
      </c>
    </row>
    <row r="113" customFormat="false" ht="12" hidden="false" customHeight="false" outlineLevel="0" collapsed="false">
      <c r="A113" s="203" t="s">
        <v>1150</v>
      </c>
      <c r="B113" s="203" t="s">
        <v>1151</v>
      </c>
      <c r="D113" s="203" t="s">
        <v>1152</v>
      </c>
    </row>
    <row r="114" customFormat="false" ht="12" hidden="false" customHeight="false" outlineLevel="0" collapsed="false">
      <c r="A114" s="203" t="s">
        <v>1153</v>
      </c>
      <c r="B114" s="203" t="s">
        <v>1154</v>
      </c>
      <c r="D114" s="203" t="s">
        <v>1155</v>
      </c>
    </row>
    <row r="115" customFormat="false" ht="12" hidden="false" customHeight="false" outlineLevel="0" collapsed="false">
      <c r="A115" s="203" t="s">
        <v>1156</v>
      </c>
      <c r="B115" s="203" t="s">
        <v>1157</v>
      </c>
      <c r="D115" s="203" t="s">
        <v>1158</v>
      </c>
    </row>
    <row r="116" customFormat="false" ht="12" hidden="false" customHeight="false" outlineLevel="0" collapsed="false">
      <c r="A116" s="203" t="s">
        <v>1159</v>
      </c>
      <c r="B116" s="203" t="s">
        <v>1160</v>
      </c>
      <c r="D116" s="203" t="s">
        <v>1161</v>
      </c>
    </row>
    <row r="117" customFormat="false" ht="12" hidden="false" customHeight="false" outlineLevel="0" collapsed="false">
      <c r="A117" s="203" t="s">
        <v>1162</v>
      </c>
      <c r="B117" s="203" t="s">
        <v>1163</v>
      </c>
      <c r="D117" s="203" t="s">
        <v>1164</v>
      </c>
    </row>
    <row r="118" customFormat="false" ht="12" hidden="false" customHeight="false" outlineLevel="0" collapsed="false">
      <c r="A118" s="203" t="s">
        <v>1165</v>
      </c>
      <c r="B118" s="203" t="s">
        <v>1166</v>
      </c>
      <c r="D118" s="203" t="s">
        <v>1167</v>
      </c>
    </row>
    <row r="119" customFormat="false" ht="12" hidden="false" customHeight="false" outlineLevel="0" collapsed="false">
      <c r="A119" s="203" t="s">
        <v>1168</v>
      </c>
      <c r="B119" s="203" t="s">
        <v>1169</v>
      </c>
      <c r="D119" s="203" t="s">
        <v>1170</v>
      </c>
    </row>
    <row r="120" customFormat="false" ht="12" hidden="false" customHeight="false" outlineLevel="0" collapsed="false">
      <c r="A120" s="203" t="s">
        <v>1171</v>
      </c>
      <c r="B120" s="203" t="s">
        <v>1172</v>
      </c>
      <c r="D120" s="203" t="s">
        <v>1173</v>
      </c>
    </row>
    <row r="121" customFormat="false" ht="12" hidden="false" customHeight="false" outlineLevel="0" collapsed="false">
      <c r="A121" s="203" t="s">
        <v>1174</v>
      </c>
      <c r="B121" s="203" t="s">
        <v>1175</v>
      </c>
      <c r="D121" s="203" t="s">
        <v>1176</v>
      </c>
    </row>
    <row r="122" customFormat="false" ht="12" hidden="false" customHeight="false" outlineLevel="0" collapsed="false">
      <c r="A122" s="203" t="s">
        <v>1177</v>
      </c>
      <c r="B122" s="203" t="s">
        <v>1178</v>
      </c>
      <c r="D122" s="203" t="s">
        <v>1179</v>
      </c>
    </row>
    <row r="123" customFormat="false" ht="12" hidden="false" customHeight="false" outlineLevel="0" collapsed="false">
      <c r="A123" s="203" t="s">
        <v>1180</v>
      </c>
      <c r="B123" s="203" t="s">
        <v>1181</v>
      </c>
      <c r="D123" s="203" t="s">
        <v>1182</v>
      </c>
    </row>
    <row r="124" customFormat="false" ht="12" hidden="false" customHeight="false" outlineLevel="0" collapsed="false">
      <c r="A124" s="203" t="s">
        <v>1183</v>
      </c>
      <c r="B124" s="203" t="s">
        <v>1184</v>
      </c>
      <c r="D124" s="203" t="s">
        <v>1185</v>
      </c>
    </row>
    <row r="125" customFormat="false" ht="12" hidden="false" customHeight="false" outlineLevel="0" collapsed="false">
      <c r="A125" s="203" t="s">
        <v>1186</v>
      </c>
      <c r="B125" s="203" t="s">
        <v>1187</v>
      </c>
      <c r="D125" s="203" t="s">
        <v>1188</v>
      </c>
    </row>
    <row r="126" customFormat="false" ht="12" hidden="false" customHeight="false" outlineLevel="0" collapsed="false">
      <c r="A126" s="203" t="s">
        <v>1189</v>
      </c>
      <c r="B126" s="203" t="s">
        <v>1190</v>
      </c>
      <c r="D126" s="203" t="s">
        <v>1191</v>
      </c>
    </row>
    <row r="127" customFormat="false" ht="12" hidden="false" customHeight="false" outlineLevel="0" collapsed="false">
      <c r="A127" s="203" t="s">
        <v>1192</v>
      </c>
      <c r="B127" s="203" t="s">
        <v>1193</v>
      </c>
      <c r="D127" s="203" t="s">
        <v>1194</v>
      </c>
    </row>
    <row r="128" customFormat="false" ht="12" hidden="false" customHeight="false" outlineLevel="0" collapsed="false">
      <c r="A128" s="203" t="s">
        <v>1195</v>
      </c>
      <c r="B128" s="203" t="s">
        <v>1196</v>
      </c>
      <c r="D128" s="203" t="s">
        <v>1197</v>
      </c>
    </row>
    <row r="129" customFormat="false" ht="12" hidden="false" customHeight="false" outlineLevel="0" collapsed="false">
      <c r="A129" s="203" t="s">
        <v>1198</v>
      </c>
      <c r="B129" s="203" t="s">
        <v>1199</v>
      </c>
      <c r="D129" s="203" t="s">
        <v>1200</v>
      </c>
    </row>
    <row r="130" customFormat="false" ht="12" hidden="false" customHeight="false" outlineLevel="0" collapsed="false">
      <c r="A130" s="203" t="s">
        <v>1201</v>
      </c>
      <c r="B130" s="203" t="s">
        <v>1202</v>
      </c>
      <c r="D130" s="203" t="s">
        <v>1203</v>
      </c>
    </row>
    <row r="131" customFormat="false" ht="12" hidden="false" customHeight="false" outlineLevel="0" collapsed="false">
      <c r="A131" s="203" t="s">
        <v>1204</v>
      </c>
      <c r="B131" s="203" t="s">
        <v>1205</v>
      </c>
      <c r="D131" s="203" t="s">
        <v>1206</v>
      </c>
    </row>
    <row r="132" customFormat="false" ht="12" hidden="false" customHeight="false" outlineLevel="0" collapsed="false">
      <c r="A132" s="203" t="s">
        <v>1207</v>
      </c>
      <c r="B132" s="203" t="s">
        <v>1208</v>
      </c>
      <c r="D132" s="203" t="s">
        <v>1209</v>
      </c>
    </row>
    <row r="133" customFormat="false" ht="12" hidden="false" customHeight="false" outlineLevel="0" collapsed="false">
      <c r="A133" s="203" t="s">
        <v>1210</v>
      </c>
      <c r="B133" s="203" t="s">
        <v>1211</v>
      </c>
      <c r="D133" s="203" t="s">
        <v>1212</v>
      </c>
    </row>
    <row r="134" customFormat="false" ht="12" hidden="false" customHeight="false" outlineLevel="0" collapsed="false">
      <c r="A134" s="203" t="s">
        <v>1213</v>
      </c>
      <c r="B134" s="203" t="s">
        <v>1214</v>
      </c>
      <c r="D134" s="203" t="s">
        <v>1215</v>
      </c>
    </row>
    <row r="135" customFormat="false" ht="12" hidden="false" customHeight="false" outlineLevel="0" collapsed="false">
      <c r="A135" s="203" t="s">
        <v>1216</v>
      </c>
      <c r="B135" s="203" t="s">
        <v>1217</v>
      </c>
      <c r="D135" s="203" t="s">
        <v>1218</v>
      </c>
    </row>
    <row r="136" customFormat="false" ht="12" hidden="false" customHeight="false" outlineLevel="0" collapsed="false">
      <c r="A136" s="203" t="s">
        <v>1219</v>
      </c>
      <c r="B136" s="203" t="s">
        <v>1220</v>
      </c>
      <c r="D136" s="203" t="s">
        <v>1221</v>
      </c>
    </row>
    <row r="137" customFormat="false" ht="12" hidden="false" customHeight="false" outlineLevel="0" collapsed="false">
      <c r="A137" s="203" t="s">
        <v>1222</v>
      </c>
      <c r="B137" s="203" t="s">
        <v>1223</v>
      </c>
      <c r="D137" s="203" t="s">
        <v>1224</v>
      </c>
    </row>
    <row r="138" customFormat="false" ht="12" hidden="false" customHeight="false" outlineLevel="0" collapsed="false">
      <c r="A138" s="203" t="s">
        <v>1225</v>
      </c>
      <c r="B138" s="203" t="s">
        <v>1226</v>
      </c>
      <c r="D138" s="203" t="s">
        <v>1227</v>
      </c>
    </row>
    <row r="139" customFormat="false" ht="12" hidden="false" customHeight="false" outlineLevel="0" collapsed="false">
      <c r="A139" s="203" t="s">
        <v>1228</v>
      </c>
      <c r="B139" s="203" t="s">
        <v>1229</v>
      </c>
      <c r="D139" s="203" t="s">
        <v>1230</v>
      </c>
    </row>
    <row r="140" customFormat="false" ht="12" hidden="false" customHeight="false" outlineLevel="0" collapsed="false">
      <c r="A140" s="203" t="s">
        <v>1231</v>
      </c>
      <c r="B140" s="203" t="s">
        <v>1232</v>
      </c>
      <c r="D140" s="203" t="s">
        <v>1233</v>
      </c>
    </row>
    <row r="141" customFormat="false" ht="12" hidden="false" customHeight="false" outlineLevel="0" collapsed="false">
      <c r="A141" s="203" t="s">
        <v>1234</v>
      </c>
      <c r="B141" s="203" t="s">
        <v>1235</v>
      </c>
      <c r="D141" s="203" t="s">
        <v>1236</v>
      </c>
    </row>
    <row r="142" customFormat="false" ht="12" hidden="false" customHeight="false" outlineLevel="0" collapsed="false">
      <c r="A142" s="203" t="s">
        <v>1237</v>
      </c>
      <c r="B142" s="203" t="s">
        <v>1238</v>
      </c>
      <c r="D142" s="203" t="s">
        <v>1239</v>
      </c>
    </row>
    <row r="143" customFormat="false" ht="12" hidden="false" customHeight="false" outlineLevel="0" collapsed="false">
      <c r="A143" s="203" t="s">
        <v>1240</v>
      </c>
      <c r="B143" s="203" t="s">
        <v>1241</v>
      </c>
      <c r="D143" s="203" t="s">
        <v>1242</v>
      </c>
    </row>
    <row r="144" customFormat="false" ht="12" hidden="false" customHeight="false" outlineLevel="0" collapsed="false">
      <c r="A144" s="203" t="s">
        <v>1243</v>
      </c>
      <c r="B144" s="203" t="s">
        <v>1244</v>
      </c>
      <c r="D144" s="203" t="s">
        <v>1245</v>
      </c>
    </row>
    <row r="145" customFormat="false" ht="12" hidden="false" customHeight="false" outlineLevel="0" collapsed="false">
      <c r="A145" s="203" t="s">
        <v>1246</v>
      </c>
      <c r="B145" s="203" t="s">
        <v>1247</v>
      </c>
      <c r="D145" s="203" t="s">
        <v>1248</v>
      </c>
    </row>
    <row r="146" customFormat="false" ht="12" hidden="false" customHeight="false" outlineLevel="0" collapsed="false">
      <c r="A146" s="203" t="s">
        <v>1249</v>
      </c>
      <c r="B146" s="203" t="s">
        <v>1250</v>
      </c>
      <c r="D146" s="203" t="s">
        <v>1251</v>
      </c>
    </row>
    <row r="147" customFormat="false" ht="12" hidden="false" customHeight="false" outlineLevel="0" collapsed="false">
      <c r="A147" s="203" t="s">
        <v>1252</v>
      </c>
      <c r="B147" s="203" t="s">
        <v>1253</v>
      </c>
      <c r="D147" s="203" t="s">
        <v>1254</v>
      </c>
    </row>
    <row r="148" customFormat="false" ht="12" hidden="false" customHeight="false" outlineLevel="0" collapsed="false">
      <c r="A148" s="203" t="s">
        <v>1255</v>
      </c>
      <c r="B148" s="203" t="s">
        <v>1256</v>
      </c>
      <c r="D148" s="203" t="s">
        <v>1257</v>
      </c>
    </row>
    <row r="149" customFormat="false" ht="12" hidden="false" customHeight="false" outlineLevel="0" collapsed="false">
      <c r="A149" s="203" t="s">
        <v>1258</v>
      </c>
      <c r="B149" s="203" t="s">
        <v>1259</v>
      </c>
      <c r="D149" s="203" t="s">
        <v>1260</v>
      </c>
    </row>
    <row r="150" customFormat="false" ht="12" hidden="false" customHeight="false" outlineLevel="0" collapsed="false">
      <c r="A150" s="203" t="s">
        <v>1261</v>
      </c>
      <c r="B150" s="203" t="s">
        <v>1262</v>
      </c>
      <c r="D150" s="203" t="s">
        <v>1263</v>
      </c>
    </row>
    <row r="151" customFormat="false" ht="12" hidden="false" customHeight="false" outlineLevel="0" collapsed="false">
      <c r="A151" s="203" t="s">
        <v>1264</v>
      </c>
      <c r="B151" s="203" t="s">
        <v>1265</v>
      </c>
      <c r="D151" s="203" t="s">
        <v>1266</v>
      </c>
    </row>
    <row r="152" customFormat="false" ht="12" hidden="false" customHeight="false" outlineLevel="0" collapsed="false">
      <c r="A152" s="203" t="s">
        <v>1267</v>
      </c>
      <c r="B152" s="203" t="s">
        <v>1268</v>
      </c>
      <c r="D152" s="203" t="s">
        <v>1269</v>
      </c>
    </row>
    <row r="153" customFormat="false" ht="12" hidden="false" customHeight="false" outlineLevel="0" collapsed="false">
      <c r="A153" s="203" t="s">
        <v>1270</v>
      </c>
      <c r="B153" s="203" t="s">
        <v>1271</v>
      </c>
      <c r="D153" s="203" t="s">
        <v>1272</v>
      </c>
    </row>
    <row r="154" customFormat="false" ht="12" hidden="false" customHeight="false" outlineLevel="0" collapsed="false">
      <c r="A154" s="203" t="s">
        <v>1273</v>
      </c>
      <c r="B154" s="203" t="s">
        <v>1274</v>
      </c>
      <c r="D154" s="203" t="s">
        <v>1275</v>
      </c>
    </row>
    <row r="155" customFormat="false" ht="12" hidden="false" customHeight="false" outlineLevel="0" collapsed="false">
      <c r="A155" s="203" t="s">
        <v>1276</v>
      </c>
      <c r="B155" s="203" t="s">
        <v>1277</v>
      </c>
      <c r="D155" s="203" t="s">
        <v>1278</v>
      </c>
    </row>
    <row r="156" customFormat="false" ht="12" hidden="false" customHeight="false" outlineLevel="0" collapsed="false">
      <c r="A156" s="203" t="s">
        <v>1279</v>
      </c>
      <c r="B156" s="203" t="s">
        <v>1280</v>
      </c>
      <c r="D156" s="203" t="s">
        <v>1281</v>
      </c>
    </row>
    <row r="157" customFormat="false" ht="12" hidden="false" customHeight="false" outlineLevel="0" collapsed="false">
      <c r="A157" s="203" t="s">
        <v>1282</v>
      </c>
      <c r="B157" s="203" t="s">
        <v>1283</v>
      </c>
      <c r="D157" s="203" t="s">
        <v>1284</v>
      </c>
    </row>
    <row r="158" customFormat="false" ht="12" hidden="false" customHeight="false" outlineLevel="0" collapsed="false">
      <c r="A158" s="203" t="s">
        <v>1285</v>
      </c>
      <c r="B158" s="203" t="s">
        <v>1286</v>
      </c>
      <c r="D158" s="203" t="s">
        <v>1287</v>
      </c>
    </row>
    <row r="159" customFormat="false" ht="12" hidden="false" customHeight="false" outlineLevel="0" collapsed="false">
      <c r="A159" s="203" t="s">
        <v>1288</v>
      </c>
      <c r="B159" s="203" t="s">
        <v>1289</v>
      </c>
      <c r="D159" s="203" t="s">
        <v>1290</v>
      </c>
    </row>
    <row r="160" customFormat="false" ht="12" hidden="false" customHeight="false" outlineLevel="0" collapsed="false">
      <c r="A160" s="203" t="s">
        <v>1291</v>
      </c>
      <c r="B160" s="203" t="s">
        <v>1292</v>
      </c>
      <c r="D160" s="203" t="s">
        <v>1293</v>
      </c>
    </row>
    <row r="161" customFormat="false" ht="12" hidden="false" customHeight="false" outlineLevel="0" collapsed="false">
      <c r="A161" s="203" t="s">
        <v>1294</v>
      </c>
      <c r="B161" s="203" t="s">
        <v>1295</v>
      </c>
      <c r="D161" s="203" t="s">
        <v>1296</v>
      </c>
    </row>
    <row r="162" customFormat="false" ht="12" hidden="false" customHeight="false" outlineLevel="0" collapsed="false">
      <c r="A162" s="203" t="s">
        <v>1297</v>
      </c>
      <c r="B162" s="203" t="s">
        <v>1298</v>
      </c>
      <c r="D162" s="203" t="s">
        <v>1299</v>
      </c>
    </row>
    <row r="163" customFormat="false" ht="12" hidden="false" customHeight="false" outlineLevel="0" collapsed="false">
      <c r="A163" s="203" t="s">
        <v>1300</v>
      </c>
      <c r="B163" s="203" t="s">
        <v>1301</v>
      </c>
      <c r="D163" s="203" t="s">
        <v>1302</v>
      </c>
    </row>
    <row r="164" customFormat="false" ht="12" hidden="false" customHeight="false" outlineLevel="0" collapsed="false">
      <c r="A164" s="203" t="s">
        <v>1303</v>
      </c>
      <c r="B164" s="203" t="s">
        <v>1304</v>
      </c>
      <c r="D164" s="203" t="s">
        <v>1305</v>
      </c>
    </row>
    <row r="165" customFormat="false" ht="12" hidden="false" customHeight="false" outlineLevel="0" collapsed="false">
      <c r="A165" s="203" t="s">
        <v>1306</v>
      </c>
      <c r="B165" s="203" t="s">
        <v>1307</v>
      </c>
      <c r="D165" s="203" t="s">
        <v>1308</v>
      </c>
    </row>
    <row r="166" customFormat="false" ht="12" hidden="false" customHeight="false" outlineLevel="0" collapsed="false">
      <c r="A166" s="203" t="s">
        <v>1309</v>
      </c>
      <c r="B166" s="203" t="s">
        <v>1310</v>
      </c>
      <c r="D166" s="203" t="s">
        <v>1311</v>
      </c>
    </row>
    <row r="167" customFormat="false" ht="12" hidden="false" customHeight="false" outlineLevel="0" collapsed="false">
      <c r="A167" s="203" t="s">
        <v>1312</v>
      </c>
      <c r="B167" s="203" t="s">
        <v>1313</v>
      </c>
      <c r="D167" s="203" t="s">
        <v>1314</v>
      </c>
    </row>
    <row r="168" customFormat="false" ht="12" hidden="false" customHeight="false" outlineLevel="0" collapsed="false">
      <c r="A168" s="203" t="s">
        <v>1315</v>
      </c>
      <c r="B168" s="203" t="s">
        <v>1316</v>
      </c>
      <c r="D168" s="203" t="s">
        <v>1317</v>
      </c>
    </row>
    <row r="169" customFormat="false" ht="12" hidden="false" customHeight="false" outlineLevel="0" collapsed="false">
      <c r="A169" s="203" t="s">
        <v>1318</v>
      </c>
      <c r="B169" s="203" t="s">
        <v>1319</v>
      </c>
      <c r="D169" s="203" t="s">
        <v>1320</v>
      </c>
    </row>
    <row r="170" customFormat="false" ht="12" hidden="false" customHeight="false" outlineLevel="0" collapsed="false">
      <c r="A170" s="203" t="s">
        <v>1321</v>
      </c>
      <c r="B170" s="203" t="s">
        <v>1322</v>
      </c>
      <c r="D170" s="203" t="s">
        <v>1323</v>
      </c>
    </row>
    <row r="171" customFormat="false" ht="12" hidden="false" customHeight="false" outlineLevel="0" collapsed="false">
      <c r="A171" s="203" t="s">
        <v>1324</v>
      </c>
      <c r="B171" s="203" t="s">
        <v>1325</v>
      </c>
      <c r="D171" s="203" t="s">
        <v>1326</v>
      </c>
    </row>
    <row r="172" customFormat="false" ht="12" hidden="false" customHeight="false" outlineLevel="0" collapsed="false">
      <c r="A172" s="203" t="s">
        <v>1327</v>
      </c>
      <c r="B172" s="203" t="s">
        <v>1328</v>
      </c>
      <c r="D172" s="203" t="s">
        <v>1329</v>
      </c>
    </row>
    <row r="173" customFormat="false" ht="12" hidden="false" customHeight="false" outlineLevel="0" collapsed="false">
      <c r="A173" s="203" t="s">
        <v>1330</v>
      </c>
      <c r="B173" s="203" t="s">
        <v>1331</v>
      </c>
      <c r="D173" s="203" t="s">
        <v>1332</v>
      </c>
    </row>
    <row r="174" customFormat="false" ht="12" hidden="false" customHeight="false" outlineLevel="0" collapsed="false">
      <c r="A174" s="203" t="s">
        <v>1333</v>
      </c>
      <c r="B174" s="203" t="s">
        <v>1334</v>
      </c>
      <c r="D174" s="203" t="s">
        <v>1335</v>
      </c>
    </row>
    <row r="175" customFormat="false" ht="12" hidden="false" customHeight="false" outlineLevel="0" collapsed="false">
      <c r="A175" s="203" t="s">
        <v>1336</v>
      </c>
      <c r="B175" s="203" t="s">
        <v>1337</v>
      </c>
      <c r="D175" s="203" t="s">
        <v>1338</v>
      </c>
    </row>
    <row r="176" customFormat="false" ht="12" hidden="false" customHeight="false" outlineLevel="0" collapsed="false">
      <c r="A176" s="203" t="s">
        <v>1339</v>
      </c>
      <c r="B176" s="203" t="s">
        <v>1340</v>
      </c>
      <c r="D176" s="203" t="s">
        <v>1341</v>
      </c>
    </row>
    <row r="177" customFormat="false" ht="12" hidden="false" customHeight="false" outlineLevel="0" collapsed="false">
      <c r="A177" s="203" t="s">
        <v>1342</v>
      </c>
      <c r="B177" s="203" t="s">
        <v>1343</v>
      </c>
      <c r="D177" s="203" t="s">
        <v>1344</v>
      </c>
    </row>
    <row r="178" customFormat="false" ht="12" hidden="false" customHeight="false" outlineLevel="0" collapsed="false">
      <c r="A178" s="203" t="s">
        <v>1345</v>
      </c>
      <c r="B178" s="203" t="s">
        <v>1346</v>
      </c>
      <c r="D178" s="203" t="s">
        <v>1347</v>
      </c>
    </row>
    <row r="179" customFormat="false" ht="12" hidden="false" customHeight="false" outlineLevel="0" collapsed="false">
      <c r="A179" s="203" t="s">
        <v>1348</v>
      </c>
      <c r="B179" s="203" t="s">
        <v>1349</v>
      </c>
      <c r="D179" s="203" t="s">
        <v>1350</v>
      </c>
    </row>
    <row r="180" customFormat="false" ht="12" hidden="false" customHeight="false" outlineLevel="0" collapsed="false">
      <c r="A180" s="203" t="s">
        <v>1351</v>
      </c>
      <c r="B180" s="203" t="s">
        <v>1352</v>
      </c>
      <c r="D180" s="203" t="s">
        <v>1353</v>
      </c>
    </row>
    <row r="181" customFormat="false" ht="12" hidden="false" customHeight="false" outlineLevel="0" collapsed="false">
      <c r="A181" s="203" t="s">
        <v>1354</v>
      </c>
      <c r="B181" s="203" t="s">
        <v>1355</v>
      </c>
      <c r="D181" s="203" t="s">
        <v>1356</v>
      </c>
    </row>
    <row r="182" customFormat="false" ht="12" hidden="false" customHeight="false" outlineLevel="0" collapsed="false">
      <c r="A182" s="203" t="s">
        <v>1357</v>
      </c>
      <c r="B182" s="203" t="s">
        <v>1358</v>
      </c>
      <c r="D182" s="203" t="s">
        <v>1359</v>
      </c>
    </row>
    <row r="183" customFormat="false" ht="12" hidden="false" customHeight="false" outlineLevel="0" collapsed="false">
      <c r="A183" s="203" t="s">
        <v>1360</v>
      </c>
      <c r="B183" s="203" t="s">
        <v>1361</v>
      </c>
      <c r="D183" s="203" t="s">
        <v>1362</v>
      </c>
    </row>
    <row r="184" customFormat="false" ht="12" hidden="false" customHeight="false" outlineLevel="0" collapsed="false">
      <c r="A184" s="203" t="s">
        <v>1363</v>
      </c>
      <c r="B184" s="203" t="s">
        <v>1364</v>
      </c>
      <c r="D184" s="203" t="s">
        <v>1365</v>
      </c>
    </row>
    <row r="185" customFormat="false" ht="12" hidden="false" customHeight="false" outlineLevel="0" collapsed="false">
      <c r="A185" s="203" t="s">
        <v>1366</v>
      </c>
      <c r="B185" s="203" t="s">
        <v>1367</v>
      </c>
      <c r="D185" s="203" t="s">
        <v>1368</v>
      </c>
    </row>
    <row r="186" customFormat="false" ht="12" hidden="false" customHeight="false" outlineLevel="0" collapsed="false">
      <c r="A186" s="203" t="s">
        <v>1369</v>
      </c>
      <c r="B186" s="203" t="s">
        <v>1370</v>
      </c>
      <c r="D186" s="203" t="s">
        <v>1371</v>
      </c>
    </row>
    <row r="187" customFormat="false" ht="12" hidden="false" customHeight="false" outlineLevel="0" collapsed="false">
      <c r="A187" s="203" t="s">
        <v>1372</v>
      </c>
      <c r="B187" s="203" t="s">
        <v>1373</v>
      </c>
      <c r="D187" s="203" t="s">
        <v>1374</v>
      </c>
    </row>
    <row r="188" customFormat="false" ht="12" hidden="false" customHeight="false" outlineLevel="0" collapsed="false">
      <c r="A188" s="203" t="s">
        <v>1375</v>
      </c>
      <c r="B188" s="203" t="s">
        <v>1376</v>
      </c>
      <c r="D188" s="203" t="s">
        <v>1377</v>
      </c>
    </row>
    <row r="189" customFormat="false" ht="12" hidden="false" customHeight="false" outlineLevel="0" collapsed="false">
      <c r="A189" s="203" t="s">
        <v>1378</v>
      </c>
      <c r="B189" s="203" t="s">
        <v>1379</v>
      </c>
      <c r="D189" s="203" t="s">
        <v>1380</v>
      </c>
    </row>
    <row r="190" customFormat="false" ht="12" hidden="false" customHeight="false" outlineLevel="0" collapsed="false">
      <c r="A190" s="203" t="s">
        <v>1381</v>
      </c>
      <c r="B190" s="203" t="s">
        <v>1382</v>
      </c>
      <c r="D190" s="203" t="s">
        <v>1383</v>
      </c>
    </row>
    <row r="191" customFormat="false" ht="12" hidden="false" customHeight="false" outlineLevel="0" collapsed="false">
      <c r="A191" s="203" t="s">
        <v>1384</v>
      </c>
      <c r="B191" s="203" t="s">
        <v>1385</v>
      </c>
      <c r="D191" s="203" t="s">
        <v>1386</v>
      </c>
    </row>
    <row r="192" customFormat="false" ht="12" hidden="false" customHeight="false" outlineLevel="0" collapsed="false">
      <c r="A192" s="203" t="s">
        <v>1387</v>
      </c>
      <c r="B192" s="203" t="s">
        <v>1388</v>
      </c>
      <c r="D192" s="203" t="s">
        <v>1389</v>
      </c>
    </row>
    <row r="193" customFormat="false" ht="12" hidden="false" customHeight="false" outlineLevel="0" collapsed="false">
      <c r="A193" s="203" t="s">
        <v>1390</v>
      </c>
      <c r="B193" s="203" t="s">
        <v>1391</v>
      </c>
      <c r="D193" s="203" t="s">
        <v>1392</v>
      </c>
    </row>
    <row r="194" customFormat="false" ht="12" hidden="false" customHeight="false" outlineLevel="0" collapsed="false">
      <c r="A194" s="203" t="s">
        <v>1393</v>
      </c>
      <c r="B194" s="203" t="s">
        <v>1394</v>
      </c>
      <c r="D194" s="203" t="s">
        <v>1395</v>
      </c>
    </row>
    <row r="195" customFormat="false" ht="12" hidden="false" customHeight="false" outlineLevel="0" collapsed="false">
      <c r="A195" s="203" t="s">
        <v>1396</v>
      </c>
      <c r="B195" s="203" t="s">
        <v>1397</v>
      </c>
      <c r="D195" s="203" t="s">
        <v>1398</v>
      </c>
    </row>
    <row r="196" customFormat="false" ht="12" hidden="false" customHeight="false" outlineLevel="0" collapsed="false">
      <c r="A196" s="203" t="s">
        <v>1399</v>
      </c>
      <c r="B196" s="203" t="s">
        <v>1400</v>
      </c>
      <c r="D196" s="203" t="s">
        <v>1401</v>
      </c>
    </row>
    <row r="197" customFormat="false" ht="12" hidden="false" customHeight="false" outlineLevel="0" collapsed="false">
      <c r="A197" s="203" t="s">
        <v>1402</v>
      </c>
      <c r="B197" s="203" t="s">
        <v>1403</v>
      </c>
      <c r="D197" s="203" t="s">
        <v>1404</v>
      </c>
    </row>
    <row r="198" customFormat="false" ht="12" hidden="false" customHeight="false" outlineLevel="0" collapsed="false">
      <c r="A198" s="203" t="s">
        <v>1405</v>
      </c>
      <c r="B198" s="203" t="s">
        <v>1406</v>
      </c>
      <c r="D198" s="203" t="s">
        <v>1407</v>
      </c>
    </row>
    <row r="199" customFormat="false" ht="12" hidden="false" customHeight="false" outlineLevel="0" collapsed="false">
      <c r="A199" s="203" t="s">
        <v>1408</v>
      </c>
      <c r="B199" s="203" t="s">
        <v>1409</v>
      </c>
      <c r="D199" s="203" t="s">
        <v>1410</v>
      </c>
    </row>
    <row r="200" customFormat="false" ht="12" hidden="false" customHeight="false" outlineLevel="0" collapsed="false">
      <c r="A200" s="203" t="s">
        <v>1411</v>
      </c>
      <c r="B200" s="203" t="s">
        <v>1412</v>
      </c>
      <c r="D200" s="203" t="s">
        <v>1413</v>
      </c>
    </row>
    <row r="201" customFormat="false" ht="12" hidden="false" customHeight="false" outlineLevel="0" collapsed="false">
      <c r="A201" s="203" t="s">
        <v>1414</v>
      </c>
      <c r="B201" s="203" t="s">
        <v>1415</v>
      </c>
      <c r="D201" s="203" t="s">
        <v>1416</v>
      </c>
    </row>
    <row r="202" customFormat="false" ht="12" hidden="false" customHeight="false" outlineLevel="0" collapsed="false">
      <c r="A202" s="203" t="s">
        <v>1417</v>
      </c>
      <c r="B202" s="203" t="s">
        <v>1418</v>
      </c>
      <c r="D202" s="203" t="s">
        <v>1419</v>
      </c>
    </row>
    <row r="203" customFormat="false" ht="12" hidden="false" customHeight="false" outlineLevel="0" collapsed="false">
      <c r="A203" s="203" t="s">
        <v>1420</v>
      </c>
      <c r="B203" s="203" t="s">
        <v>1421</v>
      </c>
      <c r="D203" s="203" t="s">
        <v>1422</v>
      </c>
    </row>
    <row r="204" customFormat="false" ht="12" hidden="false" customHeight="false" outlineLevel="0" collapsed="false">
      <c r="A204" s="203" t="s">
        <v>1423</v>
      </c>
      <c r="B204" s="203" t="s">
        <v>1424</v>
      </c>
      <c r="D204" s="203" t="s">
        <v>1425</v>
      </c>
    </row>
    <row r="205" customFormat="false" ht="12" hidden="false" customHeight="false" outlineLevel="0" collapsed="false">
      <c r="A205" s="203" t="s">
        <v>1426</v>
      </c>
      <c r="B205" s="203" t="s">
        <v>1427</v>
      </c>
      <c r="D205" s="203" t="s">
        <v>1428</v>
      </c>
    </row>
    <row r="206" customFormat="false" ht="12" hidden="false" customHeight="false" outlineLevel="0" collapsed="false">
      <c r="A206" s="203" t="s">
        <v>1429</v>
      </c>
      <c r="B206" s="203" t="s">
        <v>1430</v>
      </c>
      <c r="D206" s="203" t="s">
        <v>1431</v>
      </c>
    </row>
    <row r="207" customFormat="false" ht="12" hidden="false" customHeight="false" outlineLevel="0" collapsed="false">
      <c r="A207" s="203" t="s">
        <v>1432</v>
      </c>
      <c r="B207" s="203" t="s">
        <v>1433</v>
      </c>
      <c r="D207" s="203" t="s">
        <v>1434</v>
      </c>
    </row>
    <row r="208" customFormat="false" ht="12" hidden="false" customHeight="false" outlineLevel="0" collapsed="false">
      <c r="A208" s="203" t="s">
        <v>1435</v>
      </c>
      <c r="B208" s="203" t="s">
        <v>1436</v>
      </c>
      <c r="D208" s="203" t="s">
        <v>1437</v>
      </c>
    </row>
    <row r="209" customFormat="false" ht="12" hidden="false" customHeight="false" outlineLevel="0" collapsed="false">
      <c r="A209" s="203" t="s">
        <v>1438</v>
      </c>
      <c r="B209" s="203" t="s">
        <v>1439</v>
      </c>
      <c r="D209" s="203" t="s">
        <v>1440</v>
      </c>
    </row>
    <row r="210" customFormat="false" ht="12" hidden="false" customHeight="false" outlineLevel="0" collapsed="false">
      <c r="A210" s="203" t="s">
        <v>1441</v>
      </c>
      <c r="B210" s="203" t="s">
        <v>1442</v>
      </c>
      <c r="D210" s="203" t="s">
        <v>1443</v>
      </c>
    </row>
    <row r="211" customFormat="false" ht="12" hidden="false" customHeight="false" outlineLevel="0" collapsed="false">
      <c r="A211" s="203" t="s">
        <v>1444</v>
      </c>
      <c r="B211" s="203" t="s">
        <v>1445</v>
      </c>
      <c r="D211" s="203" t="s">
        <v>1446</v>
      </c>
    </row>
    <row r="212" customFormat="false" ht="12" hidden="false" customHeight="false" outlineLevel="0" collapsed="false">
      <c r="A212" s="203" t="s">
        <v>1447</v>
      </c>
      <c r="B212" s="203" t="s">
        <v>1448</v>
      </c>
      <c r="D212" s="203" t="s">
        <v>1449</v>
      </c>
    </row>
    <row r="213" customFormat="false" ht="12" hidden="false" customHeight="false" outlineLevel="0" collapsed="false">
      <c r="A213" s="203" t="s">
        <v>1450</v>
      </c>
      <c r="B213" s="203" t="s">
        <v>1451</v>
      </c>
      <c r="D213" s="203" t="s">
        <v>1452</v>
      </c>
    </row>
    <row r="214" customFormat="false" ht="12" hidden="false" customHeight="false" outlineLevel="0" collapsed="false">
      <c r="A214" s="203" t="s">
        <v>1453</v>
      </c>
      <c r="B214" s="203" t="s">
        <v>1454</v>
      </c>
      <c r="D214" s="203" t="s">
        <v>1455</v>
      </c>
    </row>
    <row r="215" customFormat="false" ht="12" hidden="false" customHeight="false" outlineLevel="0" collapsed="false">
      <c r="A215" s="203" t="s">
        <v>1456</v>
      </c>
      <c r="B215" s="203" t="s">
        <v>1457</v>
      </c>
      <c r="D215" s="203" t="s">
        <v>1458</v>
      </c>
    </row>
    <row r="216" customFormat="false" ht="12" hidden="false" customHeight="false" outlineLevel="0" collapsed="false">
      <c r="A216" s="203" t="s">
        <v>1459</v>
      </c>
      <c r="B216" s="203" t="s">
        <v>1460</v>
      </c>
      <c r="D216" s="203" t="s">
        <v>1461</v>
      </c>
    </row>
    <row r="217" customFormat="false" ht="12" hidden="false" customHeight="false" outlineLevel="0" collapsed="false">
      <c r="A217" s="203" t="s">
        <v>1462</v>
      </c>
      <c r="B217" s="203" t="s">
        <v>1463</v>
      </c>
      <c r="D217" s="203" t="s">
        <v>1464</v>
      </c>
    </row>
    <row r="218" customFormat="false" ht="12" hidden="false" customHeight="false" outlineLevel="0" collapsed="false">
      <c r="A218" s="203" t="s">
        <v>1465</v>
      </c>
      <c r="B218" s="203" t="s">
        <v>1466</v>
      </c>
      <c r="D218" s="203" t="s">
        <v>1467</v>
      </c>
    </row>
    <row r="219" customFormat="false" ht="12" hidden="false" customHeight="false" outlineLevel="0" collapsed="false">
      <c r="A219" s="203" t="s">
        <v>1468</v>
      </c>
      <c r="B219" s="203" t="s">
        <v>1469</v>
      </c>
      <c r="D219" s="203" t="s">
        <v>1470</v>
      </c>
    </row>
    <row r="220" customFormat="false" ht="12" hidden="false" customHeight="false" outlineLevel="0" collapsed="false">
      <c r="A220" s="203" t="s">
        <v>1471</v>
      </c>
      <c r="B220" s="203" t="s">
        <v>1472</v>
      </c>
      <c r="D220" s="203" t="s">
        <v>1473</v>
      </c>
    </row>
    <row r="221" customFormat="false" ht="12" hidden="false" customHeight="false" outlineLevel="0" collapsed="false">
      <c r="A221" s="203" t="s">
        <v>1474</v>
      </c>
      <c r="B221" s="203" t="s">
        <v>1475</v>
      </c>
      <c r="D221" s="203" t="s">
        <v>1476</v>
      </c>
    </row>
    <row r="222" customFormat="false" ht="12" hidden="false" customHeight="false" outlineLevel="0" collapsed="false">
      <c r="A222" s="203" t="s">
        <v>1477</v>
      </c>
      <c r="B222" s="203" t="s">
        <v>1478</v>
      </c>
      <c r="D222" s="203" t="s">
        <v>1479</v>
      </c>
    </row>
    <row r="223" customFormat="false" ht="12" hidden="false" customHeight="false" outlineLevel="0" collapsed="false">
      <c r="A223" s="203" t="s">
        <v>1480</v>
      </c>
      <c r="B223" s="203" t="s">
        <v>1481</v>
      </c>
      <c r="D223" s="203" t="s">
        <v>1482</v>
      </c>
    </row>
    <row r="224" customFormat="false" ht="12" hidden="false" customHeight="false" outlineLevel="0" collapsed="false">
      <c r="A224" s="203" t="s">
        <v>1483</v>
      </c>
      <c r="B224" s="203" t="s">
        <v>1484</v>
      </c>
      <c r="D224" s="203" t="s">
        <v>1485</v>
      </c>
    </row>
    <row r="225" customFormat="false" ht="12" hidden="false" customHeight="false" outlineLevel="0" collapsed="false">
      <c r="A225" s="203" t="s">
        <v>1486</v>
      </c>
      <c r="B225" s="203" t="s">
        <v>1487</v>
      </c>
      <c r="D225" s="203" t="s">
        <v>1488</v>
      </c>
    </row>
    <row r="226" customFormat="false" ht="12" hidden="false" customHeight="false" outlineLevel="0" collapsed="false">
      <c r="A226" s="203" t="s">
        <v>1489</v>
      </c>
      <c r="B226" s="203" t="s">
        <v>1490</v>
      </c>
      <c r="D226" s="0" t="s">
        <v>1488</v>
      </c>
    </row>
    <row r="227" customFormat="false" ht="12" hidden="false" customHeight="false" outlineLevel="0" collapsed="false">
      <c r="A227" s="203" t="s">
        <v>1491</v>
      </c>
      <c r="B227" s="203" t="s">
        <v>1492</v>
      </c>
    </row>
    <row r="228" customFormat="false" ht="12" hidden="false" customHeight="false" outlineLevel="0" collapsed="false">
      <c r="A228" s="203" t="s">
        <v>1493</v>
      </c>
      <c r="B228" s="203" t="s">
        <v>1494</v>
      </c>
    </row>
    <row r="229" customFormat="false" ht="12" hidden="false" customHeight="false" outlineLevel="0" collapsed="false">
      <c r="A229" s="203" t="s">
        <v>1495</v>
      </c>
      <c r="B229" s="203" t="s">
        <v>1496</v>
      </c>
    </row>
    <row r="230" customFormat="false" ht="12" hidden="false" customHeight="false" outlineLevel="0" collapsed="false">
      <c r="A230" s="203" t="s">
        <v>1497</v>
      </c>
      <c r="B230" s="203" t="s">
        <v>1498</v>
      </c>
    </row>
    <row r="231" customFormat="false" ht="12" hidden="false" customHeight="false" outlineLevel="0" collapsed="false">
      <c r="A231" s="203" t="s">
        <v>1499</v>
      </c>
      <c r="B231" s="203" t="s">
        <v>1500</v>
      </c>
    </row>
    <row r="232" customFormat="false" ht="12" hidden="false" customHeight="false" outlineLevel="0" collapsed="false">
      <c r="A232" s="203" t="s">
        <v>1501</v>
      </c>
      <c r="B232" s="203" t="s">
        <v>1502</v>
      </c>
    </row>
    <row r="233" customFormat="false" ht="12" hidden="false" customHeight="false" outlineLevel="0" collapsed="false">
      <c r="A233" s="203" t="s">
        <v>1503</v>
      </c>
      <c r="B233" s="203" t="s">
        <v>1504</v>
      </c>
    </row>
    <row r="234" customFormat="false" ht="12" hidden="false" customHeight="false" outlineLevel="0" collapsed="false">
      <c r="A234" s="203" t="s">
        <v>1505</v>
      </c>
      <c r="B234" s="203" t="s">
        <v>1506</v>
      </c>
    </row>
    <row r="235" customFormat="false" ht="12" hidden="false" customHeight="false" outlineLevel="0" collapsed="false">
      <c r="A235" s="203" t="s">
        <v>1507</v>
      </c>
      <c r="B235" s="203" t="s">
        <v>1508</v>
      </c>
    </row>
    <row r="236" customFormat="false" ht="12" hidden="false" customHeight="false" outlineLevel="0" collapsed="false">
      <c r="A236" s="203" t="s">
        <v>1509</v>
      </c>
      <c r="B236" s="203" t="s">
        <v>1510</v>
      </c>
    </row>
    <row r="237" customFormat="false" ht="12" hidden="false" customHeight="false" outlineLevel="0" collapsed="false">
      <c r="A237" s="203" t="s">
        <v>1511</v>
      </c>
      <c r="B237" s="203" t="s">
        <v>1512</v>
      </c>
    </row>
    <row r="238" customFormat="false" ht="12" hidden="false" customHeight="false" outlineLevel="0" collapsed="false">
      <c r="A238" s="203" t="s">
        <v>1513</v>
      </c>
      <c r="B238" s="203" t="s">
        <v>1514</v>
      </c>
    </row>
    <row r="239" customFormat="false" ht="12" hidden="false" customHeight="false" outlineLevel="0" collapsed="false">
      <c r="A239" s="203" t="s">
        <v>1515</v>
      </c>
      <c r="B239" s="203" t="s">
        <v>1516</v>
      </c>
    </row>
    <row r="240" customFormat="false" ht="12" hidden="false" customHeight="false" outlineLevel="0" collapsed="false">
      <c r="A240" s="203" t="s">
        <v>1517</v>
      </c>
      <c r="B240" s="203" t="s">
        <v>1518</v>
      </c>
    </row>
    <row r="241" customFormat="false" ht="12" hidden="false" customHeight="false" outlineLevel="0" collapsed="false">
      <c r="A241" s="203" t="s">
        <v>1519</v>
      </c>
      <c r="B241" s="203" t="s">
        <v>1520</v>
      </c>
    </row>
    <row r="242" customFormat="false" ht="12" hidden="false" customHeight="false" outlineLevel="0" collapsed="false">
      <c r="A242" s="203" t="s">
        <v>1521</v>
      </c>
      <c r="B242" s="203" t="s">
        <v>1522</v>
      </c>
    </row>
    <row r="243" customFormat="false" ht="12" hidden="false" customHeight="false" outlineLevel="0" collapsed="false">
      <c r="A243" s="203" t="s">
        <v>1523</v>
      </c>
      <c r="B243" s="203" t="s">
        <v>1524</v>
      </c>
    </row>
    <row r="244" customFormat="false" ht="12" hidden="false" customHeight="false" outlineLevel="0" collapsed="false">
      <c r="A244" s="203" t="s">
        <v>1525</v>
      </c>
      <c r="B244" s="203" t="s">
        <v>1526</v>
      </c>
    </row>
    <row r="245" customFormat="false" ht="12" hidden="false" customHeight="false" outlineLevel="0" collapsed="false">
      <c r="A245" s="203" t="s">
        <v>1527</v>
      </c>
      <c r="B245" s="203" t="s">
        <v>1528</v>
      </c>
    </row>
    <row r="246" customFormat="false" ht="12" hidden="false" customHeight="false" outlineLevel="0" collapsed="false">
      <c r="A246" s="203" t="s">
        <v>1529</v>
      </c>
      <c r="B246" s="203" t="s">
        <v>1530</v>
      </c>
    </row>
    <row r="247" customFormat="false" ht="12" hidden="false" customHeight="false" outlineLevel="0" collapsed="false">
      <c r="A247" s="203" t="s">
        <v>1531</v>
      </c>
      <c r="B247" s="203" t="s">
        <v>1532</v>
      </c>
    </row>
    <row r="248" customFormat="false" ht="12" hidden="false" customHeight="false" outlineLevel="0" collapsed="false">
      <c r="A248" s="203" t="s">
        <v>1533</v>
      </c>
      <c r="B248" s="203" t="s">
        <v>1534</v>
      </c>
    </row>
    <row r="249" customFormat="false" ht="12" hidden="false" customHeight="false" outlineLevel="0" collapsed="false">
      <c r="A249" s="203" t="s">
        <v>1535</v>
      </c>
      <c r="B249" s="203" t="s">
        <v>1536</v>
      </c>
    </row>
    <row r="250" customFormat="false" ht="12" hidden="false" customHeight="false" outlineLevel="0" collapsed="false">
      <c r="A250" s="203" t="s">
        <v>1537</v>
      </c>
      <c r="B250" s="203" t="s">
        <v>1538</v>
      </c>
    </row>
    <row r="251" customFormat="false" ht="12" hidden="false" customHeight="false" outlineLevel="0" collapsed="false">
      <c r="A251" s="203" t="s">
        <v>1539</v>
      </c>
      <c r="B251" s="203" t="s">
        <v>1540</v>
      </c>
    </row>
    <row r="252" customFormat="false" ht="12" hidden="false" customHeight="false" outlineLevel="0" collapsed="false">
      <c r="A252" s="203" t="s">
        <v>1541</v>
      </c>
      <c r="B252" s="203" t="s">
        <v>1542</v>
      </c>
    </row>
    <row r="253" customFormat="false" ht="12" hidden="false" customHeight="false" outlineLevel="0" collapsed="false">
      <c r="A253" s="203" t="s">
        <v>1543</v>
      </c>
      <c r="B253" s="203" t="s">
        <v>1544</v>
      </c>
    </row>
    <row r="254" customFormat="false" ht="12" hidden="false" customHeight="false" outlineLevel="0" collapsed="false">
      <c r="A254" s="203" t="s">
        <v>1545</v>
      </c>
      <c r="B254" s="203" t="s">
        <v>1546</v>
      </c>
    </row>
    <row r="255" customFormat="false" ht="12" hidden="false" customHeight="false" outlineLevel="0" collapsed="false">
      <c r="A255" s="203" t="s">
        <v>1547</v>
      </c>
      <c r="B255" s="203" t="s">
        <v>1548</v>
      </c>
    </row>
    <row r="256" customFormat="false" ht="12" hidden="false" customHeight="false" outlineLevel="0" collapsed="false">
      <c r="A256" s="203" t="s">
        <v>1549</v>
      </c>
      <c r="B256" s="203" t="s">
        <v>1550</v>
      </c>
    </row>
    <row r="257" customFormat="false" ht="12" hidden="false" customHeight="false" outlineLevel="0" collapsed="false">
      <c r="A257" s="203" t="s">
        <v>1551</v>
      </c>
      <c r="B257" s="203" t="s">
        <v>1552</v>
      </c>
    </row>
    <row r="258" customFormat="false" ht="12" hidden="false" customHeight="false" outlineLevel="0" collapsed="false">
      <c r="A258" s="203" t="s">
        <v>1553</v>
      </c>
      <c r="B258" s="203" t="s">
        <v>1554</v>
      </c>
    </row>
    <row r="259" customFormat="false" ht="12" hidden="false" customHeight="false" outlineLevel="0" collapsed="false">
      <c r="A259" s="203" t="s">
        <v>1555</v>
      </c>
      <c r="B259" s="203" t="s">
        <v>1556</v>
      </c>
    </row>
    <row r="260" customFormat="false" ht="12" hidden="false" customHeight="false" outlineLevel="0" collapsed="false">
      <c r="A260" s="203" t="s">
        <v>1557</v>
      </c>
      <c r="B260" s="203" t="s">
        <v>1558</v>
      </c>
    </row>
    <row r="261" customFormat="false" ht="12" hidden="false" customHeight="false" outlineLevel="0" collapsed="false">
      <c r="A261" s="203" t="s">
        <v>1559</v>
      </c>
      <c r="B261" s="203" t="s">
        <v>1560</v>
      </c>
    </row>
    <row r="262" customFormat="false" ht="12" hidden="false" customHeight="false" outlineLevel="0" collapsed="false">
      <c r="A262" s="203" t="s">
        <v>1561</v>
      </c>
      <c r="B262" s="203" t="s">
        <v>1562</v>
      </c>
    </row>
    <row r="263" customFormat="false" ht="12" hidden="false" customHeight="false" outlineLevel="0" collapsed="false">
      <c r="A263" s="203" t="s">
        <v>1563</v>
      </c>
      <c r="B263" s="203" t="s">
        <v>1564</v>
      </c>
    </row>
    <row r="264" customFormat="false" ht="12" hidden="false" customHeight="false" outlineLevel="0" collapsed="false">
      <c r="A264" s="203" t="s">
        <v>1565</v>
      </c>
      <c r="B264" s="203" t="s">
        <v>1566</v>
      </c>
    </row>
    <row r="265" customFormat="false" ht="12" hidden="false" customHeight="false" outlineLevel="0" collapsed="false">
      <c r="A265" s="203" t="s">
        <v>1567</v>
      </c>
      <c r="B265" s="203" t="s">
        <v>1568</v>
      </c>
    </row>
    <row r="266" customFormat="false" ht="12" hidden="false" customHeight="false" outlineLevel="0" collapsed="false">
      <c r="A266" s="203" t="s">
        <v>1569</v>
      </c>
      <c r="B266" s="203" t="s">
        <v>1570</v>
      </c>
    </row>
    <row r="267" customFormat="false" ht="12" hidden="false" customHeight="false" outlineLevel="0" collapsed="false">
      <c r="A267" s="203" t="s">
        <v>1571</v>
      </c>
      <c r="B267" s="203" t="s">
        <v>1572</v>
      </c>
    </row>
    <row r="268" customFormat="false" ht="12" hidden="false" customHeight="false" outlineLevel="0" collapsed="false">
      <c r="A268" s="203" t="s">
        <v>1573</v>
      </c>
      <c r="B268" s="203" t="s">
        <v>1574</v>
      </c>
    </row>
    <row r="269" customFormat="false" ht="12" hidden="false" customHeight="false" outlineLevel="0" collapsed="false">
      <c r="A269" s="203" t="s">
        <v>1575</v>
      </c>
      <c r="B269" s="203" t="s">
        <v>1576</v>
      </c>
    </row>
    <row r="270" customFormat="false" ht="12" hidden="false" customHeight="false" outlineLevel="0" collapsed="false">
      <c r="A270" s="203" t="s">
        <v>1577</v>
      </c>
      <c r="B270" s="203" t="s">
        <v>1578</v>
      </c>
    </row>
    <row r="271" customFormat="false" ht="12" hidden="false" customHeight="false" outlineLevel="0" collapsed="false">
      <c r="A271" s="203" t="s">
        <v>1579</v>
      </c>
      <c r="B271" s="203" t="s">
        <v>1580</v>
      </c>
    </row>
    <row r="272" customFormat="false" ht="12" hidden="false" customHeight="false" outlineLevel="0" collapsed="false">
      <c r="A272" s="203" t="s">
        <v>1581</v>
      </c>
      <c r="B272" s="203" t="s">
        <v>1582</v>
      </c>
    </row>
    <row r="273" customFormat="false" ht="12" hidden="false" customHeight="false" outlineLevel="0" collapsed="false">
      <c r="A273" s="203" t="s">
        <v>1583</v>
      </c>
      <c r="B273" s="203" t="s">
        <v>1584</v>
      </c>
    </row>
    <row r="274" customFormat="false" ht="12" hidden="false" customHeight="false" outlineLevel="0" collapsed="false">
      <c r="A274" s="203" t="s">
        <v>1585</v>
      </c>
      <c r="B274" s="203" t="s">
        <v>1586</v>
      </c>
    </row>
    <row r="275" customFormat="false" ht="12" hidden="false" customHeight="false" outlineLevel="0" collapsed="false">
      <c r="A275" s="203" t="s">
        <v>1587</v>
      </c>
      <c r="B275" s="203" t="s">
        <v>1588</v>
      </c>
    </row>
    <row r="276" customFormat="false" ht="12" hidden="false" customHeight="false" outlineLevel="0" collapsed="false">
      <c r="A276" s="203" t="s">
        <v>1589</v>
      </c>
      <c r="B276" s="203" t="s">
        <v>1590</v>
      </c>
    </row>
    <row r="277" customFormat="false" ht="12" hidden="false" customHeight="false" outlineLevel="0" collapsed="false">
      <c r="A277" s="203" t="s">
        <v>1591</v>
      </c>
      <c r="B277" s="203" t="s">
        <v>1592</v>
      </c>
    </row>
    <row r="278" customFormat="false" ht="12" hidden="false" customHeight="false" outlineLevel="0" collapsed="false">
      <c r="A278" s="203" t="s">
        <v>1593</v>
      </c>
      <c r="B278" s="203" t="s">
        <v>1594</v>
      </c>
    </row>
    <row r="279" customFormat="false" ht="12" hidden="false" customHeight="false" outlineLevel="0" collapsed="false">
      <c r="A279" s="203" t="s">
        <v>1595</v>
      </c>
      <c r="B279" s="203" t="s">
        <v>1596</v>
      </c>
    </row>
    <row r="280" customFormat="false" ht="12" hidden="false" customHeight="false" outlineLevel="0" collapsed="false">
      <c r="A280" s="203" t="s">
        <v>1597</v>
      </c>
      <c r="B280" s="203" t="s">
        <v>779</v>
      </c>
    </row>
    <row r="281" customFormat="false" ht="12" hidden="false" customHeight="false" outlineLevel="0" collapsed="false">
      <c r="A281" s="203" t="s">
        <v>1598</v>
      </c>
      <c r="B281" s="203" t="s">
        <v>1599</v>
      </c>
    </row>
    <row r="282" customFormat="false" ht="12" hidden="false" customHeight="false" outlineLevel="0" collapsed="false">
      <c r="A282" s="203" t="s">
        <v>1600</v>
      </c>
      <c r="B282" s="203" t="s">
        <v>1601</v>
      </c>
    </row>
    <row r="283" customFormat="false" ht="12" hidden="false" customHeight="false" outlineLevel="0" collapsed="false">
      <c r="A283" s="203" t="s">
        <v>1602</v>
      </c>
      <c r="B283" s="203" t="s">
        <v>1603</v>
      </c>
    </row>
    <row r="284" customFormat="false" ht="12" hidden="false" customHeight="false" outlineLevel="0" collapsed="false">
      <c r="A284" s="203" t="s">
        <v>1604</v>
      </c>
      <c r="B284" s="203" t="s">
        <v>1605</v>
      </c>
    </row>
    <row r="285" customFormat="false" ht="12" hidden="false" customHeight="false" outlineLevel="0" collapsed="false">
      <c r="A285" s="203" t="s">
        <v>1606</v>
      </c>
      <c r="B285" s="203" t="s">
        <v>1607</v>
      </c>
    </row>
    <row r="286" customFormat="false" ht="12" hidden="false" customHeight="false" outlineLevel="0" collapsed="false">
      <c r="A286" s="203" t="s">
        <v>1608</v>
      </c>
      <c r="B286" s="203" t="s">
        <v>1609</v>
      </c>
    </row>
    <row r="287" customFormat="false" ht="12" hidden="false" customHeight="false" outlineLevel="0" collapsed="false">
      <c r="A287" s="203" t="s">
        <v>1610</v>
      </c>
      <c r="B287" s="203" t="s">
        <v>1611</v>
      </c>
    </row>
    <row r="288" customFormat="false" ht="12" hidden="false" customHeight="false" outlineLevel="0" collapsed="false">
      <c r="A288" s="203" t="s">
        <v>1612</v>
      </c>
      <c r="B288" s="203" t="s">
        <v>1613</v>
      </c>
    </row>
    <row r="289" customFormat="false" ht="12" hidden="false" customHeight="false" outlineLevel="0" collapsed="false">
      <c r="A289" s="203" t="s">
        <v>1614</v>
      </c>
      <c r="B289" s="203" t="s">
        <v>1615</v>
      </c>
    </row>
    <row r="290" customFormat="false" ht="12" hidden="false" customHeight="false" outlineLevel="0" collapsed="false">
      <c r="A290" s="203" t="s">
        <v>1616</v>
      </c>
      <c r="B290" s="203" t="s">
        <v>1617</v>
      </c>
    </row>
    <row r="291" customFormat="false" ht="12" hidden="false" customHeight="false" outlineLevel="0" collapsed="false">
      <c r="A291" s="203" t="s">
        <v>1618</v>
      </c>
      <c r="B291" s="203" t="s">
        <v>1619</v>
      </c>
    </row>
    <row r="292" customFormat="false" ht="12" hidden="false" customHeight="false" outlineLevel="0" collapsed="false">
      <c r="A292" s="203" t="s">
        <v>1620</v>
      </c>
      <c r="B292" s="203" t="s">
        <v>1621</v>
      </c>
    </row>
    <row r="293" customFormat="false" ht="12" hidden="false" customHeight="false" outlineLevel="0" collapsed="false">
      <c r="A293" s="203" t="s">
        <v>1622</v>
      </c>
      <c r="B293" s="203" t="s">
        <v>1623</v>
      </c>
    </row>
    <row r="294" customFormat="false" ht="12" hidden="false" customHeight="false" outlineLevel="0" collapsed="false">
      <c r="A294" s="203" t="s">
        <v>1624</v>
      </c>
      <c r="B294" s="203" t="s">
        <v>1625</v>
      </c>
    </row>
    <row r="295" customFormat="false" ht="12" hidden="false" customHeight="false" outlineLevel="0" collapsed="false">
      <c r="A295" s="203" t="s">
        <v>1626</v>
      </c>
      <c r="B295" s="203" t="s">
        <v>1627</v>
      </c>
    </row>
    <row r="296" customFormat="false" ht="12" hidden="false" customHeight="false" outlineLevel="0" collapsed="false">
      <c r="A296" s="203" t="s">
        <v>1628</v>
      </c>
      <c r="B296" s="203" t="s">
        <v>1629</v>
      </c>
    </row>
    <row r="297" customFormat="false" ht="12" hidden="false" customHeight="false" outlineLevel="0" collapsed="false">
      <c r="A297" s="203" t="s">
        <v>1630</v>
      </c>
      <c r="B297" s="203" t="s">
        <v>1631</v>
      </c>
    </row>
    <row r="298" customFormat="false" ht="12" hidden="false" customHeight="false" outlineLevel="0" collapsed="false">
      <c r="A298" s="203" t="s">
        <v>1632</v>
      </c>
      <c r="B298" s="203" t="s">
        <v>1633</v>
      </c>
    </row>
    <row r="299" customFormat="false" ht="12" hidden="false" customHeight="false" outlineLevel="0" collapsed="false">
      <c r="A299" s="203" t="s">
        <v>1634</v>
      </c>
      <c r="B299" s="203" t="s">
        <v>1635</v>
      </c>
    </row>
    <row r="300" customFormat="false" ht="12" hidden="false" customHeight="false" outlineLevel="0" collapsed="false">
      <c r="A300" s="203" t="s">
        <v>1636</v>
      </c>
      <c r="B300" s="203" t="s">
        <v>1637</v>
      </c>
    </row>
    <row r="301" customFormat="false" ht="12" hidden="false" customHeight="false" outlineLevel="0" collapsed="false">
      <c r="A301" s="203" t="s">
        <v>1638</v>
      </c>
      <c r="B301" s="203" t="s">
        <v>1639</v>
      </c>
    </row>
    <row r="302" customFormat="false" ht="12" hidden="false" customHeight="false" outlineLevel="0" collapsed="false">
      <c r="A302" s="203" t="s">
        <v>1640</v>
      </c>
      <c r="B302" s="203" t="s">
        <v>1641</v>
      </c>
    </row>
    <row r="303" customFormat="false" ht="12" hidden="false" customHeight="false" outlineLevel="0" collapsed="false">
      <c r="A303" s="203" t="s">
        <v>1642</v>
      </c>
      <c r="B303" s="203" t="s">
        <v>1643</v>
      </c>
    </row>
    <row r="304" customFormat="false" ht="12" hidden="false" customHeight="false" outlineLevel="0" collapsed="false">
      <c r="A304" s="203" t="s">
        <v>1644</v>
      </c>
      <c r="B304" s="203" t="s">
        <v>1645</v>
      </c>
    </row>
    <row r="305" customFormat="false" ht="12" hidden="false" customHeight="false" outlineLevel="0" collapsed="false">
      <c r="A305" s="203" t="s">
        <v>1646</v>
      </c>
      <c r="B305" s="203" t="s">
        <v>1647</v>
      </c>
    </row>
    <row r="306" customFormat="false" ht="12" hidden="false" customHeight="false" outlineLevel="0" collapsed="false">
      <c r="A306" s="203" t="s">
        <v>1648</v>
      </c>
      <c r="B306" s="203" t="s">
        <v>1649</v>
      </c>
    </row>
    <row r="307" customFormat="false" ht="12" hidden="false" customHeight="false" outlineLevel="0" collapsed="false">
      <c r="A307" s="203" t="s">
        <v>1650</v>
      </c>
      <c r="B307" s="203" t="s">
        <v>968</v>
      </c>
    </row>
    <row r="308" customFormat="false" ht="12" hidden="false" customHeight="false" outlineLevel="0" collapsed="false">
      <c r="A308" s="203" t="s">
        <v>1651</v>
      </c>
      <c r="B308" s="203" t="s">
        <v>1652</v>
      </c>
    </row>
    <row r="309" customFormat="false" ht="12" hidden="false" customHeight="false" outlineLevel="0" collapsed="false">
      <c r="A309" s="203" t="s">
        <v>1653</v>
      </c>
      <c r="B309" s="203" t="s">
        <v>1654</v>
      </c>
    </row>
    <row r="310" customFormat="false" ht="12" hidden="false" customHeight="false" outlineLevel="0" collapsed="false">
      <c r="A310" s="203" t="s">
        <v>1655</v>
      </c>
      <c r="B310" s="203" t="s">
        <v>1656</v>
      </c>
    </row>
    <row r="311" customFormat="false" ht="12" hidden="false" customHeight="false" outlineLevel="0" collapsed="false">
      <c r="A311" s="203" t="s">
        <v>1657</v>
      </c>
      <c r="B311" s="203" t="s">
        <v>1658</v>
      </c>
    </row>
    <row r="312" customFormat="false" ht="12" hidden="false" customHeight="false" outlineLevel="0" collapsed="false">
      <c r="A312" s="203" t="s">
        <v>1659</v>
      </c>
      <c r="B312" s="203" t="s">
        <v>1660</v>
      </c>
    </row>
    <row r="313" customFormat="false" ht="12" hidden="false" customHeight="false" outlineLevel="0" collapsed="false">
      <c r="A313" s="203" t="s">
        <v>1661</v>
      </c>
      <c r="B313" s="203" t="s">
        <v>1662</v>
      </c>
    </row>
    <row r="314" customFormat="false" ht="12" hidden="false" customHeight="false" outlineLevel="0" collapsed="false">
      <c r="A314" s="203" t="s">
        <v>1663</v>
      </c>
      <c r="B314" s="203" t="s">
        <v>1664</v>
      </c>
    </row>
    <row r="315" customFormat="false" ht="12" hidden="false" customHeight="false" outlineLevel="0" collapsed="false">
      <c r="A315" s="203" t="s">
        <v>1665</v>
      </c>
      <c r="B315" s="203" t="s">
        <v>1666</v>
      </c>
    </row>
    <row r="316" customFormat="false" ht="12" hidden="false" customHeight="false" outlineLevel="0" collapsed="false">
      <c r="A316" s="203" t="s">
        <v>1667</v>
      </c>
      <c r="B316" s="203" t="s">
        <v>1668</v>
      </c>
    </row>
    <row r="317" customFormat="false" ht="12" hidden="false" customHeight="false" outlineLevel="0" collapsed="false">
      <c r="A317" s="203" t="s">
        <v>1669</v>
      </c>
      <c r="B317" s="203" t="s">
        <v>1670</v>
      </c>
    </row>
    <row r="318" customFormat="false" ht="12" hidden="false" customHeight="false" outlineLevel="0" collapsed="false">
      <c r="A318" s="203" t="s">
        <v>1671</v>
      </c>
      <c r="B318" s="203" t="s">
        <v>1672</v>
      </c>
    </row>
    <row r="319" customFormat="false" ht="12" hidden="false" customHeight="false" outlineLevel="0" collapsed="false">
      <c r="A319" s="203" t="s">
        <v>1673</v>
      </c>
      <c r="B319" s="203" t="s">
        <v>1674</v>
      </c>
    </row>
    <row r="320" customFormat="false" ht="12" hidden="false" customHeight="false" outlineLevel="0" collapsed="false">
      <c r="A320" s="203" t="s">
        <v>1675</v>
      </c>
      <c r="B320" s="203" t="s">
        <v>1676</v>
      </c>
    </row>
    <row r="321" customFormat="false" ht="12" hidden="false" customHeight="false" outlineLevel="0" collapsed="false">
      <c r="A321" s="203" t="s">
        <v>1677</v>
      </c>
      <c r="B321" s="203" t="s">
        <v>1678</v>
      </c>
    </row>
    <row r="322" customFormat="false" ht="12" hidden="false" customHeight="false" outlineLevel="0" collapsed="false">
      <c r="A322" s="203" t="s">
        <v>1679</v>
      </c>
      <c r="B322" s="203" t="s">
        <v>1680</v>
      </c>
    </row>
    <row r="323" customFormat="false" ht="12" hidden="false" customHeight="false" outlineLevel="0" collapsed="false">
      <c r="A323" s="203" t="s">
        <v>1681</v>
      </c>
      <c r="B323" s="203" t="s">
        <v>1682</v>
      </c>
    </row>
    <row r="324" customFormat="false" ht="12" hidden="false" customHeight="false" outlineLevel="0" collapsed="false">
      <c r="A324" s="203" t="s">
        <v>1683</v>
      </c>
      <c r="B324" s="203" t="s">
        <v>1684</v>
      </c>
    </row>
    <row r="325" customFormat="false" ht="12" hidden="false" customHeight="false" outlineLevel="0" collapsed="false">
      <c r="A325" s="203" t="s">
        <v>1685</v>
      </c>
      <c r="B325" s="203" t="s">
        <v>1686</v>
      </c>
    </row>
    <row r="326" customFormat="false" ht="12" hidden="false" customHeight="false" outlineLevel="0" collapsed="false">
      <c r="A326" s="203" t="s">
        <v>1687</v>
      </c>
      <c r="B326" s="203" t="s">
        <v>1688</v>
      </c>
    </row>
    <row r="327" customFormat="false" ht="12" hidden="false" customHeight="false" outlineLevel="0" collapsed="false">
      <c r="A327" s="203" t="s">
        <v>1689</v>
      </c>
      <c r="B327" s="203" t="s">
        <v>1690</v>
      </c>
    </row>
    <row r="328" customFormat="false" ht="12" hidden="false" customHeight="false" outlineLevel="0" collapsed="false">
      <c r="A328" s="203" t="s">
        <v>1691</v>
      </c>
      <c r="B328" s="203" t="s">
        <v>1692</v>
      </c>
    </row>
    <row r="329" customFormat="false" ht="12" hidden="false" customHeight="false" outlineLevel="0" collapsed="false">
      <c r="A329" s="203" t="s">
        <v>1693</v>
      </c>
      <c r="B329" s="203" t="s">
        <v>1694</v>
      </c>
    </row>
    <row r="330" customFormat="false" ht="12" hidden="false" customHeight="false" outlineLevel="0" collapsed="false">
      <c r="A330" s="203" t="s">
        <v>1695</v>
      </c>
      <c r="B330" s="203" t="s">
        <v>1696</v>
      </c>
    </row>
    <row r="331" customFormat="false" ht="12" hidden="false" customHeight="false" outlineLevel="0" collapsed="false">
      <c r="A331" s="203" t="s">
        <v>1697</v>
      </c>
      <c r="B331" s="203" t="s">
        <v>1698</v>
      </c>
    </row>
    <row r="332" customFormat="false" ht="12" hidden="false" customHeight="false" outlineLevel="0" collapsed="false">
      <c r="A332" s="203" t="s">
        <v>1699</v>
      </c>
      <c r="B332" s="203" t="s">
        <v>1700</v>
      </c>
    </row>
    <row r="333" customFormat="false" ht="12" hidden="false" customHeight="false" outlineLevel="0" collapsed="false">
      <c r="A333" s="203" t="s">
        <v>1701</v>
      </c>
      <c r="B333" s="203" t="s">
        <v>1702</v>
      </c>
    </row>
    <row r="334" customFormat="false" ht="12" hidden="false" customHeight="false" outlineLevel="0" collapsed="false">
      <c r="A334" s="203" t="s">
        <v>1703</v>
      </c>
      <c r="B334" s="203" t="s">
        <v>1704</v>
      </c>
    </row>
    <row r="335" customFormat="false" ht="12" hidden="false" customHeight="false" outlineLevel="0" collapsed="false">
      <c r="A335" s="203" t="s">
        <v>1705</v>
      </c>
      <c r="B335" s="203" t="s">
        <v>1706</v>
      </c>
    </row>
    <row r="336" customFormat="false" ht="12" hidden="false" customHeight="false" outlineLevel="0" collapsed="false">
      <c r="A336" s="203" t="s">
        <v>1707</v>
      </c>
      <c r="B336" s="203" t="s">
        <v>1708</v>
      </c>
    </row>
    <row r="337" customFormat="false" ht="12" hidden="false" customHeight="false" outlineLevel="0" collapsed="false">
      <c r="A337" s="203" t="s">
        <v>1709</v>
      </c>
      <c r="B337" s="203" t="s">
        <v>1710</v>
      </c>
    </row>
    <row r="338" customFormat="false" ht="12" hidden="false" customHeight="false" outlineLevel="0" collapsed="false">
      <c r="A338" s="203" t="s">
        <v>1711</v>
      </c>
      <c r="B338" s="203" t="s">
        <v>1712</v>
      </c>
    </row>
    <row r="339" customFormat="false" ht="12" hidden="false" customHeight="false" outlineLevel="0" collapsed="false">
      <c r="A339" s="203" t="s">
        <v>1713</v>
      </c>
      <c r="B339" s="203" t="s">
        <v>1714</v>
      </c>
    </row>
    <row r="340" customFormat="false" ht="12" hidden="false" customHeight="false" outlineLevel="0" collapsed="false">
      <c r="A340" s="203" t="s">
        <v>1715</v>
      </c>
      <c r="B340" s="203" t="s">
        <v>1716</v>
      </c>
    </row>
    <row r="341" customFormat="false" ht="12" hidden="false" customHeight="false" outlineLevel="0" collapsed="false">
      <c r="A341" s="203" t="s">
        <v>1717</v>
      </c>
      <c r="B341" s="203" t="s">
        <v>1718</v>
      </c>
    </row>
    <row r="342" customFormat="false" ht="12" hidden="false" customHeight="false" outlineLevel="0" collapsed="false">
      <c r="A342" s="203" t="s">
        <v>1719</v>
      </c>
      <c r="B342" s="203" t="s">
        <v>1720</v>
      </c>
    </row>
    <row r="343" customFormat="false" ht="12" hidden="false" customHeight="false" outlineLevel="0" collapsed="false">
      <c r="A343" s="203" t="s">
        <v>1721</v>
      </c>
      <c r="B343" s="203" t="s">
        <v>1722</v>
      </c>
    </row>
    <row r="344" customFormat="false" ht="12" hidden="false" customHeight="false" outlineLevel="0" collapsed="false">
      <c r="A344" s="203" t="s">
        <v>1723</v>
      </c>
      <c r="B344" s="203" t="s">
        <v>1724</v>
      </c>
    </row>
    <row r="345" customFormat="false" ht="12" hidden="false" customHeight="false" outlineLevel="0" collapsed="false">
      <c r="A345" s="203" t="s">
        <v>1725</v>
      </c>
      <c r="B345" s="203" t="s">
        <v>1726</v>
      </c>
    </row>
    <row r="346" customFormat="false" ht="12" hidden="false" customHeight="false" outlineLevel="0" collapsed="false">
      <c r="A346" s="203" t="s">
        <v>1727</v>
      </c>
      <c r="B346" s="203" t="s">
        <v>1728</v>
      </c>
    </row>
    <row r="347" customFormat="false" ht="12" hidden="false" customHeight="false" outlineLevel="0" collapsed="false">
      <c r="A347" s="203" t="s">
        <v>1729</v>
      </c>
      <c r="B347" s="203" t="s">
        <v>1730</v>
      </c>
    </row>
    <row r="348" customFormat="false" ht="12" hidden="false" customHeight="false" outlineLevel="0" collapsed="false">
      <c r="A348" s="203" t="s">
        <v>1731</v>
      </c>
      <c r="B348" s="203" t="s">
        <v>1732</v>
      </c>
    </row>
    <row r="349" customFormat="false" ht="12" hidden="false" customHeight="false" outlineLevel="0" collapsed="false">
      <c r="A349" s="203" t="s">
        <v>1733</v>
      </c>
      <c r="B349" s="203" t="s">
        <v>1734</v>
      </c>
    </row>
    <row r="350" customFormat="false" ht="12" hidden="false" customHeight="false" outlineLevel="0" collapsed="false">
      <c r="A350" s="203" t="s">
        <v>1735</v>
      </c>
      <c r="B350" s="203" t="s">
        <v>1736</v>
      </c>
    </row>
    <row r="351" customFormat="false" ht="12" hidden="false" customHeight="false" outlineLevel="0" collapsed="false">
      <c r="A351" s="203" t="s">
        <v>1737</v>
      </c>
      <c r="B351" s="203" t="s">
        <v>1738</v>
      </c>
    </row>
    <row r="352" customFormat="false" ht="12" hidden="false" customHeight="false" outlineLevel="0" collapsed="false">
      <c r="A352" s="203" t="s">
        <v>1739</v>
      </c>
      <c r="B352" s="203" t="s">
        <v>1740</v>
      </c>
    </row>
    <row r="353" customFormat="false" ht="12" hidden="false" customHeight="false" outlineLevel="0" collapsed="false">
      <c r="A353" s="203" t="s">
        <v>1741</v>
      </c>
      <c r="B353" s="203" t="s">
        <v>1742</v>
      </c>
    </row>
    <row r="354" customFormat="false" ht="12" hidden="false" customHeight="false" outlineLevel="0" collapsed="false">
      <c r="A354" s="203" t="s">
        <v>1743</v>
      </c>
      <c r="B354" s="203" t="s">
        <v>1744</v>
      </c>
    </row>
    <row r="355" customFormat="false" ht="12" hidden="false" customHeight="false" outlineLevel="0" collapsed="false">
      <c r="A355" s="203" t="s">
        <v>1745</v>
      </c>
      <c r="B355" s="203" t="s">
        <v>1746</v>
      </c>
    </row>
    <row r="356" customFormat="false" ht="12" hidden="false" customHeight="false" outlineLevel="0" collapsed="false">
      <c r="A356" s="203" t="s">
        <v>1747</v>
      </c>
      <c r="B356" s="203" t="s">
        <v>1748</v>
      </c>
    </row>
    <row r="357" customFormat="false" ht="12" hidden="false" customHeight="false" outlineLevel="0" collapsed="false">
      <c r="A357" s="203" t="s">
        <v>1749</v>
      </c>
      <c r="B357" s="203" t="s">
        <v>1750</v>
      </c>
    </row>
    <row r="358" customFormat="false" ht="12" hidden="false" customHeight="false" outlineLevel="0" collapsed="false">
      <c r="A358" s="203" t="s">
        <v>1751</v>
      </c>
      <c r="B358" s="203" t="s">
        <v>1752</v>
      </c>
    </row>
    <row r="359" customFormat="false" ht="12" hidden="false" customHeight="false" outlineLevel="0" collapsed="false">
      <c r="A359" s="203" t="s">
        <v>1753</v>
      </c>
      <c r="B359" s="203" t="s">
        <v>1754</v>
      </c>
    </row>
    <row r="360" customFormat="false" ht="12" hidden="false" customHeight="false" outlineLevel="0" collapsed="false">
      <c r="A360" s="203" t="s">
        <v>1755</v>
      </c>
      <c r="B360" s="203" t="s">
        <v>1756</v>
      </c>
    </row>
    <row r="361" customFormat="false" ht="12" hidden="false" customHeight="false" outlineLevel="0" collapsed="false">
      <c r="A361" s="203" t="s">
        <v>1757</v>
      </c>
      <c r="B361" s="203" t="s">
        <v>1758</v>
      </c>
    </row>
    <row r="362" customFormat="false" ht="12" hidden="false" customHeight="false" outlineLevel="0" collapsed="false">
      <c r="A362" s="203" t="s">
        <v>1759</v>
      </c>
      <c r="B362" s="203" t="s">
        <v>1760</v>
      </c>
    </row>
    <row r="363" customFormat="false" ht="12" hidden="false" customHeight="false" outlineLevel="0" collapsed="false">
      <c r="A363" s="203" t="s">
        <v>1761</v>
      </c>
      <c r="B363" s="203" t="s">
        <v>1762</v>
      </c>
    </row>
    <row r="364" customFormat="false" ht="12" hidden="false" customHeight="false" outlineLevel="0" collapsed="false">
      <c r="A364" s="203" t="s">
        <v>1763</v>
      </c>
      <c r="B364" s="203" t="s">
        <v>1764</v>
      </c>
    </row>
    <row r="365" customFormat="false" ht="12" hidden="false" customHeight="false" outlineLevel="0" collapsed="false">
      <c r="A365" s="203" t="s">
        <v>1765</v>
      </c>
      <c r="B365" s="203" t="s">
        <v>1766</v>
      </c>
    </row>
    <row r="366" customFormat="false" ht="12" hidden="false" customHeight="false" outlineLevel="0" collapsed="false">
      <c r="A366" s="203" t="s">
        <v>1767</v>
      </c>
      <c r="B366" s="203" t="s">
        <v>1768</v>
      </c>
    </row>
    <row r="367" customFormat="false" ht="12" hidden="false" customHeight="false" outlineLevel="0" collapsed="false">
      <c r="A367" s="203" t="s">
        <v>1769</v>
      </c>
      <c r="B367" s="203" t="s">
        <v>1770</v>
      </c>
    </row>
    <row r="368" customFormat="false" ht="12" hidden="false" customHeight="false" outlineLevel="0" collapsed="false">
      <c r="A368" s="203" t="s">
        <v>1771</v>
      </c>
      <c r="B368" s="203" t="s">
        <v>1772</v>
      </c>
    </row>
    <row r="369" customFormat="false" ht="12" hidden="false" customHeight="false" outlineLevel="0" collapsed="false">
      <c r="A369" s="203" t="s">
        <v>1773</v>
      </c>
      <c r="B369" s="203" t="s">
        <v>1774</v>
      </c>
    </row>
    <row r="370" customFormat="false" ht="12" hidden="false" customHeight="false" outlineLevel="0" collapsed="false">
      <c r="A370" s="203" t="s">
        <v>1775</v>
      </c>
      <c r="B370" s="203" t="s">
        <v>1776</v>
      </c>
    </row>
    <row r="371" customFormat="false" ht="12" hidden="false" customHeight="false" outlineLevel="0" collapsed="false">
      <c r="A371" s="203" t="s">
        <v>1777</v>
      </c>
      <c r="B371" s="203" t="s">
        <v>1778</v>
      </c>
    </row>
    <row r="372" customFormat="false" ht="12" hidden="false" customHeight="false" outlineLevel="0" collapsed="false">
      <c r="A372" s="203" t="s">
        <v>1779</v>
      </c>
      <c r="B372" s="203" t="s">
        <v>1780</v>
      </c>
    </row>
    <row r="373" customFormat="false" ht="12" hidden="false" customHeight="false" outlineLevel="0" collapsed="false">
      <c r="A373" s="203" t="s">
        <v>1781</v>
      </c>
      <c r="B373" s="203" t="s">
        <v>1782</v>
      </c>
    </row>
    <row r="374" customFormat="false" ht="12" hidden="false" customHeight="false" outlineLevel="0" collapsed="false">
      <c r="A374" s="203" t="s">
        <v>1783</v>
      </c>
      <c r="B374" s="203" t="s">
        <v>1784</v>
      </c>
    </row>
    <row r="375" customFormat="false" ht="12" hidden="false" customHeight="false" outlineLevel="0" collapsed="false">
      <c r="A375" s="203" t="s">
        <v>1785</v>
      </c>
      <c r="B375" s="203" t="s">
        <v>1786</v>
      </c>
    </row>
    <row r="376" customFormat="false" ht="12" hidden="false" customHeight="false" outlineLevel="0" collapsed="false">
      <c r="A376" s="203" t="s">
        <v>1787</v>
      </c>
      <c r="B376" s="203" t="s">
        <v>1788</v>
      </c>
    </row>
    <row r="377" customFormat="false" ht="12" hidden="false" customHeight="false" outlineLevel="0" collapsed="false">
      <c r="A377" s="203" t="s">
        <v>1789</v>
      </c>
      <c r="B377" s="203" t="s">
        <v>1790</v>
      </c>
    </row>
    <row r="378" customFormat="false" ht="12" hidden="false" customHeight="false" outlineLevel="0" collapsed="false">
      <c r="A378" s="203" t="s">
        <v>1791</v>
      </c>
      <c r="B378" s="203" t="s">
        <v>1792</v>
      </c>
    </row>
    <row r="379" customFormat="false" ht="12" hidden="false" customHeight="false" outlineLevel="0" collapsed="false">
      <c r="A379" s="203" t="s">
        <v>1793</v>
      </c>
      <c r="B379" s="203" t="s">
        <v>1794</v>
      </c>
    </row>
    <row r="380" customFormat="false" ht="12" hidden="false" customHeight="false" outlineLevel="0" collapsed="false">
      <c r="A380" s="203" t="s">
        <v>1795</v>
      </c>
      <c r="B380" s="203" t="s">
        <v>1796</v>
      </c>
    </row>
    <row r="381" customFormat="false" ht="12" hidden="false" customHeight="false" outlineLevel="0" collapsed="false">
      <c r="A381" s="203" t="s">
        <v>1797</v>
      </c>
      <c r="B381" s="203" t="s">
        <v>1798</v>
      </c>
    </row>
    <row r="382" customFormat="false" ht="12" hidden="false" customHeight="false" outlineLevel="0" collapsed="false">
      <c r="A382" s="203" t="s">
        <v>1799</v>
      </c>
      <c r="B382" s="203" t="s">
        <v>1800</v>
      </c>
    </row>
    <row r="383" customFormat="false" ht="12" hidden="false" customHeight="false" outlineLevel="0" collapsed="false">
      <c r="A383" s="203" t="s">
        <v>1801</v>
      </c>
      <c r="B383" s="203" t="s">
        <v>1802</v>
      </c>
    </row>
    <row r="384" customFormat="false" ht="12" hidden="false" customHeight="false" outlineLevel="0" collapsed="false">
      <c r="A384" s="203" t="s">
        <v>1803</v>
      </c>
      <c r="B384" s="203" t="s">
        <v>1804</v>
      </c>
    </row>
    <row r="385" customFormat="false" ht="12" hidden="false" customHeight="false" outlineLevel="0" collapsed="false">
      <c r="A385" s="203" t="s">
        <v>1805</v>
      </c>
      <c r="B385" s="203" t="s">
        <v>1806</v>
      </c>
    </row>
    <row r="386" customFormat="false" ht="12" hidden="false" customHeight="false" outlineLevel="0" collapsed="false">
      <c r="A386" s="203" t="s">
        <v>1807</v>
      </c>
      <c r="B386" s="203" t="s">
        <v>1808</v>
      </c>
    </row>
    <row r="387" customFormat="false" ht="12" hidden="false" customHeight="false" outlineLevel="0" collapsed="false">
      <c r="A387" s="203" t="s">
        <v>1809</v>
      </c>
      <c r="B387" s="203" t="s">
        <v>1810</v>
      </c>
    </row>
    <row r="388" customFormat="false" ht="12" hidden="false" customHeight="false" outlineLevel="0" collapsed="false">
      <c r="A388" s="203" t="s">
        <v>1811</v>
      </c>
      <c r="B388" s="203" t="s">
        <v>1812</v>
      </c>
    </row>
    <row r="389" customFormat="false" ht="12" hidden="false" customHeight="false" outlineLevel="0" collapsed="false">
      <c r="A389" s="203" t="s">
        <v>1813</v>
      </c>
      <c r="B389" s="203" t="s">
        <v>1814</v>
      </c>
    </row>
    <row r="390" customFormat="false" ht="12" hidden="false" customHeight="false" outlineLevel="0" collapsed="false">
      <c r="A390" s="203" t="s">
        <v>1815</v>
      </c>
      <c r="B390" s="203" t="s">
        <v>1816</v>
      </c>
    </row>
    <row r="391" customFormat="false" ht="12" hidden="false" customHeight="false" outlineLevel="0" collapsed="false">
      <c r="A391" s="203" t="s">
        <v>1817</v>
      </c>
      <c r="B391" s="203" t="s">
        <v>1818</v>
      </c>
    </row>
    <row r="392" customFormat="false" ht="12" hidden="false" customHeight="false" outlineLevel="0" collapsed="false">
      <c r="A392" s="203" t="s">
        <v>1819</v>
      </c>
      <c r="B392" s="203" t="s">
        <v>1820</v>
      </c>
    </row>
    <row r="393" customFormat="false" ht="12" hidden="false" customHeight="false" outlineLevel="0" collapsed="false">
      <c r="A393" s="203" t="s">
        <v>1821</v>
      </c>
      <c r="B393" s="203" t="s">
        <v>1822</v>
      </c>
    </row>
    <row r="394" customFormat="false" ht="12" hidden="false" customHeight="false" outlineLevel="0" collapsed="false">
      <c r="A394" s="203" t="s">
        <v>1823</v>
      </c>
      <c r="B394" s="203" t="s">
        <v>1824</v>
      </c>
    </row>
    <row r="395" customFormat="false" ht="12" hidden="false" customHeight="false" outlineLevel="0" collapsed="false">
      <c r="A395" s="203" t="s">
        <v>1825</v>
      </c>
      <c r="B395" s="203" t="s">
        <v>1826</v>
      </c>
    </row>
    <row r="396" customFormat="false" ht="12" hidden="false" customHeight="false" outlineLevel="0" collapsed="false">
      <c r="A396" s="203" t="s">
        <v>1827</v>
      </c>
      <c r="B396" s="203" t="s">
        <v>1828</v>
      </c>
    </row>
    <row r="397" customFormat="false" ht="12" hidden="false" customHeight="false" outlineLevel="0" collapsed="false">
      <c r="A397" s="203" t="s">
        <v>1829</v>
      </c>
      <c r="B397" s="203" t="s">
        <v>1830</v>
      </c>
    </row>
    <row r="398" customFormat="false" ht="12" hidden="false" customHeight="false" outlineLevel="0" collapsed="false">
      <c r="A398" s="203" t="s">
        <v>1831</v>
      </c>
      <c r="B398" s="203" t="s">
        <v>1832</v>
      </c>
    </row>
    <row r="399" customFormat="false" ht="12" hidden="false" customHeight="false" outlineLevel="0" collapsed="false">
      <c r="A399" s="203" t="s">
        <v>1833</v>
      </c>
      <c r="B399" s="203" t="s">
        <v>1834</v>
      </c>
    </row>
    <row r="400" customFormat="false" ht="12" hidden="false" customHeight="false" outlineLevel="0" collapsed="false">
      <c r="A400" s="203" t="s">
        <v>1835</v>
      </c>
      <c r="B400" s="203" t="s">
        <v>1836</v>
      </c>
    </row>
    <row r="401" customFormat="false" ht="12" hidden="false" customHeight="false" outlineLevel="0" collapsed="false">
      <c r="A401" s="203" t="s">
        <v>1837</v>
      </c>
      <c r="B401" s="203" t="s">
        <v>1838</v>
      </c>
    </row>
    <row r="402" customFormat="false" ht="12" hidden="false" customHeight="false" outlineLevel="0" collapsed="false">
      <c r="A402" s="203" t="s">
        <v>1839</v>
      </c>
      <c r="B402" s="203" t="s">
        <v>1840</v>
      </c>
    </row>
    <row r="403" customFormat="false" ht="12" hidden="false" customHeight="false" outlineLevel="0" collapsed="false">
      <c r="A403" s="203" t="s">
        <v>1841</v>
      </c>
      <c r="B403" s="203" t="s">
        <v>1842</v>
      </c>
    </row>
    <row r="404" customFormat="false" ht="12" hidden="false" customHeight="false" outlineLevel="0" collapsed="false">
      <c r="A404" s="203" t="s">
        <v>1843</v>
      </c>
      <c r="B404" s="203" t="s">
        <v>1844</v>
      </c>
    </row>
    <row r="405" customFormat="false" ht="12" hidden="false" customHeight="false" outlineLevel="0" collapsed="false">
      <c r="A405" s="203" t="s">
        <v>1845</v>
      </c>
      <c r="B405" s="203" t="s">
        <v>1846</v>
      </c>
    </row>
    <row r="406" customFormat="false" ht="12" hidden="false" customHeight="false" outlineLevel="0" collapsed="false">
      <c r="A406" s="203" t="s">
        <v>1847</v>
      </c>
      <c r="B406" s="203" t="s">
        <v>1848</v>
      </c>
    </row>
    <row r="407" customFormat="false" ht="12" hidden="false" customHeight="false" outlineLevel="0" collapsed="false">
      <c r="A407" s="203" t="s">
        <v>1849</v>
      </c>
      <c r="B407" s="203" t="s">
        <v>1850</v>
      </c>
    </row>
    <row r="408" customFormat="false" ht="12" hidden="false" customHeight="false" outlineLevel="0" collapsed="false">
      <c r="A408" s="203" t="s">
        <v>1851</v>
      </c>
      <c r="B408" s="203" t="s">
        <v>1852</v>
      </c>
    </row>
    <row r="409" customFormat="false" ht="12" hidden="false" customHeight="false" outlineLevel="0" collapsed="false">
      <c r="A409" s="203" t="s">
        <v>1853</v>
      </c>
      <c r="B409" s="203" t="s">
        <v>1854</v>
      </c>
    </row>
    <row r="410" customFormat="false" ht="12" hidden="false" customHeight="false" outlineLevel="0" collapsed="false">
      <c r="A410" s="203" t="s">
        <v>1855</v>
      </c>
      <c r="B410" s="203" t="s">
        <v>1856</v>
      </c>
    </row>
    <row r="411" customFormat="false" ht="12" hidden="false" customHeight="false" outlineLevel="0" collapsed="false">
      <c r="A411" s="203" t="s">
        <v>1857</v>
      </c>
      <c r="B411" s="203" t="s">
        <v>1858</v>
      </c>
    </row>
    <row r="412" customFormat="false" ht="12" hidden="false" customHeight="false" outlineLevel="0" collapsed="false">
      <c r="A412" s="203" t="s">
        <v>1859</v>
      </c>
      <c r="B412" s="203" t="s">
        <v>1860</v>
      </c>
    </row>
    <row r="413" customFormat="false" ht="12" hidden="false" customHeight="false" outlineLevel="0" collapsed="false">
      <c r="A413" s="203" t="s">
        <v>1861</v>
      </c>
      <c r="B413" s="203" t="s">
        <v>1862</v>
      </c>
    </row>
    <row r="414" customFormat="false" ht="12" hidden="false" customHeight="false" outlineLevel="0" collapsed="false">
      <c r="A414" s="203" t="s">
        <v>1863</v>
      </c>
      <c r="B414" s="203" t="s">
        <v>1864</v>
      </c>
    </row>
    <row r="415" customFormat="false" ht="12" hidden="false" customHeight="false" outlineLevel="0" collapsed="false">
      <c r="A415" s="203" t="s">
        <v>1865</v>
      </c>
      <c r="B415" s="203" t="s">
        <v>1866</v>
      </c>
    </row>
    <row r="416" customFormat="false" ht="12" hidden="false" customHeight="false" outlineLevel="0" collapsed="false">
      <c r="A416" s="203" t="s">
        <v>1867</v>
      </c>
      <c r="B416" s="203" t="s">
        <v>1868</v>
      </c>
    </row>
    <row r="417" customFormat="false" ht="12" hidden="false" customHeight="false" outlineLevel="0" collapsed="false">
      <c r="A417" s="203" t="s">
        <v>1869</v>
      </c>
      <c r="B417" s="203" t="s">
        <v>1870</v>
      </c>
    </row>
    <row r="418" customFormat="false" ht="12" hidden="false" customHeight="false" outlineLevel="0" collapsed="false">
      <c r="A418" s="203" t="s">
        <v>1871</v>
      </c>
      <c r="B418" s="203" t="s">
        <v>1872</v>
      </c>
    </row>
    <row r="419" customFormat="false" ht="12" hidden="false" customHeight="false" outlineLevel="0" collapsed="false">
      <c r="A419" s="203" t="s">
        <v>1873</v>
      </c>
      <c r="B419" s="203" t="s">
        <v>1874</v>
      </c>
    </row>
    <row r="420" customFormat="false" ht="12" hidden="false" customHeight="false" outlineLevel="0" collapsed="false">
      <c r="A420" s="203" t="s">
        <v>1875</v>
      </c>
      <c r="B420" s="203" t="s">
        <v>1876</v>
      </c>
    </row>
    <row r="421" customFormat="false" ht="12" hidden="false" customHeight="false" outlineLevel="0" collapsed="false">
      <c r="A421" s="203" t="s">
        <v>1877</v>
      </c>
      <c r="B421" s="203" t="s">
        <v>1878</v>
      </c>
    </row>
    <row r="422" customFormat="false" ht="12" hidden="false" customHeight="false" outlineLevel="0" collapsed="false">
      <c r="A422" s="203" t="s">
        <v>1879</v>
      </c>
      <c r="B422" s="203" t="s">
        <v>1880</v>
      </c>
    </row>
    <row r="423" customFormat="false" ht="12" hidden="false" customHeight="false" outlineLevel="0" collapsed="false">
      <c r="A423" s="203" t="s">
        <v>1881</v>
      </c>
      <c r="B423" s="203" t="s">
        <v>1882</v>
      </c>
    </row>
    <row r="424" customFormat="false" ht="12" hidden="false" customHeight="false" outlineLevel="0" collapsed="false">
      <c r="A424" s="203" t="s">
        <v>1883</v>
      </c>
      <c r="B424" s="203" t="s">
        <v>1884</v>
      </c>
    </row>
    <row r="425" customFormat="false" ht="12" hidden="false" customHeight="false" outlineLevel="0" collapsed="false">
      <c r="A425" s="203" t="s">
        <v>1885</v>
      </c>
      <c r="B425" s="203" t="s">
        <v>1886</v>
      </c>
    </row>
    <row r="426" customFormat="false" ht="12" hidden="false" customHeight="false" outlineLevel="0" collapsed="false">
      <c r="A426" s="203" t="s">
        <v>1887</v>
      </c>
      <c r="B426" s="203" t="s">
        <v>1888</v>
      </c>
    </row>
    <row r="427" customFormat="false" ht="12" hidden="false" customHeight="false" outlineLevel="0" collapsed="false">
      <c r="A427" s="203" t="s">
        <v>1889</v>
      </c>
      <c r="B427" s="203" t="s">
        <v>1890</v>
      </c>
    </row>
    <row r="428" customFormat="false" ht="12" hidden="false" customHeight="false" outlineLevel="0" collapsed="false">
      <c r="A428" s="203" t="s">
        <v>1891</v>
      </c>
      <c r="B428" s="203" t="s">
        <v>1892</v>
      </c>
    </row>
    <row r="429" customFormat="false" ht="12" hidden="false" customHeight="false" outlineLevel="0" collapsed="false">
      <c r="A429" s="203" t="s">
        <v>1893</v>
      </c>
      <c r="B429" s="203" t="s">
        <v>1894</v>
      </c>
    </row>
    <row r="430" customFormat="false" ht="12" hidden="false" customHeight="false" outlineLevel="0" collapsed="false">
      <c r="A430" s="203" t="s">
        <v>1895</v>
      </c>
      <c r="B430" s="203" t="s">
        <v>1896</v>
      </c>
    </row>
    <row r="431" customFormat="false" ht="12" hidden="false" customHeight="false" outlineLevel="0" collapsed="false">
      <c r="A431" s="203" t="s">
        <v>1897</v>
      </c>
      <c r="B431" s="203" t="s">
        <v>1898</v>
      </c>
    </row>
    <row r="432" customFormat="false" ht="12" hidden="false" customHeight="false" outlineLevel="0" collapsed="false">
      <c r="A432" s="203" t="s">
        <v>1899</v>
      </c>
      <c r="B432" s="203" t="s">
        <v>1900</v>
      </c>
    </row>
    <row r="433" customFormat="false" ht="12" hidden="false" customHeight="false" outlineLevel="0" collapsed="false">
      <c r="A433" s="203" t="s">
        <v>1901</v>
      </c>
      <c r="B433" s="203" t="s">
        <v>1902</v>
      </c>
    </row>
    <row r="434" customFormat="false" ht="12" hidden="false" customHeight="false" outlineLevel="0" collapsed="false">
      <c r="A434" s="203" t="s">
        <v>1903</v>
      </c>
      <c r="B434" s="203" t="s">
        <v>1904</v>
      </c>
    </row>
    <row r="435" customFormat="false" ht="12" hidden="false" customHeight="false" outlineLevel="0" collapsed="false">
      <c r="A435" s="203" t="s">
        <v>1905</v>
      </c>
      <c r="B435" s="203" t="s">
        <v>1906</v>
      </c>
    </row>
    <row r="436" customFormat="false" ht="12" hidden="false" customHeight="false" outlineLevel="0" collapsed="false">
      <c r="A436" s="203" t="s">
        <v>1907</v>
      </c>
      <c r="B436" s="203" t="s">
        <v>1908</v>
      </c>
    </row>
    <row r="437" customFormat="false" ht="12" hidden="false" customHeight="false" outlineLevel="0" collapsed="false">
      <c r="A437" s="203" t="s">
        <v>1909</v>
      </c>
      <c r="B437" s="203" t="s">
        <v>1910</v>
      </c>
    </row>
    <row r="438" customFormat="false" ht="12" hidden="false" customHeight="false" outlineLevel="0" collapsed="false">
      <c r="A438" s="203" t="s">
        <v>1911</v>
      </c>
      <c r="B438" s="203" t="s">
        <v>1912</v>
      </c>
    </row>
    <row r="439" customFormat="false" ht="12" hidden="false" customHeight="false" outlineLevel="0" collapsed="false">
      <c r="A439" s="203" t="s">
        <v>1913</v>
      </c>
      <c r="B439" s="203" t="s">
        <v>1914</v>
      </c>
    </row>
    <row r="440" customFormat="false" ht="12" hidden="false" customHeight="false" outlineLevel="0" collapsed="false">
      <c r="A440" s="203" t="s">
        <v>1915</v>
      </c>
      <c r="B440" s="203" t="s">
        <v>1916</v>
      </c>
    </row>
    <row r="441" customFormat="false" ht="12" hidden="false" customHeight="false" outlineLevel="0" collapsed="false">
      <c r="A441" s="203" t="s">
        <v>1917</v>
      </c>
      <c r="B441" s="203" t="s">
        <v>1918</v>
      </c>
    </row>
    <row r="442" customFormat="false" ht="12" hidden="false" customHeight="false" outlineLevel="0" collapsed="false">
      <c r="A442" s="203" t="s">
        <v>1919</v>
      </c>
      <c r="B442" s="203" t="s">
        <v>1920</v>
      </c>
    </row>
    <row r="443" customFormat="false" ht="12" hidden="false" customHeight="false" outlineLevel="0" collapsed="false">
      <c r="A443" s="203" t="s">
        <v>1921</v>
      </c>
      <c r="B443" s="203" t="s">
        <v>1922</v>
      </c>
    </row>
    <row r="444" customFormat="false" ht="12" hidden="false" customHeight="false" outlineLevel="0" collapsed="false">
      <c r="A444" s="203" t="s">
        <v>1923</v>
      </c>
      <c r="B444" s="203" t="s">
        <v>1924</v>
      </c>
    </row>
    <row r="445" customFormat="false" ht="12" hidden="false" customHeight="false" outlineLevel="0" collapsed="false">
      <c r="A445" s="203" t="s">
        <v>1925</v>
      </c>
      <c r="B445" s="203" t="s">
        <v>1926</v>
      </c>
    </row>
    <row r="446" customFormat="false" ht="12" hidden="false" customHeight="false" outlineLevel="0" collapsed="false">
      <c r="A446" s="203" t="s">
        <v>1927</v>
      </c>
      <c r="B446" s="203" t="s">
        <v>1928</v>
      </c>
    </row>
    <row r="447" customFormat="false" ht="12" hidden="false" customHeight="false" outlineLevel="0" collapsed="false">
      <c r="A447" s="203" t="s">
        <v>1929</v>
      </c>
      <c r="B447" s="203" t="s">
        <v>1930</v>
      </c>
    </row>
    <row r="448" customFormat="false" ht="12" hidden="false" customHeight="false" outlineLevel="0" collapsed="false">
      <c r="A448" s="203" t="s">
        <v>1931</v>
      </c>
      <c r="B448" s="203" t="s">
        <v>1932</v>
      </c>
    </row>
    <row r="449" customFormat="false" ht="12" hidden="false" customHeight="false" outlineLevel="0" collapsed="false">
      <c r="A449" s="203" t="s">
        <v>1933</v>
      </c>
      <c r="B449" s="203" t="s">
        <v>1934</v>
      </c>
    </row>
    <row r="450" customFormat="false" ht="12" hidden="false" customHeight="false" outlineLevel="0" collapsed="false">
      <c r="A450" s="203" t="s">
        <v>1935</v>
      </c>
      <c r="B450" s="203" t="s">
        <v>1936</v>
      </c>
    </row>
    <row r="451" customFormat="false" ht="12" hidden="false" customHeight="false" outlineLevel="0" collapsed="false">
      <c r="A451" s="203" t="s">
        <v>1937</v>
      </c>
      <c r="B451" s="203" t="s">
        <v>1938</v>
      </c>
    </row>
    <row r="452" customFormat="false" ht="12" hidden="false" customHeight="false" outlineLevel="0" collapsed="false">
      <c r="A452" s="203" t="s">
        <v>1939</v>
      </c>
      <c r="B452" s="203" t="s">
        <v>1940</v>
      </c>
    </row>
    <row r="453" customFormat="false" ht="12" hidden="false" customHeight="false" outlineLevel="0" collapsed="false">
      <c r="A453" s="203" t="s">
        <v>1941</v>
      </c>
      <c r="B453" s="203" t="s">
        <v>1942</v>
      </c>
    </row>
    <row r="454" customFormat="false" ht="12" hidden="false" customHeight="false" outlineLevel="0" collapsed="false">
      <c r="A454" s="203" t="s">
        <v>1943</v>
      </c>
      <c r="B454" s="203" t="s">
        <v>1944</v>
      </c>
    </row>
    <row r="455" customFormat="false" ht="12" hidden="false" customHeight="false" outlineLevel="0" collapsed="false">
      <c r="A455" s="203" t="s">
        <v>1945</v>
      </c>
      <c r="B455" s="203" t="s">
        <v>1946</v>
      </c>
    </row>
    <row r="456" customFormat="false" ht="12" hidden="false" customHeight="false" outlineLevel="0" collapsed="false">
      <c r="A456" s="203" t="s">
        <v>1947</v>
      </c>
      <c r="B456" s="203" t="s">
        <v>1948</v>
      </c>
    </row>
    <row r="457" customFormat="false" ht="12" hidden="false" customHeight="false" outlineLevel="0" collapsed="false">
      <c r="A457" s="203" t="s">
        <v>1949</v>
      </c>
      <c r="B457" s="203" t="s">
        <v>1950</v>
      </c>
    </row>
    <row r="458" customFormat="false" ht="12" hidden="false" customHeight="false" outlineLevel="0" collapsed="false">
      <c r="A458" s="203" t="s">
        <v>1951</v>
      </c>
      <c r="B458" s="203" t="s">
        <v>1952</v>
      </c>
    </row>
    <row r="459" customFormat="false" ht="12" hidden="false" customHeight="false" outlineLevel="0" collapsed="false">
      <c r="A459" s="203" t="s">
        <v>1953</v>
      </c>
      <c r="B459" s="203" t="s">
        <v>1954</v>
      </c>
    </row>
    <row r="460" customFormat="false" ht="12" hidden="false" customHeight="false" outlineLevel="0" collapsed="false">
      <c r="A460" s="203" t="s">
        <v>1955</v>
      </c>
      <c r="B460" s="203" t="s">
        <v>1956</v>
      </c>
    </row>
    <row r="461" customFormat="false" ht="12" hidden="false" customHeight="false" outlineLevel="0" collapsed="false">
      <c r="A461" s="203" t="s">
        <v>1957</v>
      </c>
      <c r="B461" s="203" t="s">
        <v>1958</v>
      </c>
    </row>
    <row r="462" customFormat="false" ht="12" hidden="false" customHeight="false" outlineLevel="0" collapsed="false">
      <c r="A462" s="203" t="s">
        <v>1959</v>
      </c>
      <c r="B462" s="203" t="s">
        <v>1960</v>
      </c>
    </row>
    <row r="463" customFormat="false" ht="12" hidden="false" customHeight="false" outlineLevel="0" collapsed="false">
      <c r="A463" s="203" t="s">
        <v>1961</v>
      </c>
      <c r="B463" s="203" t="s">
        <v>1962</v>
      </c>
    </row>
    <row r="464" customFormat="false" ht="12" hidden="false" customHeight="false" outlineLevel="0" collapsed="false">
      <c r="A464" s="203" t="s">
        <v>1963</v>
      </c>
      <c r="B464" s="203" t="s">
        <v>1964</v>
      </c>
    </row>
    <row r="465" customFormat="false" ht="12" hidden="false" customHeight="false" outlineLevel="0" collapsed="false">
      <c r="A465" s="203" t="s">
        <v>1965</v>
      </c>
      <c r="B465" s="203" t="s">
        <v>1966</v>
      </c>
    </row>
    <row r="466" customFormat="false" ht="12" hidden="false" customHeight="false" outlineLevel="0" collapsed="false">
      <c r="A466" s="203" t="s">
        <v>1967</v>
      </c>
      <c r="B466" s="203" t="s">
        <v>1968</v>
      </c>
    </row>
    <row r="467" customFormat="false" ht="12" hidden="false" customHeight="false" outlineLevel="0" collapsed="false">
      <c r="A467" s="203" t="s">
        <v>1969</v>
      </c>
      <c r="B467" s="203" t="s">
        <v>1970</v>
      </c>
    </row>
    <row r="468" customFormat="false" ht="12" hidden="false" customHeight="false" outlineLevel="0" collapsed="false">
      <c r="A468" s="203" t="s">
        <v>1971</v>
      </c>
      <c r="B468" s="203" t="s">
        <v>1972</v>
      </c>
    </row>
    <row r="469" customFormat="false" ht="12" hidden="false" customHeight="false" outlineLevel="0" collapsed="false">
      <c r="A469" s="203" t="s">
        <v>1973</v>
      </c>
      <c r="B469" s="203" t="s">
        <v>1974</v>
      </c>
    </row>
    <row r="470" customFormat="false" ht="12" hidden="false" customHeight="false" outlineLevel="0" collapsed="false">
      <c r="A470" s="203" t="s">
        <v>1975</v>
      </c>
      <c r="B470" s="203" t="s">
        <v>1976</v>
      </c>
    </row>
    <row r="471" customFormat="false" ht="12" hidden="false" customHeight="false" outlineLevel="0" collapsed="false">
      <c r="A471" s="203" t="s">
        <v>1977</v>
      </c>
      <c r="B471" s="203" t="s">
        <v>1978</v>
      </c>
    </row>
    <row r="472" customFormat="false" ht="12" hidden="false" customHeight="false" outlineLevel="0" collapsed="false">
      <c r="A472" s="203" t="s">
        <v>1979</v>
      </c>
      <c r="B472" s="203" t="s">
        <v>1980</v>
      </c>
    </row>
    <row r="473" customFormat="false" ht="12" hidden="false" customHeight="false" outlineLevel="0" collapsed="false">
      <c r="A473" s="203" t="s">
        <v>1981</v>
      </c>
      <c r="B473" s="203" t="s">
        <v>1982</v>
      </c>
    </row>
    <row r="474" customFormat="false" ht="12" hidden="false" customHeight="false" outlineLevel="0" collapsed="false">
      <c r="A474" s="203" t="s">
        <v>1983</v>
      </c>
      <c r="B474" s="203" t="s">
        <v>1984</v>
      </c>
    </row>
    <row r="475" customFormat="false" ht="12" hidden="false" customHeight="false" outlineLevel="0" collapsed="false">
      <c r="A475" s="203" t="s">
        <v>1985</v>
      </c>
      <c r="B475" s="203" t="s">
        <v>1986</v>
      </c>
    </row>
    <row r="476" customFormat="false" ht="12" hidden="false" customHeight="false" outlineLevel="0" collapsed="false">
      <c r="A476" s="203" t="s">
        <v>1987</v>
      </c>
      <c r="B476" s="203" t="s">
        <v>1988</v>
      </c>
    </row>
    <row r="477" customFormat="false" ht="12" hidden="false" customHeight="false" outlineLevel="0" collapsed="false">
      <c r="A477" s="203" t="s">
        <v>1989</v>
      </c>
      <c r="B477" s="203" t="s">
        <v>1990</v>
      </c>
    </row>
    <row r="478" customFormat="false" ht="12" hidden="false" customHeight="false" outlineLevel="0" collapsed="false">
      <c r="A478" s="203" t="s">
        <v>1991</v>
      </c>
      <c r="B478" s="203" t="s">
        <v>1992</v>
      </c>
    </row>
    <row r="479" customFormat="false" ht="12" hidden="false" customHeight="false" outlineLevel="0" collapsed="false">
      <c r="A479" s="203" t="s">
        <v>1993</v>
      </c>
      <c r="B479" s="203" t="s">
        <v>1994</v>
      </c>
    </row>
    <row r="480" customFormat="false" ht="12" hidden="false" customHeight="false" outlineLevel="0" collapsed="false">
      <c r="A480" s="203" t="s">
        <v>1995</v>
      </c>
      <c r="B480" s="203" t="s">
        <v>1996</v>
      </c>
    </row>
    <row r="481" customFormat="false" ht="12" hidden="false" customHeight="false" outlineLevel="0" collapsed="false">
      <c r="A481" s="203" t="s">
        <v>1997</v>
      </c>
      <c r="B481" s="203" t="s">
        <v>1998</v>
      </c>
    </row>
    <row r="482" customFormat="false" ht="12" hidden="false" customHeight="false" outlineLevel="0" collapsed="false">
      <c r="A482" s="203" t="s">
        <v>1999</v>
      </c>
      <c r="B482" s="203" t="s">
        <v>2000</v>
      </c>
    </row>
    <row r="483" customFormat="false" ht="12" hidden="false" customHeight="false" outlineLevel="0" collapsed="false">
      <c r="A483" s="203" t="s">
        <v>2001</v>
      </c>
      <c r="B483" s="203" t="s">
        <v>2002</v>
      </c>
    </row>
    <row r="484" customFormat="false" ht="12" hidden="false" customHeight="false" outlineLevel="0" collapsed="false">
      <c r="A484" s="203" t="s">
        <v>2003</v>
      </c>
      <c r="B484" s="203" t="s">
        <v>2004</v>
      </c>
    </row>
    <row r="485" customFormat="false" ht="12" hidden="false" customHeight="false" outlineLevel="0" collapsed="false">
      <c r="A485" s="203" t="s">
        <v>2005</v>
      </c>
      <c r="B485" s="203" t="s">
        <v>2006</v>
      </c>
    </row>
    <row r="486" customFormat="false" ht="12" hidden="false" customHeight="false" outlineLevel="0" collapsed="false">
      <c r="A486" s="203" t="s">
        <v>2007</v>
      </c>
      <c r="B486" s="203" t="s">
        <v>2008</v>
      </c>
    </row>
    <row r="487" customFormat="false" ht="12" hidden="false" customHeight="false" outlineLevel="0" collapsed="false">
      <c r="A487" s="203" t="s">
        <v>2009</v>
      </c>
      <c r="B487" s="203" t="s">
        <v>2010</v>
      </c>
    </row>
    <row r="488" customFormat="false" ht="12" hidden="false" customHeight="false" outlineLevel="0" collapsed="false">
      <c r="A488" s="203" t="s">
        <v>2011</v>
      </c>
      <c r="B488" s="203" t="s">
        <v>2012</v>
      </c>
    </row>
    <row r="489" customFormat="false" ht="12" hidden="false" customHeight="false" outlineLevel="0" collapsed="false">
      <c r="A489" s="203" t="s">
        <v>2013</v>
      </c>
      <c r="B489" s="203" t="s">
        <v>2014</v>
      </c>
    </row>
    <row r="490" customFormat="false" ht="12" hidden="false" customHeight="false" outlineLevel="0" collapsed="false">
      <c r="A490" s="203" t="s">
        <v>2015</v>
      </c>
      <c r="B490" s="203" t="s">
        <v>2016</v>
      </c>
    </row>
    <row r="491" customFormat="false" ht="12" hidden="false" customHeight="false" outlineLevel="0" collapsed="false">
      <c r="A491" s="203" t="s">
        <v>2017</v>
      </c>
      <c r="B491" s="203" t="s">
        <v>2018</v>
      </c>
    </row>
    <row r="492" customFormat="false" ht="12" hidden="false" customHeight="false" outlineLevel="0" collapsed="false">
      <c r="A492" s="203" t="s">
        <v>2019</v>
      </c>
      <c r="B492" s="203" t="s">
        <v>2020</v>
      </c>
    </row>
    <row r="493" customFormat="false" ht="12" hidden="false" customHeight="false" outlineLevel="0" collapsed="false">
      <c r="A493" s="203" t="s">
        <v>2021</v>
      </c>
      <c r="B493" s="203" t="s">
        <v>2022</v>
      </c>
    </row>
    <row r="494" customFormat="false" ht="12" hidden="false" customHeight="false" outlineLevel="0" collapsed="false">
      <c r="A494" s="203" t="s">
        <v>2023</v>
      </c>
      <c r="B494" s="203" t="s">
        <v>2024</v>
      </c>
    </row>
    <row r="495" customFormat="false" ht="12" hidden="false" customHeight="false" outlineLevel="0" collapsed="false">
      <c r="A495" s="203" t="s">
        <v>2025</v>
      </c>
      <c r="B495" s="203" t="s">
        <v>2026</v>
      </c>
    </row>
    <row r="496" customFormat="false" ht="12" hidden="false" customHeight="false" outlineLevel="0" collapsed="false">
      <c r="A496" s="203" t="s">
        <v>2027</v>
      </c>
      <c r="B496" s="203" t="s">
        <v>2028</v>
      </c>
    </row>
    <row r="497" customFormat="false" ht="12" hidden="false" customHeight="false" outlineLevel="0" collapsed="false">
      <c r="A497" s="203" t="s">
        <v>2029</v>
      </c>
      <c r="B497" s="203" t="s">
        <v>2030</v>
      </c>
    </row>
    <row r="498" customFormat="false" ht="12" hidden="false" customHeight="false" outlineLevel="0" collapsed="false">
      <c r="A498" s="203" t="s">
        <v>2031</v>
      </c>
      <c r="B498" s="203" t="s">
        <v>2032</v>
      </c>
    </row>
    <row r="499" customFormat="false" ht="12" hidden="false" customHeight="false" outlineLevel="0" collapsed="false">
      <c r="A499" s="203" t="s">
        <v>2033</v>
      </c>
      <c r="B499" s="203" t="s">
        <v>2034</v>
      </c>
    </row>
    <row r="500" customFormat="false" ht="12" hidden="false" customHeight="false" outlineLevel="0" collapsed="false">
      <c r="A500" s="203" t="s">
        <v>2035</v>
      </c>
      <c r="B500" s="203" t="s">
        <v>2036</v>
      </c>
    </row>
    <row r="501" customFormat="false" ht="12" hidden="false" customHeight="false" outlineLevel="0" collapsed="false">
      <c r="A501" s="203" t="s">
        <v>2037</v>
      </c>
      <c r="B501" s="203" t="s">
        <v>784</v>
      </c>
    </row>
    <row r="502" customFormat="false" ht="12" hidden="false" customHeight="false" outlineLevel="0" collapsed="false">
      <c r="A502" s="203" t="s">
        <v>2038</v>
      </c>
      <c r="B502" s="203" t="s">
        <v>2039</v>
      </c>
    </row>
    <row r="503" customFormat="false" ht="12" hidden="false" customHeight="false" outlineLevel="0" collapsed="false">
      <c r="A503" s="203" t="s">
        <v>2040</v>
      </c>
      <c r="B503" s="203" t="s">
        <v>2041</v>
      </c>
    </row>
    <row r="504" customFormat="false" ht="12" hidden="false" customHeight="false" outlineLevel="0" collapsed="false">
      <c r="A504" s="203" t="s">
        <v>2042</v>
      </c>
      <c r="B504" s="203" t="s">
        <v>2043</v>
      </c>
    </row>
    <row r="505" customFormat="false" ht="12" hidden="false" customHeight="false" outlineLevel="0" collapsed="false">
      <c r="A505" s="203" t="s">
        <v>2044</v>
      </c>
      <c r="B505" s="203" t="s">
        <v>2045</v>
      </c>
    </row>
    <row r="506" customFormat="false" ht="12" hidden="false" customHeight="false" outlineLevel="0" collapsed="false">
      <c r="A506" s="203" t="s">
        <v>2046</v>
      </c>
      <c r="B506" s="203" t="s">
        <v>2047</v>
      </c>
    </row>
    <row r="507" customFormat="false" ht="12" hidden="false" customHeight="false" outlineLevel="0" collapsed="false">
      <c r="A507" s="203" t="s">
        <v>2048</v>
      </c>
      <c r="B507" s="203" t="s">
        <v>2049</v>
      </c>
    </row>
    <row r="508" customFormat="false" ht="12" hidden="false" customHeight="false" outlineLevel="0" collapsed="false">
      <c r="A508" s="203" t="s">
        <v>2050</v>
      </c>
      <c r="B508" s="203" t="s">
        <v>2051</v>
      </c>
    </row>
    <row r="509" customFormat="false" ht="12" hidden="false" customHeight="false" outlineLevel="0" collapsed="false">
      <c r="A509" s="203" t="s">
        <v>2052</v>
      </c>
      <c r="B509" s="203" t="s">
        <v>2053</v>
      </c>
    </row>
    <row r="510" customFormat="false" ht="12" hidden="false" customHeight="false" outlineLevel="0" collapsed="false">
      <c r="A510" s="203" t="s">
        <v>2054</v>
      </c>
      <c r="B510" s="203" t="s">
        <v>2055</v>
      </c>
    </row>
    <row r="511" customFormat="false" ht="12" hidden="false" customHeight="false" outlineLevel="0" collapsed="false">
      <c r="A511" s="203" t="s">
        <v>2056</v>
      </c>
      <c r="B511" s="203" t="s">
        <v>2057</v>
      </c>
    </row>
    <row r="512" customFormat="false" ht="12" hidden="false" customHeight="false" outlineLevel="0" collapsed="false">
      <c r="A512" s="203" t="s">
        <v>2058</v>
      </c>
      <c r="B512" s="203" t="s">
        <v>2059</v>
      </c>
    </row>
    <row r="513" customFormat="false" ht="12" hidden="false" customHeight="false" outlineLevel="0" collapsed="false">
      <c r="A513" s="203" t="s">
        <v>2060</v>
      </c>
      <c r="B513" s="203" t="s">
        <v>2061</v>
      </c>
    </row>
    <row r="514" customFormat="false" ht="12" hidden="false" customHeight="false" outlineLevel="0" collapsed="false">
      <c r="A514" s="203" t="s">
        <v>2062</v>
      </c>
      <c r="B514" s="203" t="s">
        <v>2063</v>
      </c>
    </row>
    <row r="515" customFormat="false" ht="12" hidden="false" customHeight="false" outlineLevel="0" collapsed="false">
      <c r="A515" s="203" t="s">
        <v>2064</v>
      </c>
      <c r="B515" s="203" t="s">
        <v>2065</v>
      </c>
    </row>
    <row r="516" customFormat="false" ht="12" hidden="false" customHeight="false" outlineLevel="0" collapsed="false">
      <c r="A516" s="203" t="s">
        <v>2066</v>
      </c>
      <c r="B516" s="203" t="s">
        <v>2067</v>
      </c>
    </row>
    <row r="517" customFormat="false" ht="12" hidden="false" customHeight="false" outlineLevel="0" collapsed="false">
      <c r="A517" s="203" t="s">
        <v>2068</v>
      </c>
      <c r="B517" s="203" t="s">
        <v>2069</v>
      </c>
    </row>
    <row r="518" customFormat="false" ht="12" hidden="false" customHeight="false" outlineLevel="0" collapsed="false">
      <c r="A518" s="203" t="s">
        <v>2070</v>
      </c>
      <c r="B518" s="203" t="s">
        <v>2071</v>
      </c>
    </row>
    <row r="519" customFormat="false" ht="12" hidden="false" customHeight="false" outlineLevel="0" collapsed="false">
      <c r="A519" s="203" t="s">
        <v>2072</v>
      </c>
      <c r="B519" s="203" t="s">
        <v>2073</v>
      </c>
    </row>
    <row r="520" customFormat="false" ht="12" hidden="false" customHeight="false" outlineLevel="0" collapsed="false">
      <c r="A520" s="203" t="s">
        <v>2074</v>
      </c>
      <c r="B520" s="203" t="s">
        <v>2075</v>
      </c>
    </row>
    <row r="521" customFormat="false" ht="12" hidden="false" customHeight="false" outlineLevel="0" collapsed="false">
      <c r="A521" s="203" t="s">
        <v>2076</v>
      </c>
      <c r="B521" s="203" t="s">
        <v>2077</v>
      </c>
    </row>
    <row r="522" customFormat="false" ht="12" hidden="false" customHeight="false" outlineLevel="0" collapsed="false">
      <c r="A522" s="203" t="s">
        <v>2078</v>
      </c>
      <c r="B522" s="203" t="s">
        <v>2079</v>
      </c>
    </row>
    <row r="523" customFormat="false" ht="12" hidden="false" customHeight="false" outlineLevel="0" collapsed="false">
      <c r="A523" s="203" t="s">
        <v>2080</v>
      </c>
      <c r="B523" s="203" t="s">
        <v>2081</v>
      </c>
    </row>
    <row r="524" customFormat="false" ht="12" hidden="false" customHeight="false" outlineLevel="0" collapsed="false">
      <c r="A524" s="203" t="s">
        <v>2082</v>
      </c>
      <c r="B524" s="203" t="s">
        <v>2083</v>
      </c>
    </row>
    <row r="525" customFormat="false" ht="12" hidden="false" customHeight="false" outlineLevel="0" collapsed="false">
      <c r="A525" s="203" t="s">
        <v>2084</v>
      </c>
      <c r="B525" s="203" t="s">
        <v>2085</v>
      </c>
    </row>
    <row r="526" customFormat="false" ht="12" hidden="false" customHeight="false" outlineLevel="0" collapsed="false">
      <c r="A526" s="203" t="s">
        <v>2086</v>
      </c>
      <c r="B526" s="203" t="s">
        <v>2087</v>
      </c>
    </row>
    <row r="527" customFormat="false" ht="12" hidden="false" customHeight="false" outlineLevel="0" collapsed="false">
      <c r="A527" s="203" t="s">
        <v>2088</v>
      </c>
      <c r="B527" s="203" t="s">
        <v>2089</v>
      </c>
    </row>
    <row r="528" customFormat="false" ht="12" hidden="false" customHeight="false" outlineLevel="0" collapsed="false">
      <c r="A528" s="203" t="s">
        <v>2090</v>
      </c>
      <c r="B528" s="203" t="s">
        <v>2091</v>
      </c>
    </row>
    <row r="529" customFormat="false" ht="12" hidden="false" customHeight="false" outlineLevel="0" collapsed="false">
      <c r="A529" s="203" t="s">
        <v>2092</v>
      </c>
      <c r="B529" s="203" t="s">
        <v>2093</v>
      </c>
    </row>
    <row r="530" customFormat="false" ht="12" hidden="false" customHeight="false" outlineLevel="0" collapsed="false">
      <c r="A530" s="203" t="s">
        <v>2094</v>
      </c>
      <c r="B530" s="203" t="s">
        <v>2095</v>
      </c>
    </row>
    <row r="531" customFormat="false" ht="12" hidden="false" customHeight="false" outlineLevel="0" collapsed="false">
      <c r="A531" s="203" t="s">
        <v>2096</v>
      </c>
      <c r="B531" s="203" t="s">
        <v>2097</v>
      </c>
    </row>
    <row r="532" customFormat="false" ht="12" hidden="false" customHeight="false" outlineLevel="0" collapsed="false">
      <c r="A532" s="203" t="s">
        <v>2098</v>
      </c>
      <c r="B532" s="203" t="s">
        <v>2099</v>
      </c>
    </row>
    <row r="533" customFormat="false" ht="12" hidden="false" customHeight="false" outlineLevel="0" collapsed="false">
      <c r="A533" s="203" t="s">
        <v>2100</v>
      </c>
      <c r="B533" s="203" t="s">
        <v>2101</v>
      </c>
    </row>
    <row r="534" customFormat="false" ht="12" hidden="false" customHeight="false" outlineLevel="0" collapsed="false">
      <c r="A534" s="203" t="s">
        <v>2102</v>
      </c>
      <c r="B534" s="203" t="s">
        <v>2103</v>
      </c>
    </row>
    <row r="535" customFormat="false" ht="12" hidden="false" customHeight="false" outlineLevel="0" collapsed="false">
      <c r="A535" s="203" t="s">
        <v>2104</v>
      </c>
      <c r="B535" s="203" t="s">
        <v>2105</v>
      </c>
    </row>
    <row r="536" customFormat="false" ht="12" hidden="false" customHeight="false" outlineLevel="0" collapsed="false">
      <c r="A536" s="203" t="s">
        <v>2106</v>
      </c>
      <c r="B536" s="203" t="s">
        <v>2107</v>
      </c>
    </row>
    <row r="537" customFormat="false" ht="12" hidden="false" customHeight="false" outlineLevel="0" collapsed="false">
      <c r="A537" s="203" t="s">
        <v>2108</v>
      </c>
      <c r="B537" s="203" t="s">
        <v>2109</v>
      </c>
    </row>
    <row r="538" customFormat="false" ht="12" hidden="false" customHeight="false" outlineLevel="0" collapsed="false">
      <c r="A538" s="203" t="s">
        <v>2110</v>
      </c>
      <c r="B538" s="203" t="s">
        <v>2111</v>
      </c>
    </row>
    <row r="539" customFormat="false" ht="12" hidden="false" customHeight="false" outlineLevel="0" collapsed="false">
      <c r="A539" s="203" t="s">
        <v>2112</v>
      </c>
      <c r="B539" s="203" t="s">
        <v>2113</v>
      </c>
    </row>
    <row r="540" customFormat="false" ht="12" hidden="false" customHeight="false" outlineLevel="0" collapsed="false">
      <c r="A540" s="203" t="s">
        <v>2114</v>
      </c>
      <c r="B540" s="203" t="s">
        <v>2115</v>
      </c>
    </row>
    <row r="541" customFormat="false" ht="12" hidden="false" customHeight="false" outlineLevel="0" collapsed="false">
      <c r="A541" s="203" t="s">
        <v>2116</v>
      </c>
      <c r="B541" s="203" t="s">
        <v>2117</v>
      </c>
    </row>
    <row r="542" customFormat="false" ht="12" hidden="false" customHeight="false" outlineLevel="0" collapsed="false">
      <c r="A542" s="203" t="s">
        <v>2118</v>
      </c>
      <c r="B542" s="203" t="s">
        <v>2119</v>
      </c>
    </row>
    <row r="543" customFormat="false" ht="12" hidden="false" customHeight="false" outlineLevel="0" collapsed="false">
      <c r="A543" s="203" t="s">
        <v>2120</v>
      </c>
      <c r="B543" s="203" t="s">
        <v>2121</v>
      </c>
    </row>
    <row r="544" customFormat="false" ht="12" hidden="false" customHeight="false" outlineLevel="0" collapsed="false">
      <c r="A544" s="203" t="s">
        <v>2122</v>
      </c>
      <c r="B544" s="203" t="s">
        <v>2123</v>
      </c>
    </row>
    <row r="545" customFormat="false" ht="12" hidden="false" customHeight="false" outlineLevel="0" collapsed="false">
      <c r="A545" s="203" t="s">
        <v>2124</v>
      </c>
      <c r="B545" s="203" t="s">
        <v>2125</v>
      </c>
    </row>
    <row r="546" customFormat="false" ht="12" hidden="false" customHeight="false" outlineLevel="0" collapsed="false">
      <c r="A546" s="203" t="s">
        <v>2126</v>
      </c>
      <c r="B546" s="203" t="s">
        <v>2127</v>
      </c>
    </row>
    <row r="547" customFormat="false" ht="12" hidden="false" customHeight="false" outlineLevel="0" collapsed="false">
      <c r="A547" s="203" t="s">
        <v>2128</v>
      </c>
      <c r="B547" s="203" t="s">
        <v>2129</v>
      </c>
    </row>
    <row r="548" customFormat="false" ht="12" hidden="false" customHeight="false" outlineLevel="0" collapsed="false">
      <c r="A548" s="203" t="s">
        <v>2130</v>
      </c>
      <c r="B548" s="203" t="s">
        <v>2131</v>
      </c>
    </row>
    <row r="549" customFormat="false" ht="12" hidden="false" customHeight="false" outlineLevel="0" collapsed="false">
      <c r="A549" s="203" t="s">
        <v>2132</v>
      </c>
      <c r="B549" s="203" t="s">
        <v>2133</v>
      </c>
    </row>
    <row r="550" customFormat="false" ht="12" hidden="false" customHeight="false" outlineLevel="0" collapsed="false">
      <c r="A550" s="203" t="s">
        <v>2134</v>
      </c>
      <c r="B550" s="203" t="s">
        <v>2135</v>
      </c>
    </row>
    <row r="551" customFormat="false" ht="12" hidden="false" customHeight="false" outlineLevel="0" collapsed="false">
      <c r="A551" s="203" t="s">
        <v>2136</v>
      </c>
      <c r="B551" s="203" t="s">
        <v>2137</v>
      </c>
    </row>
    <row r="552" customFormat="false" ht="12" hidden="false" customHeight="false" outlineLevel="0" collapsed="false">
      <c r="A552" s="203" t="s">
        <v>2138</v>
      </c>
      <c r="B552" s="203" t="s">
        <v>2139</v>
      </c>
    </row>
    <row r="553" customFormat="false" ht="12" hidden="false" customHeight="false" outlineLevel="0" collapsed="false">
      <c r="A553" s="203" t="s">
        <v>2140</v>
      </c>
      <c r="B553" s="203" t="s">
        <v>2141</v>
      </c>
    </row>
    <row r="554" customFormat="false" ht="12" hidden="false" customHeight="false" outlineLevel="0" collapsed="false">
      <c r="A554" s="203" t="s">
        <v>2142</v>
      </c>
      <c r="B554" s="203" t="s">
        <v>2143</v>
      </c>
    </row>
    <row r="555" customFormat="false" ht="12" hidden="false" customHeight="false" outlineLevel="0" collapsed="false">
      <c r="A555" s="203" t="s">
        <v>2144</v>
      </c>
      <c r="B555" s="203" t="s">
        <v>2145</v>
      </c>
    </row>
    <row r="556" customFormat="false" ht="12" hidden="false" customHeight="false" outlineLevel="0" collapsed="false">
      <c r="A556" s="203" t="s">
        <v>2146</v>
      </c>
      <c r="B556" s="203" t="s">
        <v>2147</v>
      </c>
    </row>
    <row r="557" customFormat="false" ht="12" hidden="false" customHeight="false" outlineLevel="0" collapsed="false">
      <c r="A557" s="203" t="s">
        <v>2148</v>
      </c>
      <c r="B557" s="203" t="s">
        <v>2149</v>
      </c>
    </row>
    <row r="558" customFormat="false" ht="12" hidden="false" customHeight="false" outlineLevel="0" collapsed="false">
      <c r="A558" s="203" t="s">
        <v>2150</v>
      </c>
      <c r="B558" s="203" t="s">
        <v>2151</v>
      </c>
    </row>
    <row r="559" customFormat="false" ht="12" hidden="false" customHeight="false" outlineLevel="0" collapsed="false">
      <c r="A559" s="203" t="s">
        <v>2152</v>
      </c>
      <c r="B559" s="203" t="s">
        <v>2153</v>
      </c>
    </row>
    <row r="560" customFormat="false" ht="12" hidden="false" customHeight="false" outlineLevel="0" collapsed="false">
      <c r="A560" s="203" t="s">
        <v>2154</v>
      </c>
      <c r="B560" s="203" t="s">
        <v>2155</v>
      </c>
    </row>
    <row r="561" customFormat="false" ht="12" hidden="false" customHeight="false" outlineLevel="0" collapsed="false">
      <c r="A561" s="203" t="s">
        <v>2156</v>
      </c>
      <c r="B561" s="203" t="s">
        <v>2157</v>
      </c>
    </row>
    <row r="562" customFormat="false" ht="12" hidden="false" customHeight="false" outlineLevel="0" collapsed="false">
      <c r="A562" s="203" t="s">
        <v>2158</v>
      </c>
      <c r="B562" s="203" t="s">
        <v>2159</v>
      </c>
    </row>
    <row r="563" customFormat="false" ht="12" hidden="false" customHeight="false" outlineLevel="0" collapsed="false">
      <c r="A563" s="203" t="s">
        <v>2160</v>
      </c>
      <c r="B563" s="203" t="s">
        <v>2161</v>
      </c>
    </row>
    <row r="564" customFormat="false" ht="12" hidden="false" customHeight="false" outlineLevel="0" collapsed="false">
      <c r="A564" s="203" t="s">
        <v>2162</v>
      </c>
      <c r="B564" s="203" t="s">
        <v>2163</v>
      </c>
    </row>
    <row r="565" customFormat="false" ht="12" hidden="false" customHeight="false" outlineLevel="0" collapsed="false">
      <c r="A565" s="203" t="s">
        <v>2164</v>
      </c>
      <c r="B565" s="203" t="s">
        <v>2165</v>
      </c>
    </row>
    <row r="566" customFormat="false" ht="12" hidden="false" customHeight="false" outlineLevel="0" collapsed="false">
      <c r="A566" s="203" t="s">
        <v>2166</v>
      </c>
      <c r="B566" s="203" t="s">
        <v>2167</v>
      </c>
    </row>
    <row r="567" customFormat="false" ht="12" hidden="false" customHeight="false" outlineLevel="0" collapsed="false">
      <c r="A567" s="203" t="s">
        <v>2168</v>
      </c>
      <c r="B567" s="203" t="s">
        <v>2169</v>
      </c>
    </row>
    <row r="568" customFormat="false" ht="12" hidden="false" customHeight="false" outlineLevel="0" collapsed="false">
      <c r="A568" s="203" t="s">
        <v>2170</v>
      </c>
      <c r="B568" s="203" t="s">
        <v>2171</v>
      </c>
    </row>
    <row r="569" customFormat="false" ht="12" hidden="false" customHeight="false" outlineLevel="0" collapsed="false">
      <c r="A569" s="203" t="s">
        <v>2172</v>
      </c>
      <c r="B569" s="203" t="s">
        <v>2173</v>
      </c>
    </row>
    <row r="570" customFormat="false" ht="12" hidden="false" customHeight="false" outlineLevel="0" collapsed="false">
      <c r="A570" s="203" t="s">
        <v>2174</v>
      </c>
      <c r="B570" s="203" t="s">
        <v>2175</v>
      </c>
    </row>
    <row r="571" customFormat="false" ht="12" hidden="false" customHeight="false" outlineLevel="0" collapsed="false">
      <c r="A571" s="203" t="s">
        <v>2176</v>
      </c>
      <c r="B571" s="203" t="s">
        <v>2177</v>
      </c>
    </row>
    <row r="572" customFormat="false" ht="12" hidden="false" customHeight="false" outlineLevel="0" collapsed="false">
      <c r="A572" s="203" t="s">
        <v>2178</v>
      </c>
      <c r="B572" s="203" t="s">
        <v>2179</v>
      </c>
    </row>
    <row r="573" customFormat="false" ht="12" hidden="false" customHeight="false" outlineLevel="0" collapsed="false">
      <c r="A573" s="203" t="s">
        <v>2180</v>
      </c>
      <c r="B573" s="203" t="s">
        <v>2181</v>
      </c>
    </row>
    <row r="574" customFormat="false" ht="12" hidden="false" customHeight="false" outlineLevel="0" collapsed="false">
      <c r="A574" s="203" t="s">
        <v>2182</v>
      </c>
      <c r="B574" s="203" t="s">
        <v>2183</v>
      </c>
    </row>
    <row r="575" customFormat="false" ht="12" hidden="false" customHeight="false" outlineLevel="0" collapsed="false">
      <c r="A575" s="203" t="s">
        <v>2184</v>
      </c>
      <c r="B575" s="203" t="s">
        <v>2185</v>
      </c>
    </row>
    <row r="576" customFormat="false" ht="12" hidden="false" customHeight="false" outlineLevel="0" collapsed="false">
      <c r="A576" s="203" t="s">
        <v>2186</v>
      </c>
      <c r="B576" s="203" t="s">
        <v>2187</v>
      </c>
    </row>
    <row r="577" customFormat="false" ht="12" hidden="false" customHeight="false" outlineLevel="0" collapsed="false">
      <c r="A577" s="203" t="s">
        <v>2188</v>
      </c>
      <c r="B577" s="203" t="s">
        <v>2189</v>
      </c>
    </row>
    <row r="578" customFormat="false" ht="12" hidden="false" customHeight="false" outlineLevel="0" collapsed="false">
      <c r="A578" s="203" t="s">
        <v>2190</v>
      </c>
      <c r="B578" s="203" t="s">
        <v>2191</v>
      </c>
    </row>
    <row r="579" customFormat="false" ht="12" hidden="false" customHeight="false" outlineLevel="0" collapsed="false">
      <c r="A579" s="203" t="s">
        <v>2192</v>
      </c>
      <c r="B579" s="203" t="s">
        <v>2193</v>
      </c>
    </row>
    <row r="580" customFormat="false" ht="12" hidden="false" customHeight="false" outlineLevel="0" collapsed="false">
      <c r="A580" s="203" t="s">
        <v>2194</v>
      </c>
      <c r="B580" s="203" t="s">
        <v>2195</v>
      </c>
    </row>
    <row r="581" customFormat="false" ht="12" hidden="false" customHeight="false" outlineLevel="0" collapsed="false">
      <c r="A581" s="203" t="s">
        <v>2196</v>
      </c>
      <c r="B581" s="203" t="s">
        <v>2197</v>
      </c>
    </row>
    <row r="582" customFormat="false" ht="12" hidden="false" customHeight="false" outlineLevel="0" collapsed="false">
      <c r="A582" s="203" t="s">
        <v>2198</v>
      </c>
      <c r="B582" s="203" t="s">
        <v>2199</v>
      </c>
    </row>
    <row r="583" customFormat="false" ht="12" hidden="false" customHeight="false" outlineLevel="0" collapsed="false">
      <c r="A583" s="203" t="s">
        <v>2200</v>
      </c>
      <c r="B583" s="203" t="s">
        <v>2201</v>
      </c>
    </row>
    <row r="584" customFormat="false" ht="12" hidden="false" customHeight="false" outlineLevel="0" collapsed="false">
      <c r="A584" s="203" t="s">
        <v>2202</v>
      </c>
      <c r="B584" s="203" t="s">
        <v>2203</v>
      </c>
    </row>
    <row r="585" customFormat="false" ht="12" hidden="false" customHeight="false" outlineLevel="0" collapsed="false">
      <c r="A585" s="203" t="s">
        <v>2204</v>
      </c>
      <c r="B585" s="203" t="s">
        <v>2205</v>
      </c>
    </row>
    <row r="586" customFormat="false" ht="12" hidden="false" customHeight="false" outlineLevel="0" collapsed="false">
      <c r="A586" s="203" t="s">
        <v>2206</v>
      </c>
      <c r="B586" s="203" t="s">
        <v>2207</v>
      </c>
    </row>
    <row r="587" customFormat="false" ht="12" hidden="false" customHeight="false" outlineLevel="0" collapsed="false">
      <c r="A587" s="203" t="s">
        <v>2208</v>
      </c>
      <c r="B587" s="203" t="s">
        <v>2209</v>
      </c>
    </row>
    <row r="588" customFormat="false" ht="12" hidden="false" customHeight="false" outlineLevel="0" collapsed="false">
      <c r="A588" s="203" t="s">
        <v>2210</v>
      </c>
      <c r="B588" s="203" t="s">
        <v>119</v>
      </c>
    </row>
    <row r="589" customFormat="false" ht="12" hidden="false" customHeight="false" outlineLevel="0" collapsed="false">
      <c r="A589" s="203" t="s">
        <v>2211</v>
      </c>
      <c r="B589" s="203" t="s">
        <v>2212</v>
      </c>
    </row>
    <row r="590" customFormat="false" ht="12" hidden="false" customHeight="false" outlineLevel="0" collapsed="false">
      <c r="A590" s="203" t="s">
        <v>2213</v>
      </c>
      <c r="B590" s="203" t="s">
        <v>2214</v>
      </c>
    </row>
    <row r="591" customFormat="false" ht="12" hidden="false" customHeight="false" outlineLevel="0" collapsed="false">
      <c r="A591" s="203" t="s">
        <v>2215</v>
      </c>
      <c r="B591" s="203" t="s">
        <v>2216</v>
      </c>
    </row>
    <row r="592" customFormat="false" ht="12" hidden="false" customHeight="false" outlineLevel="0" collapsed="false">
      <c r="A592" s="203" t="s">
        <v>2217</v>
      </c>
      <c r="B592" s="203" t="s">
        <v>2218</v>
      </c>
    </row>
    <row r="593" customFormat="false" ht="12" hidden="false" customHeight="false" outlineLevel="0" collapsed="false">
      <c r="A593" s="203" t="s">
        <v>2219</v>
      </c>
      <c r="B593" s="203" t="s">
        <v>2220</v>
      </c>
    </row>
    <row r="594" customFormat="false" ht="12" hidden="false" customHeight="false" outlineLevel="0" collapsed="false">
      <c r="A594" s="203" t="s">
        <v>2221</v>
      </c>
      <c r="B594" s="203" t="s">
        <v>2222</v>
      </c>
    </row>
    <row r="595" customFormat="false" ht="12" hidden="false" customHeight="false" outlineLevel="0" collapsed="false">
      <c r="A595" s="203" t="s">
        <v>2223</v>
      </c>
      <c r="B595" s="203" t="s">
        <v>2224</v>
      </c>
    </row>
    <row r="596" customFormat="false" ht="12" hidden="false" customHeight="false" outlineLevel="0" collapsed="false">
      <c r="A596" s="203" t="s">
        <v>2225</v>
      </c>
      <c r="B596" s="203" t="s">
        <v>2226</v>
      </c>
    </row>
    <row r="597" customFormat="false" ht="12" hidden="false" customHeight="false" outlineLevel="0" collapsed="false">
      <c r="A597" s="203" t="s">
        <v>2227</v>
      </c>
      <c r="B597" s="203" t="s">
        <v>2228</v>
      </c>
    </row>
    <row r="598" customFormat="false" ht="12" hidden="false" customHeight="false" outlineLevel="0" collapsed="false">
      <c r="A598" s="203" t="s">
        <v>2229</v>
      </c>
      <c r="B598" s="203" t="s">
        <v>2230</v>
      </c>
    </row>
    <row r="599" customFormat="false" ht="12" hidden="false" customHeight="false" outlineLevel="0" collapsed="false">
      <c r="A599" s="203" t="s">
        <v>2231</v>
      </c>
      <c r="B599" s="203" t="s">
        <v>2232</v>
      </c>
    </row>
    <row r="600" customFormat="false" ht="12" hidden="false" customHeight="false" outlineLevel="0" collapsed="false">
      <c r="A600" s="203" t="s">
        <v>2233</v>
      </c>
      <c r="B600" s="203" t="s">
        <v>2234</v>
      </c>
    </row>
    <row r="601" customFormat="false" ht="12" hidden="false" customHeight="false" outlineLevel="0" collapsed="false">
      <c r="A601" s="203" t="s">
        <v>2235</v>
      </c>
      <c r="B601" s="203" t="s">
        <v>2236</v>
      </c>
    </row>
    <row r="602" customFormat="false" ht="12" hidden="false" customHeight="false" outlineLevel="0" collapsed="false">
      <c r="A602" s="203" t="s">
        <v>2237</v>
      </c>
      <c r="B602" s="203" t="s">
        <v>2238</v>
      </c>
    </row>
    <row r="603" customFormat="false" ht="12" hidden="false" customHeight="false" outlineLevel="0" collapsed="false">
      <c r="A603" s="203" t="s">
        <v>2239</v>
      </c>
      <c r="B603" s="203" t="s">
        <v>2240</v>
      </c>
    </row>
    <row r="604" customFormat="false" ht="12" hidden="false" customHeight="false" outlineLevel="0" collapsed="false">
      <c r="A604" s="203" t="s">
        <v>2241</v>
      </c>
      <c r="B604" s="203" t="s">
        <v>2242</v>
      </c>
    </row>
    <row r="605" customFormat="false" ht="12" hidden="false" customHeight="false" outlineLevel="0" collapsed="false">
      <c r="A605" s="203" t="s">
        <v>2243</v>
      </c>
      <c r="B605" s="203" t="s">
        <v>2244</v>
      </c>
    </row>
    <row r="606" customFormat="false" ht="12" hidden="false" customHeight="false" outlineLevel="0" collapsed="false">
      <c r="A606" s="203" t="s">
        <v>2245</v>
      </c>
      <c r="B606" s="203" t="s">
        <v>2246</v>
      </c>
    </row>
    <row r="607" customFormat="false" ht="12" hidden="false" customHeight="false" outlineLevel="0" collapsed="false">
      <c r="A607" s="203" t="s">
        <v>2247</v>
      </c>
      <c r="B607" s="203" t="s">
        <v>2248</v>
      </c>
    </row>
    <row r="608" customFormat="false" ht="12" hidden="false" customHeight="false" outlineLevel="0" collapsed="false">
      <c r="A608" s="203" t="s">
        <v>2249</v>
      </c>
      <c r="B608" s="203" t="s">
        <v>2250</v>
      </c>
    </row>
    <row r="609" customFormat="false" ht="12" hidden="false" customHeight="false" outlineLevel="0" collapsed="false">
      <c r="A609" s="203" t="s">
        <v>2251</v>
      </c>
      <c r="B609" s="203" t="s">
        <v>2252</v>
      </c>
    </row>
    <row r="610" customFormat="false" ht="12" hidden="false" customHeight="false" outlineLevel="0" collapsed="false">
      <c r="A610" s="203" t="s">
        <v>2253</v>
      </c>
      <c r="B610" s="203" t="s">
        <v>2254</v>
      </c>
    </row>
    <row r="611" customFormat="false" ht="12" hidden="false" customHeight="false" outlineLevel="0" collapsed="false">
      <c r="A611" s="203" t="s">
        <v>2255</v>
      </c>
      <c r="B611" s="203" t="s">
        <v>2256</v>
      </c>
    </row>
    <row r="612" customFormat="false" ht="12" hidden="false" customHeight="false" outlineLevel="0" collapsed="false">
      <c r="A612" s="203" t="s">
        <v>2257</v>
      </c>
      <c r="B612" s="203" t="s">
        <v>2258</v>
      </c>
    </row>
    <row r="613" customFormat="false" ht="12" hidden="false" customHeight="false" outlineLevel="0" collapsed="false">
      <c r="A613" s="203" t="s">
        <v>2259</v>
      </c>
      <c r="B613" s="203" t="s">
        <v>2260</v>
      </c>
    </row>
    <row r="614" customFormat="false" ht="12" hidden="false" customHeight="false" outlineLevel="0" collapsed="false">
      <c r="A614" s="203" t="s">
        <v>2261</v>
      </c>
      <c r="B614" s="203" t="s">
        <v>2262</v>
      </c>
    </row>
    <row r="615" customFormat="false" ht="12" hidden="false" customHeight="false" outlineLevel="0" collapsed="false">
      <c r="A615" s="203" t="s">
        <v>2263</v>
      </c>
      <c r="B615" s="203" t="s">
        <v>2264</v>
      </c>
    </row>
    <row r="616" customFormat="false" ht="12" hidden="false" customHeight="false" outlineLevel="0" collapsed="false">
      <c r="A616" s="203" t="s">
        <v>2265</v>
      </c>
      <c r="B616" s="203" t="s">
        <v>2266</v>
      </c>
    </row>
    <row r="617" customFormat="false" ht="12" hidden="false" customHeight="false" outlineLevel="0" collapsed="false">
      <c r="A617" s="203" t="s">
        <v>2267</v>
      </c>
      <c r="B617" s="203" t="s">
        <v>2268</v>
      </c>
    </row>
    <row r="618" customFormat="false" ht="12" hidden="false" customHeight="false" outlineLevel="0" collapsed="false">
      <c r="A618" s="203" t="s">
        <v>2269</v>
      </c>
      <c r="B618" s="203" t="s">
        <v>2270</v>
      </c>
    </row>
    <row r="619" customFormat="false" ht="12" hidden="false" customHeight="false" outlineLevel="0" collapsed="false">
      <c r="A619" s="203" t="s">
        <v>2271</v>
      </c>
      <c r="B619" s="203" t="s">
        <v>2272</v>
      </c>
    </row>
    <row r="620" customFormat="false" ht="12" hidden="false" customHeight="false" outlineLevel="0" collapsed="false">
      <c r="A620" s="203" t="s">
        <v>2273</v>
      </c>
      <c r="B620" s="203" t="s">
        <v>2274</v>
      </c>
    </row>
    <row r="621" customFormat="false" ht="12" hidden="false" customHeight="false" outlineLevel="0" collapsed="false">
      <c r="A621" s="203" t="s">
        <v>2275</v>
      </c>
      <c r="B621" s="203" t="s">
        <v>2276</v>
      </c>
    </row>
    <row r="622" customFormat="false" ht="12" hidden="false" customHeight="false" outlineLevel="0" collapsed="false">
      <c r="A622" s="203" t="s">
        <v>2277</v>
      </c>
      <c r="B622" s="203" t="s">
        <v>2278</v>
      </c>
    </row>
    <row r="623" customFormat="false" ht="12" hidden="false" customHeight="false" outlineLevel="0" collapsed="false">
      <c r="A623" s="203" t="s">
        <v>2279</v>
      </c>
      <c r="B623" s="203" t="s">
        <v>2280</v>
      </c>
    </row>
    <row r="624" customFormat="false" ht="12" hidden="false" customHeight="false" outlineLevel="0" collapsed="false">
      <c r="A624" s="203" t="s">
        <v>2281</v>
      </c>
      <c r="B624" s="203" t="s">
        <v>2282</v>
      </c>
    </row>
    <row r="625" customFormat="false" ht="12" hidden="false" customHeight="false" outlineLevel="0" collapsed="false">
      <c r="A625" s="203" t="s">
        <v>2283</v>
      </c>
      <c r="B625" s="203" t="s">
        <v>2284</v>
      </c>
    </row>
    <row r="626" customFormat="false" ht="12" hidden="false" customHeight="false" outlineLevel="0" collapsed="false">
      <c r="A626" s="203" t="s">
        <v>2285</v>
      </c>
      <c r="B626" s="203" t="s">
        <v>2286</v>
      </c>
    </row>
    <row r="627" customFormat="false" ht="12" hidden="false" customHeight="false" outlineLevel="0" collapsed="false">
      <c r="A627" s="203" t="s">
        <v>2287</v>
      </c>
      <c r="B627" s="203" t="s">
        <v>789</v>
      </c>
    </row>
    <row r="628" customFormat="false" ht="12" hidden="false" customHeight="false" outlineLevel="0" collapsed="false">
      <c r="A628" s="203" t="s">
        <v>2288</v>
      </c>
      <c r="B628" s="203" t="s">
        <v>2289</v>
      </c>
    </row>
    <row r="629" customFormat="false" ht="12" hidden="false" customHeight="false" outlineLevel="0" collapsed="false">
      <c r="A629" s="203" t="s">
        <v>2290</v>
      </c>
      <c r="B629" s="203" t="s">
        <v>2291</v>
      </c>
    </row>
    <row r="630" customFormat="false" ht="12" hidden="false" customHeight="false" outlineLevel="0" collapsed="false">
      <c r="A630" s="203" t="s">
        <v>2292</v>
      </c>
      <c r="B630" s="203" t="s">
        <v>2293</v>
      </c>
    </row>
    <row r="631" customFormat="false" ht="12" hidden="false" customHeight="false" outlineLevel="0" collapsed="false">
      <c r="A631" s="203" t="s">
        <v>2294</v>
      </c>
      <c r="B631" s="203" t="s">
        <v>2295</v>
      </c>
    </row>
    <row r="632" customFormat="false" ht="12" hidden="false" customHeight="false" outlineLevel="0" collapsed="false">
      <c r="A632" s="203" t="s">
        <v>2296</v>
      </c>
      <c r="B632" s="203" t="s">
        <v>2297</v>
      </c>
    </row>
    <row r="633" customFormat="false" ht="12" hidden="false" customHeight="false" outlineLevel="0" collapsed="false">
      <c r="A633" s="203" t="s">
        <v>2298</v>
      </c>
      <c r="B633" s="203" t="s">
        <v>2299</v>
      </c>
    </row>
    <row r="634" customFormat="false" ht="12" hidden="false" customHeight="false" outlineLevel="0" collapsed="false">
      <c r="A634" s="203" t="s">
        <v>2300</v>
      </c>
      <c r="B634" s="203" t="s">
        <v>2301</v>
      </c>
    </row>
    <row r="635" customFormat="false" ht="12" hidden="false" customHeight="false" outlineLevel="0" collapsed="false">
      <c r="A635" s="203" t="s">
        <v>2302</v>
      </c>
      <c r="B635" s="203" t="s">
        <v>2303</v>
      </c>
    </row>
    <row r="636" customFormat="false" ht="12" hidden="false" customHeight="false" outlineLevel="0" collapsed="false">
      <c r="A636" s="203" t="s">
        <v>2304</v>
      </c>
      <c r="B636" s="203" t="s">
        <v>2305</v>
      </c>
    </row>
    <row r="637" customFormat="false" ht="12" hidden="false" customHeight="false" outlineLevel="0" collapsed="false">
      <c r="A637" s="203" t="s">
        <v>2306</v>
      </c>
      <c r="B637" s="203" t="s">
        <v>2307</v>
      </c>
    </row>
    <row r="638" customFormat="false" ht="12" hidden="false" customHeight="false" outlineLevel="0" collapsed="false">
      <c r="A638" s="203" t="s">
        <v>2308</v>
      </c>
      <c r="B638" s="203" t="s">
        <v>2309</v>
      </c>
    </row>
    <row r="639" customFormat="false" ht="12" hidden="false" customHeight="false" outlineLevel="0" collapsed="false">
      <c r="A639" s="203" t="s">
        <v>2310</v>
      </c>
      <c r="B639" s="203" t="s">
        <v>2311</v>
      </c>
    </row>
    <row r="640" customFormat="false" ht="12" hidden="false" customHeight="false" outlineLevel="0" collapsed="false">
      <c r="A640" s="203" t="s">
        <v>2312</v>
      </c>
      <c r="B640" s="203" t="s">
        <v>2313</v>
      </c>
    </row>
    <row r="641" customFormat="false" ht="12" hidden="false" customHeight="false" outlineLevel="0" collapsed="false">
      <c r="A641" s="203" t="s">
        <v>2314</v>
      </c>
      <c r="B641" s="203" t="s">
        <v>2315</v>
      </c>
    </row>
    <row r="642" customFormat="false" ht="12" hidden="false" customHeight="false" outlineLevel="0" collapsed="false">
      <c r="A642" s="203" t="s">
        <v>2316</v>
      </c>
      <c r="B642" s="203" t="s">
        <v>2317</v>
      </c>
    </row>
    <row r="643" customFormat="false" ht="12" hidden="false" customHeight="false" outlineLevel="0" collapsed="false">
      <c r="A643" s="203" t="s">
        <v>2318</v>
      </c>
      <c r="B643" s="203" t="s">
        <v>2319</v>
      </c>
    </row>
    <row r="644" customFormat="false" ht="12" hidden="false" customHeight="false" outlineLevel="0" collapsed="false">
      <c r="A644" s="203" t="s">
        <v>2320</v>
      </c>
      <c r="B644" s="203" t="s">
        <v>2321</v>
      </c>
    </row>
    <row r="645" customFormat="false" ht="12" hidden="false" customHeight="false" outlineLevel="0" collapsed="false">
      <c r="A645" s="203" t="s">
        <v>2322</v>
      </c>
      <c r="B645" s="203" t="s">
        <v>2323</v>
      </c>
    </row>
    <row r="646" customFormat="false" ht="12" hidden="false" customHeight="false" outlineLevel="0" collapsed="false">
      <c r="A646" s="203" t="s">
        <v>2324</v>
      </c>
      <c r="B646" s="203" t="s">
        <v>2325</v>
      </c>
    </row>
    <row r="647" customFormat="false" ht="12" hidden="false" customHeight="false" outlineLevel="0" collapsed="false">
      <c r="A647" s="203" t="s">
        <v>2326</v>
      </c>
      <c r="B647" s="203" t="s">
        <v>2327</v>
      </c>
    </row>
    <row r="648" customFormat="false" ht="12" hidden="false" customHeight="false" outlineLevel="0" collapsed="false">
      <c r="A648" s="203" t="s">
        <v>2328</v>
      </c>
      <c r="B648" s="203" t="s">
        <v>2329</v>
      </c>
    </row>
    <row r="649" customFormat="false" ht="12" hidden="false" customHeight="false" outlineLevel="0" collapsed="false">
      <c r="A649" s="203" t="s">
        <v>2330</v>
      </c>
      <c r="B649" s="203" t="s">
        <v>2331</v>
      </c>
    </row>
    <row r="650" customFormat="false" ht="12" hidden="false" customHeight="false" outlineLevel="0" collapsed="false">
      <c r="A650" s="203" t="s">
        <v>2332</v>
      </c>
      <c r="B650" s="203" t="s">
        <v>2333</v>
      </c>
    </row>
    <row r="651" customFormat="false" ht="12" hidden="false" customHeight="false" outlineLevel="0" collapsed="false">
      <c r="A651" s="203" t="s">
        <v>2334</v>
      </c>
      <c r="B651" s="203" t="s">
        <v>2335</v>
      </c>
    </row>
    <row r="652" customFormat="false" ht="12" hidden="false" customHeight="false" outlineLevel="0" collapsed="false">
      <c r="A652" s="203" t="s">
        <v>2336</v>
      </c>
      <c r="B652" s="203" t="s">
        <v>2337</v>
      </c>
    </row>
    <row r="653" customFormat="false" ht="12" hidden="false" customHeight="false" outlineLevel="0" collapsed="false">
      <c r="A653" s="203" t="s">
        <v>2338</v>
      </c>
      <c r="B653" s="203" t="s">
        <v>2339</v>
      </c>
    </row>
    <row r="654" customFormat="false" ht="12" hidden="false" customHeight="false" outlineLevel="0" collapsed="false">
      <c r="A654" s="203" t="s">
        <v>2340</v>
      </c>
      <c r="B654" s="203" t="s">
        <v>2341</v>
      </c>
    </row>
    <row r="655" customFormat="false" ht="12" hidden="false" customHeight="false" outlineLevel="0" collapsed="false">
      <c r="A655" s="203" t="s">
        <v>2342</v>
      </c>
      <c r="B655" s="203" t="s">
        <v>2343</v>
      </c>
    </row>
    <row r="656" customFormat="false" ht="12" hidden="false" customHeight="false" outlineLevel="0" collapsed="false">
      <c r="A656" s="203" t="s">
        <v>2344</v>
      </c>
      <c r="B656" s="203" t="s">
        <v>2345</v>
      </c>
    </row>
    <row r="657" customFormat="false" ht="12" hidden="false" customHeight="false" outlineLevel="0" collapsed="false">
      <c r="A657" s="203" t="s">
        <v>2346</v>
      </c>
      <c r="B657" s="203" t="s">
        <v>2347</v>
      </c>
    </row>
    <row r="658" customFormat="false" ht="12" hidden="false" customHeight="false" outlineLevel="0" collapsed="false">
      <c r="A658" s="203" t="s">
        <v>2348</v>
      </c>
      <c r="B658" s="203" t="s">
        <v>2349</v>
      </c>
    </row>
    <row r="659" customFormat="false" ht="12" hidden="false" customHeight="false" outlineLevel="0" collapsed="false">
      <c r="A659" s="203" t="s">
        <v>2350</v>
      </c>
      <c r="B659" s="203" t="s">
        <v>2351</v>
      </c>
    </row>
    <row r="660" customFormat="false" ht="12" hidden="false" customHeight="false" outlineLevel="0" collapsed="false">
      <c r="A660" s="203" t="s">
        <v>2352</v>
      </c>
      <c r="B660" s="203" t="s">
        <v>2353</v>
      </c>
    </row>
    <row r="661" customFormat="false" ht="12" hidden="false" customHeight="false" outlineLevel="0" collapsed="false">
      <c r="A661" s="203" t="s">
        <v>2354</v>
      </c>
      <c r="B661" s="203" t="s">
        <v>2355</v>
      </c>
    </row>
    <row r="662" customFormat="false" ht="12" hidden="false" customHeight="false" outlineLevel="0" collapsed="false">
      <c r="A662" s="203" t="s">
        <v>2356</v>
      </c>
      <c r="B662" s="203" t="s">
        <v>2357</v>
      </c>
    </row>
    <row r="663" customFormat="false" ht="12" hidden="false" customHeight="false" outlineLevel="0" collapsed="false">
      <c r="A663" s="203" t="s">
        <v>2358</v>
      </c>
      <c r="B663" s="203" t="s">
        <v>2359</v>
      </c>
    </row>
    <row r="664" customFormat="false" ht="12" hidden="false" customHeight="false" outlineLevel="0" collapsed="false">
      <c r="A664" s="203" t="s">
        <v>2360</v>
      </c>
      <c r="B664" s="203" t="s">
        <v>2361</v>
      </c>
    </row>
    <row r="665" customFormat="false" ht="12" hidden="false" customHeight="false" outlineLevel="0" collapsed="false">
      <c r="A665" s="203" t="s">
        <v>2362</v>
      </c>
      <c r="B665" s="203" t="s">
        <v>2363</v>
      </c>
    </row>
    <row r="666" customFormat="false" ht="12" hidden="false" customHeight="false" outlineLevel="0" collapsed="false">
      <c r="A666" s="203" t="s">
        <v>2364</v>
      </c>
      <c r="B666" s="203" t="s">
        <v>2365</v>
      </c>
    </row>
    <row r="667" customFormat="false" ht="12" hidden="false" customHeight="false" outlineLevel="0" collapsed="false">
      <c r="A667" s="203" t="s">
        <v>2366</v>
      </c>
      <c r="B667" s="203" t="s">
        <v>2367</v>
      </c>
    </row>
    <row r="668" customFormat="false" ht="12" hidden="false" customHeight="false" outlineLevel="0" collapsed="false">
      <c r="A668" s="203" t="s">
        <v>2368</v>
      </c>
      <c r="B668" s="203" t="s">
        <v>2369</v>
      </c>
    </row>
    <row r="669" customFormat="false" ht="12" hidden="false" customHeight="false" outlineLevel="0" collapsed="false">
      <c r="A669" s="203" t="s">
        <v>2370</v>
      </c>
      <c r="B669" s="203" t="s">
        <v>2371</v>
      </c>
    </row>
    <row r="670" customFormat="false" ht="12" hidden="false" customHeight="false" outlineLevel="0" collapsed="false">
      <c r="A670" s="203" t="s">
        <v>2372</v>
      </c>
      <c r="B670" s="203" t="s">
        <v>2373</v>
      </c>
    </row>
    <row r="671" customFormat="false" ht="12" hidden="false" customHeight="false" outlineLevel="0" collapsed="false">
      <c r="A671" s="203" t="s">
        <v>2374</v>
      </c>
      <c r="B671" s="203" t="s">
        <v>2375</v>
      </c>
    </row>
    <row r="672" customFormat="false" ht="12" hidden="false" customHeight="false" outlineLevel="0" collapsed="false">
      <c r="A672" s="203" t="s">
        <v>2376</v>
      </c>
      <c r="B672" s="203" t="s">
        <v>2377</v>
      </c>
    </row>
    <row r="673" customFormat="false" ht="12" hidden="false" customHeight="false" outlineLevel="0" collapsed="false">
      <c r="A673" s="203" t="s">
        <v>2378</v>
      </c>
      <c r="B673" s="203" t="s">
        <v>2379</v>
      </c>
    </row>
    <row r="674" customFormat="false" ht="12" hidden="false" customHeight="false" outlineLevel="0" collapsed="false">
      <c r="A674" s="203" t="s">
        <v>2380</v>
      </c>
      <c r="B674" s="203" t="s">
        <v>2381</v>
      </c>
    </row>
    <row r="675" customFormat="false" ht="12" hidden="false" customHeight="false" outlineLevel="0" collapsed="false">
      <c r="A675" s="203" t="s">
        <v>2382</v>
      </c>
      <c r="B675" s="203" t="s">
        <v>2383</v>
      </c>
    </row>
    <row r="676" customFormat="false" ht="12" hidden="false" customHeight="false" outlineLevel="0" collapsed="false">
      <c r="A676" s="203" t="s">
        <v>2384</v>
      </c>
      <c r="B676" s="203" t="s">
        <v>2385</v>
      </c>
    </row>
    <row r="677" customFormat="false" ht="12" hidden="false" customHeight="false" outlineLevel="0" collapsed="false">
      <c r="A677" s="203" t="s">
        <v>2386</v>
      </c>
      <c r="B677" s="203" t="s">
        <v>2387</v>
      </c>
    </row>
    <row r="678" customFormat="false" ht="12" hidden="false" customHeight="false" outlineLevel="0" collapsed="false">
      <c r="A678" s="203" t="s">
        <v>2388</v>
      </c>
      <c r="B678" s="203" t="s">
        <v>2389</v>
      </c>
    </row>
    <row r="679" customFormat="false" ht="12" hidden="false" customHeight="false" outlineLevel="0" collapsed="false">
      <c r="A679" s="203" t="s">
        <v>2390</v>
      </c>
      <c r="B679" s="203" t="s">
        <v>2391</v>
      </c>
    </row>
    <row r="680" customFormat="false" ht="12" hidden="false" customHeight="false" outlineLevel="0" collapsed="false">
      <c r="A680" s="203" t="s">
        <v>2392</v>
      </c>
      <c r="B680" s="203" t="s">
        <v>2393</v>
      </c>
    </row>
    <row r="681" customFormat="false" ht="12" hidden="false" customHeight="false" outlineLevel="0" collapsed="false">
      <c r="A681" s="203" t="s">
        <v>2394</v>
      </c>
      <c r="B681" s="203" t="s">
        <v>2395</v>
      </c>
    </row>
    <row r="682" customFormat="false" ht="12" hidden="false" customHeight="false" outlineLevel="0" collapsed="false">
      <c r="A682" s="203" t="s">
        <v>2396</v>
      </c>
      <c r="B682" s="203" t="s">
        <v>2397</v>
      </c>
    </row>
    <row r="683" customFormat="false" ht="12" hidden="false" customHeight="false" outlineLevel="0" collapsed="false">
      <c r="A683" s="203" t="s">
        <v>2398</v>
      </c>
      <c r="B683" s="203" t="s">
        <v>2399</v>
      </c>
    </row>
    <row r="684" customFormat="false" ht="12" hidden="false" customHeight="false" outlineLevel="0" collapsed="false">
      <c r="A684" s="203" t="s">
        <v>2400</v>
      </c>
      <c r="B684" s="203" t="s">
        <v>2401</v>
      </c>
    </row>
    <row r="685" customFormat="false" ht="12" hidden="false" customHeight="false" outlineLevel="0" collapsed="false">
      <c r="A685" s="203" t="s">
        <v>2402</v>
      </c>
      <c r="B685" s="203" t="s">
        <v>2403</v>
      </c>
    </row>
    <row r="686" customFormat="false" ht="12" hidden="false" customHeight="false" outlineLevel="0" collapsed="false">
      <c r="A686" s="203" t="s">
        <v>2404</v>
      </c>
      <c r="B686" s="203" t="s">
        <v>2405</v>
      </c>
    </row>
    <row r="687" customFormat="false" ht="12" hidden="false" customHeight="false" outlineLevel="0" collapsed="false">
      <c r="A687" s="203" t="s">
        <v>2406</v>
      </c>
      <c r="B687" s="203" t="s">
        <v>2407</v>
      </c>
    </row>
    <row r="688" customFormat="false" ht="12" hidden="false" customHeight="false" outlineLevel="0" collapsed="false">
      <c r="A688" s="203" t="s">
        <v>2408</v>
      </c>
      <c r="B688" s="203" t="s">
        <v>2409</v>
      </c>
    </row>
    <row r="689" customFormat="false" ht="12" hidden="false" customHeight="false" outlineLevel="0" collapsed="false">
      <c r="A689" s="203" t="s">
        <v>2410</v>
      </c>
      <c r="B689" s="203" t="s">
        <v>2411</v>
      </c>
    </row>
    <row r="690" customFormat="false" ht="12" hidden="false" customHeight="false" outlineLevel="0" collapsed="false">
      <c r="A690" s="203" t="s">
        <v>2412</v>
      </c>
      <c r="B690" s="203" t="s">
        <v>2413</v>
      </c>
    </row>
    <row r="691" customFormat="false" ht="12" hidden="false" customHeight="false" outlineLevel="0" collapsed="false">
      <c r="A691" s="203" t="s">
        <v>2414</v>
      </c>
      <c r="B691" s="203" t="s">
        <v>2415</v>
      </c>
    </row>
    <row r="692" customFormat="false" ht="12" hidden="false" customHeight="false" outlineLevel="0" collapsed="false">
      <c r="A692" s="203" t="s">
        <v>2416</v>
      </c>
      <c r="B692" s="203" t="s">
        <v>2417</v>
      </c>
    </row>
    <row r="693" customFormat="false" ht="12" hidden="false" customHeight="false" outlineLevel="0" collapsed="false">
      <c r="A693" s="203" t="s">
        <v>2418</v>
      </c>
      <c r="B693" s="203" t="s">
        <v>2419</v>
      </c>
    </row>
    <row r="694" customFormat="false" ht="12" hidden="false" customHeight="false" outlineLevel="0" collapsed="false">
      <c r="A694" s="203" t="s">
        <v>2420</v>
      </c>
      <c r="B694" s="203" t="s">
        <v>2421</v>
      </c>
    </row>
    <row r="695" customFormat="false" ht="12" hidden="false" customHeight="false" outlineLevel="0" collapsed="false">
      <c r="A695" s="203" t="s">
        <v>2422</v>
      </c>
      <c r="B695" s="203" t="s">
        <v>2423</v>
      </c>
    </row>
    <row r="696" customFormat="false" ht="12" hidden="false" customHeight="false" outlineLevel="0" collapsed="false">
      <c r="A696" s="203" t="s">
        <v>2424</v>
      </c>
      <c r="B696" s="203" t="s">
        <v>2425</v>
      </c>
    </row>
    <row r="697" customFormat="false" ht="12" hidden="false" customHeight="false" outlineLevel="0" collapsed="false">
      <c r="A697" s="203" t="s">
        <v>2426</v>
      </c>
      <c r="B697" s="203" t="s">
        <v>2427</v>
      </c>
    </row>
    <row r="698" customFormat="false" ht="12" hidden="false" customHeight="false" outlineLevel="0" collapsed="false">
      <c r="A698" s="203" t="s">
        <v>2428</v>
      </c>
      <c r="B698" s="203" t="s">
        <v>2429</v>
      </c>
    </row>
    <row r="699" customFormat="false" ht="12" hidden="false" customHeight="false" outlineLevel="0" collapsed="false">
      <c r="A699" s="203" t="s">
        <v>2430</v>
      </c>
      <c r="B699" s="203" t="s">
        <v>2431</v>
      </c>
    </row>
    <row r="700" customFormat="false" ht="12" hidden="false" customHeight="false" outlineLevel="0" collapsed="false">
      <c r="A700" s="203" t="s">
        <v>2432</v>
      </c>
      <c r="B700" s="203" t="s">
        <v>2433</v>
      </c>
    </row>
    <row r="701" customFormat="false" ht="12" hidden="false" customHeight="false" outlineLevel="0" collapsed="false">
      <c r="A701" s="203" t="s">
        <v>2434</v>
      </c>
      <c r="B701" s="203" t="s">
        <v>2435</v>
      </c>
    </row>
    <row r="702" customFormat="false" ht="12" hidden="false" customHeight="false" outlineLevel="0" collapsed="false">
      <c r="A702" s="203" t="s">
        <v>2436</v>
      </c>
      <c r="B702" s="203" t="s">
        <v>2437</v>
      </c>
    </row>
    <row r="703" customFormat="false" ht="12" hidden="false" customHeight="false" outlineLevel="0" collapsed="false">
      <c r="A703" s="203" t="s">
        <v>2438</v>
      </c>
      <c r="B703" s="203" t="s">
        <v>2439</v>
      </c>
    </row>
    <row r="704" customFormat="false" ht="12" hidden="false" customHeight="false" outlineLevel="0" collapsed="false">
      <c r="A704" s="203" t="s">
        <v>2440</v>
      </c>
      <c r="B704" s="203" t="s">
        <v>2441</v>
      </c>
    </row>
    <row r="705" customFormat="false" ht="12" hidden="false" customHeight="false" outlineLevel="0" collapsed="false">
      <c r="A705" s="203" t="s">
        <v>2442</v>
      </c>
      <c r="B705" s="203" t="s">
        <v>2443</v>
      </c>
    </row>
    <row r="706" customFormat="false" ht="12" hidden="false" customHeight="false" outlineLevel="0" collapsed="false">
      <c r="A706" s="203" t="s">
        <v>2444</v>
      </c>
      <c r="B706" s="203" t="s">
        <v>2445</v>
      </c>
    </row>
    <row r="707" customFormat="false" ht="12" hidden="false" customHeight="false" outlineLevel="0" collapsed="false">
      <c r="A707" s="203" t="s">
        <v>2446</v>
      </c>
      <c r="B707" s="203" t="s">
        <v>2447</v>
      </c>
    </row>
    <row r="708" customFormat="false" ht="12" hidden="false" customHeight="false" outlineLevel="0" collapsed="false">
      <c r="A708" s="203" t="s">
        <v>2448</v>
      </c>
      <c r="B708" s="203" t="s">
        <v>2449</v>
      </c>
    </row>
    <row r="709" customFormat="false" ht="12" hidden="false" customHeight="false" outlineLevel="0" collapsed="false">
      <c r="A709" s="203" t="s">
        <v>2450</v>
      </c>
      <c r="B709" s="203" t="s">
        <v>2451</v>
      </c>
    </row>
    <row r="710" customFormat="false" ht="12" hidden="false" customHeight="false" outlineLevel="0" collapsed="false">
      <c r="A710" s="203" t="s">
        <v>2452</v>
      </c>
      <c r="B710" s="203" t="s">
        <v>2453</v>
      </c>
    </row>
    <row r="711" customFormat="false" ht="12" hidden="false" customHeight="false" outlineLevel="0" collapsed="false">
      <c r="A711" s="203" t="s">
        <v>2454</v>
      </c>
      <c r="B711" s="203" t="s">
        <v>2455</v>
      </c>
    </row>
    <row r="712" customFormat="false" ht="12" hidden="false" customHeight="false" outlineLevel="0" collapsed="false">
      <c r="A712" s="203" t="s">
        <v>2456</v>
      </c>
      <c r="B712" s="203" t="s">
        <v>2457</v>
      </c>
    </row>
    <row r="713" customFormat="false" ht="12" hidden="false" customHeight="false" outlineLevel="0" collapsed="false">
      <c r="A713" s="203" t="s">
        <v>2458</v>
      </c>
      <c r="B713" s="203" t="s">
        <v>2459</v>
      </c>
    </row>
    <row r="714" customFormat="false" ht="12" hidden="false" customHeight="false" outlineLevel="0" collapsed="false">
      <c r="A714" s="203" t="s">
        <v>2460</v>
      </c>
      <c r="B714" s="203" t="s">
        <v>2461</v>
      </c>
    </row>
    <row r="715" customFormat="false" ht="12" hidden="false" customHeight="false" outlineLevel="0" collapsed="false">
      <c r="A715" s="203" t="s">
        <v>2462</v>
      </c>
      <c r="B715" s="203" t="s">
        <v>2463</v>
      </c>
    </row>
    <row r="716" customFormat="false" ht="12" hidden="false" customHeight="false" outlineLevel="0" collapsed="false">
      <c r="A716" s="203" t="s">
        <v>2464</v>
      </c>
      <c r="B716" s="203" t="s">
        <v>2465</v>
      </c>
    </row>
    <row r="717" customFormat="false" ht="12" hidden="false" customHeight="false" outlineLevel="0" collapsed="false">
      <c r="A717" s="203" t="s">
        <v>2466</v>
      </c>
      <c r="B717" s="203" t="s">
        <v>2467</v>
      </c>
    </row>
    <row r="718" customFormat="false" ht="12" hidden="false" customHeight="false" outlineLevel="0" collapsed="false">
      <c r="A718" s="203" t="s">
        <v>2468</v>
      </c>
      <c r="B718" s="203" t="s">
        <v>2469</v>
      </c>
    </row>
    <row r="719" customFormat="false" ht="12" hidden="false" customHeight="false" outlineLevel="0" collapsed="false">
      <c r="A719" s="203" t="s">
        <v>2470</v>
      </c>
      <c r="B719" s="203" t="s">
        <v>2471</v>
      </c>
    </row>
    <row r="720" customFormat="false" ht="12" hidden="false" customHeight="false" outlineLevel="0" collapsed="false">
      <c r="A720" s="203" t="s">
        <v>2472</v>
      </c>
      <c r="B720" s="203" t="s">
        <v>2473</v>
      </c>
    </row>
    <row r="721" customFormat="false" ht="12" hidden="false" customHeight="false" outlineLevel="0" collapsed="false">
      <c r="A721" s="203" t="s">
        <v>2474</v>
      </c>
      <c r="B721" s="203" t="s">
        <v>2475</v>
      </c>
    </row>
    <row r="722" customFormat="false" ht="12" hidden="false" customHeight="false" outlineLevel="0" collapsed="false">
      <c r="A722" s="203" t="s">
        <v>2476</v>
      </c>
      <c r="B722" s="203" t="s">
        <v>2477</v>
      </c>
    </row>
    <row r="723" customFormat="false" ht="12" hidden="false" customHeight="false" outlineLevel="0" collapsed="false">
      <c r="A723" s="203" t="s">
        <v>2478</v>
      </c>
      <c r="B723" s="203" t="s">
        <v>2479</v>
      </c>
    </row>
    <row r="724" customFormat="false" ht="12" hidden="false" customHeight="false" outlineLevel="0" collapsed="false">
      <c r="A724" s="203" t="s">
        <v>2480</v>
      </c>
      <c r="B724" s="203" t="s">
        <v>2481</v>
      </c>
    </row>
    <row r="725" customFormat="false" ht="12" hidden="false" customHeight="false" outlineLevel="0" collapsed="false">
      <c r="A725" s="203" t="s">
        <v>2482</v>
      </c>
      <c r="B725" s="203" t="s">
        <v>2483</v>
      </c>
    </row>
    <row r="726" customFormat="false" ht="12" hidden="false" customHeight="false" outlineLevel="0" collapsed="false">
      <c r="A726" s="203" t="s">
        <v>2484</v>
      </c>
      <c r="B726" s="203" t="s">
        <v>2485</v>
      </c>
    </row>
    <row r="727" customFormat="false" ht="12" hidden="false" customHeight="false" outlineLevel="0" collapsed="false">
      <c r="A727" s="203" t="s">
        <v>2486</v>
      </c>
      <c r="B727" s="203" t="s">
        <v>2487</v>
      </c>
    </row>
    <row r="728" customFormat="false" ht="12" hidden="false" customHeight="false" outlineLevel="0" collapsed="false">
      <c r="A728" s="203" t="s">
        <v>2488</v>
      </c>
      <c r="B728" s="203" t="s">
        <v>2489</v>
      </c>
    </row>
    <row r="729" customFormat="false" ht="12" hidden="false" customHeight="false" outlineLevel="0" collapsed="false">
      <c r="A729" s="203" t="s">
        <v>2490</v>
      </c>
      <c r="B729" s="203" t="s">
        <v>2491</v>
      </c>
    </row>
    <row r="730" customFormat="false" ht="12" hidden="false" customHeight="false" outlineLevel="0" collapsed="false">
      <c r="A730" s="203" t="s">
        <v>2492</v>
      </c>
      <c r="B730" s="203" t="s">
        <v>2493</v>
      </c>
    </row>
    <row r="731" customFormat="false" ht="12" hidden="false" customHeight="false" outlineLevel="0" collapsed="false">
      <c r="A731" s="203" t="s">
        <v>2494</v>
      </c>
      <c r="B731" s="203" t="s">
        <v>2495</v>
      </c>
    </row>
    <row r="732" customFormat="false" ht="12" hidden="false" customHeight="false" outlineLevel="0" collapsed="false">
      <c r="A732" s="203" t="s">
        <v>2496</v>
      </c>
      <c r="B732" s="203" t="s">
        <v>2497</v>
      </c>
    </row>
    <row r="733" customFormat="false" ht="12" hidden="false" customHeight="false" outlineLevel="0" collapsed="false">
      <c r="A733" s="203" t="s">
        <v>2498</v>
      </c>
      <c r="B733" s="203" t="s">
        <v>2499</v>
      </c>
    </row>
    <row r="734" customFormat="false" ht="12" hidden="false" customHeight="false" outlineLevel="0" collapsed="false">
      <c r="A734" s="203" t="s">
        <v>2500</v>
      </c>
      <c r="B734" s="203" t="s">
        <v>2501</v>
      </c>
    </row>
    <row r="735" customFormat="false" ht="12" hidden="false" customHeight="false" outlineLevel="0" collapsed="false">
      <c r="A735" s="203" t="s">
        <v>2502</v>
      </c>
      <c r="B735" s="203" t="s">
        <v>2503</v>
      </c>
    </row>
    <row r="736" customFormat="false" ht="12" hidden="false" customHeight="false" outlineLevel="0" collapsed="false">
      <c r="A736" s="203" t="s">
        <v>2504</v>
      </c>
      <c r="B736" s="203" t="s">
        <v>2505</v>
      </c>
    </row>
    <row r="737" customFormat="false" ht="12" hidden="false" customHeight="false" outlineLevel="0" collapsed="false">
      <c r="A737" s="203" t="s">
        <v>2506</v>
      </c>
      <c r="B737" s="203" t="s">
        <v>2507</v>
      </c>
    </row>
    <row r="738" customFormat="false" ht="12" hidden="false" customHeight="false" outlineLevel="0" collapsed="false">
      <c r="A738" s="203" t="s">
        <v>2508</v>
      </c>
      <c r="B738" s="203" t="s">
        <v>2509</v>
      </c>
    </row>
    <row r="739" customFormat="false" ht="12" hidden="false" customHeight="false" outlineLevel="0" collapsed="false">
      <c r="A739" s="203" t="s">
        <v>2510</v>
      </c>
      <c r="B739" s="203" t="s">
        <v>2511</v>
      </c>
    </row>
    <row r="740" customFormat="false" ht="12" hidden="false" customHeight="false" outlineLevel="0" collapsed="false">
      <c r="A740" s="203" t="s">
        <v>2512</v>
      </c>
      <c r="B740" s="203" t="s">
        <v>2513</v>
      </c>
    </row>
    <row r="741" customFormat="false" ht="12" hidden="false" customHeight="false" outlineLevel="0" collapsed="false">
      <c r="A741" s="203" t="s">
        <v>2514</v>
      </c>
      <c r="B741" s="203" t="s">
        <v>2515</v>
      </c>
    </row>
    <row r="742" customFormat="false" ht="12" hidden="false" customHeight="false" outlineLevel="0" collapsed="false">
      <c r="A742" s="203" t="s">
        <v>2516</v>
      </c>
      <c r="B742" s="203" t="s">
        <v>2517</v>
      </c>
    </row>
    <row r="743" customFormat="false" ht="12" hidden="false" customHeight="false" outlineLevel="0" collapsed="false">
      <c r="A743" s="203" t="s">
        <v>2518</v>
      </c>
      <c r="B743" s="203" t="s">
        <v>2519</v>
      </c>
    </row>
    <row r="744" customFormat="false" ht="12" hidden="false" customHeight="false" outlineLevel="0" collapsed="false">
      <c r="A744" s="203" t="s">
        <v>2520</v>
      </c>
      <c r="B744" s="203" t="s">
        <v>2521</v>
      </c>
    </row>
    <row r="745" customFormat="false" ht="12" hidden="false" customHeight="false" outlineLevel="0" collapsed="false">
      <c r="A745" s="203" t="s">
        <v>2522</v>
      </c>
      <c r="B745" s="203" t="s">
        <v>2523</v>
      </c>
    </row>
    <row r="746" customFormat="false" ht="12" hidden="false" customHeight="false" outlineLevel="0" collapsed="false">
      <c r="A746" s="203" t="s">
        <v>2524</v>
      </c>
      <c r="B746" s="203" t="s">
        <v>2525</v>
      </c>
    </row>
    <row r="747" customFormat="false" ht="12" hidden="false" customHeight="false" outlineLevel="0" collapsed="false">
      <c r="A747" s="203" t="s">
        <v>2526</v>
      </c>
      <c r="B747" s="203" t="s">
        <v>2527</v>
      </c>
    </row>
    <row r="748" customFormat="false" ht="12" hidden="false" customHeight="false" outlineLevel="0" collapsed="false">
      <c r="A748" s="203" t="s">
        <v>2528</v>
      </c>
      <c r="B748" s="203" t="s">
        <v>2529</v>
      </c>
    </row>
    <row r="749" customFormat="false" ht="12" hidden="false" customHeight="false" outlineLevel="0" collapsed="false">
      <c r="A749" s="203" t="s">
        <v>2530</v>
      </c>
      <c r="B749" s="203" t="s">
        <v>2531</v>
      </c>
    </row>
    <row r="750" customFormat="false" ht="12" hidden="false" customHeight="false" outlineLevel="0" collapsed="false">
      <c r="A750" s="203" t="s">
        <v>2532</v>
      </c>
      <c r="B750" s="203" t="s">
        <v>2533</v>
      </c>
    </row>
    <row r="751" customFormat="false" ht="12" hidden="false" customHeight="false" outlineLevel="0" collapsed="false">
      <c r="A751" s="203" t="s">
        <v>2534</v>
      </c>
      <c r="B751" s="203" t="s">
        <v>2535</v>
      </c>
    </row>
    <row r="752" customFormat="false" ht="12" hidden="false" customHeight="false" outlineLevel="0" collapsed="false">
      <c r="A752" s="203" t="s">
        <v>2536</v>
      </c>
      <c r="B752" s="203" t="s">
        <v>2537</v>
      </c>
    </row>
    <row r="753" customFormat="false" ht="12" hidden="false" customHeight="false" outlineLevel="0" collapsed="false">
      <c r="A753" s="203" t="s">
        <v>2538</v>
      </c>
      <c r="B753" s="203" t="s">
        <v>2539</v>
      </c>
    </row>
    <row r="754" customFormat="false" ht="12" hidden="false" customHeight="false" outlineLevel="0" collapsed="false">
      <c r="A754" s="203" t="s">
        <v>2540</v>
      </c>
      <c r="B754" s="203" t="s">
        <v>2541</v>
      </c>
    </row>
    <row r="755" customFormat="false" ht="12" hidden="false" customHeight="false" outlineLevel="0" collapsed="false">
      <c r="A755" s="203" t="s">
        <v>2542</v>
      </c>
      <c r="B755" s="203" t="s">
        <v>2543</v>
      </c>
    </row>
    <row r="756" customFormat="false" ht="12" hidden="false" customHeight="false" outlineLevel="0" collapsed="false">
      <c r="A756" s="203" t="s">
        <v>2544</v>
      </c>
      <c r="B756" s="203" t="s">
        <v>2545</v>
      </c>
    </row>
    <row r="757" customFormat="false" ht="12" hidden="false" customHeight="false" outlineLevel="0" collapsed="false">
      <c r="A757" s="203" t="s">
        <v>2546</v>
      </c>
      <c r="B757" s="203" t="s">
        <v>2547</v>
      </c>
    </row>
    <row r="758" customFormat="false" ht="12" hidden="false" customHeight="false" outlineLevel="0" collapsed="false">
      <c r="A758" s="203" t="s">
        <v>2548</v>
      </c>
      <c r="B758" s="203" t="s">
        <v>2549</v>
      </c>
    </row>
    <row r="759" customFormat="false" ht="12" hidden="false" customHeight="false" outlineLevel="0" collapsed="false">
      <c r="A759" s="203" t="s">
        <v>2550</v>
      </c>
      <c r="B759" s="203" t="s">
        <v>2551</v>
      </c>
    </row>
    <row r="760" customFormat="false" ht="12" hidden="false" customHeight="false" outlineLevel="0" collapsed="false">
      <c r="A760" s="203" t="s">
        <v>2552</v>
      </c>
      <c r="B760" s="203" t="s">
        <v>2553</v>
      </c>
    </row>
    <row r="761" customFormat="false" ht="12" hidden="false" customHeight="false" outlineLevel="0" collapsed="false">
      <c r="A761" s="203" t="s">
        <v>2554</v>
      </c>
      <c r="B761" s="203" t="s">
        <v>2555</v>
      </c>
    </row>
    <row r="762" customFormat="false" ht="12" hidden="false" customHeight="false" outlineLevel="0" collapsed="false">
      <c r="A762" s="203" t="s">
        <v>2556</v>
      </c>
      <c r="B762" s="203" t="s">
        <v>2557</v>
      </c>
    </row>
    <row r="763" customFormat="false" ht="12" hidden="false" customHeight="false" outlineLevel="0" collapsed="false">
      <c r="A763" s="203" t="s">
        <v>2558</v>
      </c>
      <c r="B763" s="203" t="s">
        <v>2559</v>
      </c>
    </row>
    <row r="764" customFormat="false" ht="12" hidden="false" customHeight="false" outlineLevel="0" collapsed="false">
      <c r="A764" s="203" t="s">
        <v>2560</v>
      </c>
      <c r="B764" s="203" t="s">
        <v>2561</v>
      </c>
    </row>
    <row r="765" customFormat="false" ht="12" hidden="false" customHeight="false" outlineLevel="0" collapsed="false">
      <c r="A765" s="203" t="s">
        <v>2562</v>
      </c>
      <c r="B765" s="203" t="s">
        <v>2563</v>
      </c>
    </row>
    <row r="766" customFormat="false" ht="12" hidden="false" customHeight="false" outlineLevel="0" collapsed="false">
      <c r="A766" s="203" t="s">
        <v>2564</v>
      </c>
      <c r="B766" s="203" t="s">
        <v>2565</v>
      </c>
    </row>
    <row r="767" customFormat="false" ht="12" hidden="false" customHeight="false" outlineLevel="0" collapsed="false">
      <c r="A767" s="203" t="s">
        <v>2566</v>
      </c>
      <c r="B767" s="203" t="s">
        <v>2567</v>
      </c>
    </row>
    <row r="768" customFormat="false" ht="12" hidden="false" customHeight="false" outlineLevel="0" collapsed="false">
      <c r="A768" s="203" t="s">
        <v>2568</v>
      </c>
      <c r="B768" s="203" t="s">
        <v>2569</v>
      </c>
    </row>
    <row r="769" customFormat="false" ht="12" hidden="false" customHeight="false" outlineLevel="0" collapsed="false">
      <c r="A769" s="203" t="s">
        <v>2570</v>
      </c>
      <c r="B769" s="203" t="s">
        <v>2571</v>
      </c>
    </row>
    <row r="770" customFormat="false" ht="12" hidden="false" customHeight="false" outlineLevel="0" collapsed="false">
      <c r="A770" s="203" t="s">
        <v>2572</v>
      </c>
      <c r="B770" s="203" t="s">
        <v>2573</v>
      </c>
    </row>
    <row r="771" customFormat="false" ht="12" hidden="false" customHeight="false" outlineLevel="0" collapsed="false">
      <c r="A771" s="203" t="s">
        <v>2574</v>
      </c>
      <c r="B771" s="203" t="s">
        <v>2575</v>
      </c>
    </row>
    <row r="772" customFormat="false" ht="12" hidden="false" customHeight="false" outlineLevel="0" collapsed="false">
      <c r="A772" s="203" t="s">
        <v>2576</v>
      </c>
      <c r="B772" s="203" t="s">
        <v>2577</v>
      </c>
    </row>
    <row r="773" customFormat="false" ht="12" hidden="false" customHeight="false" outlineLevel="0" collapsed="false">
      <c r="A773" s="203" t="s">
        <v>2578</v>
      </c>
      <c r="B773" s="203" t="s">
        <v>2579</v>
      </c>
    </row>
    <row r="774" customFormat="false" ht="12" hidden="false" customHeight="false" outlineLevel="0" collapsed="false">
      <c r="A774" s="203" t="s">
        <v>2580</v>
      </c>
      <c r="B774" s="203" t="s">
        <v>2581</v>
      </c>
    </row>
    <row r="775" customFormat="false" ht="12" hidden="false" customHeight="false" outlineLevel="0" collapsed="false">
      <c r="A775" s="203" t="s">
        <v>2582</v>
      </c>
      <c r="B775" s="203" t="s">
        <v>2583</v>
      </c>
    </row>
    <row r="776" customFormat="false" ht="12" hidden="false" customHeight="false" outlineLevel="0" collapsed="false">
      <c r="A776" s="203" t="s">
        <v>2584</v>
      </c>
      <c r="B776" s="203" t="s">
        <v>2585</v>
      </c>
    </row>
    <row r="777" customFormat="false" ht="12" hidden="false" customHeight="false" outlineLevel="0" collapsed="false">
      <c r="A777" s="203" t="s">
        <v>2586</v>
      </c>
      <c r="B777" s="203" t="s">
        <v>2587</v>
      </c>
    </row>
    <row r="778" customFormat="false" ht="12" hidden="false" customHeight="false" outlineLevel="0" collapsed="false">
      <c r="A778" s="203" t="s">
        <v>2588</v>
      </c>
      <c r="B778" s="203" t="s">
        <v>2589</v>
      </c>
    </row>
    <row r="779" customFormat="false" ht="12" hidden="false" customHeight="false" outlineLevel="0" collapsed="false">
      <c r="A779" s="203" t="s">
        <v>2590</v>
      </c>
      <c r="B779" s="203" t="s">
        <v>2591</v>
      </c>
    </row>
    <row r="780" customFormat="false" ht="12" hidden="false" customHeight="false" outlineLevel="0" collapsed="false">
      <c r="A780" s="203" t="s">
        <v>2592</v>
      </c>
      <c r="B780" s="203" t="s">
        <v>2593</v>
      </c>
    </row>
    <row r="781" customFormat="false" ht="12" hidden="false" customHeight="false" outlineLevel="0" collapsed="false">
      <c r="A781" s="203" t="s">
        <v>2594</v>
      </c>
      <c r="B781" s="203" t="s">
        <v>2595</v>
      </c>
    </row>
    <row r="782" customFormat="false" ht="12" hidden="false" customHeight="false" outlineLevel="0" collapsed="false">
      <c r="A782" s="203" t="s">
        <v>2596</v>
      </c>
      <c r="B782" s="203" t="s">
        <v>2597</v>
      </c>
    </row>
    <row r="783" customFormat="false" ht="12" hidden="false" customHeight="false" outlineLevel="0" collapsed="false">
      <c r="A783" s="203" t="s">
        <v>2598</v>
      </c>
      <c r="B783" s="203" t="s">
        <v>2599</v>
      </c>
    </row>
    <row r="784" customFormat="false" ht="12" hidden="false" customHeight="false" outlineLevel="0" collapsed="false">
      <c r="A784" s="203" t="s">
        <v>2600</v>
      </c>
      <c r="B784" s="203" t="s">
        <v>2601</v>
      </c>
    </row>
    <row r="785" customFormat="false" ht="12" hidden="false" customHeight="false" outlineLevel="0" collapsed="false">
      <c r="A785" s="203" t="s">
        <v>2602</v>
      </c>
      <c r="B785" s="203" t="s">
        <v>2603</v>
      </c>
    </row>
    <row r="786" customFormat="false" ht="12" hidden="false" customHeight="false" outlineLevel="0" collapsed="false">
      <c r="A786" s="203" t="s">
        <v>2604</v>
      </c>
      <c r="B786" s="203" t="s">
        <v>2605</v>
      </c>
    </row>
    <row r="787" customFormat="false" ht="12" hidden="false" customHeight="false" outlineLevel="0" collapsed="false">
      <c r="A787" s="203" t="s">
        <v>2606</v>
      </c>
      <c r="B787" s="203" t="s">
        <v>2607</v>
      </c>
    </row>
    <row r="788" customFormat="false" ht="12" hidden="false" customHeight="false" outlineLevel="0" collapsed="false">
      <c r="A788" s="203" t="s">
        <v>2608</v>
      </c>
      <c r="B788" s="203" t="s">
        <v>2609</v>
      </c>
    </row>
    <row r="789" customFormat="false" ht="12" hidden="false" customHeight="false" outlineLevel="0" collapsed="false">
      <c r="A789" s="203" t="s">
        <v>2610</v>
      </c>
      <c r="B789" s="203" t="s">
        <v>2611</v>
      </c>
    </row>
    <row r="790" customFormat="false" ht="12" hidden="false" customHeight="false" outlineLevel="0" collapsed="false">
      <c r="A790" s="203" t="s">
        <v>2612</v>
      </c>
      <c r="B790" s="203" t="s">
        <v>2613</v>
      </c>
    </row>
    <row r="791" customFormat="false" ht="12" hidden="false" customHeight="false" outlineLevel="0" collapsed="false">
      <c r="A791" s="203" t="s">
        <v>2614</v>
      </c>
      <c r="B791" s="203" t="s">
        <v>2615</v>
      </c>
    </row>
    <row r="792" customFormat="false" ht="12" hidden="false" customHeight="false" outlineLevel="0" collapsed="false">
      <c r="A792" s="203" t="s">
        <v>2616</v>
      </c>
      <c r="B792" s="203" t="s">
        <v>2617</v>
      </c>
    </row>
    <row r="793" customFormat="false" ht="12" hidden="false" customHeight="false" outlineLevel="0" collapsed="false">
      <c r="A793" s="203" t="s">
        <v>2618</v>
      </c>
      <c r="B793" s="203" t="s">
        <v>2619</v>
      </c>
    </row>
    <row r="794" customFormat="false" ht="12" hidden="false" customHeight="false" outlineLevel="0" collapsed="false">
      <c r="A794" s="203" t="s">
        <v>2620</v>
      </c>
      <c r="B794" s="203" t="s">
        <v>2621</v>
      </c>
    </row>
    <row r="795" customFormat="false" ht="12" hidden="false" customHeight="false" outlineLevel="0" collapsed="false">
      <c r="A795" s="203" t="s">
        <v>2622</v>
      </c>
      <c r="B795" s="203" t="s">
        <v>2623</v>
      </c>
    </row>
    <row r="796" customFormat="false" ht="12" hidden="false" customHeight="false" outlineLevel="0" collapsed="false">
      <c r="A796" s="203" t="s">
        <v>2624</v>
      </c>
      <c r="B796" s="203" t="s">
        <v>2625</v>
      </c>
    </row>
    <row r="797" customFormat="false" ht="12" hidden="false" customHeight="false" outlineLevel="0" collapsed="false">
      <c r="A797" s="203" t="s">
        <v>2626</v>
      </c>
      <c r="B797" s="203" t="s">
        <v>2627</v>
      </c>
    </row>
    <row r="798" customFormat="false" ht="12" hidden="false" customHeight="false" outlineLevel="0" collapsed="false">
      <c r="A798" s="203" t="s">
        <v>2628</v>
      </c>
      <c r="B798" s="203" t="s">
        <v>2629</v>
      </c>
    </row>
    <row r="799" customFormat="false" ht="12" hidden="false" customHeight="false" outlineLevel="0" collapsed="false">
      <c r="A799" s="203" t="s">
        <v>2630</v>
      </c>
      <c r="B799" s="203" t="s">
        <v>2631</v>
      </c>
    </row>
    <row r="800" customFormat="false" ht="12" hidden="false" customHeight="false" outlineLevel="0" collapsed="false">
      <c r="A800" s="203" t="s">
        <v>2632</v>
      </c>
      <c r="B800" s="203" t="s">
        <v>2633</v>
      </c>
    </row>
    <row r="801" customFormat="false" ht="12" hidden="false" customHeight="false" outlineLevel="0" collapsed="false">
      <c r="A801" s="203" t="s">
        <v>2634</v>
      </c>
      <c r="B801" s="203" t="s">
        <v>2635</v>
      </c>
    </row>
    <row r="802" customFormat="false" ht="12" hidden="false" customHeight="false" outlineLevel="0" collapsed="false">
      <c r="A802" s="203" t="s">
        <v>2636</v>
      </c>
      <c r="B802" s="203" t="s">
        <v>2637</v>
      </c>
    </row>
    <row r="803" customFormat="false" ht="12" hidden="false" customHeight="false" outlineLevel="0" collapsed="false">
      <c r="A803" s="203" t="s">
        <v>2638</v>
      </c>
      <c r="B803" s="203" t="s">
        <v>2639</v>
      </c>
    </row>
    <row r="804" customFormat="false" ht="12" hidden="false" customHeight="false" outlineLevel="0" collapsed="false">
      <c r="A804" s="203" t="s">
        <v>2640</v>
      </c>
      <c r="B804" s="203" t="s">
        <v>2641</v>
      </c>
    </row>
    <row r="805" customFormat="false" ht="12" hidden="false" customHeight="false" outlineLevel="0" collapsed="false">
      <c r="A805" s="203" t="s">
        <v>2642</v>
      </c>
      <c r="B805" s="203" t="s">
        <v>2643</v>
      </c>
    </row>
    <row r="806" customFormat="false" ht="12" hidden="false" customHeight="false" outlineLevel="0" collapsed="false">
      <c r="A806" s="203" t="s">
        <v>2644</v>
      </c>
      <c r="B806" s="203" t="s">
        <v>2645</v>
      </c>
    </row>
    <row r="807" customFormat="false" ht="12" hidden="false" customHeight="false" outlineLevel="0" collapsed="false">
      <c r="A807" s="203" t="s">
        <v>2646</v>
      </c>
      <c r="B807" s="203" t="s">
        <v>2647</v>
      </c>
    </row>
    <row r="808" customFormat="false" ht="12" hidden="false" customHeight="false" outlineLevel="0" collapsed="false">
      <c r="A808" s="203" t="s">
        <v>2648</v>
      </c>
      <c r="B808" s="203" t="s">
        <v>2649</v>
      </c>
    </row>
    <row r="809" customFormat="false" ht="12" hidden="false" customHeight="false" outlineLevel="0" collapsed="false">
      <c r="A809" s="203" t="s">
        <v>2650</v>
      </c>
      <c r="B809" s="203" t="s">
        <v>2651</v>
      </c>
    </row>
    <row r="810" customFormat="false" ht="12" hidden="false" customHeight="false" outlineLevel="0" collapsed="false">
      <c r="A810" s="203" t="s">
        <v>2652</v>
      </c>
      <c r="B810" s="203" t="s">
        <v>2653</v>
      </c>
    </row>
    <row r="811" customFormat="false" ht="12" hidden="false" customHeight="false" outlineLevel="0" collapsed="false">
      <c r="A811" s="203" t="s">
        <v>2654</v>
      </c>
      <c r="B811" s="203" t="s">
        <v>2655</v>
      </c>
    </row>
    <row r="812" customFormat="false" ht="12" hidden="false" customHeight="false" outlineLevel="0" collapsed="false">
      <c r="A812" s="203" t="s">
        <v>2656</v>
      </c>
      <c r="B812" s="203" t="s">
        <v>2657</v>
      </c>
    </row>
    <row r="813" customFormat="false" ht="12" hidden="false" customHeight="false" outlineLevel="0" collapsed="false">
      <c r="A813" s="203" t="s">
        <v>2658</v>
      </c>
      <c r="B813" s="203" t="s">
        <v>2659</v>
      </c>
    </row>
    <row r="814" customFormat="false" ht="12" hidden="false" customHeight="false" outlineLevel="0" collapsed="false">
      <c r="A814" s="203" t="s">
        <v>2660</v>
      </c>
      <c r="B814" s="203" t="s">
        <v>2661</v>
      </c>
    </row>
    <row r="815" customFormat="false" ht="12" hidden="false" customHeight="false" outlineLevel="0" collapsed="false">
      <c r="A815" s="203" t="s">
        <v>2662</v>
      </c>
      <c r="B815" s="203" t="s">
        <v>2663</v>
      </c>
    </row>
    <row r="816" customFormat="false" ht="12" hidden="false" customHeight="false" outlineLevel="0" collapsed="false">
      <c r="A816" s="203" t="s">
        <v>2664</v>
      </c>
      <c r="B816" s="203" t="s">
        <v>2665</v>
      </c>
    </row>
    <row r="817" customFormat="false" ht="12" hidden="false" customHeight="false" outlineLevel="0" collapsed="false">
      <c r="A817" s="203" t="s">
        <v>2666</v>
      </c>
      <c r="B817" s="203" t="s">
        <v>2667</v>
      </c>
    </row>
    <row r="818" customFormat="false" ht="12" hidden="false" customHeight="false" outlineLevel="0" collapsed="false">
      <c r="A818" s="203" t="s">
        <v>2668</v>
      </c>
      <c r="B818" s="203" t="s">
        <v>2669</v>
      </c>
    </row>
    <row r="819" customFormat="false" ht="12" hidden="false" customHeight="false" outlineLevel="0" collapsed="false">
      <c r="A819" s="203" t="s">
        <v>2670</v>
      </c>
      <c r="B819" s="203" t="s">
        <v>2671</v>
      </c>
    </row>
    <row r="820" customFormat="false" ht="12" hidden="false" customHeight="false" outlineLevel="0" collapsed="false">
      <c r="A820" s="203" t="s">
        <v>2672</v>
      </c>
      <c r="B820" s="203" t="s">
        <v>2673</v>
      </c>
    </row>
    <row r="821" customFormat="false" ht="12" hidden="false" customHeight="false" outlineLevel="0" collapsed="false">
      <c r="A821" s="203" t="s">
        <v>2674</v>
      </c>
      <c r="B821" s="203" t="s">
        <v>2675</v>
      </c>
    </row>
    <row r="822" customFormat="false" ht="12" hidden="false" customHeight="false" outlineLevel="0" collapsed="false">
      <c r="A822" s="203" t="s">
        <v>2676</v>
      </c>
      <c r="B822" s="203" t="s">
        <v>2677</v>
      </c>
    </row>
    <row r="823" customFormat="false" ht="12" hidden="false" customHeight="false" outlineLevel="0" collapsed="false">
      <c r="A823" s="203" t="s">
        <v>2678</v>
      </c>
      <c r="B823" s="203" t="s">
        <v>2679</v>
      </c>
    </row>
    <row r="824" customFormat="false" ht="12" hidden="false" customHeight="false" outlineLevel="0" collapsed="false">
      <c r="A824" s="203" t="s">
        <v>2680</v>
      </c>
      <c r="B824" s="203" t="s">
        <v>2681</v>
      </c>
    </row>
    <row r="825" customFormat="false" ht="12" hidden="false" customHeight="false" outlineLevel="0" collapsed="false">
      <c r="A825" s="203" t="s">
        <v>2682</v>
      </c>
      <c r="B825" s="203" t="s">
        <v>2683</v>
      </c>
    </row>
    <row r="826" customFormat="false" ht="12" hidden="false" customHeight="false" outlineLevel="0" collapsed="false">
      <c r="A826" s="203" t="s">
        <v>2684</v>
      </c>
      <c r="B826" s="203" t="s">
        <v>2685</v>
      </c>
    </row>
    <row r="827" customFormat="false" ht="12" hidden="false" customHeight="false" outlineLevel="0" collapsed="false">
      <c r="A827" s="203" t="s">
        <v>2686</v>
      </c>
      <c r="B827" s="203" t="s">
        <v>2687</v>
      </c>
    </row>
    <row r="828" customFormat="false" ht="12" hidden="false" customHeight="false" outlineLevel="0" collapsed="false">
      <c r="A828" s="203" t="s">
        <v>2688</v>
      </c>
      <c r="B828" s="203" t="s">
        <v>2689</v>
      </c>
    </row>
    <row r="829" customFormat="false" ht="12" hidden="false" customHeight="false" outlineLevel="0" collapsed="false">
      <c r="A829" s="203" t="s">
        <v>2690</v>
      </c>
      <c r="B829" s="203" t="s">
        <v>2691</v>
      </c>
    </row>
    <row r="830" customFormat="false" ht="12" hidden="false" customHeight="false" outlineLevel="0" collapsed="false">
      <c r="A830" s="203" t="s">
        <v>2692</v>
      </c>
      <c r="B830" s="203" t="s">
        <v>2693</v>
      </c>
    </row>
    <row r="831" customFormat="false" ht="12" hidden="false" customHeight="false" outlineLevel="0" collapsed="false">
      <c r="A831" s="203" t="s">
        <v>2694</v>
      </c>
      <c r="B831" s="203" t="s">
        <v>2695</v>
      </c>
    </row>
    <row r="832" customFormat="false" ht="12" hidden="false" customHeight="false" outlineLevel="0" collapsed="false">
      <c r="A832" s="203" t="s">
        <v>2696</v>
      </c>
      <c r="B832" s="203" t="s">
        <v>2697</v>
      </c>
    </row>
    <row r="833" customFormat="false" ht="12" hidden="false" customHeight="false" outlineLevel="0" collapsed="false">
      <c r="A833" s="203" t="s">
        <v>2698</v>
      </c>
      <c r="B833" s="203" t="s">
        <v>2699</v>
      </c>
    </row>
    <row r="834" customFormat="false" ht="12" hidden="false" customHeight="false" outlineLevel="0" collapsed="false">
      <c r="A834" s="203" t="s">
        <v>2700</v>
      </c>
      <c r="B834" s="203" t="s">
        <v>2701</v>
      </c>
    </row>
    <row r="835" customFormat="false" ht="12" hidden="false" customHeight="false" outlineLevel="0" collapsed="false">
      <c r="A835" s="203" t="s">
        <v>2702</v>
      </c>
      <c r="B835" s="203" t="s">
        <v>2703</v>
      </c>
    </row>
    <row r="836" customFormat="false" ht="12" hidden="false" customHeight="false" outlineLevel="0" collapsed="false">
      <c r="A836" s="203" t="s">
        <v>2704</v>
      </c>
      <c r="B836" s="203" t="s">
        <v>2705</v>
      </c>
    </row>
    <row r="837" customFormat="false" ht="12" hidden="false" customHeight="false" outlineLevel="0" collapsed="false">
      <c r="A837" s="203" t="s">
        <v>2706</v>
      </c>
      <c r="B837" s="203" t="s">
        <v>2707</v>
      </c>
    </row>
    <row r="838" customFormat="false" ht="12" hidden="false" customHeight="false" outlineLevel="0" collapsed="false">
      <c r="A838" s="203" t="s">
        <v>2708</v>
      </c>
      <c r="B838" s="203" t="s">
        <v>2709</v>
      </c>
    </row>
    <row r="839" customFormat="false" ht="12" hidden="false" customHeight="false" outlineLevel="0" collapsed="false">
      <c r="A839" s="203" t="s">
        <v>2710</v>
      </c>
      <c r="B839" s="203" t="s">
        <v>2711</v>
      </c>
    </row>
    <row r="840" customFormat="false" ht="12" hidden="false" customHeight="false" outlineLevel="0" collapsed="false">
      <c r="A840" s="203" t="s">
        <v>2712</v>
      </c>
      <c r="B840" s="203" t="s">
        <v>2713</v>
      </c>
    </row>
    <row r="841" customFormat="false" ht="12" hidden="false" customHeight="false" outlineLevel="0" collapsed="false">
      <c r="A841" s="203" t="s">
        <v>2714</v>
      </c>
      <c r="B841" s="203" t="s">
        <v>2715</v>
      </c>
    </row>
    <row r="842" customFormat="false" ht="12" hidden="false" customHeight="false" outlineLevel="0" collapsed="false">
      <c r="A842" s="203" t="s">
        <v>2716</v>
      </c>
      <c r="B842" s="203" t="s">
        <v>2717</v>
      </c>
    </row>
    <row r="843" customFormat="false" ht="12" hidden="false" customHeight="false" outlineLevel="0" collapsed="false">
      <c r="A843" s="203" t="s">
        <v>156</v>
      </c>
      <c r="B843" s="203" t="s">
        <v>2718</v>
      </c>
    </row>
    <row r="844" customFormat="false" ht="12" hidden="false" customHeight="false" outlineLevel="0" collapsed="false">
      <c r="A844" s="203" t="s">
        <v>2719</v>
      </c>
      <c r="B844" s="203" t="s">
        <v>2720</v>
      </c>
    </row>
    <row r="845" customFormat="false" ht="12" hidden="false" customHeight="false" outlineLevel="0" collapsed="false">
      <c r="A845" s="203" t="s">
        <v>2721</v>
      </c>
      <c r="B845" s="203" t="s">
        <v>2722</v>
      </c>
    </row>
    <row r="846" customFormat="false" ht="12" hidden="false" customHeight="false" outlineLevel="0" collapsed="false">
      <c r="A846" s="203" t="s">
        <v>2723</v>
      </c>
      <c r="B846" s="203" t="s">
        <v>2724</v>
      </c>
    </row>
    <row r="847" customFormat="false" ht="12" hidden="false" customHeight="false" outlineLevel="0" collapsed="false">
      <c r="A847" s="203" t="s">
        <v>2725</v>
      </c>
      <c r="B847" s="203" t="s">
        <v>2726</v>
      </c>
    </row>
    <row r="848" customFormat="false" ht="12" hidden="false" customHeight="false" outlineLevel="0" collapsed="false">
      <c r="A848" s="203" t="s">
        <v>2727</v>
      </c>
      <c r="B848" s="203" t="s">
        <v>2728</v>
      </c>
    </row>
    <row r="849" customFormat="false" ht="12" hidden="false" customHeight="false" outlineLevel="0" collapsed="false">
      <c r="A849" s="203" t="s">
        <v>2729</v>
      </c>
      <c r="B849" s="203" t="s">
        <v>2730</v>
      </c>
    </row>
    <row r="850" customFormat="false" ht="12" hidden="false" customHeight="false" outlineLevel="0" collapsed="false">
      <c r="A850" s="203" t="s">
        <v>2731</v>
      </c>
      <c r="B850" s="203" t="s">
        <v>2732</v>
      </c>
    </row>
    <row r="851" customFormat="false" ht="12" hidden="false" customHeight="false" outlineLevel="0" collapsed="false">
      <c r="A851" s="203" t="s">
        <v>2733</v>
      </c>
      <c r="B851" s="203" t="s">
        <v>2734</v>
      </c>
    </row>
    <row r="852" customFormat="false" ht="12" hidden="false" customHeight="false" outlineLevel="0" collapsed="false">
      <c r="A852" s="203" t="s">
        <v>2735</v>
      </c>
      <c r="B852" s="203" t="s">
        <v>2736</v>
      </c>
    </row>
    <row r="853" customFormat="false" ht="12" hidden="false" customHeight="false" outlineLevel="0" collapsed="false">
      <c r="A853" s="203" t="s">
        <v>2737</v>
      </c>
      <c r="B853" s="203" t="s">
        <v>2738</v>
      </c>
    </row>
    <row r="854" customFormat="false" ht="12" hidden="false" customHeight="false" outlineLevel="0" collapsed="false">
      <c r="A854" s="203" t="s">
        <v>2739</v>
      </c>
      <c r="B854" s="203" t="s">
        <v>2740</v>
      </c>
    </row>
    <row r="855" customFormat="false" ht="12" hidden="false" customHeight="false" outlineLevel="0" collapsed="false">
      <c r="A855" s="203" t="s">
        <v>2741</v>
      </c>
      <c r="B855" s="203" t="s">
        <v>2742</v>
      </c>
    </row>
    <row r="856" customFormat="false" ht="12" hidden="false" customHeight="false" outlineLevel="0" collapsed="false">
      <c r="A856" s="203" t="s">
        <v>2743</v>
      </c>
      <c r="B856" s="203" t="s">
        <v>2744</v>
      </c>
    </row>
    <row r="857" customFormat="false" ht="12" hidden="false" customHeight="false" outlineLevel="0" collapsed="false">
      <c r="A857" s="203" t="s">
        <v>2745</v>
      </c>
      <c r="B857" s="203" t="s">
        <v>2746</v>
      </c>
    </row>
    <row r="858" customFormat="false" ht="12" hidden="false" customHeight="false" outlineLevel="0" collapsed="false">
      <c r="A858" s="203" t="s">
        <v>2747</v>
      </c>
      <c r="B858" s="203" t="s">
        <v>2748</v>
      </c>
    </row>
    <row r="859" customFormat="false" ht="12" hidden="false" customHeight="false" outlineLevel="0" collapsed="false">
      <c r="A859" s="203" t="s">
        <v>2749</v>
      </c>
      <c r="B859" s="203" t="s">
        <v>2750</v>
      </c>
    </row>
    <row r="860" customFormat="false" ht="12" hidden="false" customHeight="false" outlineLevel="0" collapsed="false">
      <c r="A860" s="203" t="s">
        <v>2751</v>
      </c>
      <c r="B860" s="203" t="s">
        <v>2752</v>
      </c>
    </row>
    <row r="861" customFormat="false" ht="12" hidden="false" customHeight="false" outlineLevel="0" collapsed="false">
      <c r="A861" s="203" t="s">
        <v>2753</v>
      </c>
      <c r="B861" s="203" t="s">
        <v>2754</v>
      </c>
    </row>
    <row r="862" customFormat="false" ht="12" hidden="false" customHeight="false" outlineLevel="0" collapsed="false">
      <c r="A862" s="203" t="s">
        <v>2755</v>
      </c>
      <c r="B862" s="203" t="s">
        <v>2756</v>
      </c>
    </row>
    <row r="863" customFormat="false" ht="12" hidden="false" customHeight="false" outlineLevel="0" collapsed="false">
      <c r="A863" s="203" t="s">
        <v>2757</v>
      </c>
      <c r="B863" s="203" t="s">
        <v>2758</v>
      </c>
    </row>
    <row r="864" customFormat="false" ht="12" hidden="false" customHeight="false" outlineLevel="0" collapsed="false">
      <c r="A864" s="203" t="s">
        <v>2759</v>
      </c>
      <c r="B864" s="203" t="s">
        <v>2760</v>
      </c>
    </row>
    <row r="865" customFormat="false" ht="12" hidden="false" customHeight="false" outlineLevel="0" collapsed="false">
      <c r="A865" s="203" t="s">
        <v>2761</v>
      </c>
      <c r="B865" s="203" t="s">
        <v>2762</v>
      </c>
    </row>
    <row r="866" customFormat="false" ht="12" hidden="false" customHeight="false" outlineLevel="0" collapsed="false">
      <c r="A866" s="203" t="s">
        <v>2763</v>
      </c>
      <c r="B866" s="203" t="s">
        <v>2764</v>
      </c>
    </row>
    <row r="867" customFormat="false" ht="12" hidden="false" customHeight="false" outlineLevel="0" collapsed="false">
      <c r="A867" s="203" t="s">
        <v>2765</v>
      </c>
      <c r="B867" s="203" t="s">
        <v>2766</v>
      </c>
    </row>
    <row r="868" customFormat="false" ht="12" hidden="false" customHeight="false" outlineLevel="0" collapsed="false">
      <c r="A868" s="203" t="s">
        <v>2767</v>
      </c>
      <c r="B868" s="203" t="s">
        <v>2768</v>
      </c>
    </row>
    <row r="869" customFormat="false" ht="12" hidden="false" customHeight="false" outlineLevel="0" collapsed="false">
      <c r="A869" s="203" t="s">
        <v>2769</v>
      </c>
      <c r="B869" s="203" t="s">
        <v>2770</v>
      </c>
    </row>
    <row r="870" customFormat="false" ht="12" hidden="false" customHeight="false" outlineLevel="0" collapsed="false">
      <c r="A870" s="203" t="s">
        <v>2771</v>
      </c>
      <c r="B870" s="203" t="s">
        <v>2772</v>
      </c>
    </row>
    <row r="871" customFormat="false" ht="12" hidden="false" customHeight="false" outlineLevel="0" collapsed="false">
      <c r="A871" s="203" t="s">
        <v>2773</v>
      </c>
      <c r="B871" s="203" t="s">
        <v>2774</v>
      </c>
    </row>
    <row r="872" customFormat="false" ht="12" hidden="false" customHeight="false" outlineLevel="0" collapsed="false">
      <c r="A872" s="203" t="s">
        <v>2775</v>
      </c>
      <c r="B872" s="203" t="s">
        <v>865</v>
      </c>
    </row>
    <row r="873" customFormat="false" ht="12" hidden="false" customHeight="false" outlineLevel="0" collapsed="false">
      <c r="A873" s="203" t="s">
        <v>2776</v>
      </c>
      <c r="B873" s="203" t="s">
        <v>2777</v>
      </c>
    </row>
    <row r="874" customFormat="false" ht="12" hidden="false" customHeight="false" outlineLevel="0" collapsed="false">
      <c r="A874" s="203" t="s">
        <v>2778</v>
      </c>
      <c r="B874" s="203" t="s">
        <v>2779</v>
      </c>
    </row>
    <row r="875" customFormat="false" ht="12" hidden="false" customHeight="false" outlineLevel="0" collapsed="false">
      <c r="A875" s="203" t="s">
        <v>2780</v>
      </c>
      <c r="B875" s="203" t="s">
        <v>2781</v>
      </c>
    </row>
    <row r="876" customFormat="false" ht="12" hidden="false" customHeight="false" outlineLevel="0" collapsed="false">
      <c r="A876" s="203" t="s">
        <v>2782</v>
      </c>
      <c r="B876" s="203" t="s">
        <v>2783</v>
      </c>
    </row>
    <row r="877" customFormat="false" ht="12" hidden="false" customHeight="false" outlineLevel="0" collapsed="false">
      <c r="A877" s="203" t="s">
        <v>2784</v>
      </c>
      <c r="B877" s="203" t="s">
        <v>2785</v>
      </c>
    </row>
    <row r="878" customFormat="false" ht="12" hidden="false" customHeight="false" outlineLevel="0" collapsed="false">
      <c r="A878" s="203" t="s">
        <v>2786</v>
      </c>
      <c r="B878" s="203" t="s">
        <v>2787</v>
      </c>
    </row>
    <row r="879" customFormat="false" ht="12" hidden="false" customHeight="false" outlineLevel="0" collapsed="false">
      <c r="A879" s="203" t="s">
        <v>2788</v>
      </c>
      <c r="B879" s="203" t="s">
        <v>2789</v>
      </c>
    </row>
    <row r="880" customFormat="false" ht="12" hidden="false" customHeight="false" outlineLevel="0" collapsed="false">
      <c r="A880" s="203" t="s">
        <v>2790</v>
      </c>
      <c r="B880" s="203" t="s">
        <v>2791</v>
      </c>
    </row>
    <row r="881" customFormat="false" ht="12" hidden="false" customHeight="false" outlineLevel="0" collapsed="false">
      <c r="A881" s="203" t="s">
        <v>2792</v>
      </c>
      <c r="B881" s="203" t="s">
        <v>2793</v>
      </c>
    </row>
    <row r="882" customFormat="false" ht="12" hidden="false" customHeight="false" outlineLevel="0" collapsed="false">
      <c r="A882" s="203" t="s">
        <v>2794</v>
      </c>
      <c r="B882" s="203" t="s">
        <v>2795</v>
      </c>
    </row>
    <row r="883" customFormat="false" ht="12" hidden="false" customHeight="false" outlineLevel="0" collapsed="false">
      <c r="A883" s="203" t="s">
        <v>2796</v>
      </c>
      <c r="B883" s="203" t="s">
        <v>2797</v>
      </c>
    </row>
    <row r="884" customFormat="false" ht="12" hidden="false" customHeight="false" outlineLevel="0" collapsed="false">
      <c r="A884" s="203" t="s">
        <v>2798</v>
      </c>
      <c r="B884" s="203" t="s">
        <v>2799</v>
      </c>
    </row>
    <row r="885" customFormat="false" ht="12" hidden="false" customHeight="false" outlineLevel="0" collapsed="false">
      <c r="A885" s="203" t="s">
        <v>2800</v>
      </c>
      <c r="B885" s="203" t="s">
        <v>2801</v>
      </c>
    </row>
    <row r="886" customFormat="false" ht="12" hidden="false" customHeight="false" outlineLevel="0" collapsed="false">
      <c r="A886" s="203" t="s">
        <v>2802</v>
      </c>
      <c r="B886" s="203" t="s">
        <v>2803</v>
      </c>
    </row>
    <row r="887" customFormat="false" ht="12" hidden="false" customHeight="false" outlineLevel="0" collapsed="false">
      <c r="A887" s="203" t="s">
        <v>2804</v>
      </c>
      <c r="B887" s="203" t="s">
        <v>2805</v>
      </c>
    </row>
    <row r="888" customFormat="false" ht="12" hidden="false" customHeight="false" outlineLevel="0" collapsed="false">
      <c r="A888" s="203" t="s">
        <v>2806</v>
      </c>
      <c r="B888" s="203" t="s">
        <v>2807</v>
      </c>
    </row>
    <row r="889" customFormat="false" ht="12" hidden="false" customHeight="false" outlineLevel="0" collapsed="false">
      <c r="A889" s="203" t="s">
        <v>2808</v>
      </c>
      <c r="B889" s="203" t="s">
        <v>2809</v>
      </c>
    </row>
    <row r="890" customFormat="false" ht="12" hidden="false" customHeight="false" outlineLevel="0" collapsed="false">
      <c r="A890" s="203" t="s">
        <v>2810</v>
      </c>
      <c r="B890" s="203" t="s">
        <v>2811</v>
      </c>
    </row>
    <row r="891" customFormat="false" ht="12" hidden="false" customHeight="false" outlineLevel="0" collapsed="false">
      <c r="A891" s="203" t="s">
        <v>2812</v>
      </c>
      <c r="B891" s="203" t="s">
        <v>2813</v>
      </c>
    </row>
    <row r="892" customFormat="false" ht="12" hidden="false" customHeight="false" outlineLevel="0" collapsed="false">
      <c r="A892" s="203" t="s">
        <v>2814</v>
      </c>
      <c r="B892" s="203" t="s">
        <v>2815</v>
      </c>
    </row>
    <row r="893" customFormat="false" ht="12" hidden="false" customHeight="false" outlineLevel="0" collapsed="false">
      <c r="A893" s="203" t="s">
        <v>2816</v>
      </c>
      <c r="B893" s="203" t="s">
        <v>2817</v>
      </c>
    </row>
    <row r="894" customFormat="false" ht="12" hidden="false" customHeight="false" outlineLevel="0" collapsed="false">
      <c r="A894" s="203" t="s">
        <v>2818</v>
      </c>
      <c r="B894" s="203" t="s">
        <v>2819</v>
      </c>
    </row>
    <row r="895" customFormat="false" ht="12" hidden="false" customHeight="false" outlineLevel="0" collapsed="false">
      <c r="A895" s="203" t="s">
        <v>2820</v>
      </c>
      <c r="B895" s="203" t="s">
        <v>2821</v>
      </c>
    </row>
    <row r="896" customFormat="false" ht="12" hidden="false" customHeight="false" outlineLevel="0" collapsed="false">
      <c r="A896" s="203" t="s">
        <v>2822</v>
      </c>
      <c r="B896" s="203" t="s">
        <v>2823</v>
      </c>
    </row>
    <row r="897" customFormat="false" ht="12" hidden="false" customHeight="false" outlineLevel="0" collapsed="false">
      <c r="A897" s="203" t="s">
        <v>2824</v>
      </c>
      <c r="B897" s="203" t="s">
        <v>2825</v>
      </c>
    </row>
    <row r="898" customFormat="false" ht="12" hidden="false" customHeight="false" outlineLevel="0" collapsed="false">
      <c r="A898" s="203" t="s">
        <v>2826</v>
      </c>
      <c r="B898" s="203" t="s">
        <v>2827</v>
      </c>
    </row>
    <row r="899" customFormat="false" ht="12" hidden="false" customHeight="false" outlineLevel="0" collapsed="false">
      <c r="A899" s="203" t="s">
        <v>2828</v>
      </c>
      <c r="B899" s="203" t="s">
        <v>2829</v>
      </c>
    </row>
    <row r="900" customFormat="false" ht="12" hidden="false" customHeight="false" outlineLevel="0" collapsed="false">
      <c r="A900" s="203" t="s">
        <v>2830</v>
      </c>
      <c r="B900" s="203" t="s">
        <v>2831</v>
      </c>
    </row>
    <row r="901" customFormat="false" ht="12" hidden="false" customHeight="false" outlineLevel="0" collapsed="false">
      <c r="A901" s="203" t="s">
        <v>2832</v>
      </c>
      <c r="B901" s="203" t="s">
        <v>2833</v>
      </c>
    </row>
    <row r="902" customFormat="false" ht="12" hidden="false" customHeight="false" outlineLevel="0" collapsed="false">
      <c r="A902" s="203" t="s">
        <v>2834</v>
      </c>
      <c r="B902" s="203" t="s">
        <v>2835</v>
      </c>
    </row>
    <row r="903" customFormat="false" ht="12" hidden="false" customHeight="false" outlineLevel="0" collapsed="false">
      <c r="A903" s="203" t="s">
        <v>2836</v>
      </c>
      <c r="B903" s="203" t="s">
        <v>2837</v>
      </c>
    </row>
    <row r="904" customFormat="false" ht="12" hidden="false" customHeight="false" outlineLevel="0" collapsed="false">
      <c r="A904" s="203" t="s">
        <v>2838</v>
      </c>
      <c r="B904" s="203" t="s">
        <v>2839</v>
      </c>
    </row>
    <row r="905" customFormat="false" ht="12" hidden="false" customHeight="false" outlineLevel="0" collapsed="false">
      <c r="A905" s="203" t="s">
        <v>2840</v>
      </c>
      <c r="B905" s="203" t="s">
        <v>2841</v>
      </c>
    </row>
    <row r="906" customFormat="false" ht="12" hidden="false" customHeight="false" outlineLevel="0" collapsed="false">
      <c r="A906" s="203" t="s">
        <v>2842</v>
      </c>
      <c r="B906" s="203" t="s">
        <v>2843</v>
      </c>
    </row>
    <row r="907" customFormat="false" ht="12" hidden="false" customHeight="false" outlineLevel="0" collapsed="false">
      <c r="A907" s="203" t="s">
        <v>2844</v>
      </c>
      <c r="B907" s="203" t="s">
        <v>2845</v>
      </c>
    </row>
    <row r="908" customFormat="false" ht="12" hidden="false" customHeight="false" outlineLevel="0" collapsed="false">
      <c r="A908" s="203" t="s">
        <v>2846</v>
      </c>
      <c r="B908" s="203" t="s">
        <v>2847</v>
      </c>
    </row>
    <row r="909" customFormat="false" ht="12" hidden="false" customHeight="false" outlineLevel="0" collapsed="false">
      <c r="A909" s="203" t="s">
        <v>2848</v>
      </c>
      <c r="B909" s="203" t="s">
        <v>2849</v>
      </c>
    </row>
    <row r="910" customFormat="false" ht="12" hidden="false" customHeight="false" outlineLevel="0" collapsed="false">
      <c r="A910" s="203" t="s">
        <v>2850</v>
      </c>
      <c r="B910" s="203" t="s">
        <v>2851</v>
      </c>
    </row>
    <row r="911" customFormat="false" ht="12" hidden="false" customHeight="false" outlineLevel="0" collapsed="false">
      <c r="A911" s="203" t="s">
        <v>2852</v>
      </c>
      <c r="B911" s="203" t="s">
        <v>2853</v>
      </c>
    </row>
    <row r="912" customFormat="false" ht="12" hidden="false" customHeight="false" outlineLevel="0" collapsed="false">
      <c r="A912" s="203" t="s">
        <v>2854</v>
      </c>
      <c r="B912" s="203" t="s">
        <v>2855</v>
      </c>
    </row>
    <row r="913" customFormat="false" ht="12" hidden="false" customHeight="false" outlineLevel="0" collapsed="false">
      <c r="A913" s="203" t="s">
        <v>2856</v>
      </c>
      <c r="B913" s="203" t="s">
        <v>2857</v>
      </c>
    </row>
    <row r="914" customFormat="false" ht="12" hidden="false" customHeight="false" outlineLevel="0" collapsed="false">
      <c r="A914" s="203" t="s">
        <v>2858</v>
      </c>
      <c r="B914" s="203" t="s">
        <v>2859</v>
      </c>
    </row>
    <row r="915" customFormat="false" ht="12" hidden="false" customHeight="false" outlineLevel="0" collapsed="false">
      <c r="A915" s="203" t="s">
        <v>2860</v>
      </c>
      <c r="B915" s="203" t="s">
        <v>2861</v>
      </c>
    </row>
    <row r="916" customFormat="false" ht="12" hidden="false" customHeight="false" outlineLevel="0" collapsed="false">
      <c r="A916" s="203" t="s">
        <v>2862</v>
      </c>
      <c r="B916" s="203" t="s">
        <v>2863</v>
      </c>
    </row>
    <row r="917" customFormat="false" ht="12" hidden="false" customHeight="false" outlineLevel="0" collapsed="false">
      <c r="A917" s="203" t="s">
        <v>2864</v>
      </c>
      <c r="B917" s="203" t="s">
        <v>2865</v>
      </c>
    </row>
    <row r="918" customFormat="false" ht="12" hidden="false" customHeight="false" outlineLevel="0" collapsed="false">
      <c r="A918" s="203" t="s">
        <v>2866</v>
      </c>
      <c r="B918" s="203" t="s">
        <v>2867</v>
      </c>
    </row>
    <row r="919" customFormat="false" ht="12" hidden="false" customHeight="false" outlineLevel="0" collapsed="false">
      <c r="A919" s="203" t="s">
        <v>2868</v>
      </c>
      <c r="B919" s="203" t="s">
        <v>2869</v>
      </c>
    </row>
    <row r="920" customFormat="false" ht="12" hidden="false" customHeight="false" outlineLevel="0" collapsed="false">
      <c r="A920" s="203" t="s">
        <v>2870</v>
      </c>
      <c r="B920" s="203" t="s">
        <v>2871</v>
      </c>
    </row>
    <row r="921" customFormat="false" ht="12" hidden="false" customHeight="false" outlineLevel="0" collapsed="false">
      <c r="A921" s="203" t="s">
        <v>2872</v>
      </c>
      <c r="B921" s="203" t="s">
        <v>2873</v>
      </c>
    </row>
    <row r="922" customFormat="false" ht="12" hidden="false" customHeight="false" outlineLevel="0" collapsed="false">
      <c r="A922" s="203" t="s">
        <v>2874</v>
      </c>
      <c r="B922" s="203" t="s">
        <v>2875</v>
      </c>
    </row>
    <row r="923" customFormat="false" ht="12" hidden="false" customHeight="false" outlineLevel="0" collapsed="false">
      <c r="A923" s="203" t="s">
        <v>2876</v>
      </c>
      <c r="B923" s="203" t="s">
        <v>2877</v>
      </c>
    </row>
    <row r="924" customFormat="false" ht="12" hidden="false" customHeight="false" outlineLevel="0" collapsed="false">
      <c r="A924" s="203" t="s">
        <v>2878</v>
      </c>
      <c r="B924" s="203" t="s">
        <v>2879</v>
      </c>
    </row>
    <row r="925" customFormat="false" ht="12" hidden="false" customHeight="false" outlineLevel="0" collapsed="false">
      <c r="A925" s="203" t="s">
        <v>2880</v>
      </c>
      <c r="B925" s="203" t="s">
        <v>2881</v>
      </c>
    </row>
    <row r="926" customFormat="false" ht="12" hidden="false" customHeight="false" outlineLevel="0" collapsed="false">
      <c r="A926" s="203" t="s">
        <v>2882</v>
      </c>
      <c r="B926" s="203" t="s">
        <v>2883</v>
      </c>
    </row>
    <row r="927" customFormat="false" ht="12" hidden="false" customHeight="false" outlineLevel="0" collapsed="false">
      <c r="A927" s="203" t="s">
        <v>2884</v>
      </c>
      <c r="B927" s="203" t="s">
        <v>2885</v>
      </c>
    </row>
    <row r="928" customFormat="false" ht="12" hidden="false" customHeight="false" outlineLevel="0" collapsed="false">
      <c r="A928" s="203" t="s">
        <v>2886</v>
      </c>
      <c r="B928" s="203" t="s">
        <v>2887</v>
      </c>
    </row>
    <row r="929" customFormat="false" ht="12" hidden="false" customHeight="false" outlineLevel="0" collapsed="false">
      <c r="A929" s="203" t="s">
        <v>2888</v>
      </c>
      <c r="B929" s="203" t="s">
        <v>2889</v>
      </c>
    </row>
    <row r="930" customFormat="false" ht="12" hidden="false" customHeight="false" outlineLevel="0" collapsed="false">
      <c r="A930" s="203" t="s">
        <v>2890</v>
      </c>
      <c r="B930" s="203" t="s">
        <v>2891</v>
      </c>
    </row>
    <row r="931" customFormat="false" ht="12" hidden="false" customHeight="false" outlineLevel="0" collapsed="false">
      <c r="A931" s="203" t="s">
        <v>2892</v>
      </c>
      <c r="B931" s="203" t="s">
        <v>2893</v>
      </c>
    </row>
    <row r="932" customFormat="false" ht="12" hidden="false" customHeight="false" outlineLevel="0" collapsed="false">
      <c r="A932" s="203" t="s">
        <v>2894</v>
      </c>
      <c r="B932" s="203" t="s">
        <v>2895</v>
      </c>
    </row>
    <row r="933" customFormat="false" ht="12" hidden="false" customHeight="false" outlineLevel="0" collapsed="false">
      <c r="A933" s="203" t="s">
        <v>2896</v>
      </c>
      <c r="B933" s="203" t="s">
        <v>2897</v>
      </c>
    </row>
    <row r="934" customFormat="false" ht="12" hidden="false" customHeight="false" outlineLevel="0" collapsed="false">
      <c r="A934" s="203" t="s">
        <v>2898</v>
      </c>
      <c r="B934" s="203" t="s">
        <v>2899</v>
      </c>
    </row>
    <row r="935" customFormat="false" ht="12" hidden="false" customHeight="false" outlineLevel="0" collapsed="false">
      <c r="A935" s="203" t="s">
        <v>2900</v>
      </c>
      <c r="B935" s="203" t="s">
        <v>2901</v>
      </c>
    </row>
    <row r="936" customFormat="false" ht="12" hidden="false" customHeight="false" outlineLevel="0" collapsed="false">
      <c r="A936" s="203" t="s">
        <v>2902</v>
      </c>
      <c r="B936" s="203" t="s">
        <v>2903</v>
      </c>
    </row>
    <row r="937" customFormat="false" ht="12" hidden="false" customHeight="false" outlineLevel="0" collapsed="false">
      <c r="A937" s="203" t="s">
        <v>2904</v>
      </c>
      <c r="B937" s="203" t="s">
        <v>2905</v>
      </c>
    </row>
    <row r="938" customFormat="false" ht="12" hidden="false" customHeight="false" outlineLevel="0" collapsed="false">
      <c r="A938" s="203" t="s">
        <v>2906</v>
      </c>
      <c r="B938" s="203" t="s">
        <v>2907</v>
      </c>
    </row>
    <row r="939" customFormat="false" ht="12" hidden="false" customHeight="false" outlineLevel="0" collapsed="false">
      <c r="A939" s="203" t="s">
        <v>2908</v>
      </c>
      <c r="B939" s="203" t="s">
        <v>2909</v>
      </c>
    </row>
    <row r="940" customFormat="false" ht="12" hidden="false" customHeight="false" outlineLevel="0" collapsed="false">
      <c r="A940" s="203" t="s">
        <v>2910</v>
      </c>
      <c r="B940" s="203" t="s">
        <v>2911</v>
      </c>
    </row>
    <row r="941" customFormat="false" ht="12" hidden="false" customHeight="false" outlineLevel="0" collapsed="false">
      <c r="A941" s="203" t="s">
        <v>2912</v>
      </c>
      <c r="B941" s="203" t="s">
        <v>2913</v>
      </c>
    </row>
    <row r="942" customFormat="false" ht="12" hidden="false" customHeight="false" outlineLevel="0" collapsed="false">
      <c r="A942" s="203" t="s">
        <v>2914</v>
      </c>
      <c r="B942" s="203" t="s">
        <v>2915</v>
      </c>
    </row>
    <row r="943" customFormat="false" ht="12" hidden="false" customHeight="false" outlineLevel="0" collapsed="false">
      <c r="A943" s="203" t="s">
        <v>2916</v>
      </c>
      <c r="B943" s="203" t="s">
        <v>2917</v>
      </c>
    </row>
    <row r="944" customFormat="false" ht="12" hidden="false" customHeight="false" outlineLevel="0" collapsed="false">
      <c r="A944" s="203" t="s">
        <v>2918</v>
      </c>
      <c r="B944" s="203" t="s">
        <v>2919</v>
      </c>
    </row>
    <row r="945" customFormat="false" ht="12" hidden="false" customHeight="false" outlineLevel="0" collapsed="false">
      <c r="A945" s="203" t="s">
        <v>2920</v>
      </c>
      <c r="B945" s="203" t="s">
        <v>2921</v>
      </c>
    </row>
    <row r="946" customFormat="false" ht="12" hidden="false" customHeight="false" outlineLevel="0" collapsed="false">
      <c r="A946" s="203" t="s">
        <v>2922</v>
      </c>
      <c r="B946" s="203" t="s">
        <v>2923</v>
      </c>
    </row>
    <row r="947" customFormat="false" ht="12" hidden="false" customHeight="false" outlineLevel="0" collapsed="false">
      <c r="A947" s="203" t="s">
        <v>2924</v>
      </c>
      <c r="B947" s="203" t="s">
        <v>2925</v>
      </c>
    </row>
    <row r="948" customFormat="false" ht="12" hidden="false" customHeight="false" outlineLevel="0" collapsed="false">
      <c r="A948" s="203" t="s">
        <v>2926</v>
      </c>
      <c r="B948" s="203" t="s">
        <v>2927</v>
      </c>
    </row>
    <row r="949" customFormat="false" ht="12" hidden="false" customHeight="false" outlineLevel="0" collapsed="false">
      <c r="A949" s="203" t="s">
        <v>2928</v>
      </c>
      <c r="B949" s="203" t="s">
        <v>2929</v>
      </c>
    </row>
    <row r="950" customFormat="false" ht="12" hidden="false" customHeight="false" outlineLevel="0" collapsed="false">
      <c r="A950" s="203" t="s">
        <v>2930</v>
      </c>
      <c r="B950" s="203" t="s">
        <v>2931</v>
      </c>
    </row>
    <row r="951" customFormat="false" ht="12" hidden="false" customHeight="false" outlineLevel="0" collapsed="false">
      <c r="A951" s="203" t="s">
        <v>2932</v>
      </c>
      <c r="B951" s="203" t="s">
        <v>2933</v>
      </c>
    </row>
    <row r="952" customFormat="false" ht="12" hidden="false" customHeight="false" outlineLevel="0" collapsed="false">
      <c r="A952" s="203" t="s">
        <v>2934</v>
      </c>
      <c r="B952" s="203" t="s">
        <v>2935</v>
      </c>
    </row>
    <row r="953" customFormat="false" ht="12" hidden="false" customHeight="false" outlineLevel="0" collapsed="false">
      <c r="A953" s="203" t="s">
        <v>2936</v>
      </c>
      <c r="B953" s="203" t="s">
        <v>2937</v>
      </c>
    </row>
    <row r="954" customFormat="false" ht="12" hidden="false" customHeight="false" outlineLevel="0" collapsed="false">
      <c r="A954" s="203" t="s">
        <v>2938</v>
      </c>
      <c r="B954" s="203" t="s">
        <v>2939</v>
      </c>
    </row>
    <row r="955" customFormat="false" ht="12" hidden="false" customHeight="false" outlineLevel="0" collapsed="false">
      <c r="A955" s="203" t="s">
        <v>2940</v>
      </c>
      <c r="B955" s="203" t="s">
        <v>2941</v>
      </c>
    </row>
    <row r="956" customFormat="false" ht="12" hidden="false" customHeight="false" outlineLevel="0" collapsed="false">
      <c r="A956" s="203" t="s">
        <v>2942</v>
      </c>
      <c r="B956" s="203" t="s">
        <v>2943</v>
      </c>
    </row>
    <row r="957" customFormat="false" ht="12" hidden="false" customHeight="false" outlineLevel="0" collapsed="false">
      <c r="A957" s="203" t="s">
        <v>2944</v>
      </c>
      <c r="B957" s="203" t="s">
        <v>2945</v>
      </c>
    </row>
    <row r="958" customFormat="false" ht="12" hidden="false" customHeight="false" outlineLevel="0" collapsed="false">
      <c r="A958" s="203" t="s">
        <v>2946</v>
      </c>
      <c r="B958" s="203" t="s">
        <v>2947</v>
      </c>
    </row>
    <row r="959" customFormat="false" ht="12" hidden="false" customHeight="false" outlineLevel="0" collapsed="false">
      <c r="A959" s="203" t="s">
        <v>2948</v>
      </c>
      <c r="B959" s="203" t="s">
        <v>2949</v>
      </c>
    </row>
    <row r="960" customFormat="false" ht="12" hidden="false" customHeight="false" outlineLevel="0" collapsed="false">
      <c r="A960" s="203" t="s">
        <v>2950</v>
      </c>
      <c r="B960" s="203" t="s">
        <v>2951</v>
      </c>
    </row>
    <row r="961" customFormat="false" ht="12" hidden="false" customHeight="false" outlineLevel="0" collapsed="false">
      <c r="A961" s="203" t="s">
        <v>2952</v>
      </c>
      <c r="B961" s="203" t="s">
        <v>2953</v>
      </c>
    </row>
    <row r="962" customFormat="false" ht="12" hidden="false" customHeight="false" outlineLevel="0" collapsed="false">
      <c r="A962" s="203" t="s">
        <v>2954</v>
      </c>
      <c r="B962" s="203" t="s">
        <v>2955</v>
      </c>
    </row>
    <row r="963" customFormat="false" ht="12" hidden="false" customHeight="false" outlineLevel="0" collapsed="false">
      <c r="A963" s="203" t="s">
        <v>2956</v>
      </c>
      <c r="B963" s="203" t="s">
        <v>2957</v>
      </c>
    </row>
    <row r="964" customFormat="false" ht="12" hidden="false" customHeight="false" outlineLevel="0" collapsed="false">
      <c r="A964" s="203" t="s">
        <v>2958</v>
      </c>
      <c r="B964" s="203" t="s">
        <v>2959</v>
      </c>
    </row>
    <row r="965" customFormat="false" ht="12" hidden="false" customHeight="false" outlineLevel="0" collapsed="false">
      <c r="A965" s="203" t="s">
        <v>2960</v>
      </c>
      <c r="B965" s="203" t="s">
        <v>2961</v>
      </c>
    </row>
    <row r="966" customFormat="false" ht="12" hidden="false" customHeight="false" outlineLevel="0" collapsed="false">
      <c r="A966" s="203" t="s">
        <v>2962</v>
      </c>
      <c r="B966" s="203" t="s">
        <v>794</v>
      </c>
    </row>
    <row r="967" customFormat="false" ht="12" hidden="false" customHeight="false" outlineLevel="0" collapsed="false">
      <c r="A967" s="203" t="s">
        <v>2963</v>
      </c>
      <c r="B967" s="203" t="s">
        <v>2964</v>
      </c>
    </row>
    <row r="968" customFormat="false" ht="12" hidden="false" customHeight="false" outlineLevel="0" collapsed="false">
      <c r="A968" s="203" t="s">
        <v>2965</v>
      </c>
      <c r="B968" s="203" t="s">
        <v>2966</v>
      </c>
    </row>
    <row r="969" customFormat="false" ht="12" hidden="false" customHeight="false" outlineLevel="0" collapsed="false">
      <c r="A969" s="203" t="s">
        <v>2967</v>
      </c>
      <c r="B969" s="203" t="s">
        <v>2968</v>
      </c>
    </row>
    <row r="970" customFormat="false" ht="12" hidden="false" customHeight="false" outlineLevel="0" collapsed="false">
      <c r="A970" s="203" t="s">
        <v>2969</v>
      </c>
      <c r="B970" s="203" t="s">
        <v>2970</v>
      </c>
    </row>
    <row r="971" customFormat="false" ht="12" hidden="false" customHeight="false" outlineLevel="0" collapsed="false">
      <c r="A971" s="203" t="s">
        <v>2971</v>
      </c>
      <c r="B971" s="203" t="s">
        <v>2972</v>
      </c>
    </row>
    <row r="972" customFormat="false" ht="12" hidden="false" customHeight="false" outlineLevel="0" collapsed="false">
      <c r="A972" s="203" t="s">
        <v>2973</v>
      </c>
      <c r="B972" s="203" t="s">
        <v>2974</v>
      </c>
    </row>
    <row r="973" customFormat="false" ht="12" hidden="false" customHeight="false" outlineLevel="0" collapsed="false">
      <c r="A973" s="203" t="s">
        <v>2975</v>
      </c>
      <c r="B973" s="203" t="s">
        <v>2976</v>
      </c>
    </row>
    <row r="974" customFormat="false" ht="12" hidden="false" customHeight="false" outlineLevel="0" collapsed="false">
      <c r="A974" s="203" t="s">
        <v>2977</v>
      </c>
      <c r="B974" s="203" t="s">
        <v>2978</v>
      </c>
    </row>
    <row r="975" customFormat="false" ht="12" hidden="false" customHeight="false" outlineLevel="0" collapsed="false">
      <c r="A975" s="203" t="s">
        <v>2979</v>
      </c>
      <c r="B975" s="203" t="s">
        <v>2980</v>
      </c>
    </row>
    <row r="976" customFormat="false" ht="12" hidden="false" customHeight="false" outlineLevel="0" collapsed="false">
      <c r="A976" s="203" t="s">
        <v>2981</v>
      </c>
      <c r="B976" s="203" t="s">
        <v>2982</v>
      </c>
    </row>
    <row r="977" customFormat="false" ht="12" hidden="false" customHeight="false" outlineLevel="0" collapsed="false">
      <c r="A977" s="203" t="s">
        <v>2983</v>
      </c>
      <c r="B977" s="203" t="s">
        <v>2984</v>
      </c>
    </row>
    <row r="978" customFormat="false" ht="12" hidden="false" customHeight="false" outlineLevel="0" collapsed="false">
      <c r="A978" s="203" t="s">
        <v>2985</v>
      </c>
      <c r="B978" s="203" t="s">
        <v>2986</v>
      </c>
    </row>
    <row r="979" customFormat="false" ht="12" hidden="false" customHeight="false" outlineLevel="0" collapsed="false">
      <c r="A979" s="203" t="s">
        <v>2987</v>
      </c>
      <c r="B979" s="203" t="s">
        <v>2988</v>
      </c>
    </row>
    <row r="980" customFormat="false" ht="12" hidden="false" customHeight="false" outlineLevel="0" collapsed="false">
      <c r="A980" s="203" t="s">
        <v>2989</v>
      </c>
      <c r="B980" s="203" t="s">
        <v>2990</v>
      </c>
    </row>
    <row r="981" customFormat="false" ht="12" hidden="false" customHeight="false" outlineLevel="0" collapsed="false">
      <c r="A981" s="203" t="s">
        <v>2991</v>
      </c>
      <c r="B981" s="203" t="s">
        <v>2992</v>
      </c>
    </row>
    <row r="982" customFormat="false" ht="12" hidden="false" customHeight="false" outlineLevel="0" collapsed="false">
      <c r="A982" s="203" t="s">
        <v>2993</v>
      </c>
      <c r="B982" s="203" t="s">
        <v>2994</v>
      </c>
    </row>
    <row r="983" customFormat="false" ht="12" hidden="false" customHeight="false" outlineLevel="0" collapsed="false">
      <c r="A983" s="203" t="s">
        <v>2995</v>
      </c>
      <c r="B983" s="203" t="s">
        <v>2996</v>
      </c>
    </row>
    <row r="984" customFormat="false" ht="12" hidden="false" customHeight="false" outlineLevel="0" collapsed="false">
      <c r="A984" s="203" t="s">
        <v>2997</v>
      </c>
      <c r="B984" s="203" t="s">
        <v>2998</v>
      </c>
    </row>
    <row r="985" customFormat="false" ht="12" hidden="false" customHeight="false" outlineLevel="0" collapsed="false">
      <c r="A985" s="203" t="s">
        <v>2999</v>
      </c>
      <c r="B985" s="203" t="s">
        <v>3000</v>
      </c>
    </row>
    <row r="986" customFormat="false" ht="12" hidden="false" customHeight="false" outlineLevel="0" collapsed="false">
      <c r="A986" s="203" t="s">
        <v>3001</v>
      </c>
      <c r="B986" s="203" t="s">
        <v>3002</v>
      </c>
    </row>
    <row r="987" customFormat="false" ht="12" hidden="false" customHeight="false" outlineLevel="0" collapsed="false">
      <c r="A987" s="203" t="s">
        <v>3003</v>
      </c>
      <c r="B987" s="203" t="s">
        <v>3004</v>
      </c>
    </row>
    <row r="988" customFormat="false" ht="12" hidden="false" customHeight="false" outlineLevel="0" collapsed="false">
      <c r="A988" s="203" t="s">
        <v>3005</v>
      </c>
      <c r="B988" s="203" t="s">
        <v>3006</v>
      </c>
    </row>
    <row r="989" customFormat="false" ht="12" hidden="false" customHeight="false" outlineLevel="0" collapsed="false">
      <c r="A989" s="203" t="s">
        <v>3007</v>
      </c>
      <c r="B989" s="203" t="s">
        <v>3008</v>
      </c>
    </row>
    <row r="990" customFormat="false" ht="12" hidden="false" customHeight="false" outlineLevel="0" collapsed="false">
      <c r="A990" s="203" t="s">
        <v>3009</v>
      </c>
      <c r="B990" s="203" t="s">
        <v>3010</v>
      </c>
    </row>
    <row r="991" customFormat="false" ht="12" hidden="false" customHeight="false" outlineLevel="0" collapsed="false">
      <c r="A991" s="203" t="s">
        <v>3011</v>
      </c>
      <c r="B991" s="203" t="s">
        <v>799</v>
      </c>
    </row>
    <row r="992" customFormat="false" ht="12" hidden="false" customHeight="false" outlineLevel="0" collapsed="false">
      <c r="A992" s="203" t="s">
        <v>3012</v>
      </c>
      <c r="B992" s="203" t="s">
        <v>3013</v>
      </c>
    </row>
    <row r="993" customFormat="false" ht="12" hidden="false" customHeight="false" outlineLevel="0" collapsed="false">
      <c r="A993" s="203" t="s">
        <v>3014</v>
      </c>
      <c r="B993" s="203" t="s">
        <v>3015</v>
      </c>
    </row>
    <row r="994" customFormat="false" ht="12" hidden="false" customHeight="false" outlineLevel="0" collapsed="false">
      <c r="A994" s="203" t="s">
        <v>3016</v>
      </c>
      <c r="B994" s="203" t="s">
        <v>3017</v>
      </c>
    </row>
    <row r="995" customFormat="false" ht="12" hidden="false" customHeight="false" outlineLevel="0" collapsed="false">
      <c r="A995" s="203" t="s">
        <v>3018</v>
      </c>
      <c r="B995" s="203" t="s">
        <v>3019</v>
      </c>
    </row>
    <row r="996" customFormat="false" ht="12" hidden="false" customHeight="false" outlineLevel="0" collapsed="false">
      <c r="A996" s="203" t="s">
        <v>3020</v>
      </c>
      <c r="B996" s="203" t="s">
        <v>3021</v>
      </c>
    </row>
    <row r="997" customFormat="false" ht="12" hidden="false" customHeight="false" outlineLevel="0" collapsed="false">
      <c r="A997" s="203" t="s">
        <v>3022</v>
      </c>
      <c r="B997" s="203" t="s">
        <v>3023</v>
      </c>
    </row>
    <row r="998" customFormat="false" ht="12" hidden="false" customHeight="false" outlineLevel="0" collapsed="false">
      <c r="A998" s="203" t="s">
        <v>3024</v>
      </c>
      <c r="B998" s="203" t="s">
        <v>3025</v>
      </c>
    </row>
    <row r="999" customFormat="false" ht="12" hidden="false" customHeight="false" outlineLevel="0" collapsed="false">
      <c r="A999" s="203" t="s">
        <v>3026</v>
      </c>
      <c r="B999" s="203" t="s">
        <v>3027</v>
      </c>
    </row>
    <row r="1000" customFormat="false" ht="12" hidden="false" customHeight="false" outlineLevel="0" collapsed="false">
      <c r="A1000" s="203" t="s">
        <v>3028</v>
      </c>
      <c r="B1000" s="203" t="s">
        <v>3029</v>
      </c>
    </row>
    <row r="1001" customFormat="false" ht="12" hidden="false" customHeight="false" outlineLevel="0" collapsed="false">
      <c r="A1001" s="203" t="s">
        <v>3030</v>
      </c>
      <c r="B1001" s="203" t="s">
        <v>3031</v>
      </c>
    </row>
    <row r="1002" customFormat="false" ht="12" hidden="false" customHeight="false" outlineLevel="0" collapsed="false">
      <c r="A1002" s="203" t="s">
        <v>3032</v>
      </c>
      <c r="B1002" s="203" t="s">
        <v>3033</v>
      </c>
    </row>
    <row r="1003" customFormat="false" ht="12" hidden="false" customHeight="false" outlineLevel="0" collapsed="false">
      <c r="A1003" s="203" t="s">
        <v>3034</v>
      </c>
      <c r="B1003" s="203" t="s">
        <v>3035</v>
      </c>
    </row>
    <row r="1004" customFormat="false" ht="12" hidden="false" customHeight="false" outlineLevel="0" collapsed="false">
      <c r="A1004" s="203" t="s">
        <v>3036</v>
      </c>
      <c r="B1004" s="203" t="s">
        <v>3037</v>
      </c>
    </row>
    <row r="1005" customFormat="false" ht="12" hidden="false" customHeight="false" outlineLevel="0" collapsed="false">
      <c r="A1005" s="203" t="s">
        <v>3038</v>
      </c>
      <c r="B1005" s="203" t="s">
        <v>3039</v>
      </c>
    </row>
    <row r="1006" customFormat="false" ht="12" hidden="false" customHeight="false" outlineLevel="0" collapsed="false">
      <c r="A1006" s="203" t="s">
        <v>3040</v>
      </c>
      <c r="B1006" s="203" t="s">
        <v>3041</v>
      </c>
    </row>
    <row r="1007" customFormat="false" ht="12" hidden="false" customHeight="false" outlineLevel="0" collapsed="false">
      <c r="A1007" s="203" t="s">
        <v>3042</v>
      </c>
      <c r="B1007" s="203" t="s">
        <v>3043</v>
      </c>
    </row>
    <row r="1008" customFormat="false" ht="12" hidden="false" customHeight="false" outlineLevel="0" collapsed="false">
      <c r="A1008" s="203" t="s">
        <v>3044</v>
      </c>
      <c r="B1008" s="203" t="s">
        <v>3045</v>
      </c>
    </row>
    <row r="1009" customFormat="false" ht="12" hidden="false" customHeight="false" outlineLevel="0" collapsed="false">
      <c r="A1009" s="203" t="s">
        <v>3046</v>
      </c>
      <c r="B1009" s="203" t="s">
        <v>3047</v>
      </c>
    </row>
    <row r="1010" customFormat="false" ht="12" hidden="false" customHeight="false" outlineLevel="0" collapsed="false">
      <c r="A1010" s="203" t="s">
        <v>3048</v>
      </c>
      <c r="B1010" s="203" t="s">
        <v>3049</v>
      </c>
    </row>
    <row r="1011" customFormat="false" ht="12" hidden="false" customHeight="false" outlineLevel="0" collapsed="false">
      <c r="A1011" s="203" t="s">
        <v>3050</v>
      </c>
      <c r="B1011" s="203" t="s">
        <v>3051</v>
      </c>
    </row>
    <row r="1012" customFormat="false" ht="12" hidden="false" customHeight="false" outlineLevel="0" collapsed="false">
      <c r="A1012" s="203" t="s">
        <v>3052</v>
      </c>
      <c r="B1012" s="203" t="s">
        <v>3053</v>
      </c>
    </row>
    <row r="1013" customFormat="false" ht="12" hidden="false" customHeight="false" outlineLevel="0" collapsed="false">
      <c r="A1013" s="203" t="s">
        <v>3054</v>
      </c>
      <c r="B1013" s="203" t="s">
        <v>3055</v>
      </c>
    </row>
    <row r="1014" customFormat="false" ht="12" hidden="false" customHeight="false" outlineLevel="0" collapsed="false">
      <c r="A1014" s="203" t="s">
        <v>3056</v>
      </c>
      <c r="B1014" s="203" t="s">
        <v>3057</v>
      </c>
    </row>
    <row r="1015" customFormat="false" ht="12" hidden="false" customHeight="false" outlineLevel="0" collapsed="false">
      <c r="A1015" s="203" t="s">
        <v>3058</v>
      </c>
      <c r="B1015" s="203" t="s">
        <v>3059</v>
      </c>
    </row>
    <row r="1016" customFormat="false" ht="12" hidden="false" customHeight="false" outlineLevel="0" collapsed="false">
      <c r="A1016" s="203" t="s">
        <v>3060</v>
      </c>
      <c r="B1016" s="203" t="s">
        <v>3061</v>
      </c>
    </row>
    <row r="1017" customFormat="false" ht="12" hidden="false" customHeight="false" outlineLevel="0" collapsed="false">
      <c r="A1017" s="203" t="s">
        <v>3062</v>
      </c>
      <c r="B1017" s="203" t="s">
        <v>3063</v>
      </c>
    </row>
    <row r="1018" customFormat="false" ht="12" hidden="false" customHeight="false" outlineLevel="0" collapsed="false">
      <c r="A1018" s="203" t="s">
        <v>3064</v>
      </c>
      <c r="B1018" s="203" t="s">
        <v>3065</v>
      </c>
    </row>
    <row r="1019" customFormat="false" ht="12" hidden="false" customHeight="false" outlineLevel="0" collapsed="false">
      <c r="A1019" s="203" t="s">
        <v>3066</v>
      </c>
      <c r="B1019" s="203" t="s">
        <v>3067</v>
      </c>
    </row>
    <row r="1020" customFormat="false" ht="12" hidden="false" customHeight="false" outlineLevel="0" collapsed="false">
      <c r="A1020" s="203" t="s">
        <v>3068</v>
      </c>
      <c r="B1020" s="203" t="s">
        <v>3069</v>
      </c>
    </row>
    <row r="1021" customFormat="false" ht="12" hidden="false" customHeight="false" outlineLevel="0" collapsed="false">
      <c r="A1021" s="203" t="s">
        <v>3070</v>
      </c>
      <c r="B1021" s="203" t="s">
        <v>3071</v>
      </c>
    </row>
    <row r="1022" customFormat="false" ht="12" hidden="false" customHeight="false" outlineLevel="0" collapsed="false">
      <c r="A1022" s="203" t="s">
        <v>3072</v>
      </c>
      <c r="B1022" s="203" t="s">
        <v>3073</v>
      </c>
    </row>
    <row r="1023" customFormat="false" ht="12" hidden="false" customHeight="false" outlineLevel="0" collapsed="false">
      <c r="A1023" s="203" t="s">
        <v>3074</v>
      </c>
      <c r="B1023" s="203" t="s">
        <v>3075</v>
      </c>
    </row>
    <row r="1024" customFormat="false" ht="12" hidden="false" customHeight="false" outlineLevel="0" collapsed="false">
      <c r="A1024" s="203" t="s">
        <v>3076</v>
      </c>
      <c r="B1024" s="203" t="s">
        <v>3077</v>
      </c>
    </row>
    <row r="1025" customFormat="false" ht="12" hidden="false" customHeight="false" outlineLevel="0" collapsed="false">
      <c r="A1025" s="203" t="s">
        <v>3078</v>
      </c>
      <c r="B1025" s="203" t="s">
        <v>3079</v>
      </c>
    </row>
    <row r="1026" customFormat="false" ht="12" hidden="false" customHeight="false" outlineLevel="0" collapsed="false">
      <c r="A1026" s="203" t="s">
        <v>3080</v>
      </c>
      <c r="B1026" s="203" t="s">
        <v>3081</v>
      </c>
    </row>
    <row r="1027" customFormat="false" ht="12" hidden="false" customHeight="false" outlineLevel="0" collapsed="false">
      <c r="A1027" s="203" t="s">
        <v>3082</v>
      </c>
      <c r="B1027" s="203" t="s">
        <v>3083</v>
      </c>
    </row>
    <row r="1028" customFormat="false" ht="12" hidden="false" customHeight="false" outlineLevel="0" collapsed="false">
      <c r="A1028" s="203" t="s">
        <v>3084</v>
      </c>
      <c r="B1028" s="203" t="s">
        <v>3085</v>
      </c>
    </row>
    <row r="1029" customFormat="false" ht="12" hidden="false" customHeight="false" outlineLevel="0" collapsed="false">
      <c r="A1029" s="203" t="s">
        <v>3086</v>
      </c>
      <c r="B1029" s="203" t="s">
        <v>3087</v>
      </c>
    </row>
    <row r="1030" customFormat="false" ht="12" hidden="false" customHeight="false" outlineLevel="0" collapsed="false">
      <c r="A1030" s="203" t="s">
        <v>3088</v>
      </c>
      <c r="B1030" s="203" t="s">
        <v>3089</v>
      </c>
    </row>
    <row r="1031" customFormat="false" ht="12" hidden="false" customHeight="false" outlineLevel="0" collapsed="false">
      <c r="A1031" s="203" t="s">
        <v>3090</v>
      </c>
      <c r="B1031" s="203" t="s">
        <v>3091</v>
      </c>
    </row>
    <row r="1032" customFormat="false" ht="12" hidden="false" customHeight="false" outlineLevel="0" collapsed="false">
      <c r="A1032" s="203" t="s">
        <v>3092</v>
      </c>
      <c r="B1032" s="203" t="s">
        <v>3093</v>
      </c>
    </row>
    <row r="1033" customFormat="false" ht="12" hidden="false" customHeight="false" outlineLevel="0" collapsed="false">
      <c r="A1033" s="203" t="s">
        <v>3094</v>
      </c>
      <c r="B1033" s="203" t="s">
        <v>3095</v>
      </c>
    </row>
    <row r="1034" customFormat="false" ht="12" hidden="false" customHeight="false" outlineLevel="0" collapsed="false">
      <c r="A1034" s="203" t="s">
        <v>3096</v>
      </c>
      <c r="B1034" s="203" t="s">
        <v>3097</v>
      </c>
    </row>
    <row r="1035" customFormat="false" ht="12" hidden="false" customHeight="false" outlineLevel="0" collapsed="false">
      <c r="A1035" s="203" t="s">
        <v>3098</v>
      </c>
      <c r="B1035" s="203" t="s">
        <v>3099</v>
      </c>
    </row>
    <row r="1036" customFormat="false" ht="12" hidden="false" customHeight="false" outlineLevel="0" collapsed="false">
      <c r="A1036" s="203" t="s">
        <v>3100</v>
      </c>
      <c r="B1036" s="203" t="s">
        <v>3101</v>
      </c>
    </row>
    <row r="1037" customFormat="false" ht="12" hidden="false" customHeight="false" outlineLevel="0" collapsed="false">
      <c r="A1037" s="203" t="s">
        <v>3102</v>
      </c>
      <c r="B1037" s="203" t="s">
        <v>3103</v>
      </c>
    </row>
    <row r="1038" customFormat="false" ht="12" hidden="false" customHeight="false" outlineLevel="0" collapsed="false">
      <c r="A1038" s="203" t="s">
        <v>3104</v>
      </c>
      <c r="B1038" s="203" t="s">
        <v>3105</v>
      </c>
    </row>
    <row r="1039" customFormat="false" ht="12" hidden="false" customHeight="false" outlineLevel="0" collapsed="false">
      <c r="A1039" s="203" t="s">
        <v>3106</v>
      </c>
      <c r="B1039" s="203" t="s">
        <v>3107</v>
      </c>
    </row>
    <row r="1040" customFormat="false" ht="12" hidden="false" customHeight="false" outlineLevel="0" collapsed="false">
      <c r="A1040" s="203" t="s">
        <v>3108</v>
      </c>
      <c r="B1040" s="203" t="s">
        <v>3109</v>
      </c>
    </row>
    <row r="1041" customFormat="false" ht="12" hidden="false" customHeight="false" outlineLevel="0" collapsed="false">
      <c r="A1041" s="203" t="s">
        <v>3110</v>
      </c>
      <c r="B1041" s="203" t="s">
        <v>3111</v>
      </c>
    </row>
    <row r="1042" customFormat="false" ht="12" hidden="false" customHeight="false" outlineLevel="0" collapsed="false">
      <c r="A1042" s="203" t="s">
        <v>3112</v>
      </c>
      <c r="B1042" s="203" t="s">
        <v>3113</v>
      </c>
    </row>
    <row r="1043" customFormat="false" ht="12" hidden="false" customHeight="false" outlineLevel="0" collapsed="false">
      <c r="A1043" s="203" t="s">
        <v>3114</v>
      </c>
      <c r="B1043" s="203" t="s">
        <v>3115</v>
      </c>
    </row>
    <row r="1044" customFormat="false" ht="12" hidden="false" customHeight="false" outlineLevel="0" collapsed="false">
      <c r="A1044" s="203" t="s">
        <v>3116</v>
      </c>
      <c r="B1044" s="203" t="s">
        <v>3117</v>
      </c>
    </row>
    <row r="1045" customFormat="false" ht="12" hidden="false" customHeight="false" outlineLevel="0" collapsed="false">
      <c r="A1045" s="203" t="s">
        <v>3118</v>
      </c>
      <c r="B1045" s="203" t="s">
        <v>3119</v>
      </c>
    </row>
    <row r="1046" customFormat="false" ht="12" hidden="false" customHeight="false" outlineLevel="0" collapsed="false">
      <c r="A1046" s="203" t="s">
        <v>3120</v>
      </c>
      <c r="B1046" s="203" t="s">
        <v>3121</v>
      </c>
    </row>
    <row r="1047" customFormat="false" ht="12" hidden="false" customHeight="false" outlineLevel="0" collapsed="false">
      <c r="A1047" s="203" t="s">
        <v>3122</v>
      </c>
      <c r="B1047" s="203" t="s">
        <v>3123</v>
      </c>
    </row>
    <row r="1048" customFormat="false" ht="12" hidden="false" customHeight="false" outlineLevel="0" collapsed="false">
      <c r="A1048" s="203" t="s">
        <v>3124</v>
      </c>
      <c r="B1048" s="203" t="s">
        <v>3125</v>
      </c>
    </row>
    <row r="1049" customFormat="false" ht="12" hidden="false" customHeight="false" outlineLevel="0" collapsed="false">
      <c r="A1049" s="203" t="s">
        <v>3126</v>
      </c>
      <c r="B1049" s="203" t="s">
        <v>3127</v>
      </c>
    </row>
    <row r="1050" customFormat="false" ht="12" hidden="false" customHeight="false" outlineLevel="0" collapsed="false">
      <c r="A1050" s="203" t="s">
        <v>3128</v>
      </c>
      <c r="B1050" s="203" t="s">
        <v>3129</v>
      </c>
    </row>
    <row r="1051" customFormat="false" ht="12" hidden="false" customHeight="false" outlineLevel="0" collapsed="false">
      <c r="A1051" s="203" t="s">
        <v>3130</v>
      </c>
      <c r="B1051" s="203" t="s">
        <v>3131</v>
      </c>
    </row>
    <row r="1052" customFormat="false" ht="12" hidden="false" customHeight="false" outlineLevel="0" collapsed="false">
      <c r="A1052" s="203" t="s">
        <v>3132</v>
      </c>
      <c r="B1052" s="203" t="s">
        <v>3133</v>
      </c>
    </row>
    <row r="1053" customFormat="false" ht="12" hidden="false" customHeight="false" outlineLevel="0" collapsed="false">
      <c r="A1053" s="203" t="s">
        <v>3134</v>
      </c>
      <c r="B1053" s="203" t="s">
        <v>3135</v>
      </c>
    </row>
    <row r="1054" customFormat="false" ht="12" hidden="false" customHeight="false" outlineLevel="0" collapsed="false">
      <c r="A1054" s="203" t="s">
        <v>3136</v>
      </c>
      <c r="B1054" s="203" t="s">
        <v>3137</v>
      </c>
    </row>
    <row r="1055" customFormat="false" ht="12" hidden="false" customHeight="false" outlineLevel="0" collapsed="false">
      <c r="A1055" s="203" t="s">
        <v>3138</v>
      </c>
      <c r="B1055" s="203" t="s">
        <v>3139</v>
      </c>
    </row>
    <row r="1056" customFormat="false" ht="12" hidden="false" customHeight="false" outlineLevel="0" collapsed="false">
      <c r="A1056" s="203" t="s">
        <v>3140</v>
      </c>
      <c r="B1056" s="203" t="s">
        <v>3141</v>
      </c>
    </row>
    <row r="1057" customFormat="false" ht="12" hidden="false" customHeight="false" outlineLevel="0" collapsed="false">
      <c r="A1057" s="203" t="s">
        <v>3142</v>
      </c>
      <c r="B1057" s="203" t="s">
        <v>3143</v>
      </c>
    </row>
    <row r="1058" customFormat="false" ht="12" hidden="false" customHeight="false" outlineLevel="0" collapsed="false">
      <c r="A1058" s="203" t="s">
        <v>3144</v>
      </c>
      <c r="B1058" s="203" t="s">
        <v>3145</v>
      </c>
    </row>
    <row r="1059" customFormat="false" ht="12" hidden="false" customHeight="false" outlineLevel="0" collapsed="false">
      <c r="A1059" s="203" t="s">
        <v>3146</v>
      </c>
      <c r="B1059" s="203" t="s">
        <v>3147</v>
      </c>
    </row>
    <row r="1060" customFormat="false" ht="12" hidden="false" customHeight="false" outlineLevel="0" collapsed="false">
      <c r="A1060" s="203" t="s">
        <v>3148</v>
      </c>
      <c r="B1060" s="203" t="s">
        <v>3149</v>
      </c>
    </row>
    <row r="1061" customFormat="false" ht="12" hidden="false" customHeight="false" outlineLevel="0" collapsed="false">
      <c r="A1061" s="203" t="s">
        <v>3150</v>
      </c>
      <c r="B1061" s="203" t="s">
        <v>3151</v>
      </c>
    </row>
    <row r="1062" customFormat="false" ht="12" hidden="false" customHeight="false" outlineLevel="0" collapsed="false">
      <c r="A1062" s="203" t="s">
        <v>3152</v>
      </c>
      <c r="B1062" s="203" t="s">
        <v>3153</v>
      </c>
    </row>
    <row r="1063" customFormat="false" ht="12" hidden="false" customHeight="false" outlineLevel="0" collapsed="false">
      <c r="A1063" s="203" t="s">
        <v>3154</v>
      </c>
      <c r="B1063" s="203" t="s">
        <v>3155</v>
      </c>
    </row>
    <row r="1064" customFormat="false" ht="12" hidden="false" customHeight="false" outlineLevel="0" collapsed="false">
      <c r="A1064" s="203" t="s">
        <v>3156</v>
      </c>
      <c r="B1064" s="203" t="s">
        <v>3157</v>
      </c>
    </row>
    <row r="1065" customFormat="false" ht="12" hidden="false" customHeight="false" outlineLevel="0" collapsed="false">
      <c r="A1065" s="203" t="s">
        <v>3158</v>
      </c>
      <c r="B1065" s="203" t="s">
        <v>3159</v>
      </c>
    </row>
    <row r="1066" customFormat="false" ht="12" hidden="false" customHeight="false" outlineLevel="0" collapsed="false">
      <c r="A1066" s="203" t="s">
        <v>3160</v>
      </c>
      <c r="B1066" s="203" t="s">
        <v>3161</v>
      </c>
    </row>
    <row r="1067" customFormat="false" ht="12" hidden="false" customHeight="false" outlineLevel="0" collapsed="false">
      <c r="A1067" s="203" t="s">
        <v>3162</v>
      </c>
      <c r="B1067" s="203" t="s">
        <v>3163</v>
      </c>
    </row>
    <row r="1068" customFormat="false" ht="12" hidden="false" customHeight="false" outlineLevel="0" collapsed="false">
      <c r="A1068" s="203" t="s">
        <v>3164</v>
      </c>
      <c r="B1068" s="203" t="s">
        <v>3165</v>
      </c>
    </row>
    <row r="1069" customFormat="false" ht="12" hidden="false" customHeight="false" outlineLevel="0" collapsed="false">
      <c r="A1069" s="203" t="s">
        <v>3166</v>
      </c>
      <c r="B1069" s="203" t="s">
        <v>3167</v>
      </c>
    </row>
    <row r="1070" customFormat="false" ht="12" hidden="false" customHeight="false" outlineLevel="0" collapsed="false">
      <c r="A1070" s="203" t="s">
        <v>3168</v>
      </c>
      <c r="B1070" s="203" t="s">
        <v>3169</v>
      </c>
    </row>
    <row r="1071" customFormat="false" ht="12" hidden="false" customHeight="false" outlineLevel="0" collapsed="false">
      <c r="A1071" s="203" t="s">
        <v>3170</v>
      </c>
      <c r="B1071" s="203" t="s">
        <v>3171</v>
      </c>
    </row>
    <row r="1072" customFormat="false" ht="12" hidden="false" customHeight="false" outlineLevel="0" collapsed="false">
      <c r="A1072" s="203" t="s">
        <v>3172</v>
      </c>
      <c r="B1072" s="203" t="s">
        <v>3173</v>
      </c>
    </row>
    <row r="1073" customFormat="false" ht="12" hidden="false" customHeight="false" outlineLevel="0" collapsed="false">
      <c r="A1073" s="203" t="s">
        <v>3174</v>
      </c>
      <c r="B1073" s="203" t="s">
        <v>3175</v>
      </c>
    </row>
    <row r="1074" customFormat="false" ht="12" hidden="false" customHeight="false" outlineLevel="0" collapsed="false">
      <c r="A1074" s="203" t="s">
        <v>3176</v>
      </c>
      <c r="B1074" s="203" t="s">
        <v>3177</v>
      </c>
    </row>
    <row r="1075" customFormat="false" ht="12" hidden="false" customHeight="false" outlineLevel="0" collapsed="false">
      <c r="A1075" s="203" t="s">
        <v>3178</v>
      </c>
      <c r="B1075" s="203" t="s">
        <v>3179</v>
      </c>
    </row>
    <row r="1076" customFormat="false" ht="12" hidden="false" customHeight="false" outlineLevel="0" collapsed="false">
      <c r="A1076" s="203" t="s">
        <v>3180</v>
      </c>
      <c r="B1076" s="203" t="s">
        <v>3181</v>
      </c>
    </row>
    <row r="1077" customFormat="false" ht="12" hidden="false" customHeight="false" outlineLevel="0" collapsed="false">
      <c r="A1077" s="203" t="s">
        <v>3182</v>
      </c>
      <c r="B1077" s="203" t="s">
        <v>3183</v>
      </c>
    </row>
    <row r="1078" customFormat="false" ht="12" hidden="false" customHeight="false" outlineLevel="0" collapsed="false">
      <c r="A1078" s="203" t="s">
        <v>3184</v>
      </c>
      <c r="B1078" s="203" t="s">
        <v>3185</v>
      </c>
    </row>
    <row r="1079" customFormat="false" ht="12" hidden="false" customHeight="false" outlineLevel="0" collapsed="false">
      <c r="A1079" s="203" t="s">
        <v>3186</v>
      </c>
      <c r="B1079" s="203" t="s">
        <v>3187</v>
      </c>
    </row>
    <row r="1080" customFormat="false" ht="12" hidden="false" customHeight="false" outlineLevel="0" collapsed="false">
      <c r="A1080" s="203" t="s">
        <v>3188</v>
      </c>
      <c r="B1080" s="203" t="s">
        <v>3189</v>
      </c>
    </row>
    <row r="1081" customFormat="false" ht="12" hidden="false" customHeight="false" outlineLevel="0" collapsed="false">
      <c r="A1081" s="203" t="s">
        <v>3190</v>
      </c>
      <c r="B1081" s="203" t="s">
        <v>3191</v>
      </c>
    </row>
    <row r="1082" customFormat="false" ht="12" hidden="false" customHeight="false" outlineLevel="0" collapsed="false">
      <c r="A1082" s="203" t="s">
        <v>3192</v>
      </c>
      <c r="B1082" s="203" t="s">
        <v>3193</v>
      </c>
    </row>
    <row r="1083" customFormat="false" ht="12" hidden="false" customHeight="false" outlineLevel="0" collapsed="false">
      <c r="A1083" s="203" t="s">
        <v>3194</v>
      </c>
      <c r="B1083" s="203" t="s">
        <v>3195</v>
      </c>
    </row>
    <row r="1084" customFormat="false" ht="12" hidden="false" customHeight="false" outlineLevel="0" collapsed="false">
      <c r="A1084" s="203" t="s">
        <v>3196</v>
      </c>
      <c r="B1084" s="203" t="s">
        <v>3197</v>
      </c>
    </row>
    <row r="1085" customFormat="false" ht="12" hidden="false" customHeight="false" outlineLevel="0" collapsed="false">
      <c r="A1085" s="203" t="s">
        <v>3198</v>
      </c>
      <c r="B1085" s="203" t="s">
        <v>3199</v>
      </c>
    </row>
    <row r="1086" customFormat="false" ht="12" hidden="false" customHeight="false" outlineLevel="0" collapsed="false">
      <c r="A1086" s="203" t="s">
        <v>3200</v>
      </c>
      <c r="B1086" s="203" t="s">
        <v>3201</v>
      </c>
    </row>
    <row r="1087" customFormat="false" ht="12" hidden="false" customHeight="false" outlineLevel="0" collapsed="false">
      <c r="A1087" s="203" t="s">
        <v>3202</v>
      </c>
      <c r="B1087" s="203" t="s">
        <v>3203</v>
      </c>
    </row>
    <row r="1088" customFormat="false" ht="12" hidden="false" customHeight="false" outlineLevel="0" collapsed="false">
      <c r="A1088" s="203" t="s">
        <v>3204</v>
      </c>
      <c r="B1088" s="203" t="s">
        <v>3205</v>
      </c>
    </row>
    <row r="1089" customFormat="false" ht="12" hidden="false" customHeight="false" outlineLevel="0" collapsed="false">
      <c r="A1089" s="203" t="s">
        <v>3206</v>
      </c>
      <c r="B1089" s="203" t="s">
        <v>3207</v>
      </c>
    </row>
    <row r="1090" customFormat="false" ht="12" hidden="false" customHeight="false" outlineLevel="0" collapsed="false">
      <c r="A1090" s="203" t="s">
        <v>3208</v>
      </c>
      <c r="B1090" s="203" t="s">
        <v>3209</v>
      </c>
    </row>
    <row r="1091" customFormat="false" ht="12" hidden="false" customHeight="false" outlineLevel="0" collapsed="false">
      <c r="A1091" s="203" t="s">
        <v>3210</v>
      </c>
      <c r="B1091" s="203" t="s">
        <v>3211</v>
      </c>
    </row>
    <row r="1092" customFormat="false" ht="12" hidden="false" customHeight="false" outlineLevel="0" collapsed="false">
      <c r="A1092" s="203" t="s">
        <v>3212</v>
      </c>
      <c r="B1092" s="203" t="s">
        <v>3213</v>
      </c>
    </row>
    <row r="1093" customFormat="false" ht="12" hidden="false" customHeight="false" outlineLevel="0" collapsed="false">
      <c r="A1093" s="203" t="s">
        <v>3214</v>
      </c>
      <c r="B1093" s="203" t="s">
        <v>3215</v>
      </c>
    </row>
    <row r="1094" customFormat="false" ht="12" hidden="false" customHeight="false" outlineLevel="0" collapsed="false">
      <c r="A1094" s="203" t="s">
        <v>3216</v>
      </c>
      <c r="B1094" s="203" t="s">
        <v>3217</v>
      </c>
    </row>
    <row r="1095" customFormat="false" ht="12" hidden="false" customHeight="false" outlineLevel="0" collapsed="false">
      <c r="A1095" s="203" t="s">
        <v>3218</v>
      </c>
      <c r="B1095" s="203" t="s">
        <v>3219</v>
      </c>
    </row>
    <row r="1096" customFormat="false" ht="12" hidden="false" customHeight="false" outlineLevel="0" collapsed="false">
      <c r="A1096" s="203" t="s">
        <v>3220</v>
      </c>
      <c r="B1096" s="203" t="s">
        <v>3221</v>
      </c>
    </row>
    <row r="1097" customFormat="false" ht="12" hidden="false" customHeight="false" outlineLevel="0" collapsed="false">
      <c r="A1097" s="203" t="s">
        <v>3222</v>
      </c>
      <c r="B1097" s="203" t="s">
        <v>3223</v>
      </c>
    </row>
    <row r="1098" customFormat="false" ht="12" hidden="false" customHeight="false" outlineLevel="0" collapsed="false">
      <c r="A1098" s="203" t="s">
        <v>3224</v>
      </c>
      <c r="B1098" s="203" t="s">
        <v>3225</v>
      </c>
    </row>
    <row r="1099" customFormat="false" ht="12" hidden="false" customHeight="false" outlineLevel="0" collapsed="false">
      <c r="A1099" s="203" t="s">
        <v>3226</v>
      </c>
      <c r="B1099" s="203" t="s">
        <v>3227</v>
      </c>
    </row>
    <row r="1100" customFormat="false" ht="12" hidden="false" customHeight="false" outlineLevel="0" collapsed="false">
      <c r="A1100" s="203" t="s">
        <v>3228</v>
      </c>
      <c r="B1100" s="203" t="s">
        <v>3229</v>
      </c>
    </row>
    <row r="1101" customFormat="false" ht="12" hidden="false" customHeight="false" outlineLevel="0" collapsed="false">
      <c r="A1101" s="203" t="s">
        <v>3230</v>
      </c>
      <c r="B1101" s="203" t="s">
        <v>3231</v>
      </c>
    </row>
    <row r="1102" customFormat="false" ht="12" hidden="false" customHeight="false" outlineLevel="0" collapsed="false">
      <c r="A1102" s="203" t="s">
        <v>3232</v>
      </c>
      <c r="B1102" s="203" t="s">
        <v>3233</v>
      </c>
    </row>
    <row r="1103" customFormat="false" ht="12" hidden="false" customHeight="false" outlineLevel="0" collapsed="false">
      <c r="A1103" s="203" t="s">
        <v>3234</v>
      </c>
      <c r="B1103" s="203" t="s">
        <v>3235</v>
      </c>
    </row>
    <row r="1104" customFormat="false" ht="12" hidden="false" customHeight="false" outlineLevel="0" collapsed="false">
      <c r="A1104" s="203" t="s">
        <v>3236</v>
      </c>
      <c r="B1104" s="203" t="s">
        <v>3237</v>
      </c>
    </row>
    <row r="1105" customFormat="false" ht="12" hidden="false" customHeight="false" outlineLevel="0" collapsed="false">
      <c r="A1105" s="203" t="s">
        <v>3238</v>
      </c>
      <c r="B1105" s="203" t="s">
        <v>3239</v>
      </c>
    </row>
    <row r="1106" customFormat="false" ht="12" hidden="false" customHeight="false" outlineLevel="0" collapsed="false">
      <c r="A1106" s="203" t="s">
        <v>3240</v>
      </c>
      <c r="B1106" s="203" t="s">
        <v>3241</v>
      </c>
    </row>
    <row r="1107" customFormat="false" ht="12" hidden="false" customHeight="false" outlineLevel="0" collapsed="false">
      <c r="A1107" s="203" t="s">
        <v>3242</v>
      </c>
      <c r="B1107" s="203" t="s">
        <v>3243</v>
      </c>
    </row>
    <row r="1108" customFormat="false" ht="12" hidden="false" customHeight="false" outlineLevel="0" collapsed="false">
      <c r="A1108" s="203" t="s">
        <v>3244</v>
      </c>
      <c r="B1108" s="203" t="s">
        <v>3245</v>
      </c>
    </row>
    <row r="1109" customFormat="false" ht="12" hidden="false" customHeight="false" outlineLevel="0" collapsed="false">
      <c r="A1109" s="203" t="s">
        <v>3246</v>
      </c>
      <c r="B1109" s="203" t="s">
        <v>3247</v>
      </c>
    </row>
    <row r="1110" customFormat="false" ht="12" hidden="false" customHeight="false" outlineLevel="0" collapsed="false">
      <c r="A1110" s="203" t="s">
        <v>3248</v>
      </c>
      <c r="B1110" s="203" t="s">
        <v>3249</v>
      </c>
    </row>
    <row r="1111" customFormat="false" ht="12" hidden="false" customHeight="false" outlineLevel="0" collapsed="false">
      <c r="A1111" s="203" t="s">
        <v>3250</v>
      </c>
      <c r="B1111" s="203" t="s">
        <v>3251</v>
      </c>
    </row>
    <row r="1112" customFormat="false" ht="12" hidden="false" customHeight="false" outlineLevel="0" collapsed="false">
      <c r="A1112" s="203" t="s">
        <v>3252</v>
      </c>
      <c r="B1112" s="203" t="s">
        <v>3253</v>
      </c>
    </row>
    <row r="1113" customFormat="false" ht="12" hidden="false" customHeight="false" outlineLevel="0" collapsed="false">
      <c r="A1113" s="203" t="s">
        <v>3254</v>
      </c>
      <c r="B1113" s="203" t="s">
        <v>3255</v>
      </c>
    </row>
    <row r="1114" customFormat="false" ht="12" hidden="false" customHeight="false" outlineLevel="0" collapsed="false">
      <c r="A1114" s="203" t="s">
        <v>3256</v>
      </c>
      <c r="B1114" s="203" t="s">
        <v>3257</v>
      </c>
    </row>
    <row r="1115" customFormat="false" ht="12" hidden="false" customHeight="false" outlineLevel="0" collapsed="false">
      <c r="A1115" s="203" t="s">
        <v>3258</v>
      </c>
      <c r="B1115" s="203" t="s">
        <v>3259</v>
      </c>
    </row>
    <row r="1116" customFormat="false" ht="12" hidden="false" customHeight="false" outlineLevel="0" collapsed="false">
      <c r="A1116" s="203" t="s">
        <v>3260</v>
      </c>
      <c r="B1116" s="203" t="s">
        <v>3261</v>
      </c>
    </row>
    <row r="1117" customFormat="false" ht="12" hidden="false" customHeight="false" outlineLevel="0" collapsed="false">
      <c r="A1117" s="203" t="s">
        <v>3262</v>
      </c>
      <c r="B1117" s="203" t="s">
        <v>3263</v>
      </c>
    </row>
    <row r="1118" customFormat="false" ht="12" hidden="false" customHeight="false" outlineLevel="0" collapsed="false">
      <c r="A1118" s="203" t="s">
        <v>3264</v>
      </c>
      <c r="B1118" s="203" t="s">
        <v>3265</v>
      </c>
    </row>
    <row r="1119" customFormat="false" ht="12" hidden="false" customHeight="false" outlineLevel="0" collapsed="false">
      <c r="A1119" s="203" t="s">
        <v>3266</v>
      </c>
      <c r="B1119" s="203" t="s">
        <v>3267</v>
      </c>
    </row>
    <row r="1120" customFormat="false" ht="12" hidden="false" customHeight="false" outlineLevel="0" collapsed="false">
      <c r="A1120" s="203" t="s">
        <v>3268</v>
      </c>
      <c r="B1120" s="203" t="s">
        <v>3269</v>
      </c>
    </row>
    <row r="1121" customFormat="false" ht="12" hidden="false" customHeight="false" outlineLevel="0" collapsed="false">
      <c r="A1121" s="203" t="s">
        <v>3270</v>
      </c>
      <c r="B1121" s="203" t="s">
        <v>3271</v>
      </c>
    </row>
    <row r="1122" customFormat="false" ht="12" hidden="false" customHeight="false" outlineLevel="0" collapsed="false">
      <c r="A1122" s="203" t="s">
        <v>3272</v>
      </c>
      <c r="B1122" s="203" t="s">
        <v>3273</v>
      </c>
    </row>
    <row r="1123" customFormat="false" ht="12" hidden="false" customHeight="false" outlineLevel="0" collapsed="false">
      <c r="A1123" s="203" t="s">
        <v>3274</v>
      </c>
      <c r="B1123" s="203" t="s">
        <v>3275</v>
      </c>
    </row>
    <row r="1124" customFormat="false" ht="12" hidden="false" customHeight="false" outlineLevel="0" collapsed="false">
      <c r="A1124" s="203" t="s">
        <v>3276</v>
      </c>
      <c r="B1124" s="203" t="s">
        <v>3277</v>
      </c>
    </row>
    <row r="1125" customFormat="false" ht="12" hidden="false" customHeight="false" outlineLevel="0" collapsed="false">
      <c r="A1125" s="203" t="s">
        <v>3278</v>
      </c>
      <c r="B1125" s="203" t="s">
        <v>3279</v>
      </c>
    </row>
    <row r="1126" customFormat="false" ht="12" hidden="false" customHeight="false" outlineLevel="0" collapsed="false">
      <c r="A1126" s="203" t="s">
        <v>3280</v>
      </c>
      <c r="B1126" s="203" t="s">
        <v>3281</v>
      </c>
    </row>
    <row r="1127" customFormat="false" ht="12" hidden="false" customHeight="false" outlineLevel="0" collapsed="false">
      <c r="A1127" s="203" t="s">
        <v>3282</v>
      </c>
      <c r="B1127" s="203" t="s">
        <v>3283</v>
      </c>
    </row>
    <row r="1128" customFormat="false" ht="12" hidden="false" customHeight="false" outlineLevel="0" collapsed="false">
      <c r="A1128" s="203" t="s">
        <v>3284</v>
      </c>
      <c r="B1128" s="203" t="s">
        <v>3285</v>
      </c>
    </row>
    <row r="1129" customFormat="false" ht="12" hidden="false" customHeight="false" outlineLevel="0" collapsed="false">
      <c r="A1129" s="203" t="s">
        <v>3286</v>
      </c>
      <c r="B1129" s="203" t="s">
        <v>3287</v>
      </c>
    </row>
    <row r="1130" customFormat="false" ht="12" hidden="false" customHeight="false" outlineLevel="0" collapsed="false">
      <c r="A1130" s="203" t="s">
        <v>3288</v>
      </c>
      <c r="B1130" s="203" t="s">
        <v>3289</v>
      </c>
    </row>
    <row r="1131" customFormat="false" ht="12" hidden="false" customHeight="false" outlineLevel="0" collapsed="false">
      <c r="A1131" s="203" t="s">
        <v>3290</v>
      </c>
      <c r="B1131" s="203" t="s">
        <v>3291</v>
      </c>
    </row>
    <row r="1132" customFormat="false" ht="12" hidden="false" customHeight="false" outlineLevel="0" collapsed="false">
      <c r="A1132" s="203" t="s">
        <v>3292</v>
      </c>
      <c r="B1132" s="203" t="s">
        <v>3293</v>
      </c>
    </row>
    <row r="1133" customFormat="false" ht="12" hidden="false" customHeight="false" outlineLevel="0" collapsed="false">
      <c r="A1133" s="203" t="s">
        <v>3294</v>
      </c>
      <c r="B1133" s="203" t="s">
        <v>3295</v>
      </c>
    </row>
    <row r="1134" customFormat="false" ht="12" hidden="false" customHeight="false" outlineLevel="0" collapsed="false">
      <c r="A1134" s="203" t="s">
        <v>3296</v>
      </c>
      <c r="B1134" s="203" t="s">
        <v>3297</v>
      </c>
    </row>
    <row r="1135" customFormat="false" ht="12" hidden="false" customHeight="false" outlineLevel="0" collapsed="false">
      <c r="A1135" s="203" t="s">
        <v>3298</v>
      </c>
      <c r="B1135" s="203" t="s">
        <v>3299</v>
      </c>
    </row>
    <row r="1136" customFormat="false" ht="12" hidden="false" customHeight="false" outlineLevel="0" collapsed="false">
      <c r="A1136" s="203" t="s">
        <v>3300</v>
      </c>
      <c r="B1136" s="203" t="s">
        <v>3301</v>
      </c>
    </row>
    <row r="1137" customFormat="false" ht="12" hidden="false" customHeight="false" outlineLevel="0" collapsed="false">
      <c r="A1137" s="203" t="s">
        <v>3302</v>
      </c>
      <c r="B1137" s="203" t="s">
        <v>3303</v>
      </c>
    </row>
    <row r="1138" customFormat="false" ht="12" hidden="false" customHeight="false" outlineLevel="0" collapsed="false">
      <c r="A1138" s="203" t="s">
        <v>3304</v>
      </c>
      <c r="B1138" s="203" t="s">
        <v>3305</v>
      </c>
    </row>
    <row r="1139" customFormat="false" ht="12" hidden="false" customHeight="false" outlineLevel="0" collapsed="false">
      <c r="A1139" s="203" t="s">
        <v>3306</v>
      </c>
      <c r="B1139" s="203" t="s">
        <v>3307</v>
      </c>
    </row>
    <row r="1140" customFormat="false" ht="12" hidden="false" customHeight="false" outlineLevel="0" collapsed="false">
      <c r="A1140" s="203" t="s">
        <v>3308</v>
      </c>
      <c r="B1140" s="203" t="s">
        <v>3309</v>
      </c>
    </row>
    <row r="1141" customFormat="false" ht="12" hidden="false" customHeight="false" outlineLevel="0" collapsed="false">
      <c r="A1141" s="203" t="s">
        <v>3310</v>
      </c>
      <c r="B1141" s="203" t="s">
        <v>3311</v>
      </c>
    </row>
    <row r="1142" customFormat="false" ht="12" hidden="false" customHeight="false" outlineLevel="0" collapsed="false">
      <c r="A1142" s="203" t="s">
        <v>3312</v>
      </c>
      <c r="B1142" s="203" t="s">
        <v>3313</v>
      </c>
    </row>
    <row r="1143" customFormat="false" ht="12" hidden="false" customHeight="false" outlineLevel="0" collapsed="false">
      <c r="A1143" s="203" t="s">
        <v>3314</v>
      </c>
      <c r="B1143" s="203" t="s">
        <v>3315</v>
      </c>
    </row>
    <row r="1144" customFormat="false" ht="12" hidden="false" customHeight="false" outlineLevel="0" collapsed="false">
      <c r="A1144" s="203" t="s">
        <v>3316</v>
      </c>
      <c r="B1144" s="203" t="s">
        <v>3317</v>
      </c>
    </row>
    <row r="1145" customFormat="false" ht="12" hidden="false" customHeight="false" outlineLevel="0" collapsed="false">
      <c r="A1145" s="203" t="s">
        <v>3318</v>
      </c>
      <c r="B1145" s="203" t="s">
        <v>3319</v>
      </c>
    </row>
    <row r="1146" customFormat="false" ht="12" hidden="false" customHeight="false" outlineLevel="0" collapsed="false">
      <c r="A1146" s="203" t="s">
        <v>3320</v>
      </c>
      <c r="B1146" s="203" t="s">
        <v>3321</v>
      </c>
    </row>
    <row r="1147" customFormat="false" ht="12" hidden="false" customHeight="false" outlineLevel="0" collapsed="false">
      <c r="A1147" s="203" t="s">
        <v>3322</v>
      </c>
      <c r="B1147" s="203" t="s">
        <v>3323</v>
      </c>
    </row>
    <row r="1148" customFormat="false" ht="12" hidden="false" customHeight="false" outlineLevel="0" collapsed="false">
      <c r="A1148" s="203" t="s">
        <v>3324</v>
      </c>
      <c r="B1148" s="203" t="s">
        <v>3325</v>
      </c>
    </row>
    <row r="1149" customFormat="false" ht="12" hidden="false" customHeight="false" outlineLevel="0" collapsed="false">
      <c r="A1149" s="203" t="s">
        <v>3326</v>
      </c>
      <c r="B1149" s="203" t="s">
        <v>3327</v>
      </c>
    </row>
    <row r="1150" customFormat="false" ht="12" hidden="false" customHeight="false" outlineLevel="0" collapsed="false">
      <c r="A1150" s="203" t="s">
        <v>3328</v>
      </c>
      <c r="B1150" s="203" t="s">
        <v>3329</v>
      </c>
    </row>
    <row r="1151" customFormat="false" ht="12" hidden="false" customHeight="false" outlineLevel="0" collapsed="false">
      <c r="A1151" s="203" t="s">
        <v>3330</v>
      </c>
      <c r="B1151" s="203" t="s">
        <v>3331</v>
      </c>
    </row>
    <row r="1152" customFormat="false" ht="12" hidden="false" customHeight="false" outlineLevel="0" collapsed="false">
      <c r="A1152" s="203" t="s">
        <v>3332</v>
      </c>
      <c r="B1152" s="203" t="s">
        <v>3333</v>
      </c>
    </row>
    <row r="1153" customFormat="false" ht="12" hidden="false" customHeight="false" outlineLevel="0" collapsed="false">
      <c r="A1153" s="203" t="s">
        <v>3334</v>
      </c>
      <c r="B1153" s="203" t="s">
        <v>3335</v>
      </c>
    </row>
    <row r="1154" customFormat="false" ht="12" hidden="false" customHeight="false" outlineLevel="0" collapsed="false">
      <c r="A1154" s="203" t="s">
        <v>3336</v>
      </c>
      <c r="B1154" s="203" t="s">
        <v>3337</v>
      </c>
    </row>
    <row r="1155" customFormat="false" ht="12" hidden="false" customHeight="false" outlineLevel="0" collapsed="false">
      <c r="A1155" s="203" t="s">
        <v>3338</v>
      </c>
      <c r="B1155" s="203" t="s">
        <v>3339</v>
      </c>
    </row>
    <row r="1156" customFormat="false" ht="12" hidden="false" customHeight="false" outlineLevel="0" collapsed="false">
      <c r="A1156" s="203" t="s">
        <v>3340</v>
      </c>
      <c r="B1156" s="203" t="s">
        <v>3341</v>
      </c>
    </row>
    <row r="1157" customFormat="false" ht="12" hidden="false" customHeight="false" outlineLevel="0" collapsed="false">
      <c r="A1157" s="203" t="s">
        <v>3342</v>
      </c>
      <c r="B1157" s="203" t="s">
        <v>3343</v>
      </c>
    </row>
    <row r="1158" customFormat="false" ht="12" hidden="false" customHeight="false" outlineLevel="0" collapsed="false">
      <c r="A1158" s="203" t="s">
        <v>3344</v>
      </c>
      <c r="B1158" s="203" t="s">
        <v>3345</v>
      </c>
    </row>
    <row r="1159" customFormat="false" ht="12" hidden="false" customHeight="false" outlineLevel="0" collapsed="false">
      <c r="A1159" s="203" t="s">
        <v>3346</v>
      </c>
      <c r="B1159" s="203" t="s">
        <v>3347</v>
      </c>
    </row>
    <row r="1160" customFormat="false" ht="12" hidden="false" customHeight="false" outlineLevel="0" collapsed="false">
      <c r="A1160" s="203" t="s">
        <v>3348</v>
      </c>
      <c r="B1160" s="203" t="s">
        <v>3349</v>
      </c>
    </row>
    <row r="1161" customFormat="false" ht="12" hidden="false" customHeight="false" outlineLevel="0" collapsed="false">
      <c r="A1161" s="203" t="s">
        <v>3350</v>
      </c>
      <c r="B1161" s="203" t="s">
        <v>3351</v>
      </c>
    </row>
    <row r="1162" customFormat="false" ht="12" hidden="false" customHeight="false" outlineLevel="0" collapsed="false">
      <c r="A1162" s="203" t="s">
        <v>3352</v>
      </c>
      <c r="B1162" s="203" t="s">
        <v>3353</v>
      </c>
    </row>
    <row r="1163" customFormat="false" ht="12" hidden="false" customHeight="false" outlineLevel="0" collapsed="false">
      <c r="A1163" s="203" t="s">
        <v>3354</v>
      </c>
      <c r="B1163" s="203" t="s">
        <v>3355</v>
      </c>
    </row>
    <row r="1164" customFormat="false" ht="12" hidden="false" customHeight="false" outlineLevel="0" collapsed="false">
      <c r="A1164" s="203" t="s">
        <v>3356</v>
      </c>
      <c r="B1164" s="203" t="s">
        <v>3357</v>
      </c>
    </row>
    <row r="1165" customFormat="false" ht="12" hidden="false" customHeight="false" outlineLevel="0" collapsed="false">
      <c r="A1165" s="203" t="s">
        <v>3358</v>
      </c>
      <c r="B1165" s="203" t="s">
        <v>3359</v>
      </c>
    </row>
    <row r="1166" customFormat="false" ht="12" hidden="false" customHeight="false" outlineLevel="0" collapsed="false">
      <c r="A1166" s="203" t="s">
        <v>3360</v>
      </c>
      <c r="B1166" s="203" t="s">
        <v>3361</v>
      </c>
    </row>
    <row r="1167" customFormat="false" ht="12" hidden="false" customHeight="false" outlineLevel="0" collapsed="false">
      <c r="A1167" s="203" t="s">
        <v>3362</v>
      </c>
      <c r="B1167" s="203" t="s">
        <v>3363</v>
      </c>
    </row>
    <row r="1168" customFormat="false" ht="12" hidden="false" customHeight="false" outlineLevel="0" collapsed="false">
      <c r="A1168" s="203" t="s">
        <v>3364</v>
      </c>
      <c r="B1168" s="203" t="s">
        <v>3365</v>
      </c>
    </row>
    <row r="1169" customFormat="false" ht="12" hidden="false" customHeight="false" outlineLevel="0" collapsed="false">
      <c r="A1169" s="203" t="s">
        <v>3366</v>
      </c>
      <c r="B1169" s="203" t="s">
        <v>3367</v>
      </c>
    </row>
    <row r="1170" customFormat="false" ht="12" hidden="false" customHeight="false" outlineLevel="0" collapsed="false">
      <c r="A1170" s="203" t="s">
        <v>3368</v>
      </c>
      <c r="B1170" s="203" t="s">
        <v>3369</v>
      </c>
    </row>
    <row r="1171" customFormat="false" ht="12" hidden="false" customHeight="false" outlineLevel="0" collapsed="false">
      <c r="A1171" s="203" t="s">
        <v>3370</v>
      </c>
      <c r="B1171" s="203" t="s">
        <v>3371</v>
      </c>
    </row>
    <row r="1172" customFormat="false" ht="12" hidden="false" customHeight="false" outlineLevel="0" collapsed="false">
      <c r="A1172" s="203" t="s">
        <v>3372</v>
      </c>
      <c r="B1172" s="203" t="s">
        <v>3373</v>
      </c>
    </row>
    <row r="1173" customFormat="false" ht="12" hidden="false" customHeight="false" outlineLevel="0" collapsed="false">
      <c r="A1173" s="203" t="s">
        <v>3374</v>
      </c>
      <c r="B1173" s="203" t="s">
        <v>3375</v>
      </c>
    </row>
    <row r="1174" customFormat="false" ht="12" hidden="false" customHeight="false" outlineLevel="0" collapsed="false">
      <c r="A1174" s="203" t="s">
        <v>3376</v>
      </c>
      <c r="B1174" s="203" t="s">
        <v>3377</v>
      </c>
    </row>
    <row r="1175" customFormat="false" ht="12" hidden="false" customHeight="false" outlineLevel="0" collapsed="false">
      <c r="A1175" s="203" t="s">
        <v>3378</v>
      </c>
      <c r="B1175" s="203" t="s">
        <v>3379</v>
      </c>
    </row>
    <row r="1176" customFormat="false" ht="12" hidden="false" customHeight="false" outlineLevel="0" collapsed="false">
      <c r="A1176" s="203" t="s">
        <v>3380</v>
      </c>
      <c r="B1176" s="203" t="s">
        <v>3381</v>
      </c>
    </row>
    <row r="1177" customFormat="false" ht="12" hidden="false" customHeight="false" outlineLevel="0" collapsed="false">
      <c r="A1177" s="203" t="s">
        <v>3382</v>
      </c>
      <c r="B1177" s="203" t="s">
        <v>3383</v>
      </c>
    </row>
    <row r="1178" customFormat="false" ht="12" hidden="false" customHeight="false" outlineLevel="0" collapsed="false">
      <c r="A1178" s="203" t="s">
        <v>3384</v>
      </c>
      <c r="B1178" s="203" t="s">
        <v>3385</v>
      </c>
    </row>
    <row r="1179" customFormat="false" ht="12" hidden="false" customHeight="false" outlineLevel="0" collapsed="false">
      <c r="A1179" s="203" t="s">
        <v>3386</v>
      </c>
      <c r="B1179" s="203" t="s">
        <v>3387</v>
      </c>
    </row>
    <row r="1180" customFormat="false" ht="12" hidden="false" customHeight="false" outlineLevel="0" collapsed="false">
      <c r="A1180" s="203" t="s">
        <v>3388</v>
      </c>
      <c r="B1180" s="203" t="s">
        <v>3389</v>
      </c>
    </row>
    <row r="1181" customFormat="false" ht="12" hidden="false" customHeight="false" outlineLevel="0" collapsed="false">
      <c r="A1181" s="203" t="s">
        <v>3390</v>
      </c>
      <c r="B1181" s="203" t="s">
        <v>3391</v>
      </c>
    </row>
    <row r="1182" customFormat="false" ht="12" hidden="false" customHeight="false" outlineLevel="0" collapsed="false">
      <c r="A1182" s="203" t="s">
        <v>3392</v>
      </c>
      <c r="B1182" s="203" t="s">
        <v>3393</v>
      </c>
    </row>
    <row r="1183" customFormat="false" ht="12" hidden="false" customHeight="false" outlineLevel="0" collapsed="false">
      <c r="A1183" s="203" t="s">
        <v>3394</v>
      </c>
      <c r="B1183" s="203" t="s">
        <v>3395</v>
      </c>
    </row>
    <row r="1184" customFormat="false" ht="12" hidden="false" customHeight="false" outlineLevel="0" collapsed="false">
      <c r="A1184" s="203" t="s">
        <v>3396</v>
      </c>
      <c r="B1184" s="203" t="s">
        <v>3397</v>
      </c>
    </row>
    <row r="1185" customFormat="false" ht="12" hidden="false" customHeight="false" outlineLevel="0" collapsed="false">
      <c r="A1185" s="203" t="s">
        <v>3398</v>
      </c>
      <c r="B1185" s="203" t="s">
        <v>3399</v>
      </c>
    </row>
    <row r="1186" customFormat="false" ht="12" hidden="false" customHeight="false" outlineLevel="0" collapsed="false">
      <c r="A1186" s="203" t="s">
        <v>3400</v>
      </c>
      <c r="B1186" s="203" t="s">
        <v>3401</v>
      </c>
    </row>
    <row r="1187" customFormat="false" ht="12" hidden="false" customHeight="false" outlineLevel="0" collapsed="false">
      <c r="A1187" s="203" t="s">
        <v>3402</v>
      </c>
      <c r="B1187" s="203" t="s">
        <v>3403</v>
      </c>
    </row>
    <row r="1188" customFormat="false" ht="12" hidden="false" customHeight="false" outlineLevel="0" collapsed="false">
      <c r="A1188" s="203" t="s">
        <v>3404</v>
      </c>
      <c r="B1188" s="203" t="s">
        <v>3405</v>
      </c>
    </row>
    <row r="1189" customFormat="false" ht="12" hidden="false" customHeight="false" outlineLevel="0" collapsed="false">
      <c r="A1189" s="203" t="s">
        <v>3406</v>
      </c>
      <c r="B1189" s="203" t="s">
        <v>3407</v>
      </c>
    </row>
    <row r="1190" customFormat="false" ht="12" hidden="false" customHeight="false" outlineLevel="0" collapsed="false">
      <c r="A1190" s="203" t="s">
        <v>3408</v>
      </c>
      <c r="B1190" s="203" t="s">
        <v>3409</v>
      </c>
    </row>
    <row r="1191" customFormat="false" ht="12" hidden="false" customHeight="false" outlineLevel="0" collapsed="false">
      <c r="A1191" s="203" t="s">
        <v>3410</v>
      </c>
      <c r="B1191" s="203" t="s">
        <v>3411</v>
      </c>
    </row>
    <row r="1192" customFormat="false" ht="12" hidden="false" customHeight="false" outlineLevel="0" collapsed="false">
      <c r="A1192" s="203" t="s">
        <v>3412</v>
      </c>
      <c r="B1192" s="203" t="s">
        <v>3413</v>
      </c>
    </row>
    <row r="1193" customFormat="false" ht="12" hidden="false" customHeight="false" outlineLevel="0" collapsed="false">
      <c r="A1193" s="203" t="s">
        <v>3414</v>
      </c>
      <c r="B1193" s="203" t="s">
        <v>3415</v>
      </c>
    </row>
    <row r="1194" customFormat="false" ht="12" hidden="false" customHeight="false" outlineLevel="0" collapsed="false">
      <c r="A1194" s="203" t="s">
        <v>3416</v>
      </c>
      <c r="B1194" s="203" t="s">
        <v>3417</v>
      </c>
    </row>
    <row r="1195" customFormat="false" ht="12" hidden="false" customHeight="false" outlineLevel="0" collapsed="false">
      <c r="A1195" s="203" t="s">
        <v>3418</v>
      </c>
      <c r="B1195" s="203" t="s">
        <v>3419</v>
      </c>
    </row>
    <row r="1196" customFormat="false" ht="12" hidden="false" customHeight="false" outlineLevel="0" collapsed="false">
      <c r="A1196" s="203" t="s">
        <v>3420</v>
      </c>
      <c r="B1196" s="203" t="s">
        <v>3421</v>
      </c>
    </row>
    <row r="1197" customFormat="false" ht="12" hidden="false" customHeight="false" outlineLevel="0" collapsed="false">
      <c r="A1197" s="203" t="s">
        <v>3422</v>
      </c>
      <c r="B1197" s="203" t="s">
        <v>3423</v>
      </c>
    </row>
    <row r="1198" customFormat="false" ht="12" hidden="false" customHeight="false" outlineLevel="0" collapsed="false">
      <c r="A1198" s="203" t="s">
        <v>3424</v>
      </c>
      <c r="B1198" s="203" t="s">
        <v>3425</v>
      </c>
    </row>
    <row r="1199" customFormat="false" ht="12" hidden="false" customHeight="false" outlineLevel="0" collapsed="false">
      <c r="A1199" s="203" t="s">
        <v>3426</v>
      </c>
      <c r="B1199" s="203" t="s">
        <v>3427</v>
      </c>
    </row>
    <row r="1200" customFormat="false" ht="12" hidden="false" customHeight="false" outlineLevel="0" collapsed="false">
      <c r="A1200" s="203" t="s">
        <v>3428</v>
      </c>
      <c r="B1200" s="203" t="s">
        <v>3429</v>
      </c>
    </row>
    <row r="1201" customFormat="false" ht="12" hidden="false" customHeight="false" outlineLevel="0" collapsed="false">
      <c r="A1201" s="203" t="s">
        <v>3430</v>
      </c>
      <c r="B1201" s="203" t="s">
        <v>3431</v>
      </c>
    </row>
    <row r="1202" customFormat="false" ht="12" hidden="false" customHeight="false" outlineLevel="0" collapsed="false">
      <c r="A1202" s="203" t="s">
        <v>3432</v>
      </c>
      <c r="B1202" s="203" t="s">
        <v>3433</v>
      </c>
    </row>
    <row r="1203" customFormat="false" ht="12" hidden="false" customHeight="false" outlineLevel="0" collapsed="false">
      <c r="A1203" s="203" t="s">
        <v>3434</v>
      </c>
      <c r="B1203" s="203" t="s">
        <v>3435</v>
      </c>
    </row>
    <row r="1204" customFormat="false" ht="12" hidden="false" customHeight="false" outlineLevel="0" collapsed="false">
      <c r="A1204" s="203" t="s">
        <v>3436</v>
      </c>
      <c r="B1204" s="203" t="s">
        <v>3437</v>
      </c>
    </row>
    <row r="1205" customFormat="false" ht="12" hidden="false" customHeight="false" outlineLevel="0" collapsed="false">
      <c r="A1205" s="203" t="s">
        <v>3438</v>
      </c>
      <c r="B1205" s="203" t="s">
        <v>3439</v>
      </c>
    </row>
    <row r="1206" customFormat="false" ht="12" hidden="false" customHeight="false" outlineLevel="0" collapsed="false">
      <c r="A1206" s="203" t="s">
        <v>3440</v>
      </c>
      <c r="B1206" s="203" t="s">
        <v>3441</v>
      </c>
    </row>
    <row r="1207" customFormat="false" ht="12" hidden="false" customHeight="false" outlineLevel="0" collapsed="false">
      <c r="A1207" s="203" t="s">
        <v>3442</v>
      </c>
      <c r="B1207" s="203" t="s">
        <v>3443</v>
      </c>
    </row>
    <row r="1208" customFormat="false" ht="12" hidden="false" customHeight="false" outlineLevel="0" collapsed="false">
      <c r="A1208" s="203" t="s">
        <v>3444</v>
      </c>
      <c r="B1208" s="203" t="s">
        <v>3445</v>
      </c>
    </row>
    <row r="1209" customFormat="false" ht="12" hidden="false" customHeight="false" outlineLevel="0" collapsed="false">
      <c r="A1209" s="203" t="s">
        <v>3446</v>
      </c>
      <c r="B1209" s="203" t="s">
        <v>3447</v>
      </c>
    </row>
    <row r="1210" customFormat="false" ht="12" hidden="false" customHeight="false" outlineLevel="0" collapsed="false">
      <c r="A1210" s="203" t="s">
        <v>3448</v>
      </c>
      <c r="B1210" s="203" t="s">
        <v>3449</v>
      </c>
    </row>
    <row r="1211" customFormat="false" ht="12" hidden="false" customHeight="false" outlineLevel="0" collapsed="false">
      <c r="A1211" s="203" t="s">
        <v>3450</v>
      </c>
      <c r="B1211" s="203" t="s">
        <v>3451</v>
      </c>
    </row>
    <row r="1212" customFormat="false" ht="12" hidden="false" customHeight="false" outlineLevel="0" collapsed="false">
      <c r="A1212" s="203" t="s">
        <v>3452</v>
      </c>
      <c r="B1212" s="203" t="s">
        <v>3453</v>
      </c>
    </row>
    <row r="1213" customFormat="false" ht="12" hidden="false" customHeight="false" outlineLevel="0" collapsed="false">
      <c r="A1213" s="203" t="s">
        <v>3454</v>
      </c>
      <c r="B1213" s="203" t="s">
        <v>3455</v>
      </c>
    </row>
    <row r="1214" customFormat="false" ht="12" hidden="false" customHeight="false" outlineLevel="0" collapsed="false">
      <c r="A1214" s="203" t="s">
        <v>3456</v>
      </c>
      <c r="B1214" s="203" t="s">
        <v>3457</v>
      </c>
    </row>
    <row r="1215" customFormat="false" ht="12" hidden="false" customHeight="false" outlineLevel="0" collapsed="false">
      <c r="A1215" s="203" t="s">
        <v>3458</v>
      </c>
      <c r="B1215" s="203" t="s">
        <v>3459</v>
      </c>
    </row>
    <row r="1216" customFormat="false" ht="12" hidden="false" customHeight="false" outlineLevel="0" collapsed="false">
      <c r="A1216" s="203" t="s">
        <v>3460</v>
      </c>
      <c r="B1216" s="203" t="s">
        <v>3461</v>
      </c>
    </row>
    <row r="1217" customFormat="false" ht="12" hidden="false" customHeight="false" outlineLevel="0" collapsed="false">
      <c r="A1217" s="203" t="s">
        <v>3462</v>
      </c>
      <c r="B1217" s="203" t="s">
        <v>3463</v>
      </c>
    </row>
    <row r="1218" customFormat="false" ht="12" hidden="false" customHeight="false" outlineLevel="0" collapsed="false">
      <c r="A1218" s="203" t="s">
        <v>3464</v>
      </c>
      <c r="B1218" s="203" t="s">
        <v>3465</v>
      </c>
    </row>
    <row r="1219" customFormat="false" ht="12" hidden="false" customHeight="false" outlineLevel="0" collapsed="false">
      <c r="A1219" s="203" t="s">
        <v>3466</v>
      </c>
      <c r="B1219" s="203" t="s">
        <v>3467</v>
      </c>
    </row>
    <row r="1220" customFormat="false" ht="12" hidden="false" customHeight="false" outlineLevel="0" collapsed="false">
      <c r="A1220" s="203" t="s">
        <v>3468</v>
      </c>
      <c r="B1220" s="203" t="s">
        <v>3469</v>
      </c>
    </row>
    <row r="1221" customFormat="false" ht="12" hidden="false" customHeight="false" outlineLevel="0" collapsed="false">
      <c r="A1221" s="203" t="s">
        <v>3470</v>
      </c>
      <c r="B1221" s="203" t="s">
        <v>3471</v>
      </c>
    </row>
    <row r="1222" customFormat="false" ht="12" hidden="false" customHeight="false" outlineLevel="0" collapsed="false">
      <c r="A1222" s="203" t="s">
        <v>3472</v>
      </c>
      <c r="B1222" s="203" t="s">
        <v>3473</v>
      </c>
    </row>
    <row r="1223" customFormat="false" ht="12" hidden="false" customHeight="false" outlineLevel="0" collapsed="false">
      <c r="A1223" s="203" t="s">
        <v>3474</v>
      </c>
      <c r="B1223" s="203" t="s">
        <v>3475</v>
      </c>
    </row>
    <row r="1224" customFormat="false" ht="12" hidden="false" customHeight="false" outlineLevel="0" collapsed="false">
      <c r="A1224" s="203" t="s">
        <v>3476</v>
      </c>
      <c r="B1224" s="203" t="s">
        <v>3477</v>
      </c>
    </row>
    <row r="1225" customFormat="false" ht="12" hidden="false" customHeight="false" outlineLevel="0" collapsed="false">
      <c r="A1225" s="203" t="s">
        <v>3478</v>
      </c>
      <c r="B1225" s="203" t="s">
        <v>3479</v>
      </c>
    </row>
    <row r="1226" customFormat="false" ht="12" hidden="false" customHeight="false" outlineLevel="0" collapsed="false">
      <c r="A1226" s="203" t="s">
        <v>3480</v>
      </c>
      <c r="B1226" s="203" t="s">
        <v>3481</v>
      </c>
    </row>
    <row r="1227" customFormat="false" ht="12" hidden="false" customHeight="false" outlineLevel="0" collapsed="false">
      <c r="A1227" s="203" t="s">
        <v>3482</v>
      </c>
      <c r="B1227" s="203" t="s">
        <v>3483</v>
      </c>
    </row>
    <row r="1228" customFormat="false" ht="12" hidden="false" customHeight="false" outlineLevel="0" collapsed="false">
      <c r="A1228" s="203" t="s">
        <v>3484</v>
      </c>
      <c r="B1228" s="203" t="s">
        <v>3485</v>
      </c>
    </row>
    <row r="1229" customFormat="false" ht="12" hidden="false" customHeight="false" outlineLevel="0" collapsed="false">
      <c r="A1229" s="203" t="s">
        <v>3486</v>
      </c>
      <c r="B1229" s="203" t="s">
        <v>3487</v>
      </c>
    </row>
    <row r="1230" customFormat="false" ht="12" hidden="false" customHeight="false" outlineLevel="0" collapsed="false">
      <c r="A1230" s="203" t="s">
        <v>3488</v>
      </c>
      <c r="B1230" s="203" t="s">
        <v>3489</v>
      </c>
    </row>
    <row r="1231" customFormat="false" ht="12" hidden="false" customHeight="false" outlineLevel="0" collapsed="false">
      <c r="A1231" s="203" t="s">
        <v>3490</v>
      </c>
      <c r="B1231" s="203" t="s">
        <v>3491</v>
      </c>
    </row>
    <row r="1232" customFormat="false" ht="12" hidden="false" customHeight="false" outlineLevel="0" collapsed="false">
      <c r="A1232" s="203" t="s">
        <v>3492</v>
      </c>
      <c r="B1232" s="203" t="s">
        <v>3493</v>
      </c>
    </row>
    <row r="1233" customFormat="false" ht="12" hidden="false" customHeight="false" outlineLevel="0" collapsed="false">
      <c r="A1233" s="203" t="s">
        <v>3494</v>
      </c>
      <c r="B1233" s="203" t="s">
        <v>3495</v>
      </c>
    </row>
    <row r="1234" customFormat="false" ht="12" hidden="false" customHeight="false" outlineLevel="0" collapsed="false">
      <c r="A1234" s="203" t="s">
        <v>3496</v>
      </c>
      <c r="B1234" s="203" t="s">
        <v>3497</v>
      </c>
    </row>
    <row r="1235" customFormat="false" ht="12" hidden="false" customHeight="false" outlineLevel="0" collapsed="false">
      <c r="A1235" s="203" t="s">
        <v>3498</v>
      </c>
      <c r="B1235" s="203" t="s">
        <v>3499</v>
      </c>
    </row>
    <row r="1236" customFormat="false" ht="12" hidden="false" customHeight="false" outlineLevel="0" collapsed="false">
      <c r="A1236" s="203" t="s">
        <v>3500</v>
      </c>
      <c r="B1236" s="203" t="s">
        <v>3501</v>
      </c>
    </row>
    <row r="1237" customFormat="false" ht="12" hidden="false" customHeight="false" outlineLevel="0" collapsed="false">
      <c r="A1237" s="203" t="s">
        <v>3502</v>
      </c>
      <c r="B1237" s="203" t="s">
        <v>3503</v>
      </c>
    </row>
    <row r="1238" customFormat="false" ht="12" hidden="false" customHeight="false" outlineLevel="0" collapsed="false">
      <c r="A1238" s="203" t="s">
        <v>3504</v>
      </c>
      <c r="B1238" s="203" t="s">
        <v>3505</v>
      </c>
    </row>
    <row r="1239" customFormat="false" ht="12" hidden="false" customHeight="false" outlineLevel="0" collapsed="false">
      <c r="A1239" s="203" t="s">
        <v>3506</v>
      </c>
      <c r="B1239" s="203" t="s">
        <v>3507</v>
      </c>
    </row>
    <row r="1240" customFormat="false" ht="12" hidden="false" customHeight="false" outlineLevel="0" collapsed="false">
      <c r="A1240" s="203" t="s">
        <v>3508</v>
      </c>
      <c r="B1240" s="203" t="s">
        <v>3509</v>
      </c>
    </row>
    <row r="1241" customFormat="false" ht="12" hidden="false" customHeight="false" outlineLevel="0" collapsed="false">
      <c r="A1241" s="203" t="s">
        <v>3510</v>
      </c>
      <c r="B1241" s="203" t="s">
        <v>3511</v>
      </c>
    </row>
    <row r="1242" customFormat="false" ht="12" hidden="false" customHeight="false" outlineLevel="0" collapsed="false">
      <c r="A1242" s="203" t="s">
        <v>3512</v>
      </c>
      <c r="B1242" s="203" t="s">
        <v>3513</v>
      </c>
    </row>
    <row r="1243" customFormat="false" ht="12" hidden="false" customHeight="false" outlineLevel="0" collapsed="false">
      <c r="A1243" s="203" t="s">
        <v>3514</v>
      </c>
      <c r="B1243" s="203" t="s">
        <v>3515</v>
      </c>
    </row>
    <row r="1244" customFormat="false" ht="12" hidden="false" customHeight="false" outlineLevel="0" collapsed="false">
      <c r="A1244" s="203" t="s">
        <v>3516</v>
      </c>
      <c r="B1244" s="203" t="s">
        <v>3517</v>
      </c>
    </row>
    <row r="1245" customFormat="false" ht="12" hidden="false" customHeight="false" outlineLevel="0" collapsed="false">
      <c r="A1245" s="203" t="s">
        <v>3518</v>
      </c>
      <c r="B1245" s="203" t="s">
        <v>3519</v>
      </c>
    </row>
    <row r="1246" customFormat="false" ht="12" hidden="false" customHeight="false" outlineLevel="0" collapsed="false">
      <c r="A1246" s="203" t="s">
        <v>3520</v>
      </c>
      <c r="B1246" s="203" t="s">
        <v>3521</v>
      </c>
    </row>
    <row r="1247" customFormat="false" ht="12" hidden="false" customHeight="false" outlineLevel="0" collapsed="false">
      <c r="A1247" s="203" t="s">
        <v>3522</v>
      </c>
      <c r="B1247" s="203" t="s">
        <v>3523</v>
      </c>
    </row>
    <row r="1248" customFormat="false" ht="12" hidden="false" customHeight="false" outlineLevel="0" collapsed="false">
      <c r="A1248" s="203" t="s">
        <v>3524</v>
      </c>
      <c r="B1248" s="203" t="s">
        <v>3525</v>
      </c>
    </row>
    <row r="1249" customFormat="false" ht="12" hidden="false" customHeight="false" outlineLevel="0" collapsed="false">
      <c r="A1249" s="203" t="s">
        <v>3526</v>
      </c>
      <c r="B1249" s="203" t="s">
        <v>3527</v>
      </c>
    </row>
    <row r="1250" customFormat="false" ht="12" hidden="false" customHeight="false" outlineLevel="0" collapsed="false">
      <c r="A1250" s="203" t="s">
        <v>3528</v>
      </c>
      <c r="B1250" s="203" t="s">
        <v>3529</v>
      </c>
    </row>
    <row r="1251" customFormat="false" ht="12" hidden="false" customHeight="false" outlineLevel="0" collapsed="false">
      <c r="A1251" s="203" t="s">
        <v>3530</v>
      </c>
      <c r="B1251" s="203" t="s">
        <v>3531</v>
      </c>
    </row>
    <row r="1252" customFormat="false" ht="12" hidden="false" customHeight="false" outlineLevel="0" collapsed="false">
      <c r="A1252" s="203" t="s">
        <v>3532</v>
      </c>
      <c r="B1252" s="203" t="s">
        <v>3533</v>
      </c>
    </row>
    <row r="1253" customFormat="false" ht="12" hidden="false" customHeight="false" outlineLevel="0" collapsed="false">
      <c r="A1253" s="203" t="s">
        <v>3534</v>
      </c>
      <c r="B1253" s="203" t="s">
        <v>3535</v>
      </c>
    </row>
    <row r="1254" customFormat="false" ht="12" hidden="false" customHeight="false" outlineLevel="0" collapsed="false">
      <c r="A1254" s="203" t="s">
        <v>3536</v>
      </c>
      <c r="B1254" s="203" t="s">
        <v>3537</v>
      </c>
    </row>
    <row r="1255" customFormat="false" ht="12" hidden="false" customHeight="false" outlineLevel="0" collapsed="false">
      <c r="A1255" s="203" t="s">
        <v>3538</v>
      </c>
      <c r="B1255" s="203" t="s">
        <v>3539</v>
      </c>
    </row>
    <row r="1256" customFormat="false" ht="12" hidden="false" customHeight="false" outlineLevel="0" collapsed="false">
      <c r="A1256" s="203" t="s">
        <v>3540</v>
      </c>
      <c r="B1256" s="203" t="s">
        <v>3541</v>
      </c>
    </row>
    <row r="1257" customFormat="false" ht="12" hidden="false" customHeight="false" outlineLevel="0" collapsed="false">
      <c r="A1257" s="203" t="s">
        <v>3542</v>
      </c>
      <c r="B1257" s="203" t="s">
        <v>3543</v>
      </c>
    </row>
    <row r="1258" customFormat="false" ht="12" hidden="false" customHeight="false" outlineLevel="0" collapsed="false">
      <c r="A1258" s="203" t="s">
        <v>3544</v>
      </c>
      <c r="B1258" s="203" t="s">
        <v>3545</v>
      </c>
    </row>
    <row r="1259" customFormat="false" ht="12" hidden="false" customHeight="false" outlineLevel="0" collapsed="false">
      <c r="A1259" s="203" t="s">
        <v>3546</v>
      </c>
      <c r="B1259" s="203" t="s">
        <v>3547</v>
      </c>
    </row>
    <row r="1260" customFormat="false" ht="12" hidden="false" customHeight="false" outlineLevel="0" collapsed="false">
      <c r="A1260" s="203" t="s">
        <v>3548</v>
      </c>
      <c r="B1260" s="203" t="s">
        <v>3549</v>
      </c>
    </row>
    <row r="1261" customFormat="false" ht="12" hidden="false" customHeight="false" outlineLevel="0" collapsed="false">
      <c r="A1261" s="203" t="s">
        <v>3550</v>
      </c>
      <c r="B1261" s="203" t="s">
        <v>3551</v>
      </c>
    </row>
    <row r="1262" customFormat="false" ht="12" hidden="false" customHeight="false" outlineLevel="0" collapsed="false">
      <c r="A1262" s="203" t="s">
        <v>3552</v>
      </c>
      <c r="B1262" s="203" t="s">
        <v>803</v>
      </c>
    </row>
    <row r="1263" customFormat="false" ht="12" hidden="false" customHeight="false" outlineLevel="0" collapsed="false">
      <c r="A1263" s="203" t="s">
        <v>3553</v>
      </c>
      <c r="B1263" s="203" t="s">
        <v>3554</v>
      </c>
    </row>
    <row r="1264" customFormat="false" ht="12" hidden="false" customHeight="false" outlineLevel="0" collapsed="false">
      <c r="A1264" s="203" t="s">
        <v>3555</v>
      </c>
      <c r="B1264" s="203" t="s">
        <v>3556</v>
      </c>
    </row>
    <row r="1265" customFormat="false" ht="12" hidden="false" customHeight="false" outlineLevel="0" collapsed="false">
      <c r="A1265" s="203" t="s">
        <v>3557</v>
      </c>
      <c r="B1265" s="203" t="s">
        <v>3558</v>
      </c>
    </row>
    <row r="1266" customFormat="false" ht="12" hidden="false" customHeight="false" outlineLevel="0" collapsed="false">
      <c r="A1266" s="203" t="s">
        <v>3559</v>
      </c>
      <c r="B1266" s="203" t="s">
        <v>3560</v>
      </c>
    </row>
    <row r="1267" customFormat="false" ht="12" hidden="false" customHeight="false" outlineLevel="0" collapsed="false">
      <c r="A1267" s="203" t="s">
        <v>3561</v>
      </c>
      <c r="B1267" s="203" t="s">
        <v>3562</v>
      </c>
    </row>
    <row r="1268" customFormat="false" ht="12" hidden="false" customHeight="false" outlineLevel="0" collapsed="false">
      <c r="A1268" s="203" t="s">
        <v>3563</v>
      </c>
      <c r="B1268" s="203" t="s">
        <v>3564</v>
      </c>
    </row>
    <row r="1269" customFormat="false" ht="12" hidden="false" customHeight="false" outlineLevel="0" collapsed="false">
      <c r="A1269" s="203" t="s">
        <v>3565</v>
      </c>
      <c r="B1269" s="203" t="s">
        <v>808</v>
      </c>
    </row>
    <row r="1270" customFormat="false" ht="12" hidden="false" customHeight="false" outlineLevel="0" collapsed="false">
      <c r="A1270" s="203" t="s">
        <v>3566</v>
      </c>
      <c r="B1270" s="203" t="s">
        <v>3567</v>
      </c>
    </row>
    <row r="1271" customFormat="false" ht="12" hidden="false" customHeight="false" outlineLevel="0" collapsed="false">
      <c r="A1271" s="203" t="s">
        <v>3568</v>
      </c>
      <c r="B1271" s="203" t="s">
        <v>3569</v>
      </c>
    </row>
    <row r="1272" customFormat="false" ht="12" hidden="false" customHeight="false" outlineLevel="0" collapsed="false">
      <c r="A1272" s="203" t="s">
        <v>3570</v>
      </c>
      <c r="B1272" s="203" t="s">
        <v>3571</v>
      </c>
    </row>
    <row r="1273" customFormat="false" ht="12" hidden="false" customHeight="false" outlineLevel="0" collapsed="false">
      <c r="A1273" s="203" t="s">
        <v>3572</v>
      </c>
      <c r="B1273" s="203" t="s">
        <v>3573</v>
      </c>
    </row>
    <row r="1274" customFormat="false" ht="12" hidden="false" customHeight="false" outlineLevel="0" collapsed="false">
      <c r="A1274" s="203" t="s">
        <v>3574</v>
      </c>
      <c r="B1274" s="203" t="s">
        <v>3575</v>
      </c>
    </row>
    <row r="1275" customFormat="false" ht="12" hidden="false" customHeight="false" outlineLevel="0" collapsed="false">
      <c r="A1275" s="203" t="s">
        <v>3576</v>
      </c>
      <c r="B1275" s="203" t="s">
        <v>3577</v>
      </c>
    </row>
    <row r="1276" customFormat="false" ht="12" hidden="false" customHeight="false" outlineLevel="0" collapsed="false">
      <c r="A1276" s="203" t="s">
        <v>3578</v>
      </c>
      <c r="B1276" s="203" t="s">
        <v>3579</v>
      </c>
    </row>
    <row r="1277" customFormat="false" ht="12" hidden="false" customHeight="false" outlineLevel="0" collapsed="false">
      <c r="A1277" s="203" t="s">
        <v>3580</v>
      </c>
      <c r="B1277" s="203" t="s">
        <v>3581</v>
      </c>
    </row>
    <row r="1278" customFormat="false" ht="12" hidden="false" customHeight="false" outlineLevel="0" collapsed="false">
      <c r="A1278" s="203" t="s">
        <v>3582</v>
      </c>
      <c r="B1278" s="203" t="s">
        <v>3583</v>
      </c>
    </row>
    <row r="1279" customFormat="false" ht="12" hidden="false" customHeight="false" outlineLevel="0" collapsed="false">
      <c r="A1279" s="203" t="s">
        <v>3584</v>
      </c>
      <c r="B1279" s="203" t="s">
        <v>813</v>
      </c>
    </row>
    <row r="1280" customFormat="false" ht="12" hidden="false" customHeight="false" outlineLevel="0" collapsed="false">
      <c r="A1280" s="203" t="s">
        <v>3585</v>
      </c>
      <c r="B1280" s="203" t="s">
        <v>3586</v>
      </c>
    </row>
    <row r="1281" customFormat="false" ht="12" hidden="false" customHeight="false" outlineLevel="0" collapsed="false">
      <c r="A1281" s="203" t="s">
        <v>3587</v>
      </c>
      <c r="B1281" s="203" t="s">
        <v>3588</v>
      </c>
    </row>
    <row r="1282" customFormat="false" ht="12" hidden="false" customHeight="false" outlineLevel="0" collapsed="false">
      <c r="A1282" s="203" t="s">
        <v>3589</v>
      </c>
      <c r="B1282" s="203" t="s">
        <v>3590</v>
      </c>
    </row>
    <row r="1283" customFormat="false" ht="12" hidden="false" customHeight="false" outlineLevel="0" collapsed="false">
      <c r="A1283" s="203" t="s">
        <v>3591</v>
      </c>
      <c r="B1283" s="203" t="s">
        <v>818</v>
      </c>
    </row>
    <row r="1284" customFormat="false" ht="12" hidden="false" customHeight="false" outlineLevel="0" collapsed="false">
      <c r="A1284" s="203" t="s">
        <v>3592</v>
      </c>
      <c r="B1284" s="203" t="s">
        <v>823</v>
      </c>
    </row>
    <row r="1285" customFormat="false" ht="12" hidden="false" customHeight="false" outlineLevel="0" collapsed="false">
      <c r="A1285" s="203" t="s">
        <v>3593</v>
      </c>
      <c r="B1285" s="203" t="s">
        <v>828</v>
      </c>
    </row>
    <row r="1286" customFormat="false" ht="12" hidden="false" customHeight="false" outlineLevel="0" collapsed="false">
      <c r="A1286" s="203" t="s">
        <v>3594</v>
      </c>
      <c r="B1286" s="203" t="s">
        <v>3595</v>
      </c>
    </row>
    <row r="1287" customFormat="false" ht="12" hidden="false" customHeight="false" outlineLevel="0" collapsed="false">
      <c r="A1287" s="203" t="s">
        <v>3596</v>
      </c>
      <c r="B1287" s="203" t="s">
        <v>3597</v>
      </c>
    </row>
    <row r="1288" customFormat="false" ht="12" hidden="false" customHeight="false" outlineLevel="0" collapsed="false">
      <c r="A1288" s="203" t="s">
        <v>3598</v>
      </c>
      <c r="B1288" s="203" t="s">
        <v>3599</v>
      </c>
    </row>
    <row r="1289" customFormat="false" ht="12" hidden="false" customHeight="false" outlineLevel="0" collapsed="false">
      <c r="A1289" s="203" t="s">
        <v>3600</v>
      </c>
      <c r="B1289" s="203" t="s">
        <v>3601</v>
      </c>
    </row>
    <row r="1290" customFormat="false" ht="12" hidden="false" customHeight="false" outlineLevel="0" collapsed="false">
      <c r="A1290" s="203" t="s">
        <v>3602</v>
      </c>
      <c r="B1290" s="203" t="s">
        <v>3603</v>
      </c>
    </row>
    <row r="1291" customFormat="false" ht="12" hidden="false" customHeight="false" outlineLevel="0" collapsed="false">
      <c r="A1291" s="203" t="s">
        <v>3604</v>
      </c>
      <c r="B1291" s="203" t="s">
        <v>3605</v>
      </c>
    </row>
    <row r="1292" customFormat="false" ht="12" hidden="false" customHeight="false" outlineLevel="0" collapsed="false">
      <c r="A1292" s="203" t="s">
        <v>3606</v>
      </c>
      <c r="B1292" s="203" t="s">
        <v>3607</v>
      </c>
    </row>
    <row r="1293" customFormat="false" ht="12" hidden="false" customHeight="false" outlineLevel="0" collapsed="false">
      <c r="A1293" s="203" t="s">
        <v>3608</v>
      </c>
      <c r="B1293" s="203" t="s">
        <v>3609</v>
      </c>
    </row>
    <row r="1294" customFormat="false" ht="12" hidden="false" customHeight="false" outlineLevel="0" collapsed="false">
      <c r="A1294" s="203" t="s">
        <v>3610</v>
      </c>
      <c r="B1294" s="203" t="s">
        <v>3611</v>
      </c>
    </row>
    <row r="1295" customFormat="false" ht="12" hidden="false" customHeight="false" outlineLevel="0" collapsed="false">
      <c r="A1295" s="203" t="s">
        <v>3612</v>
      </c>
      <c r="B1295" s="203" t="s">
        <v>3613</v>
      </c>
    </row>
    <row r="1296" customFormat="false" ht="12" hidden="false" customHeight="false" outlineLevel="0" collapsed="false">
      <c r="A1296" s="203" t="s">
        <v>3614</v>
      </c>
      <c r="B1296" s="203" t="s">
        <v>3615</v>
      </c>
    </row>
    <row r="1297" customFormat="false" ht="12" hidden="false" customHeight="false" outlineLevel="0" collapsed="false">
      <c r="A1297" s="203" t="s">
        <v>3616</v>
      </c>
      <c r="B1297" s="203" t="s">
        <v>3617</v>
      </c>
    </row>
    <row r="1298" customFormat="false" ht="12" hidden="false" customHeight="false" outlineLevel="0" collapsed="false">
      <c r="A1298" s="203" t="s">
        <v>3618</v>
      </c>
      <c r="B1298" s="203" t="s">
        <v>3619</v>
      </c>
    </row>
    <row r="1299" customFormat="false" ht="12" hidden="false" customHeight="false" outlineLevel="0" collapsed="false">
      <c r="A1299" s="203" t="s">
        <v>3620</v>
      </c>
      <c r="B1299" s="203" t="s">
        <v>3621</v>
      </c>
    </row>
    <row r="1300" customFormat="false" ht="12" hidden="false" customHeight="false" outlineLevel="0" collapsed="false">
      <c r="A1300" s="203" t="s">
        <v>3622</v>
      </c>
      <c r="B1300" s="203" t="s">
        <v>833</v>
      </c>
    </row>
    <row r="1301" customFormat="false" ht="12" hidden="false" customHeight="false" outlineLevel="0" collapsed="false">
      <c r="A1301" s="203" t="s">
        <v>3623</v>
      </c>
      <c r="B1301" s="203" t="s">
        <v>3624</v>
      </c>
    </row>
    <row r="1302" customFormat="false" ht="12" hidden="false" customHeight="false" outlineLevel="0" collapsed="false">
      <c r="A1302" s="203" t="s">
        <v>3625</v>
      </c>
      <c r="B1302" s="203" t="s">
        <v>3626</v>
      </c>
    </row>
    <row r="1303" customFormat="false" ht="12" hidden="false" customHeight="false" outlineLevel="0" collapsed="false">
      <c r="A1303" s="203" t="s">
        <v>3627</v>
      </c>
      <c r="B1303" s="203" t="s">
        <v>838</v>
      </c>
    </row>
    <row r="1304" customFormat="false" ht="12" hidden="false" customHeight="false" outlineLevel="0" collapsed="false">
      <c r="A1304" s="203" t="s">
        <v>3628</v>
      </c>
      <c r="B1304" s="203" t="s">
        <v>3629</v>
      </c>
    </row>
    <row r="1305" customFormat="false" ht="12" hidden="false" customHeight="false" outlineLevel="0" collapsed="false">
      <c r="A1305" s="203" t="s">
        <v>3630</v>
      </c>
      <c r="B1305" s="203" t="s">
        <v>3631</v>
      </c>
    </row>
    <row r="1306" customFormat="false" ht="12" hidden="false" customHeight="false" outlineLevel="0" collapsed="false">
      <c r="A1306" s="203" t="s">
        <v>3632</v>
      </c>
      <c r="B1306" s="203" t="s">
        <v>3633</v>
      </c>
    </row>
    <row r="1307" customFormat="false" ht="12" hidden="false" customHeight="false" outlineLevel="0" collapsed="false">
      <c r="A1307" s="203" t="s">
        <v>3634</v>
      </c>
      <c r="B1307" s="203" t="s">
        <v>3635</v>
      </c>
    </row>
    <row r="1308" customFormat="false" ht="12" hidden="false" customHeight="false" outlineLevel="0" collapsed="false">
      <c r="A1308" s="203" t="s">
        <v>3636</v>
      </c>
      <c r="B1308" s="203" t="s">
        <v>3637</v>
      </c>
    </row>
    <row r="1309" customFormat="false" ht="12" hidden="false" customHeight="false" outlineLevel="0" collapsed="false">
      <c r="A1309" s="203" t="s">
        <v>3638</v>
      </c>
      <c r="B1309" s="203" t="s">
        <v>3639</v>
      </c>
    </row>
    <row r="1310" customFormat="false" ht="12" hidden="false" customHeight="false" outlineLevel="0" collapsed="false">
      <c r="A1310" s="203" t="s">
        <v>3640</v>
      </c>
      <c r="B1310" s="203" t="s">
        <v>3641</v>
      </c>
    </row>
    <row r="1311" customFormat="false" ht="12" hidden="false" customHeight="false" outlineLevel="0" collapsed="false">
      <c r="A1311" s="203" t="s">
        <v>3642</v>
      </c>
      <c r="B1311" s="203" t="s">
        <v>3643</v>
      </c>
    </row>
    <row r="1312" customFormat="false" ht="12" hidden="false" customHeight="false" outlineLevel="0" collapsed="false">
      <c r="A1312" s="203" t="s">
        <v>3644</v>
      </c>
      <c r="B1312" s="203" t="s">
        <v>3645</v>
      </c>
    </row>
    <row r="1313" customFormat="false" ht="12" hidden="false" customHeight="false" outlineLevel="0" collapsed="false">
      <c r="A1313" s="203" t="s">
        <v>3646</v>
      </c>
      <c r="B1313" s="203" t="s">
        <v>3647</v>
      </c>
    </row>
    <row r="1314" customFormat="false" ht="12" hidden="false" customHeight="false" outlineLevel="0" collapsed="false">
      <c r="A1314" s="203" t="s">
        <v>3648</v>
      </c>
      <c r="B1314" s="203" t="s">
        <v>3649</v>
      </c>
    </row>
    <row r="1315" customFormat="false" ht="12" hidden="false" customHeight="false" outlineLevel="0" collapsed="false">
      <c r="A1315" s="203" t="s">
        <v>3650</v>
      </c>
      <c r="B1315" s="203" t="s">
        <v>3651</v>
      </c>
    </row>
    <row r="1316" customFormat="false" ht="12" hidden="false" customHeight="false" outlineLevel="0" collapsed="false">
      <c r="A1316" s="203" t="s">
        <v>3652</v>
      </c>
      <c r="B1316" s="203" t="s">
        <v>3653</v>
      </c>
    </row>
    <row r="1317" customFormat="false" ht="12" hidden="false" customHeight="false" outlineLevel="0" collapsed="false">
      <c r="A1317" s="203" t="s">
        <v>3654</v>
      </c>
      <c r="B1317" s="203" t="s">
        <v>3655</v>
      </c>
    </row>
    <row r="1318" customFormat="false" ht="12" hidden="false" customHeight="false" outlineLevel="0" collapsed="false">
      <c r="A1318" s="203" t="s">
        <v>3656</v>
      </c>
      <c r="B1318" s="203" t="s">
        <v>3657</v>
      </c>
    </row>
    <row r="1319" customFormat="false" ht="12" hidden="false" customHeight="false" outlineLevel="0" collapsed="false">
      <c r="A1319" s="203" t="s">
        <v>3658</v>
      </c>
      <c r="B1319" s="203" t="s">
        <v>3659</v>
      </c>
    </row>
    <row r="1320" customFormat="false" ht="12" hidden="false" customHeight="false" outlineLevel="0" collapsed="false">
      <c r="A1320" s="203" t="s">
        <v>3660</v>
      </c>
      <c r="B1320" s="203" t="s">
        <v>3661</v>
      </c>
    </row>
    <row r="1321" customFormat="false" ht="12" hidden="false" customHeight="false" outlineLevel="0" collapsed="false">
      <c r="A1321" s="203" t="s">
        <v>3662</v>
      </c>
      <c r="B1321" s="203" t="s">
        <v>3663</v>
      </c>
    </row>
    <row r="1322" customFormat="false" ht="12" hidden="false" customHeight="false" outlineLevel="0" collapsed="false">
      <c r="A1322" s="203" t="s">
        <v>3664</v>
      </c>
      <c r="B1322" s="203" t="s">
        <v>3665</v>
      </c>
    </row>
    <row r="1323" customFormat="false" ht="12" hidden="false" customHeight="false" outlineLevel="0" collapsed="false">
      <c r="A1323" s="203" t="s">
        <v>3666</v>
      </c>
      <c r="B1323" s="203" t="s">
        <v>3667</v>
      </c>
    </row>
    <row r="1324" customFormat="false" ht="12" hidden="false" customHeight="false" outlineLevel="0" collapsed="false">
      <c r="A1324" s="203" t="s">
        <v>3668</v>
      </c>
      <c r="B1324" s="203" t="s">
        <v>3669</v>
      </c>
    </row>
    <row r="1325" customFormat="false" ht="12" hidden="false" customHeight="false" outlineLevel="0" collapsed="false">
      <c r="A1325" s="203" t="s">
        <v>3670</v>
      </c>
      <c r="B1325" s="203" t="s">
        <v>3671</v>
      </c>
    </row>
    <row r="1326" customFormat="false" ht="12" hidden="false" customHeight="false" outlineLevel="0" collapsed="false">
      <c r="A1326" s="203" t="s">
        <v>3672</v>
      </c>
      <c r="B1326" s="203" t="s">
        <v>3673</v>
      </c>
    </row>
    <row r="1327" customFormat="false" ht="12" hidden="false" customHeight="false" outlineLevel="0" collapsed="false">
      <c r="A1327" s="203" t="s">
        <v>3674</v>
      </c>
      <c r="B1327" s="203" t="s">
        <v>3675</v>
      </c>
    </row>
    <row r="1328" customFormat="false" ht="12" hidden="false" customHeight="false" outlineLevel="0" collapsed="false">
      <c r="A1328" s="203" t="s">
        <v>3676</v>
      </c>
      <c r="B1328" s="203" t="s">
        <v>3677</v>
      </c>
    </row>
    <row r="1329" customFormat="false" ht="12" hidden="false" customHeight="false" outlineLevel="0" collapsed="false">
      <c r="A1329" s="203" t="s">
        <v>3678</v>
      </c>
      <c r="B1329" s="203" t="s">
        <v>3679</v>
      </c>
    </row>
    <row r="1330" customFormat="false" ht="12" hidden="false" customHeight="false" outlineLevel="0" collapsed="false">
      <c r="A1330" s="203" t="s">
        <v>3680</v>
      </c>
      <c r="B1330" s="203" t="s">
        <v>3681</v>
      </c>
    </row>
    <row r="1331" customFormat="false" ht="12" hidden="false" customHeight="false" outlineLevel="0" collapsed="false">
      <c r="A1331" s="203" t="s">
        <v>3682</v>
      </c>
      <c r="B1331" s="203" t="s">
        <v>3683</v>
      </c>
    </row>
    <row r="1332" customFormat="false" ht="12" hidden="false" customHeight="false" outlineLevel="0" collapsed="false">
      <c r="A1332" s="203" t="s">
        <v>3684</v>
      </c>
      <c r="B1332" s="203" t="s">
        <v>3685</v>
      </c>
    </row>
    <row r="1333" customFormat="false" ht="12" hidden="false" customHeight="false" outlineLevel="0" collapsed="false">
      <c r="A1333" s="203" t="s">
        <v>3686</v>
      </c>
      <c r="B1333" s="203" t="s">
        <v>3687</v>
      </c>
    </row>
    <row r="1334" customFormat="false" ht="12" hidden="false" customHeight="false" outlineLevel="0" collapsed="false">
      <c r="A1334" s="203" t="s">
        <v>3688</v>
      </c>
      <c r="B1334" s="203" t="s">
        <v>3689</v>
      </c>
    </row>
    <row r="1335" customFormat="false" ht="12" hidden="false" customHeight="false" outlineLevel="0" collapsed="false">
      <c r="A1335" s="203" t="s">
        <v>3690</v>
      </c>
      <c r="B1335" s="203" t="s">
        <v>3691</v>
      </c>
    </row>
    <row r="1336" customFormat="false" ht="12" hidden="false" customHeight="false" outlineLevel="0" collapsed="false">
      <c r="A1336" s="203" t="s">
        <v>3692</v>
      </c>
      <c r="B1336" s="203" t="s">
        <v>3693</v>
      </c>
    </row>
    <row r="1337" customFormat="false" ht="12" hidden="false" customHeight="false" outlineLevel="0" collapsed="false">
      <c r="A1337" s="203" t="s">
        <v>3694</v>
      </c>
      <c r="B1337" s="203" t="s">
        <v>3695</v>
      </c>
    </row>
    <row r="1338" customFormat="false" ht="12" hidden="false" customHeight="false" outlineLevel="0" collapsed="false">
      <c r="A1338" s="203" t="s">
        <v>3696</v>
      </c>
      <c r="B1338" s="203" t="s">
        <v>3697</v>
      </c>
    </row>
    <row r="1339" customFormat="false" ht="12" hidden="false" customHeight="false" outlineLevel="0" collapsed="false">
      <c r="A1339" s="203" t="s">
        <v>3698</v>
      </c>
      <c r="B1339" s="203" t="s">
        <v>3699</v>
      </c>
    </row>
    <row r="1340" customFormat="false" ht="12" hidden="false" customHeight="false" outlineLevel="0" collapsed="false">
      <c r="A1340" s="203" t="s">
        <v>3700</v>
      </c>
      <c r="B1340" s="203" t="s">
        <v>3701</v>
      </c>
    </row>
    <row r="1341" customFormat="false" ht="12" hidden="false" customHeight="false" outlineLevel="0" collapsed="false">
      <c r="A1341" s="203" t="s">
        <v>3702</v>
      </c>
      <c r="B1341" s="203" t="s">
        <v>3703</v>
      </c>
    </row>
    <row r="1342" customFormat="false" ht="12" hidden="false" customHeight="false" outlineLevel="0" collapsed="false">
      <c r="A1342" s="203" t="s">
        <v>3704</v>
      </c>
      <c r="B1342" s="203" t="s">
        <v>3705</v>
      </c>
    </row>
    <row r="1343" customFormat="false" ht="12" hidden="false" customHeight="false" outlineLevel="0" collapsed="false">
      <c r="A1343" s="203" t="s">
        <v>3706</v>
      </c>
      <c r="B1343" s="203" t="s">
        <v>3707</v>
      </c>
    </row>
    <row r="1344" customFormat="false" ht="12" hidden="false" customHeight="false" outlineLevel="0" collapsed="false">
      <c r="A1344" s="203" t="s">
        <v>3708</v>
      </c>
      <c r="B1344" s="203" t="s">
        <v>3709</v>
      </c>
    </row>
    <row r="1345" customFormat="false" ht="12" hidden="false" customHeight="false" outlineLevel="0" collapsed="false">
      <c r="A1345" s="203" t="s">
        <v>3710</v>
      </c>
      <c r="B1345" s="203" t="s">
        <v>3711</v>
      </c>
    </row>
    <row r="1346" customFormat="false" ht="12" hidden="false" customHeight="false" outlineLevel="0" collapsed="false">
      <c r="A1346" s="203" t="s">
        <v>3712</v>
      </c>
      <c r="B1346" s="203" t="s">
        <v>3713</v>
      </c>
    </row>
    <row r="1347" customFormat="false" ht="12" hidden="false" customHeight="false" outlineLevel="0" collapsed="false">
      <c r="A1347" s="203" t="s">
        <v>3714</v>
      </c>
      <c r="B1347" s="203" t="s">
        <v>3715</v>
      </c>
    </row>
    <row r="1348" customFormat="false" ht="12" hidden="false" customHeight="false" outlineLevel="0" collapsed="false">
      <c r="A1348" s="203" t="s">
        <v>3716</v>
      </c>
      <c r="B1348" s="203" t="s">
        <v>3717</v>
      </c>
    </row>
    <row r="1349" customFormat="false" ht="12" hidden="false" customHeight="false" outlineLevel="0" collapsed="false">
      <c r="A1349" s="203" t="s">
        <v>3718</v>
      </c>
      <c r="B1349" s="203" t="s">
        <v>3719</v>
      </c>
    </row>
    <row r="1350" customFormat="false" ht="12" hidden="false" customHeight="false" outlineLevel="0" collapsed="false">
      <c r="A1350" s="203" t="s">
        <v>3720</v>
      </c>
      <c r="B1350" s="203" t="s">
        <v>3721</v>
      </c>
    </row>
    <row r="1351" customFormat="false" ht="12" hidden="false" customHeight="false" outlineLevel="0" collapsed="false">
      <c r="A1351" s="203" t="s">
        <v>3722</v>
      </c>
      <c r="B1351" s="203" t="s">
        <v>3723</v>
      </c>
    </row>
    <row r="1352" customFormat="false" ht="12" hidden="false" customHeight="false" outlineLevel="0" collapsed="false">
      <c r="A1352" s="203" t="s">
        <v>3724</v>
      </c>
      <c r="B1352" s="203" t="s">
        <v>3725</v>
      </c>
    </row>
    <row r="1353" customFormat="false" ht="12" hidden="false" customHeight="false" outlineLevel="0" collapsed="false">
      <c r="A1353" s="203" t="s">
        <v>3726</v>
      </c>
      <c r="B1353" s="203" t="s">
        <v>3727</v>
      </c>
    </row>
    <row r="1354" customFormat="false" ht="12" hidden="false" customHeight="false" outlineLevel="0" collapsed="false">
      <c r="A1354" s="203" t="s">
        <v>3728</v>
      </c>
      <c r="B1354" s="203" t="s">
        <v>3729</v>
      </c>
    </row>
    <row r="1355" customFormat="false" ht="12" hidden="false" customHeight="false" outlineLevel="0" collapsed="false">
      <c r="A1355" s="203" t="s">
        <v>3730</v>
      </c>
      <c r="B1355" s="203" t="s">
        <v>843</v>
      </c>
    </row>
    <row r="1356" customFormat="false" ht="12" hidden="false" customHeight="false" outlineLevel="0" collapsed="false">
      <c r="A1356" s="203" t="s">
        <v>3731</v>
      </c>
      <c r="B1356" s="203" t="s">
        <v>3732</v>
      </c>
    </row>
    <row r="1357" customFormat="false" ht="12" hidden="false" customHeight="false" outlineLevel="0" collapsed="false">
      <c r="A1357" s="203" t="s">
        <v>3733</v>
      </c>
      <c r="B1357" s="203" t="s">
        <v>848</v>
      </c>
    </row>
    <row r="1358" customFormat="false" ht="12" hidden="false" customHeight="false" outlineLevel="0" collapsed="false">
      <c r="A1358" s="203" t="s">
        <v>3734</v>
      </c>
      <c r="B1358" s="203" t="s">
        <v>3735</v>
      </c>
    </row>
    <row r="1359" customFormat="false" ht="12" hidden="false" customHeight="false" outlineLevel="0" collapsed="false">
      <c r="A1359" s="203" t="s">
        <v>3736</v>
      </c>
      <c r="B1359" s="203" t="s">
        <v>3737</v>
      </c>
    </row>
    <row r="1360" customFormat="false" ht="12" hidden="false" customHeight="false" outlineLevel="0" collapsed="false">
      <c r="A1360" s="203" t="s">
        <v>3738</v>
      </c>
      <c r="B1360" s="203" t="s">
        <v>3739</v>
      </c>
    </row>
    <row r="1361" customFormat="false" ht="12" hidden="false" customHeight="false" outlineLevel="0" collapsed="false">
      <c r="A1361" s="203" t="s">
        <v>3740</v>
      </c>
      <c r="B1361" s="203" t="s">
        <v>3741</v>
      </c>
    </row>
    <row r="1362" customFormat="false" ht="12" hidden="false" customHeight="false" outlineLevel="0" collapsed="false">
      <c r="A1362" s="203" t="s">
        <v>3742</v>
      </c>
      <c r="B1362" s="203" t="s">
        <v>3743</v>
      </c>
    </row>
    <row r="1363" customFormat="false" ht="12" hidden="false" customHeight="false" outlineLevel="0" collapsed="false">
      <c r="A1363" s="203" t="s">
        <v>3744</v>
      </c>
      <c r="B1363" s="203" t="s">
        <v>3745</v>
      </c>
    </row>
    <row r="1364" customFormat="false" ht="12" hidden="false" customHeight="false" outlineLevel="0" collapsed="false">
      <c r="A1364" s="203" t="s">
        <v>3746</v>
      </c>
      <c r="B1364" s="203" t="s">
        <v>3747</v>
      </c>
    </row>
    <row r="1365" customFormat="false" ht="12" hidden="false" customHeight="false" outlineLevel="0" collapsed="false">
      <c r="A1365" s="203" t="s">
        <v>3748</v>
      </c>
      <c r="B1365" s="203" t="s">
        <v>3749</v>
      </c>
    </row>
    <row r="1366" customFormat="false" ht="12" hidden="false" customHeight="false" outlineLevel="0" collapsed="false">
      <c r="A1366" s="203" t="s">
        <v>3750</v>
      </c>
      <c r="B1366" s="203" t="s">
        <v>3751</v>
      </c>
    </row>
    <row r="1367" customFormat="false" ht="12" hidden="false" customHeight="false" outlineLevel="0" collapsed="false">
      <c r="A1367" s="203" t="s">
        <v>3752</v>
      </c>
      <c r="B1367" s="203" t="s">
        <v>3753</v>
      </c>
    </row>
    <row r="1368" customFormat="false" ht="12" hidden="false" customHeight="false" outlineLevel="0" collapsed="false">
      <c r="A1368" s="203" t="s">
        <v>3754</v>
      </c>
      <c r="B1368" s="203" t="s">
        <v>3755</v>
      </c>
    </row>
    <row r="1369" customFormat="false" ht="12" hidden="false" customHeight="false" outlineLevel="0" collapsed="false">
      <c r="A1369" s="203" t="s">
        <v>3756</v>
      </c>
      <c r="B1369" s="203" t="s">
        <v>3757</v>
      </c>
    </row>
    <row r="1370" customFormat="false" ht="12" hidden="false" customHeight="false" outlineLevel="0" collapsed="false">
      <c r="A1370" s="203" t="s">
        <v>3758</v>
      </c>
      <c r="B1370" s="203" t="s">
        <v>3759</v>
      </c>
    </row>
    <row r="1371" customFormat="false" ht="12" hidden="false" customHeight="false" outlineLevel="0" collapsed="false">
      <c r="A1371" s="203" t="s">
        <v>3760</v>
      </c>
      <c r="B1371" s="203" t="s">
        <v>3761</v>
      </c>
    </row>
    <row r="1372" customFormat="false" ht="12" hidden="false" customHeight="false" outlineLevel="0" collapsed="false">
      <c r="A1372" s="203" t="s">
        <v>3762</v>
      </c>
      <c r="B1372" s="203" t="s">
        <v>3763</v>
      </c>
    </row>
    <row r="1373" customFormat="false" ht="12" hidden="false" customHeight="false" outlineLevel="0" collapsed="false">
      <c r="A1373" s="203" t="s">
        <v>3764</v>
      </c>
      <c r="B1373" s="203" t="s">
        <v>3765</v>
      </c>
    </row>
    <row r="1374" customFormat="false" ht="12" hidden="false" customHeight="false" outlineLevel="0" collapsed="false">
      <c r="A1374" s="203" t="s">
        <v>3766</v>
      </c>
      <c r="B1374" s="203" t="s">
        <v>3767</v>
      </c>
    </row>
    <row r="1375" customFormat="false" ht="12" hidden="false" customHeight="false" outlineLevel="0" collapsed="false">
      <c r="A1375" s="203" t="s">
        <v>3768</v>
      </c>
      <c r="B1375" s="203" t="s">
        <v>3769</v>
      </c>
    </row>
    <row r="1376" customFormat="false" ht="12" hidden="false" customHeight="false" outlineLevel="0" collapsed="false">
      <c r="A1376" s="203" t="s">
        <v>3770</v>
      </c>
      <c r="B1376" s="203" t="s">
        <v>3771</v>
      </c>
    </row>
    <row r="1377" customFormat="false" ht="12" hidden="false" customHeight="false" outlineLevel="0" collapsed="false">
      <c r="A1377" s="203" t="s">
        <v>3772</v>
      </c>
      <c r="B1377" s="203" t="s">
        <v>3773</v>
      </c>
    </row>
    <row r="1378" customFormat="false" ht="12" hidden="false" customHeight="false" outlineLevel="0" collapsed="false">
      <c r="A1378" s="203" t="s">
        <v>3774</v>
      </c>
      <c r="B1378" s="203" t="s">
        <v>3775</v>
      </c>
    </row>
    <row r="1379" customFormat="false" ht="12" hidden="false" customHeight="false" outlineLevel="0" collapsed="false">
      <c r="A1379" s="203" t="s">
        <v>3776</v>
      </c>
      <c r="B1379" s="203" t="s">
        <v>3777</v>
      </c>
    </row>
    <row r="1380" customFormat="false" ht="12" hidden="false" customHeight="false" outlineLevel="0" collapsed="false">
      <c r="A1380" s="203" t="s">
        <v>3778</v>
      </c>
      <c r="B1380" s="203" t="s">
        <v>3779</v>
      </c>
    </row>
    <row r="1381" customFormat="false" ht="12" hidden="false" customHeight="false" outlineLevel="0" collapsed="false">
      <c r="A1381" s="203" t="s">
        <v>3780</v>
      </c>
      <c r="B1381" s="203" t="s">
        <v>3781</v>
      </c>
    </row>
    <row r="1382" customFormat="false" ht="12" hidden="false" customHeight="false" outlineLevel="0" collapsed="false">
      <c r="A1382" s="203" t="s">
        <v>3782</v>
      </c>
      <c r="B1382" s="203" t="s">
        <v>3783</v>
      </c>
    </row>
    <row r="1383" customFormat="false" ht="12" hidden="false" customHeight="false" outlineLevel="0" collapsed="false">
      <c r="A1383" s="203" t="s">
        <v>3784</v>
      </c>
      <c r="B1383" s="203" t="s">
        <v>3785</v>
      </c>
    </row>
    <row r="1384" customFormat="false" ht="12" hidden="false" customHeight="false" outlineLevel="0" collapsed="false">
      <c r="A1384" s="203" t="s">
        <v>3786</v>
      </c>
      <c r="B1384" s="203" t="s">
        <v>3787</v>
      </c>
    </row>
    <row r="1385" customFormat="false" ht="12" hidden="false" customHeight="false" outlineLevel="0" collapsed="false">
      <c r="A1385" s="203" t="s">
        <v>3788</v>
      </c>
      <c r="B1385" s="203" t="s">
        <v>1410</v>
      </c>
    </row>
    <row r="1386" customFormat="false" ht="12" hidden="false" customHeight="false" outlineLevel="0" collapsed="false">
      <c r="A1386" s="203" t="s">
        <v>3789</v>
      </c>
      <c r="B1386" s="203" t="s">
        <v>3790</v>
      </c>
    </row>
    <row r="1387" customFormat="false" ht="12" hidden="false" customHeight="false" outlineLevel="0" collapsed="false">
      <c r="A1387" s="203" t="s">
        <v>3791</v>
      </c>
      <c r="B1387" s="203" t="s">
        <v>853</v>
      </c>
    </row>
    <row r="1388" customFormat="false" ht="12" hidden="false" customHeight="false" outlineLevel="0" collapsed="false">
      <c r="A1388" s="203" t="s">
        <v>3792</v>
      </c>
      <c r="B1388" s="203" t="s">
        <v>3793</v>
      </c>
    </row>
    <row r="1389" customFormat="false" ht="12" hidden="false" customHeight="false" outlineLevel="0" collapsed="false">
      <c r="A1389" s="203" t="s">
        <v>3794</v>
      </c>
      <c r="B1389" s="203" t="s">
        <v>858</v>
      </c>
    </row>
    <row r="1390" customFormat="false" ht="12" hidden="false" customHeight="false" outlineLevel="0" collapsed="false">
      <c r="A1390" s="203" t="s">
        <v>3795</v>
      </c>
      <c r="B1390" s="203" t="s">
        <v>3796</v>
      </c>
    </row>
    <row r="1391" customFormat="false" ht="12" hidden="false" customHeight="false" outlineLevel="0" collapsed="false">
      <c r="A1391" s="203" t="s">
        <v>3797</v>
      </c>
      <c r="B1391" s="203" t="s">
        <v>863</v>
      </c>
    </row>
    <row r="1392" customFormat="false" ht="12" hidden="false" customHeight="false" outlineLevel="0" collapsed="false">
      <c r="A1392" s="203" t="s">
        <v>3798</v>
      </c>
      <c r="B1392" s="203" t="s">
        <v>868</v>
      </c>
    </row>
    <row r="1393" customFormat="false" ht="12" hidden="false" customHeight="false" outlineLevel="0" collapsed="false">
      <c r="A1393" s="203" t="s">
        <v>3799</v>
      </c>
      <c r="B1393" s="203" t="s">
        <v>120</v>
      </c>
    </row>
    <row r="1394" customFormat="false" ht="12" hidden="false" customHeight="false" outlineLevel="0" collapsed="false">
      <c r="A1394" s="203" t="s">
        <v>3800</v>
      </c>
      <c r="B1394" s="203" t="s">
        <v>3801</v>
      </c>
    </row>
    <row r="1395" customFormat="false" ht="12" hidden="false" customHeight="false" outlineLevel="0" collapsed="false">
      <c r="A1395" s="203" t="s">
        <v>3802</v>
      </c>
      <c r="B1395" s="203" t="s">
        <v>3803</v>
      </c>
    </row>
    <row r="1396" customFormat="false" ht="12" hidden="false" customHeight="false" outlineLevel="0" collapsed="false">
      <c r="A1396" s="203" t="s">
        <v>3804</v>
      </c>
      <c r="B1396" s="203" t="s">
        <v>3805</v>
      </c>
    </row>
    <row r="1397" customFormat="false" ht="12" hidden="false" customHeight="false" outlineLevel="0" collapsed="false">
      <c r="A1397" s="203" t="s">
        <v>3806</v>
      </c>
      <c r="B1397" s="203" t="s">
        <v>873</v>
      </c>
    </row>
    <row r="1398" customFormat="false" ht="12" hidden="false" customHeight="false" outlineLevel="0" collapsed="false">
      <c r="A1398" s="203" t="s">
        <v>3807</v>
      </c>
      <c r="B1398" s="203" t="s">
        <v>3808</v>
      </c>
    </row>
    <row r="1399" customFormat="false" ht="12" hidden="false" customHeight="false" outlineLevel="0" collapsed="false">
      <c r="A1399" s="203" t="s">
        <v>3809</v>
      </c>
      <c r="B1399" s="203" t="s">
        <v>3810</v>
      </c>
    </row>
    <row r="1400" customFormat="false" ht="12" hidden="false" customHeight="false" outlineLevel="0" collapsed="false">
      <c r="A1400" s="203" t="s">
        <v>3811</v>
      </c>
      <c r="B1400" s="203" t="s">
        <v>3812</v>
      </c>
    </row>
    <row r="1401" customFormat="false" ht="12" hidden="false" customHeight="false" outlineLevel="0" collapsed="false">
      <c r="A1401" s="203" t="s">
        <v>3813</v>
      </c>
      <c r="B1401" s="203" t="s">
        <v>3814</v>
      </c>
    </row>
    <row r="1402" customFormat="false" ht="12" hidden="false" customHeight="false" outlineLevel="0" collapsed="false">
      <c r="A1402" s="203" t="s">
        <v>3815</v>
      </c>
      <c r="B1402" s="203" t="s">
        <v>3816</v>
      </c>
    </row>
    <row r="1403" customFormat="false" ht="12" hidden="false" customHeight="false" outlineLevel="0" collapsed="false">
      <c r="A1403" s="203" t="s">
        <v>3817</v>
      </c>
      <c r="B1403" s="203" t="s">
        <v>3818</v>
      </c>
    </row>
    <row r="1404" customFormat="false" ht="12" hidden="false" customHeight="false" outlineLevel="0" collapsed="false">
      <c r="A1404" s="203" t="s">
        <v>3819</v>
      </c>
      <c r="B1404" s="203" t="s">
        <v>3820</v>
      </c>
    </row>
    <row r="1405" customFormat="false" ht="12" hidden="false" customHeight="false" outlineLevel="0" collapsed="false">
      <c r="A1405" s="203" t="s">
        <v>3821</v>
      </c>
      <c r="B1405" s="203" t="s">
        <v>3822</v>
      </c>
    </row>
    <row r="1406" customFormat="false" ht="12" hidden="false" customHeight="false" outlineLevel="0" collapsed="false">
      <c r="A1406" s="203" t="s">
        <v>3823</v>
      </c>
      <c r="B1406" s="203" t="s">
        <v>3824</v>
      </c>
    </row>
    <row r="1407" customFormat="false" ht="12" hidden="false" customHeight="false" outlineLevel="0" collapsed="false">
      <c r="A1407" s="203" t="s">
        <v>3825</v>
      </c>
      <c r="B1407" s="203" t="s">
        <v>3826</v>
      </c>
    </row>
    <row r="1408" customFormat="false" ht="12" hidden="false" customHeight="false" outlineLevel="0" collapsed="false">
      <c r="A1408" s="203" t="s">
        <v>3827</v>
      </c>
      <c r="B1408" s="203" t="s">
        <v>3828</v>
      </c>
    </row>
    <row r="1409" customFormat="false" ht="12" hidden="false" customHeight="false" outlineLevel="0" collapsed="false">
      <c r="A1409" s="203" t="s">
        <v>3829</v>
      </c>
      <c r="B1409" s="203" t="s">
        <v>3830</v>
      </c>
    </row>
    <row r="1410" customFormat="false" ht="12" hidden="false" customHeight="false" outlineLevel="0" collapsed="false">
      <c r="A1410" s="203" t="s">
        <v>3831</v>
      </c>
      <c r="B1410" s="203" t="s">
        <v>3832</v>
      </c>
    </row>
    <row r="1411" customFormat="false" ht="12" hidden="false" customHeight="false" outlineLevel="0" collapsed="false">
      <c r="A1411" s="203" t="s">
        <v>3833</v>
      </c>
      <c r="B1411" s="203" t="s">
        <v>3834</v>
      </c>
    </row>
    <row r="1412" customFormat="false" ht="12" hidden="false" customHeight="false" outlineLevel="0" collapsed="false">
      <c r="A1412" s="203" t="s">
        <v>3835</v>
      </c>
      <c r="B1412" s="203" t="s">
        <v>3836</v>
      </c>
    </row>
    <row r="1413" customFormat="false" ht="12" hidden="false" customHeight="false" outlineLevel="0" collapsed="false">
      <c r="A1413" s="203" t="s">
        <v>3837</v>
      </c>
      <c r="B1413" s="203" t="s">
        <v>3838</v>
      </c>
    </row>
    <row r="1414" customFormat="false" ht="12" hidden="false" customHeight="false" outlineLevel="0" collapsed="false">
      <c r="A1414" s="203" t="s">
        <v>3839</v>
      </c>
      <c r="B1414" s="203" t="s">
        <v>3840</v>
      </c>
    </row>
    <row r="1415" customFormat="false" ht="12" hidden="false" customHeight="false" outlineLevel="0" collapsed="false">
      <c r="A1415" s="203" t="s">
        <v>3841</v>
      </c>
      <c r="B1415" s="203" t="s">
        <v>3842</v>
      </c>
    </row>
    <row r="1416" customFormat="false" ht="12" hidden="false" customHeight="false" outlineLevel="0" collapsed="false">
      <c r="A1416" s="203" t="s">
        <v>3843</v>
      </c>
      <c r="B1416" s="203" t="s">
        <v>3844</v>
      </c>
    </row>
    <row r="1417" customFormat="false" ht="12" hidden="false" customHeight="false" outlineLevel="0" collapsed="false">
      <c r="A1417" s="203" t="s">
        <v>3845</v>
      </c>
      <c r="B1417" s="203" t="s">
        <v>3846</v>
      </c>
    </row>
    <row r="1418" customFormat="false" ht="12" hidden="false" customHeight="false" outlineLevel="0" collapsed="false">
      <c r="A1418" s="203" t="s">
        <v>3847</v>
      </c>
      <c r="B1418" s="203" t="s">
        <v>3848</v>
      </c>
    </row>
    <row r="1419" customFormat="false" ht="12" hidden="false" customHeight="false" outlineLevel="0" collapsed="false">
      <c r="A1419" s="203" t="s">
        <v>3849</v>
      </c>
      <c r="B1419" s="203" t="s">
        <v>3850</v>
      </c>
    </row>
    <row r="1420" customFormat="false" ht="12" hidden="false" customHeight="false" outlineLevel="0" collapsed="false">
      <c r="A1420" s="203" t="s">
        <v>3851</v>
      </c>
      <c r="B1420" s="203" t="s">
        <v>3852</v>
      </c>
    </row>
    <row r="1421" customFormat="false" ht="12" hidden="false" customHeight="false" outlineLevel="0" collapsed="false">
      <c r="A1421" s="203" t="s">
        <v>3853</v>
      </c>
      <c r="B1421" s="203" t="s">
        <v>3854</v>
      </c>
    </row>
    <row r="1422" customFormat="false" ht="12" hidden="false" customHeight="false" outlineLevel="0" collapsed="false">
      <c r="A1422" s="203" t="s">
        <v>3855</v>
      </c>
      <c r="B1422" s="203" t="s">
        <v>3856</v>
      </c>
    </row>
    <row r="1423" customFormat="false" ht="12" hidden="false" customHeight="false" outlineLevel="0" collapsed="false">
      <c r="A1423" s="203" t="s">
        <v>3857</v>
      </c>
      <c r="B1423" s="203" t="s">
        <v>3858</v>
      </c>
    </row>
    <row r="1424" customFormat="false" ht="12" hidden="false" customHeight="false" outlineLevel="0" collapsed="false">
      <c r="A1424" s="203" t="s">
        <v>3859</v>
      </c>
      <c r="B1424" s="203" t="s">
        <v>3860</v>
      </c>
    </row>
    <row r="1425" customFormat="false" ht="12" hidden="false" customHeight="false" outlineLevel="0" collapsed="false">
      <c r="A1425" s="203" t="s">
        <v>3861</v>
      </c>
      <c r="B1425" s="203" t="s">
        <v>3862</v>
      </c>
    </row>
    <row r="1426" customFormat="false" ht="12" hidden="false" customHeight="false" outlineLevel="0" collapsed="false">
      <c r="A1426" s="203" t="s">
        <v>3863</v>
      </c>
      <c r="B1426" s="203" t="s">
        <v>3864</v>
      </c>
    </row>
    <row r="1427" customFormat="false" ht="12" hidden="false" customHeight="false" outlineLevel="0" collapsed="false">
      <c r="A1427" s="203" t="s">
        <v>3865</v>
      </c>
      <c r="B1427" s="203" t="s">
        <v>3866</v>
      </c>
    </row>
    <row r="1428" customFormat="false" ht="12" hidden="false" customHeight="false" outlineLevel="0" collapsed="false">
      <c r="A1428" s="203" t="s">
        <v>3867</v>
      </c>
      <c r="B1428" s="203" t="s">
        <v>3868</v>
      </c>
    </row>
    <row r="1429" customFormat="false" ht="12" hidden="false" customHeight="false" outlineLevel="0" collapsed="false">
      <c r="A1429" s="203" t="s">
        <v>3869</v>
      </c>
      <c r="B1429" s="203" t="s">
        <v>3870</v>
      </c>
    </row>
    <row r="1430" customFormat="false" ht="12" hidden="false" customHeight="false" outlineLevel="0" collapsed="false">
      <c r="A1430" s="203" t="s">
        <v>3871</v>
      </c>
      <c r="B1430" s="203" t="s">
        <v>3872</v>
      </c>
    </row>
    <row r="1431" customFormat="false" ht="12" hidden="false" customHeight="false" outlineLevel="0" collapsed="false">
      <c r="A1431" s="203" t="s">
        <v>3873</v>
      </c>
      <c r="B1431" s="203" t="s">
        <v>3874</v>
      </c>
    </row>
    <row r="1432" customFormat="false" ht="12" hidden="false" customHeight="false" outlineLevel="0" collapsed="false">
      <c r="A1432" s="203" t="s">
        <v>3875</v>
      </c>
      <c r="B1432" s="203" t="s">
        <v>3876</v>
      </c>
    </row>
    <row r="1433" customFormat="false" ht="12" hidden="false" customHeight="false" outlineLevel="0" collapsed="false">
      <c r="A1433" s="203" t="s">
        <v>3877</v>
      </c>
      <c r="B1433" s="203" t="s">
        <v>3878</v>
      </c>
    </row>
    <row r="1434" customFormat="false" ht="12" hidden="false" customHeight="false" outlineLevel="0" collapsed="false">
      <c r="A1434" s="203" t="s">
        <v>3879</v>
      </c>
      <c r="B1434" s="203" t="s">
        <v>3880</v>
      </c>
    </row>
    <row r="1435" customFormat="false" ht="12" hidden="false" customHeight="false" outlineLevel="0" collapsed="false">
      <c r="A1435" s="203" t="s">
        <v>3881</v>
      </c>
      <c r="B1435" s="203" t="s">
        <v>3882</v>
      </c>
    </row>
    <row r="1436" customFormat="false" ht="12" hidden="false" customHeight="false" outlineLevel="0" collapsed="false">
      <c r="A1436" s="203" t="s">
        <v>3883</v>
      </c>
      <c r="B1436" s="203" t="s">
        <v>3884</v>
      </c>
    </row>
    <row r="1437" customFormat="false" ht="12" hidden="false" customHeight="false" outlineLevel="0" collapsed="false">
      <c r="A1437" s="203" t="s">
        <v>3885</v>
      </c>
      <c r="B1437" s="203" t="s">
        <v>3886</v>
      </c>
    </row>
    <row r="1438" customFormat="false" ht="12" hidden="false" customHeight="false" outlineLevel="0" collapsed="false">
      <c r="A1438" s="203" t="s">
        <v>3887</v>
      </c>
      <c r="B1438" s="203" t="s">
        <v>3888</v>
      </c>
    </row>
    <row r="1439" customFormat="false" ht="12" hidden="false" customHeight="false" outlineLevel="0" collapsed="false">
      <c r="A1439" s="203" t="s">
        <v>3889</v>
      </c>
      <c r="B1439" s="203" t="s">
        <v>3890</v>
      </c>
    </row>
    <row r="1440" customFormat="false" ht="12" hidden="false" customHeight="false" outlineLevel="0" collapsed="false">
      <c r="A1440" s="203" t="s">
        <v>3891</v>
      </c>
      <c r="B1440" s="203" t="s">
        <v>3892</v>
      </c>
    </row>
    <row r="1441" customFormat="false" ht="12" hidden="false" customHeight="false" outlineLevel="0" collapsed="false">
      <c r="A1441" s="203" t="s">
        <v>3893</v>
      </c>
      <c r="B1441" s="203" t="s">
        <v>3894</v>
      </c>
    </row>
    <row r="1442" customFormat="false" ht="12" hidden="false" customHeight="false" outlineLevel="0" collapsed="false">
      <c r="A1442" s="203" t="s">
        <v>3895</v>
      </c>
      <c r="B1442" s="203" t="s">
        <v>3896</v>
      </c>
    </row>
    <row r="1443" customFormat="false" ht="12" hidden="false" customHeight="false" outlineLevel="0" collapsed="false">
      <c r="A1443" s="203" t="s">
        <v>3897</v>
      </c>
      <c r="B1443" s="203" t="s">
        <v>3898</v>
      </c>
    </row>
    <row r="1444" customFormat="false" ht="12" hidden="false" customHeight="false" outlineLevel="0" collapsed="false">
      <c r="A1444" s="203" t="s">
        <v>3899</v>
      </c>
      <c r="B1444" s="203" t="s">
        <v>3900</v>
      </c>
    </row>
    <row r="1445" customFormat="false" ht="12" hidden="false" customHeight="false" outlineLevel="0" collapsed="false">
      <c r="A1445" s="203" t="s">
        <v>3901</v>
      </c>
      <c r="B1445" s="203" t="s">
        <v>3902</v>
      </c>
    </row>
    <row r="1446" customFormat="false" ht="12" hidden="false" customHeight="false" outlineLevel="0" collapsed="false">
      <c r="A1446" s="203" t="s">
        <v>3903</v>
      </c>
      <c r="B1446" s="203" t="s">
        <v>3904</v>
      </c>
    </row>
    <row r="1447" customFormat="false" ht="12" hidden="false" customHeight="false" outlineLevel="0" collapsed="false">
      <c r="A1447" s="203" t="s">
        <v>3905</v>
      </c>
      <c r="B1447" s="203" t="s">
        <v>3906</v>
      </c>
    </row>
    <row r="1448" customFormat="false" ht="12" hidden="false" customHeight="false" outlineLevel="0" collapsed="false">
      <c r="A1448" s="203" t="s">
        <v>3907</v>
      </c>
      <c r="B1448" s="203" t="s">
        <v>3908</v>
      </c>
    </row>
    <row r="1449" customFormat="false" ht="12" hidden="false" customHeight="false" outlineLevel="0" collapsed="false">
      <c r="A1449" s="203" t="s">
        <v>3909</v>
      </c>
      <c r="B1449" s="203" t="s">
        <v>3910</v>
      </c>
    </row>
    <row r="1450" customFormat="false" ht="12" hidden="false" customHeight="false" outlineLevel="0" collapsed="false">
      <c r="A1450" s="203" t="s">
        <v>3911</v>
      </c>
      <c r="B1450" s="203" t="s">
        <v>3912</v>
      </c>
    </row>
    <row r="1451" customFormat="false" ht="12" hidden="false" customHeight="false" outlineLevel="0" collapsed="false">
      <c r="A1451" s="203" t="s">
        <v>3913</v>
      </c>
      <c r="B1451" s="203" t="s">
        <v>3914</v>
      </c>
    </row>
    <row r="1452" customFormat="false" ht="12" hidden="false" customHeight="false" outlineLevel="0" collapsed="false">
      <c r="A1452" s="203" t="s">
        <v>3915</v>
      </c>
      <c r="B1452" s="203" t="s">
        <v>3916</v>
      </c>
    </row>
    <row r="1453" customFormat="false" ht="12" hidden="false" customHeight="false" outlineLevel="0" collapsed="false">
      <c r="A1453" s="203" t="s">
        <v>3917</v>
      </c>
      <c r="B1453" s="203" t="s">
        <v>3918</v>
      </c>
    </row>
    <row r="1454" customFormat="false" ht="12" hidden="false" customHeight="false" outlineLevel="0" collapsed="false">
      <c r="A1454" s="203" t="s">
        <v>3919</v>
      </c>
      <c r="B1454" s="203" t="s">
        <v>3920</v>
      </c>
    </row>
    <row r="1455" customFormat="false" ht="12" hidden="false" customHeight="false" outlineLevel="0" collapsed="false">
      <c r="A1455" s="203" t="s">
        <v>3921</v>
      </c>
      <c r="B1455" s="203" t="s">
        <v>3922</v>
      </c>
    </row>
    <row r="1456" customFormat="false" ht="12" hidden="false" customHeight="false" outlineLevel="0" collapsed="false">
      <c r="A1456" s="203" t="s">
        <v>3923</v>
      </c>
      <c r="B1456" s="203" t="s">
        <v>3924</v>
      </c>
    </row>
    <row r="1457" customFormat="false" ht="12" hidden="false" customHeight="false" outlineLevel="0" collapsed="false">
      <c r="A1457" s="203" t="s">
        <v>3925</v>
      </c>
      <c r="B1457" s="203" t="s">
        <v>3926</v>
      </c>
    </row>
    <row r="1458" customFormat="false" ht="12" hidden="false" customHeight="false" outlineLevel="0" collapsed="false">
      <c r="A1458" s="203" t="s">
        <v>3927</v>
      </c>
    </row>
    <row r="1459" customFormat="false" ht="12" hidden="false" customHeight="false" outlineLevel="0" collapsed="false">
      <c r="A1459" s="203" t="s">
        <v>3928</v>
      </c>
    </row>
    <row r="1460" customFormat="false" ht="12" hidden="false" customHeight="false" outlineLevel="0" collapsed="false">
      <c r="A1460" s="203" t="s">
        <v>3929</v>
      </c>
    </row>
    <row r="1461" customFormat="false" ht="12" hidden="false" customHeight="false" outlineLevel="0" collapsed="false">
      <c r="A1461" s="203" t="s">
        <v>3930</v>
      </c>
    </row>
    <row r="1462" customFormat="false" ht="12" hidden="false" customHeight="false" outlineLevel="0" collapsed="false">
      <c r="A1462" s="203" t="s">
        <v>3931</v>
      </c>
    </row>
    <row r="1463" customFormat="false" ht="12" hidden="false" customHeight="false" outlineLevel="0" collapsed="false">
      <c r="A1463" s="203" t="s">
        <v>3932</v>
      </c>
    </row>
    <row r="1464" customFormat="false" ht="12" hidden="false" customHeight="false" outlineLevel="0" collapsed="false">
      <c r="A1464" s="203" t="s">
        <v>3933</v>
      </c>
    </row>
    <row r="1465" customFormat="false" ht="12" hidden="false" customHeight="false" outlineLevel="0" collapsed="false">
      <c r="A1465" s="203" t="s">
        <v>3934</v>
      </c>
    </row>
    <row r="1466" customFormat="false" ht="12" hidden="false" customHeight="false" outlineLevel="0" collapsed="false">
      <c r="A1466" s="203" t="s">
        <v>3935</v>
      </c>
    </row>
    <row r="1467" customFormat="false" ht="12" hidden="false" customHeight="false" outlineLevel="0" collapsed="false">
      <c r="A1467" s="203" t="s">
        <v>3936</v>
      </c>
    </row>
    <row r="1468" customFormat="false" ht="12" hidden="false" customHeight="false" outlineLevel="0" collapsed="false">
      <c r="A1468" s="203" t="s">
        <v>3937</v>
      </c>
    </row>
    <row r="1469" customFormat="false" ht="12" hidden="false" customHeight="false" outlineLevel="0" collapsed="false">
      <c r="A1469" s="203" t="s">
        <v>3938</v>
      </c>
    </row>
    <row r="1470" customFormat="false" ht="12" hidden="false" customHeight="false" outlineLevel="0" collapsed="false">
      <c r="A1470" s="203" t="s">
        <v>3939</v>
      </c>
    </row>
    <row r="1471" customFormat="false" ht="12" hidden="false" customHeight="false" outlineLevel="0" collapsed="false">
      <c r="A1471" s="203" t="s">
        <v>3940</v>
      </c>
    </row>
    <row r="1472" customFormat="false" ht="12" hidden="false" customHeight="false" outlineLevel="0" collapsed="false">
      <c r="A1472" s="203" t="s">
        <v>3941</v>
      </c>
    </row>
    <row r="1473" customFormat="false" ht="12" hidden="false" customHeight="false" outlineLevel="0" collapsed="false">
      <c r="A1473" s="203" t="s">
        <v>3942</v>
      </c>
    </row>
    <row r="1474" customFormat="false" ht="12" hidden="false" customHeight="false" outlineLevel="0" collapsed="false">
      <c r="A1474" s="203" t="s">
        <v>3943</v>
      </c>
    </row>
    <row r="1475" customFormat="false" ht="12" hidden="false" customHeight="false" outlineLevel="0" collapsed="false">
      <c r="A1475" s="203" t="s">
        <v>3944</v>
      </c>
    </row>
    <row r="1476" customFormat="false" ht="12" hidden="false" customHeight="false" outlineLevel="0" collapsed="false">
      <c r="A1476" s="203" t="s">
        <v>3945</v>
      </c>
    </row>
    <row r="1477" customFormat="false" ht="12" hidden="false" customHeight="false" outlineLevel="0" collapsed="false">
      <c r="A1477" s="203" t="s">
        <v>3946</v>
      </c>
    </row>
    <row r="1478" customFormat="false" ht="12" hidden="false" customHeight="false" outlineLevel="0" collapsed="false">
      <c r="A1478" s="203" t="s">
        <v>3947</v>
      </c>
    </row>
    <row r="1479" customFormat="false" ht="12" hidden="false" customHeight="false" outlineLevel="0" collapsed="false">
      <c r="A1479" s="203" t="s">
        <v>3948</v>
      </c>
    </row>
    <row r="1480" customFormat="false" ht="12" hidden="false" customHeight="false" outlineLevel="0" collapsed="false">
      <c r="A1480" s="203" t="s">
        <v>3949</v>
      </c>
    </row>
    <row r="1481" customFormat="false" ht="12" hidden="false" customHeight="false" outlineLevel="0" collapsed="false">
      <c r="A1481" s="203" t="s">
        <v>3950</v>
      </c>
    </row>
    <row r="1482" customFormat="false" ht="12" hidden="false" customHeight="false" outlineLevel="0" collapsed="false">
      <c r="A1482" s="203" t="s">
        <v>3951</v>
      </c>
    </row>
    <row r="1483" customFormat="false" ht="12" hidden="false" customHeight="false" outlineLevel="0" collapsed="false">
      <c r="A1483" s="203" t="s">
        <v>3952</v>
      </c>
    </row>
    <row r="1484" customFormat="false" ht="12" hidden="false" customHeight="false" outlineLevel="0" collapsed="false">
      <c r="A1484" s="203" t="s">
        <v>3953</v>
      </c>
    </row>
    <row r="1485" customFormat="false" ht="12" hidden="false" customHeight="false" outlineLevel="0" collapsed="false">
      <c r="A1485" s="203" t="s">
        <v>3954</v>
      </c>
    </row>
    <row r="1486" customFormat="false" ht="12" hidden="false" customHeight="false" outlineLevel="0" collapsed="false">
      <c r="A1486" s="203" t="s">
        <v>3955</v>
      </c>
    </row>
    <row r="1487" customFormat="false" ht="12" hidden="false" customHeight="false" outlineLevel="0" collapsed="false">
      <c r="A1487" s="203" t="s">
        <v>3956</v>
      </c>
    </row>
    <row r="1488" customFormat="false" ht="12" hidden="false" customHeight="false" outlineLevel="0" collapsed="false">
      <c r="A1488" s="203" t="s">
        <v>3957</v>
      </c>
    </row>
    <row r="1489" customFormat="false" ht="12" hidden="false" customHeight="false" outlineLevel="0" collapsed="false">
      <c r="A1489" s="203" t="s">
        <v>3958</v>
      </c>
    </row>
    <row r="1490" customFormat="false" ht="12" hidden="false" customHeight="false" outlineLevel="0" collapsed="false">
      <c r="A1490" s="203" t="s">
        <v>3959</v>
      </c>
    </row>
    <row r="1491" customFormat="false" ht="12" hidden="false" customHeight="false" outlineLevel="0" collapsed="false">
      <c r="A1491" s="203" t="s">
        <v>3960</v>
      </c>
    </row>
    <row r="1492" customFormat="false" ht="12" hidden="false" customHeight="false" outlineLevel="0" collapsed="false">
      <c r="A1492" s="203" t="s">
        <v>3961</v>
      </c>
    </row>
    <row r="1493" customFormat="false" ht="12" hidden="false" customHeight="false" outlineLevel="0" collapsed="false">
      <c r="A1493" s="203" t="s">
        <v>3962</v>
      </c>
    </row>
    <row r="1494" customFormat="false" ht="12" hidden="false" customHeight="false" outlineLevel="0" collapsed="false">
      <c r="A1494" s="203" t="s">
        <v>3963</v>
      </c>
    </row>
    <row r="1495" customFormat="false" ht="12" hidden="false" customHeight="false" outlineLevel="0" collapsed="false">
      <c r="A1495" s="203" t="s">
        <v>3964</v>
      </c>
    </row>
    <row r="1496" customFormat="false" ht="12" hidden="false" customHeight="false" outlineLevel="0" collapsed="false">
      <c r="A1496" s="203" t="s">
        <v>3965</v>
      </c>
    </row>
    <row r="1497" customFormat="false" ht="12" hidden="false" customHeight="false" outlineLevel="0" collapsed="false">
      <c r="A1497" s="203" t="s">
        <v>3966</v>
      </c>
    </row>
    <row r="1498" customFormat="false" ht="12" hidden="false" customHeight="false" outlineLevel="0" collapsed="false">
      <c r="A1498" s="203" t="s">
        <v>3967</v>
      </c>
    </row>
    <row r="1499" customFormat="false" ht="12" hidden="false" customHeight="false" outlineLevel="0" collapsed="false">
      <c r="A1499" s="203" t="s">
        <v>3968</v>
      </c>
    </row>
    <row r="1500" customFormat="false" ht="12" hidden="false" customHeight="false" outlineLevel="0" collapsed="false">
      <c r="A1500" s="203" t="s">
        <v>3969</v>
      </c>
    </row>
    <row r="1501" customFormat="false" ht="12" hidden="false" customHeight="false" outlineLevel="0" collapsed="false">
      <c r="A1501" s="203" t="s">
        <v>3970</v>
      </c>
    </row>
    <row r="1502" customFormat="false" ht="12" hidden="false" customHeight="false" outlineLevel="0" collapsed="false">
      <c r="A1502" s="203" t="s">
        <v>3971</v>
      </c>
    </row>
    <row r="1503" customFormat="false" ht="12" hidden="false" customHeight="false" outlineLevel="0" collapsed="false">
      <c r="A1503" s="203" t="s">
        <v>3972</v>
      </c>
    </row>
    <row r="1504" customFormat="false" ht="12" hidden="false" customHeight="false" outlineLevel="0" collapsed="false">
      <c r="A1504" s="203" t="s">
        <v>3973</v>
      </c>
    </row>
    <row r="1505" customFormat="false" ht="12" hidden="false" customHeight="false" outlineLevel="0" collapsed="false">
      <c r="A1505" s="203" t="s">
        <v>3974</v>
      </c>
    </row>
    <row r="1506" customFormat="false" ht="12" hidden="false" customHeight="false" outlineLevel="0" collapsed="false">
      <c r="A1506" s="203" t="s">
        <v>3975</v>
      </c>
    </row>
    <row r="1507" customFormat="false" ht="12" hidden="false" customHeight="false" outlineLevel="0" collapsed="false">
      <c r="A1507" s="203" t="s">
        <v>3976</v>
      </c>
    </row>
    <row r="1508" customFormat="false" ht="12" hidden="false" customHeight="false" outlineLevel="0" collapsed="false">
      <c r="A1508" s="203" t="s">
        <v>3977</v>
      </c>
    </row>
    <row r="1509" customFormat="false" ht="12" hidden="false" customHeight="false" outlineLevel="0" collapsed="false">
      <c r="A1509" s="203" t="s">
        <v>3978</v>
      </c>
    </row>
    <row r="1510" customFormat="false" ht="12" hidden="false" customHeight="false" outlineLevel="0" collapsed="false">
      <c r="A1510" s="203" t="s">
        <v>3979</v>
      </c>
    </row>
    <row r="1511" customFormat="false" ht="12" hidden="false" customHeight="false" outlineLevel="0" collapsed="false">
      <c r="A1511" s="203" t="s">
        <v>3980</v>
      </c>
    </row>
    <row r="1512" customFormat="false" ht="12" hidden="false" customHeight="false" outlineLevel="0" collapsed="false">
      <c r="A1512" s="203" t="s">
        <v>3981</v>
      </c>
    </row>
    <row r="1513" customFormat="false" ht="12" hidden="false" customHeight="false" outlineLevel="0" collapsed="false">
      <c r="A1513" s="203" t="s">
        <v>3982</v>
      </c>
    </row>
    <row r="1514" customFormat="false" ht="12" hidden="false" customHeight="false" outlineLevel="0" collapsed="false">
      <c r="A1514" s="203" t="s">
        <v>3983</v>
      </c>
    </row>
    <row r="1515" customFormat="false" ht="12" hidden="false" customHeight="false" outlineLevel="0" collapsed="false">
      <c r="A1515" s="203" t="s">
        <v>3984</v>
      </c>
    </row>
    <row r="1516" customFormat="false" ht="12" hidden="false" customHeight="false" outlineLevel="0" collapsed="false">
      <c r="A1516" s="203" t="s">
        <v>3985</v>
      </c>
    </row>
    <row r="1517" customFormat="false" ht="12" hidden="false" customHeight="false" outlineLevel="0" collapsed="false">
      <c r="A1517" s="203" t="s">
        <v>3986</v>
      </c>
    </row>
    <row r="1518" customFormat="false" ht="12" hidden="false" customHeight="false" outlineLevel="0" collapsed="false">
      <c r="A1518" s="203" t="s">
        <v>3987</v>
      </c>
    </row>
    <row r="1519" customFormat="false" ht="12" hidden="false" customHeight="false" outlineLevel="0" collapsed="false">
      <c r="A1519" s="203" t="s">
        <v>3988</v>
      </c>
    </row>
    <row r="1520" customFormat="false" ht="12" hidden="false" customHeight="false" outlineLevel="0" collapsed="false">
      <c r="A1520" s="203" t="s">
        <v>3989</v>
      </c>
    </row>
    <row r="1521" customFormat="false" ht="12" hidden="false" customHeight="false" outlineLevel="0" collapsed="false">
      <c r="A1521" s="203" t="s">
        <v>3990</v>
      </c>
    </row>
    <row r="1522" customFormat="false" ht="12" hidden="false" customHeight="false" outlineLevel="0" collapsed="false">
      <c r="A1522" s="203" t="s">
        <v>3991</v>
      </c>
    </row>
    <row r="1523" customFormat="false" ht="12" hidden="false" customHeight="false" outlineLevel="0" collapsed="false">
      <c r="A1523" s="203" t="s">
        <v>3992</v>
      </c>
    </row>
    <row r="1524" customFormat="false" ht="12" hidden="false" customHeight="false" outlineLevel="0" collapsed="false">
      <c r="A1524" s="203" t="s">
        <v>3993</v>
      </c>
    </row>
    <row r="1525" customFormat="false" ht="12" hidden="false" customHeight="false" outlineLevel="0" collapsed="false">
      <c r="A1525" s="203" t="s">
        <v>3994</v>
      </c>
    </row>
    <row r="1526" customFormat="false" ht="12" hidden="false" customHeight="false" outlineLevel="0" collapsed="false">
      <c r="A1526" s="203" t="s">
        <v>3995</v>
      </c>
    </row>
    <row r="1527" customFormat="false" ht="12" hidden="false" customHeight="false" outlineLevel="0" collapsed="false">
      <c r="A1527" s="203" t="s">
        <v>3996</v>
      </c>
    </row>
    <row r="1528" customFormat="false" ht="12" hidden="false" customHeight="false" outlineLevel="0" collapsed="false">
      <c r="A1528" s="203" t="s">
        <v>3997</v>
      </c>
    </row>
    <row r="1529" customFormat="false" ht="12" hidden="false" customHeight="false" outlineLevel="0" collapsed="false">
      <c r="A1529" s="203" t="s">
        <v>3998</v>
      </c>
    </row>
    <row r="1530" customFormat="false" ht="12" hidden="false" customHeight="false" outlineLevel="0" collapsed="false">
      <c r="A1530" s="203" t="s">
        <v>3999</v>
      </c>
    </row>
    <row r="1531" customFormat="false" ht="12" hidden="false" customHeight="false" outlineLevel="0" collapsed="false">
      <c r="A1531" s="203" t="s">
        <v>4000</v>
      </c>
    </row>
    <row r="1532" customFormat="false" ht="12" hidden="false" customHeight="false" outlineLevel="0" collapsed="false">
      <c r="A1532" s="203" t="s">
        <v>4001</v>
      </c>
    </row>
    <row r="1533" customFormat="false" ht="12" hidden="false" customHeight="false" outlineLevel="0" collapsed="false">
      <c r="A1533" s="203" t="s">
        <v>4002</v>
      </c>
    </row>
    <row r="1534" customFormat="false" ht="12" hidden="false" customHeight="false" outlineLevel="0" collapsed="false">
      <c r="A1534" s="203" t="s">
        <v>4003</v>
      </c>
    </row>
    <row r="1535" customFormat="false" ht="12" hidden="false" customHeight="false" outlineLevel="0" collapsed="false">
      <c r="A1535" s="203" t="s">
        <v>4004</v>
      </c>
    </row>
    <row r="1536" customFormat="false" ht="12" hidden="false" customHeight="false" outlineLevel="0" collapsed="false">
      <c r="A1536" s="203" t="s">
        <v>4005</v>
      </c>
    </row>
    <row r="1537" customFormat="false" ht="12" hidden="false" customHeight="false" outlineLevel="0" collapsed="false">
      <c r="A1537" s="203" t="s">
        <v>4006</v>
      </c>
    </row>
    <row r="1538" customFormat="false" ht="12" hidden="false" customHeight="false" outlineLevel="0" collapsed="false">
      <c r="A1538" s="203" t="s">
        <v>4007</v>
      </c>
    </row>
    <row r="1539" customFormat="false" ht="12" hidden="false" customHeight="false" outlineLevel="0" collapsed="false">
      <c r="A1539" s="203" t="s">
        <v>4008</v>
      </c>
    </row>
    <row r="1540" customFormat="false" ht="12" hidden="false" customHeight="false" outlineLevel="0" collapsed="false">
      <c r="A1540" s="203" t="s">
        <v>4009</v>
      </c>
    </row>
    <row r="1541" customFormat="false" ht="12" hidden="false" customHeight="false" outlineLevel="0" collapsed="false">
      <c r="A1541" s="203" t="s">
        <v>4010</v>
      </c>
    </row>
    <row r="1542" customFormat="false" ht="12" hidden="false" customHeight="false" outlineLevel="0" collapsed="false">
      <c r="A1542" s="203" t="s">
        <v>4011</v>
      </c>
    </row>
    <row r="1543" customFormat="false" ht="12" hidden="false" customHeight="false" outlineLevel="0" collapsed="false">
      <c r="A1543" s="203" t="s">
        <v>4012</v>
      </c>
    </row>
    <row r="1544" customFormat="false" ht="12" hidden="false" customHeight="false" outlineLevel="0" collapsed="false">
      <c r="A1544" s="203" t="s">
        <v>4013</v>
      </c>
    </row>
    <row r="1545" customFormat="false" ht="12" hidden="false" customHeight="false" outlineLevel="0" collapsed="false">
      <c r="A1545" s="203" t="s">
        <v>4014</v>
      </c>
    </row>
    <row r="1546" customFormat="false" ht="12" hidden="false" customHeight="false" outlineLevel="0" collapsed="false">
      <c r="A1546" s="203" t="s">
        <v>4015</v>
      </c>
    </row>
    <row r="1547" customFormat="false" ht="12" hidden="false" customHeight="false" outlineLevel="0" collapsed="false">
      <c r="A1547" s="203" t="s">
        <v>4016</v>
      </c>
    </row>
    <row r="1548" customFormat="false" ht="12" hidden="false" customHeight="false" outlineLevel="0" collapsed="false">
      <c r="A1548" s="203" t="s">
        <v>4017</v>
      </c>
    </row>
    <row r="1549" customFormat="false" ht="12" hidden="false" customHeight="false" outlineLevel="0" collapsed="false">
      <c r="A1549" s="203" t="s">
        <v>4018</v>
      </c>
    </row>
    <row r="1550" customFormat="false" ht="12" hidden="false" customHeight="false" outlineLevel="0" collapsed="false">
      <c r="A1550" s="203" t="s">
        <v>4019</v>
      </c>
    </row>
    <row r="1551" customFormat="false" ht="12" hidden="false" customHeight="false" outlineLevel="0" collapsed="false">
      <c r="A1551" s="203" t="s">
        <v>4020</v>
      </c>
    </row>
    <row r="1552" customFormat="false" ht="12" hidden="false" customHeight="false" outlineLevel="0" collapsed="false">
      <c r="A1552" s="203" t="s">
        <v>4021</v>
      </c>
    </row>
    <row r="1553" customFormat="false" ht="12" hidden="false" customHeight="false" outlineLevel="0" collapsed="false">
      <c r="A1553" s="203" t="s">
        <v>4022</v>
      </c>
    </row>
    <row r="1554" customFormat="false" ht="12" hidden="false" customHeight="false" outlineLevel="0" collapsed="false">
      <c r="A1554" s="203" t="s">
        <v>4023</v>
      </c>
    </row>
    <row r="1555" customFormat="false" ht="12" hidden="false" customHeight="false" outlineLevel="0" collapsed="false">
      <c r="A1555" s="203" t="s">
        <v>4024</v>
      </c>
    </row>
    <row r="1556" customFormat="false" ht="12" hidden="false" customHeight="false" outlineLevel="0" collapsed="false">
      <c r="A1556" s="203" t="s">
        <v>4025</v>
      </c>
    </row>
    <row r="1557" customFormat="false" ht="12" hidden="false" customHeight="false" outlineLevel="0" collapsed="false">
      <c r="A1557" s="203" t="s">
        <v>4026</v>
      </c>
    </row>
    <row r="1558" customFormat="false" ht="12" hidden="false" customHeight="false" outlineLevel="0" collapsed="false">
      <c r="A1558" s="203" t="s">
        <v>4027</v>
      </c>
    </row>
    <row r="1559" customFormat="false" ht="12" hidden="false" customHeight="false" outlineLevel="0" collapsed="false">
      <c r="A1559" s="203" t="s">
        <v>4028</v>
      </c>
    </row>
    <row r="1560" customFormat="false" ht="12" hidden="false" customHeight="false" outlineLevel="0" collapsed="false">
      <c r="A1560" s="203" t="s">
        <v>4029</v>
      </c>
    </row>
    <row r="1561" customFormat="false" ht="12" hidden="false" customHeight="false" outlineLevel="0" collapsed="false">
      <c r="A1561" s="203" t="s">
        <v>4030</v>
      </c>
    </row>
    <row r="1562" customFormat="false" ht="12" hidden="false" customHeight="false" outlineLevel="0" collapsed="false">
      <c r="A1562" s="203" t="s">
        <v>4031</v>
      </c>
    </row>
    <row r="1563" customFormat="false" ht="12" hidden="false" customHeight="false" outlineLevel="0" collapsed="false">
      <c r="A1563" s="203" t="s">
        <v>4032</v>
      </c>
    </row>
    <row r="1564" customFormat="false" ht="12" hidden="false" customHeight="false" outlineLevel="0" collapsed="false">
      <c r="A1564" s="203" t="s">
        <v>4033</v>
      </c>
    </row>
    <row r="1565" customFormat="false" ht="12" hidden="false" customHeight="false" outlineLevel="0" collapsed="false">
      <c r="A1565" s="203" t="s">
        <v>4034</v>
      </c>
    </row>
    <row r="1566" customFormat="false" ht="12" hidden="false" customHeight="false" outlineLevel="0" collapsed="false">
      <c r="A1566" s="203" t="s">
        <v>4035</v>
      </c>
    </row>
    <row r="1567" customFormat="false" ht="12" hidden="false" customHeight="false" outlineLevel="0" collapsed="false">
      <c r="A1567" s="203" t="s">
        <v>4036</v>
      </c>
    </row>
    <row r="1568" customFormat="false" ht="12" hidden="false" customHeight="false" outlineLevel="0" collapsed="false">
      <c r="A1568" s="203" t="s">
        <v>4037</v>
      </c>
    </row>
    <row r="1569" customFormat="false" ht="12" hidden="false" customHeight="false" outlineLevel="0" collapsed="false">
      <c r="A1569" s="203" t="s">
        <v>4038</v>
      </c>
    </row>
    <row r="1570" customFormat="false" ht="12" hidden="false" customHeight="false" outlineLevel="0" collapsed="false">
      <c r="A1570" s="203" t="s">
        <v>4039</v>
      </c>
    </row>
    <row r="1571" customFormat="false" ht="12" hidden="false" customHeight="false" outlineLevel="0" collapsed="false">
      <c r="A1571" s="203" t="s">
        <v>4040</v>
      </c>
    </row>
    <row r="1572" customFormat="false" ht="12" hidden="false" customHeight="false" outlineLevel="0" collapsed="false">
      <c r="A1572" s="203" t="s">
        <v>4041</v>
      </c>
    </row>
    <row r="1573" customFormat="false" ht="12" hidden="false" customHeight="false" outlineLevel="0" collapsed="false">
      <c r="A1573" s="203" t="s">
        <v>4042</v>
      </c>
    </row>
    <row r="1574" customFormat="false" ht="12" hidden="false" customHeight="false" outlineLevel="0" collapsed="false">
      <c r="A1574" s="203" t="s">
        <v>4043</v>
      </c>
    </row>
    <row r="1575" customFormat="false" ht="12" hidden="false" customHeight="false" outlineLevel="0" collapsed="false">
      <c r="A1575" s="203" t="s">
        <v>4044</v>
      </c>
    </row>
    <row r="1576" customFormat="false" ht="12" hidden="false" customHeight="false" outlineLevel="0" collapsed="false">
      <c r="A1576" s="203" t="s">
        <v>4045</v>
      </c>
    </row>
    <row r="1577" customFormat="false" ht="12" hidden="false" customHeight="false" outlineLevel="0" collapsed="false">
      <c r="A1577" s="203" t="s">
        <v>4046</v>
      </c>
    </row>
    <row r="1578" customFormat="false" ht="12" hidden="false" customHeight="false" outlineLevel="0" collapsed="false">
      <c r="A1578" s="203" t="s">
        <v>4047</v>
      </c>
    </row>
    <row r="1579" customFormat="false" ht="12" hidden="false" customHeight="false" outlineLevel="0" collapsed="false">
      <c r="A1579" s="203" t="s">
        <v>4048</v>
      </c>
    </row>
    <row r="1580" customFormat="false" ht="12" hidden="false" customHeight="false" outlineLevel="0" collapsed="false">
      <c r="A1580" s="203" t="s">
        <v>4049</v>
      </c>
    </row>
    <row r="1581" customFormat="false" ht="12" hidden="false" customHeight="false" outlineLevel="0" collapsed="false">
      <c r="A1581" s="203" t="s">
        <v>4050</v>
      </c>
    </row>
    <row r="1582" customFormat="false" ht="12" hidden="false" customHeight="false" outlineLevel="0" collapsed="false">
      <c r="A1582" s="203" t="s">
        <v>4051</v>
      </c>
    </row>
    <row r="1583" customFormat="false" ht="12" hidden="false" customHeight="false" outlineLevel="0" collapsed="false">
      <c r="A1583" s="203" t="s">
        <v>4052</v>
      </c>
    </row>
    <row r="1584" customFormat="false" ht="12" hidden="false" customHeight="false" outlineLevel="0" collapsed="false">
      <c r="A1584" s="203" t="s">
        <v>4053</v>
      </c>
    </row>
    <row r="1585" customFormat="false" ht="12" hidden="false" customHeight="false" outlineLevel="0" collapsed="false">
      <c r="A1585" s="203" t="s">
        <v>4054</v>
      </c>
    </row>
    <row r="1586" customFormat="false" ht="12" hidden="false" customHeight="false" outlineLevel="0" collapsed="false">
      <c r="A1586" s="203" t="s">
        <v>4055</v>
      </c>
    </row>
    <row r="1587" customFormat="false" ht="12" hidden="false" customHeight="false" outlineLevel="0" collapsed="false">
      <c r="A1587" s="203" t="s">
        <v>4056</v>
      </c>
    </row>
    <row r="1588" customFormat="false" ht="12" hidden="false" customHeight="false" outlineLevel="0" collapsed="false">
      <c r="A1588" s="203" t="s">
        <v>4057</v>
      </c>
    </row>
    <row r="1589" customFormat="false" ht="12" hidden="false" customHeight="false" outlineLevel="0" collapsed="false">
      <c r="A1589" s="203" t="s">
        <v>4058</v>
      </c>
    </row>
    <row r="1590" customFormat="false" ht="12" hidden="false" customHeight="false" outlineLevel="0" collapsed="false">
      <c r="A1590" s="203" t="s">
        <v>4059</v>
      </c>
    </row>
    <row r="1591" customFormat="false" ht="12" hidden="false" customHeight="false" outlineLevel="0" collapsed="false">
      <c r="A1591" s="203" t="s">
        <v>4060</v>
      </c>
    </row>
    <row r="1592" customFormat="false" ht="12" hidden="false" customHeight="false" outlineLevel="0" collapsed="false">
      <c r="A1592" s="203" t="s">
        <v>4061</v>
      </c>
    </row>
    <row r="1593" customFormat="false" ht="12" hidden="false" customHeight="false" outlineLevel="0" collapsed="false">
      <c r="A1593" s="203" t="s">
        <v>4062</v>
      </c>
    </row>
    <row r="1594" customFormat="false" ht="12" hidden="false" customHeight="false" outlineLevel="0" collapsed="false">
      <c r="A1594" s="203" t="s">
        <v>4063</v>
      </c>
    </row>
    <row r="1595" customFormat="false" ht="12" hidden="false" customHeight="false" outlineLevel="0" collapsed="false">
      <c r="A1595" s="203" t="s">
        <v>4064</v>
      </c>
    </row>
    <row r="1596" customFormat="false" ht="12" hidden="false" customHeight="false" outlineLevel="0" collapsed="false">
      <c r="A1596" s="203" t="s">
        <v>4065</v>
      </c>
    </row>
    <row r="1597" customFormat="false" ht="12" hidden="false" customHeight="false" outlineLevel="0" collapsed="false">
      <c r="A1597" s="203" t="s">
        <v>4066</v>
      </c>
    </row>
    <row r="1598" customFormat="false" ht="12" hidden="false" customHeight="false" outlineLevel="0" collapsed="false">
      <c r="A1598" s="203" t="s">
        <v>4067</v>
      </c>
    </row>
    <row r="1599" customFormat="false" ht="12" hidden="false" customHeight="false" outlineLevel="0" collapsed="false">
      <c r="A1599" s="203" t="s">
        <v>4068</v>
      </c>
    </row>
    <row r="1600" customFormat="false" ht="12" hidden="false" customHeight="false" outlineLevel="0" collapsed="false">
      <c r="A1600" s="203" t="s">
        <v>4069</v>
      </c>
    </row>
    <row r="1601" customFormat="false" ht="12" hidden="false" customHeight="false" outlineLevel="0" collapsed="false">
      <c r="A1601" s="203" t="s">
        <v>4070</v>
      </c>
    </row>
    <row r="1602" customFormat="false" ht="12" hidden="false" customHeight="false" outlineLevel="0" collapsed="false">
      <c r="A1602" s="203" t="s">
        <v>4071</v>
      </c>
    </row>
    <row r="1603" customFormat="false" ht="12" hidden="false" customHeight="false" outlineLevel="0" collapsed="false">
      <c r="A1603" s="203" t="s">
        <v>4072</v>
      </c>
    </row>
    <row r="1604" customFormat="false" ht="12" hidden="false" customHeight="false" outlineLevel="0" collapsed="false">
      <c r="A1604" s="203" t="s">
        <v>4073</v>
      </c>
    </row>
    <row r="1605" customFormat="false" ht="12" hidden="false" customHeight="false" outlineLevel="0" collapsed="false">
      <c r="A1605" s="203" t="s">
        <v>4074</v>
      </c>
    </row>
    <row r="1606" customFormat="false" ht="12" hidden="false" customHeight="false" outlineLevel="0" collapsed="false">
      <c r="A1606" s="203" t="s">
        <v>4075</v>
      </c>
    </row>
    <row r="1607" customFormat="false" ht="12" hidden="false" customHeight="false" outlineLevel="0" collapsed="false">
      <c r="A1607" s="203" t="s">
        <v>4076</v>
      </c>
    </row>
    <row r="1608" customFormat="false" ht="12" hidden="false" customHeight="false" outlineLevel="0" collapsed="false">
      <c r="A1608" s="203" t="s">
        <v>4077</v>
      </c>
    </row>
    <row r="1609" customFormat="false" ht="12" hidden="false" customHeight="false" outlineLevel="0" collapsed="false">
      <c r="A1609" s="203" t="s">
        <v>4078</v>
      </c>
    </row>
    <row r="1610" customFormat="false" ht="12" hidden="false" customHeight="false" outlineLevel="0" collapsed="false">
      <c r="A1610" s="203" t="s">
        <v>4079</v>
      </c>
    </row>
    <row r="1611" customFormat="false" ht="12" hidden="false" customHeight="false" outlineLevel="0" collapsed="false">
      <c r="A1611" s="203" t="s">
        <v>4080</v>
      </c>
    </row>
    <row r="1612" customFormat="false" ht="12" hidden="false" customHeight="false" outlineLevel="0" collapsed="false">
      <c r="A1612" s="203" t="s">
        <v>4081</v>
      </c>
    </row>
    <row r="1613" customFormat="false" ht="12" hidden="false" customHeight="false" outlineLevel="0" collapsed="false">
      <c r="A1613" s="203" t="s">
        <v>4082</v>
      </c>
    </row>
    <row r="1614" customFormat="false" ht="12" hidden="false" customHeight="false" outlineLevel="0" collapsed="false">
      <c r="A1614" s="203" t="s">
        <v>4083</v>
      </c>
    </row>
    <row r="1615" customFormat="false" ht="12" hidden="false" customHeight="false" outlineLevel="0" collapsed="false">
      <c r="A1615" s="203" t="s">
        <v>4084</v>
      </c>
    </row>
    <row r="1616" customFormat="false" ht="12" hidden="false" customHeight="false" outlineLevel="0" collapsed="false">
      <c r="A1616" s="203" t="s">
        <v>4085</v>
      </c>
    </row>
    <row r="1617" customFormat="false" ht="12" hidden="false" customHeight="false" outlineLevel="0" collapsed="false">
      <c r="A1617" s="203" t="s">
        <v>4086</v>
      </c>
    </row>
    <row r="1618" customFormat="false" ht="12" hidden="false" customHeight="false" outlineLevel="0" collapsed="false">
      <c r="A1618" s="203" t="s">
        <v>4087</v>
      </c>
    </row>
    <row r="1619" customFormat="false" ht="12" hidden="false" customHeight="false" outlineLevel="0" collapsed="false">
      <c r="A1619" s="203" t="s">
        <v>4088</v>
      </c>
    </row>
    <row r="1620" customFormat="false" ht="12" hidden="false" customHeight="false" outlineLevel="0" collapsed="false">
      <c r="A1620" s="203" t="s">
        <v>4089</v>
      </c>
    </row>
    <row r="1621" customFormat="false" ht="12" hidden="false" customHeight="false" outlineLevel="0" collapsed="false">
      <c r="A1621" s="203" t="s">
        <v>4090</v>
      </c>
    </row>
    <row r="1622" customFormat="false" ht="12" hidden="false" customHeight="false" outlineLevel="0" collapsed="false">
      <c r="A1622" s="203" t="s">
        <v>4091</v>
      </c>
    </row>
    <row r="1623" customFormat="false" ht="12" hidden="false" customHeight="false" outlineLevel="0" collapsed="false">
      <c r="A1623" s="203" t="s">
        <v>4092</v>
      </c>
    </row>
    <row r="1624" customFormat="false" ht="12" hidden="false" customHeight="false" outlineLevel="0" collapsed="false">
      <c r="A1624" s="203" t="s">
        <v>4093</v>
      </c>
    </row>
    <row r="1625" customFormat="false" ht="12" hidden="false" customHeight="false" outlineLevel="0" collapsed="false">
      <c r="A1625" s="203" t="s">
        <v>4094</v>
      </c>
    </row>
    <row r="1626" customFormat="false" ht="12" hidden="false" customHeight="false" outlineLevel="0" collapsed="false">
      <c r="A1626" s="203" t="s">
        <v>4095</v>
      </c>
    </row>
    <row r="1627" customFormat="false" ht="12" hidden="false" customHeight="false" outlineLevel="0" collapsed="false">
      <c r="A1627" s="203" t="s">
        <v>4096</v>
      </c>
    </row>
    <row r="1628" customFormat="false" ht="12" hidden="false" customHeight="false" outlineLevel="0" collapsed="false">
      <c r="A1628" s="203" t="s">
        <v>4097</v>
      </c>
    </row>
    <row r="1629" customFormat="false" ht="12" hidden="false" customHeight="false" outlineLevel="0" collapsed="false">
      <c r="A1629" s="203" t="s">
        <v>4098</v>
      </c>
    </row>
    <row r="1630" customFormat="false" ht="12" hidden="false" customHeight="false" outlineLevel="0" collapsed="false">
      <c r="A1630" s="203" t="s">
        <v>4099</v>
      </c>
    </row>
    <row r="1631" customFormat="false" ht="12" hidden="false" customHeight="false" outlineLevel="0" collapsed="false">
      <c r="A1631" s="203" t="s">
        <v>4100</v>
      </c>
    </row>
    <row r="1632" customFormat="false" ht="12" hidden="false" customHeight="false" outlineLevel="0" collapsed="false">
      <c r="A1632" s="203" t="s">
        <v>4101</v>
      </c>
    </row>
    <row r="1633" customFormat="false" ht="12" hidden="false" customHeight="false" outlineLevel="0" collapsed="false">
      <c r="A1633" s="203" t="s">
        <v>4102</v>
      </c>
    </row>
    <row r="1634" customFormat="false" ht="12" hidden="false" customHeight="false" outlineLevel="0" collapsed="false">
      <c r="A1634" s="203" t="s">
        <v>4103</v>
      </c>
    </row>
    <row r="1635" customFormat="false" ht="12" hidden="false" customHeight="false" outlineLevel="0" collapsed="false">
      <c r="A1635" s="203" t="s">
        <v>4104</v>
      </c>
    </row>
    <row r="1636" customFormat="false" ht="12" hidden="false" customHeight="false" outlineLevel="0" collapsed="false">
      <c r="A1636" s="203" t="s">
        <v>4105</v>
      </c>
    </row>
    <row r="1637" customFormat="false" ht="12" hidden="false" customHeight="false" outlineLevel="0" collapsed="false">
      <c r="A1637" s="203" t="s">
        <v>4106</v>
      </c>
    </row>
    <row r="1638" customFormat="false" ht="12" hidden="false" customHeight="false" outlineLevel="0" collapsed="false">
      <c r="A1638" s="203" t="s">
        <v>4107</v>
      </c>
    </row>
    <row r="1639" customFormat="false" ht="12" hidden="false" customHeight="false" outlineLevel="0" collapsed="false">
      <c r="A1639" s="203" t="s">
        <v>4108</v>
      </c>
    </row>
    <row r="1640" customFormat="false" ht="12" hidden="false" customHeight="false" outlineLevel="0" collapsed="false">
      <c r="A1640" s="203" t="s">
        <v>4109</v>
      </c>
    </row>
    <row r="1641" customFormat="false" ht="12" hidden="false" customHeight="false" outlineLevel="0" collapsed="false">
      <c r="A1641" s="203" t="s">
        <v>4110</v>
      </c>
    </row>
    <row r="1642" customFormat="false" ht="12" hidden="false" customHeight="false" outlineLevel="0" collapsed="false">
      <c r="A1642" s="203" t="s">
        <v>4111</v>
      </c>
    </row>
    <row r="1643" customFormat="false" ht="12" hidden="false" customHeight="false" outlineLevel="0" collapsed="false">
      <c r="A1643" s="203" t="s">
        <v>4112</v>
      </c>
    </row>
    <row r="1644" customFormat="false" ht="12" hidden="false" customHeight="false" outlineLevel="0" collapsed="false">
      <c r="A1644" s="203" t="s">
        <v>4113</v>
      </c>
    </row>
    <row r="1645" customFormat="false" ht="12" hidden="false" customHeight="false" outlineLevel="0" collapsed="false">
      <c r="A1645" s="203" t="s">
        <v>4114</v>
      </c>
    </row>
    <row r="1646" customFormat="false" ht="12" hidden="false" customHeight="false" outlineLevel="0" collapsed="false">
      <c r="A1646" s="203" t="s">
        <v>4115</v>
      </c>
    </row>
    <row r="1647" customFormat="false" ht="12" hidden="false" customHeight="false" outlineLevel="0" collapsed="false">
      <c r="A1647" s="203" t="s">
        <v>4116</v>
      </c>
    </row>
    <row r="1648" customFormat="false" ht="12" hidden="false" customHeight="false" outlineLevel="0" collapsed="false">
      <c r="A1648" s="203" t="s">
        <v>4117</v>
      </c>
    </row>
    <row r="1649" customFormat="false" ht="12" hidden="false" customHeight="false" outlineLevel="0" collapsed="false">
      <c r="A1649" s="203" t="s">
        <v>4118</v>
      </c>
    </row>
    <row r="1650" customFormat="false" ht="12" hidden="false" customHeight="false" outlineLevel="0" collapsed="false">
      <c r="A1650" s="203" t="s">
        <v>4119</v>
      </c>
    </row>
    <row r="1651" customFormat="false" ht="12" hidden="false" customHeight="false" outlineLevel="0" collapsed="false">
      <c r="A1651" s="203" t="s">
        <v>4120</v>
      </c>
    </row>
    <row r="1652" customFormat="false" ht="12" hidden="false" customHeight="false" outlineLevel="0" collapsed="false">
      <c r="A1652" s="203" t="s">
        <v>4121</v>
      </c>
    </row>
    <row r="1653" customFormat="false" ht="12" hidden="false" customHeight="false" outlineLevel="0" collapsed="false">
      <c r="A1653" s="203" t="s">
        <v>4122</v>
      </c>
    </row>
    <row r="1654" customFormat="false" ht="12" hidden="false" customHeight="false" outlineLevel="0" collapsed="false">
      <c r="A1654" s="203" t="s">
        <v>4123</v>
      </c>
    </row>
    <row r="1655" customFormat="false" ht="12" hidden="false" customHeight="false" outlineLevel="0" collapsed="false">
      <c r="A1655" s="203" t="s">
        <v>4124</v>
      </c>
    </row>
    <row r="1656" customFormat="false" ht="12" hidden="false" customHeight="false" outlineLevel="0" collapsed="false">
      <c r="A1656" s="203" t="s">
        <v>4125</v>
      </c>
    </row>
    <row r="1657" customFormat="false" ht="12" hidden="false" customHeight="false" outlineLevel="0" collapsed="false">
      <c r="A1657" s="203" t="s">
        <v>4126</v>
      </c>
    </row>
    <row r="1658" customFormat="false" ht="12" hidden="false" customHeight="false" outlineLevel="0" collapsed="false">
      <c r="A1658" s="203" t="s">
        <v>4127</v>
      </c>
    </row>
    <row r="1659" customFormat="false" ht="12" hidden="false" customHeight="false" outlineLevel="0" collapsed="false">
      <c r="A1659" s="203" t="s">
        <v>4128</v>
      </c>
    </row>
    <row r="1660" customFormat="false" ht="12" hidden="false" customHeight="false" outlineLevel="0" collapsed="false">
      <c r="A1660" s="203" t="s">
        <v>4129</v>
      </c>
    </row>
    <row r="1661" customFormat="false" ht="12" hidden="false" customHeight="false" outlineLevel="0" collapsed="false">
      <c r="A1661" s="203" t="s">
        <v>4130</v>
      </c>
    </row>
    <row r="1662" customFormat="false" ht="12" hidden="false" customHeight="false" outlineLevel="0" collapsed="false">
      <c r="A1662" s="203" t="s">
        <v>4131</v>
      </c>
    </row>
    <row r="1663" customFormat="false" ht="12" hidden="false" customHeight="false" outlineLevel="0" collapsed="false">
      <c r="A1663" s="203" t="s">
        <v>4132</v>
      </c>
    </row>
    <row r="1664" customFormat="false" ht="12" hidden="false" customHeight="false" outlineLevel="0" collapsed="false">
      <c r="A1664" s="203" t="s">
        <v>4133</v>
      </c>
    </row>
    <row r="1665" customFormat="false" ht="12" hidden="false" customHeight="false" outlineLevel="0" collapsed="false">
      <c r="A1665" s="203" t="s">
        <v>4134</v>
      </c>
    </row>
    <row r="1666" customFormat="false" ht="12" hidden="false" customHeight="false" outlineLevel="0" collapsed="false">
      <c r="A1666" s="203" t="s">
        <v>4135</v>
      </c>
    </row>
    <row r="1667" customFormat="false" ht="12" hidden="false" customHeight="false" outlineLevel="0" collapsed="false">
      <c r="A1667" s="203" t="s">
        <v>4136</v>
      </c>
    </row>
    <row r="1668" customFormat="false" ht="12" hidden="false" customHeight="false" outlineLevel="0" collapsed="false">
      <c r="A1668" s="203" t="s">
        <v>4137</v>
      </c>
    </row>
    <row r="1669" customFormat="false" ht="12" hidden="false" customHeight="false" outlineLevel="0" collapsed="false">
      <c r="A1669" s="203" t="s">
        <v>4138</v>
      </c>
    </row>
    <row r="1670" customFormat="false" ht="12" hidden="false" customHeight="false" outlineLevel="0" collapsed="false">
      <c r="A1670" s="203" t="s">
        <v>4139</v>
      </c>
    </row>
    <row r="1671" customFormat="false" ht="12" hidden="false" customHeight="false" outlineLevel="0" collapsed="false">
      <c r="A1671" s="203" t="s">
        <v>4140</v>
      </c>
    </row>
    <row r="1672" customFormat="false" ht="12" hidden="false" customHeight="false" outlineLevel="0" collapsed="false">
      <c r="A1672" s="203" t="s">
        <v>4141</v>
      </c>
    </row>
    <row r="1673" customFormat="false" ht="12" hidden="false" customHeight="false" outlineLevel="0" collapsed="false">
      <c r="A1673" s="203" t="s">
        <v>4142</v>
      </c>
    </row>
    <row r="1674" customFormat="false" ht="12" hidden="false" customHeight="false" outlineLevel="0" collapsed="false">
      <c r="A1674" s="203" t="s">
        <v>4143</v>
      </c>
    </row>
    <row r="1675" customFormat="false" ht="12" hidden="false" customHeight="false" outlineLevel="0" collapsed="false">
      <c r="A1675" s="203" t="s">
        <v>4144</v>
      </c>
    </row>
    <row r="1676" customFormat="false" ht="12" hidden="false" customHeight="false" outlineLevel="0" collapsed="false">
      <c r="A1676" s="203" t="s">
        <v>4145</v>
      </c>
    </row>
    <row r="1677" customFormat="false" ht="12" hidden="false" customHeight="false" outlineLevel="0" collapsed="false">
      <c r="A1677" s="203" t="s">
        <v>4146</v>
      </c>
    </row>
    <row r="1678" customFormat="false" ht="12" hidden="false" customHeight="false" outlineLevel="0" collapsed="false">
      <c r="A1678" s="203" t="s">
        <v>4147</v>
      </c>
    </row>
    <row r="1679" customFormat="false" ht="12" hidden="false" customHeight="false" outlineLevel="0" collapsed="false">
      <c r="A1679" s="203" t="s">
        <v>4148</v>
      </c>
    </row>
    <row r="1680" customFormat="false" ht="12" hidden="false" customHeight="false" outlineLevel="0" collapsed="false">
      <c r="A1680" s="203" t="s">
        <v>4149</v>
      </c>
    </row>
    <row r="1681" customFormat="false" ht="12" hidden="false" customHeight="false" outlineLevel="0" collapsed="false">
      <c r="A1681" s="203" t="s">
        <v>4150</v>
      </c>
    </row>
    <row r="1682" customFormat="false" ht="12" hidden="false" customHeight="false" outlineLevel="0" collapsed="false">
      <c r="A1682" s="203" t="s">
        <v>4151</v>
      </c>
    </row>
    <row r="1683" customFormat="false" ht="12" hidden="false" customHeight="false" outlineLevel="0" collapsed="false">
      <c r="A1683" s="203" t="s">
        <v>4152</v>
      </c>
    </row>
    <row r="1684" customFormat="false" ht="12" hidden="false" customHeight="false" outlineLevel="0" collapsed="false">
      <c r="A1684" s="203" t="s">
        <v>4153</v>
      </c>
    </row>
    <row r="1685" customFormat="false" ht="12" hidden="false" customHeight="false" outlineLevel="0" collapsed="false">
      <c r="A1685" s="203" t="s">
        <v>4154</v>
      </c>
    </row>
    <row r="1686" customFormat="false" ht="12" hidden="false" customHeight="false" outlineLevel="0" collapsed="false">
      <c r="A1686" s="203" t="s">
        <v>4155</v>
      </c>
    </row>
    <row r="1687" customFormat="false" ht="12" hidden="false" customHeight="false" outlineLevel="0" collapsed="false">
      <c r="A1687" s="203" t="s">
        <v>4156</v>
      </c>
    </row>
    <row r="1688" customFormat="false" ht="12" hidden="false" customHeight="false" outlineLevel="0" collapsed="false">
      <c r="A1688" s="203" t="s">
        <v>4157</v>
      </c>
    </row>
    <row r="1689" customFormat="false" ht="12" hidden="false" customHeight="false" outlineLevel="0" collapsed="false">
      <c r="A1689" s="203" t="s">
        <v>4158</v>
      </c>
    </row>
    <row r="1690" customFormat="false" ht="12" hidden="false" customHeight="false" outlineLevel="0" collapsed="false">
      <c r="A1690" s="203" t="s">
        <v>4159</v>
      </c>
    </row>
    <row r="1691" customFormat="false" ht="12" hidden="false" customHeight="false" outlineLevel="0" collapsed="false">
      <c r="A1691" s="203" t="s">
        <v>4160</v>
      </c>
    </row>
    <row r="1692" customFormat="false" ht="12" hidden="false" customHeight="false" outlineLevel="0" collapsed="false">
      <c r="A1692" s="203" t="s">
        <v>4161</v>
      </c>
    </row>
    <row r="1693" customFormat="false" ht="12" hidden="false" customHeight="false" outlineLevel="0" collapsed="false">
      <c r="A1693" s="203" t="s">
        <v>4162</v>
      </c>
    </row>
    <row r="1694" customFormat="false" ht="12" hidden="false" customHeight="false" outlineLevel="0" collapsed="false">
      <c r="A1694" s="203" t="s">
        <v>4163</v>
      </c>
    </row>
    <row r="1695" customFormat="false" ht="12" hidden="false" customHeight="false" outlineLevel="0" collapsed="false">
      <c r="A1695" s="203" t="s">
        <v>4164</v>
      </c>
    </row>
    <row r="1696" customFormat="false" ht="12" hidden="false" customHeight="false" outlineLevel="0" collapsed="false">
      <c r="A1696" s="203" t="s">
        <v>4165</v>
      </c>
    </row>
    <row r="1697" customFormat="false" ht="12" hidden="false" customHeight="false" outlineLevel="0" collapsed="false">
      <c r="A1697" s="203" t="s">
        <v>4166</v>
      </c>
    </row>
    <row r="1698" customFormat="false" ht="12" hidden="false" customHeight="false" outlineLevel="0" collapsed="false">
      <c r="A1698" s="203" t="s">
        <v>4167</v>
      </c>
    </row>
    <row r="1699" customFormat="false" ht="12" hidden="false" customHeight="false" outlineLevel="0" collapsed="false">
      <c r="A1699" s="203" t="s">
        <v>4168</v>
      </c>
    </row>
    <row r="1700" customFormat="false" ht="12" hidden="false" customHeight="false" outlineLevel="0" collapsed="false">
      <c r="A1700" s="203" t="s">
        <v>4169</v>
      </c>
    </row>
    <row r="1701" customFormat="false" ht="12" hidden="false" customHeight="false" outlineLevel="0" collapsed="false">
      <c r="A1701" s="203" t="s">
        <v>4170</v>
      </c>
    </row>
    <row r="1702" customFormat="false" ht="12" hidden="false" customHeight="false" outlineLevel="0" collapsed="false">
      <c r="A1702" s="203" t="s">
        <v>4171</v>
      </c>
    </row>
    <row r="1703" customFormat="false" ht="12" hidden="false" customHeight="false" outlineLevel="0" collapsed="false">
      <c r="A1703" s="203" t="s">
        <v>4172</v>
      </c>
    </row>
    <row r="1704" customFormat="false" ht="12" hidden="false" customHeight="false" outlineLevel="0" collapsed="false">
      <c r="A1704" s="203" t="s">
        <v>4173</v>
      </c>
    </row>
    <row r="1705" customFormat="false" ht="12" hidden="false" customHeight="false" outlineLevel="0" collapsed="false">
      <c r="A1705" s="203" t="s">
        <v>4174</v>
      </c>
    </row>
    <row r="1706" customFormat="false" ht="12" hidden="false" customHeight="false" outlineLevel="0" collapsed="false">
      <c r="A1706" s="203" t="s">
        <v>4175</v>
      </c>
    </row>
    <row r="1707" customFormat="false" ht="12" hidden="false" customHeight="false" outlineLevel="0" collapsed="false">
      <c r="A1707" s="203" t="s">
        <v>4176</v>
      </c>
    </row>
    <row r="1708" customFormat="false" ht="12" hidden="false" customHeight="false" outlineLevel="0" collapsed="false">
      <c r="A1708" s="203" t="s">
        <v>4177</v>
      </c>
    </row>
    <row r="1709" customFormat="false" ht="12" hidden="false" customHeight="false" outlineLevel="0" collapsed="false">
      <c r="A1709" s="203" t="s">
        <v>4178</v>
      </c>
    </row>
    <row r="1710" customFormat="false" ht="12" hidden="false" customHeight="false" outlineLevel="0" collapsed="false">
      <c r="A1710" s="203" t="s">
        <v>4179</v>
      </c>
    </row>
    <row r="1711" customFormat="false" ht="12" hidden="false" customHeight="false" outlineLevel="0" collapsed="false">
      <c r="A1711" s="203" t="s">
        <v>4180</v>
      </c>
    </row>
    <row r="1712" customFormat="false" ht="12" hidden="false" customHeight="false" outlineLevel="0" collapsed="false">
      <c r="A1712" s="203" t="s">
        <v>4181</v>
      </c>
    </row>
    <row r="1713" customFormat="false" ht="12" hidden="false" customHeight="false" outlineLevel="0" collapsed="false">
      <c r="A1713" s="203" t="s">
        <v>4182</v>
      </c>
    </row>
    <row r="1714" customFormat="false" ht="12" hidden="false" customHeight="false" outlineLevel="0" collapsed="false">
      <c r="A1714" s="203" t="s">
        <v>4183</v>
      </c>
    </row>
    <row r="1715" customFormat="false" ht="12" hidden="false" customHeight="false" outlineLevel="0" collapsed="false">
      <c r="A1715" s="203" t="s">
        <v>4184</v>
      </c>
    </row>
    <row r="1716" customFormat="false" ht="12" hidden="false" customHeight="false" outlineLevel="0" collapsed="false">
      <c r="A1716" s="203" t="s">
        <v>4185</v>
      </c>
    </row>
    <row r="1717" customFormat="false" ht="12" hidden="false" customHeight="false" outlineLevel="0" collapsed="false">
      <c r="A1717" s="203" t="s">
        <v>4186</v>
      </c>
    </row>
    <row r="1718" customFormat="false" ht="12" hidden="false" customHeight="false" outlineLevel="0" collapsed="false">
      <c r="A1718" s="203" t="s">
        <v>4187</v>
      </c>
    </row>
    <row r="1719" customFormat="false" ht="12" hidden="false" customHeight="false" outlineLevel="0" collapsed="false">
      <c r="A1719" s="203" t="s">
        <v>4188</v>
      </c>
    </row>
    <row r="1720" customFormat="false" ht="12" hidden="false" customHeight="false" outlineLevel="0" collapsed="false">
      <c r="A1720" s="203" t="s">
        <v>4189</v>
      </c>
    </row>
    <row r="1721" customFormat="false" ht="12" hidden="false" customHeight="false" outlineLevel="0" collapsed="false">
      <c r="A1721" s="203" t="s">
        <v>4190</v>
      </c>
    </row>
    <row r="1722" customFormat="false" ht="12" hidden="false" customHeight="false" outlineLevel="0" collapsed="false">
      <c r="A1722" s="203" t="s">
        <v>4191</v>
      </c>
    </row>
    <row r="1723" customFormat="false" ht="12" hidden="false" customHeight="false" outlineLevel="0" collapsed="false">
      <c r="A1723" s="203" t="s">
        <v>4192</v>
      </c>
    </row>
    <row r="1724" customFormat="false" ht="12" hidden="false" customHeight="false" outlineLevel="0" collapsed="false">
      <c r="A1724" s="203" t="s">
        <v>4193</v>
      </c>
    </row>
    <row r="1725" customFormat="false" ht="12" hidden="false" customHeight="false" outlineLevel="0" collapsed="false">
      <c r="A1725" s="203" t="s">
        <v>4194</v>
      </c>
    </row>
    <row r="1726" customFormat="false" ht="12" hidden="false" customHeight="false" outlineLevel="0" collapsed="false">
      <c r="A1726" s="203" t="s">
        <v>4195</v>
      </c>
    </row>
    <row r="1727" customFormat="false" ht="12" hidden="false" customHeight="false" outlineLevel="0" collapsed="false">
      <c r="A1727" s="203" t="s">
        <v>4196</v>
      </c>
    </row>
    <row r="1728" customFormat="false" ht="12" hidden="false" customHeight="false" outlineLevel="0" collapsed="false">
      <c r="A1728" s="203" t="s">
        <v>4197</v>
      </c>
    </row>
    <row r="1729" customFormat="false" ht="12" hidden="false" customHeight="false" outlineLevel="0" collapsed="false">
      <c r="A1729" s="203" t="s">
        <v>4198</v>
      </c>
    </row>
    <row r="1730" customFormat="false" ht="12" hidden="false" customHeight="false" outlineLevel="0" collapsed="false">
      <c r="A1730" s="203" t="s">
        <v>4199</v>
      </c>
    </row>
    <row r="1731" customFormat="false" ht="12" hidden="false" customHeight="false" outlineLevel="0" collapsed="false">
      <c r="A1731" s="203" t="s">
        <v>4200</v>
      </c>
    </row>
    <row r="1732" customFormat="false" ht="12" hidden="false" customHeight="false" outlineLevel="0" collapsed="false">
      <c r="A1732" s="203" t="s">
        <v>4201</v>
      </c>
    </row>
    <row r="1733" customFormat="false" ht="12" hidden="false" customHeight="false" outlineLevel="0" collapsed="false">
      <c r="A1733" s="203" t="s">
        <v>4202</v>
      </c>
    </row>
    <row r="1734" customFormat="false" ht="12" hidden="false" customHeight="false" outlineLevel="0" collapsed="false">
      <c r="A1734" s="203" t="s">
        <v>4203</v>
      </c>
    </row>
    <row r="1735" customFormat="false" ht="12" hidden="false" customHeight="false" outlineLevel="0" collapsed="false">
      <c r="A1735" s="203" t="s">
        <v>4204</v>
      </c>
    </row>
    <row r="1736" customFormat="false" ht="12" hidden="false" customHeight="false" outlineLevel="0" collapsed="false">
      <c r="A1736" s="203" t="s">
        <v>4205</v>
      </c>
    </row>
    <row r="1737" customFormat="false" ht="12" hidden="false" customHeight="false" outlineLevel="0" collapsed="false">
      <c r="A1737" s="203" t="s">
        <v>4206</v>
      </c>
    </row>
    <row r="1738" customFormat="false" ht="12" hidden="false" customHeight="false" outlineLevel="0" collapsed="false">
      <c r="A1738" s="203" t="s">
        <v>4207</v>
      </c>
    </row>
    <row r="1739" customFormat="false" ht="12" hidden="false" customHeight="false" outlineLevel="0" collapsed="false">
      <c r="A1739" s="203" t="s">
        <v>4208</v>
      </c>
    </row>
    <row r="1740" customFormat="false" ht="12" hidden="false" customHeight="false" outlineLevel="0" collapsed="false">
      <c r="A1740" s="203" t="s">
        <v>4209</v>
      </c>
    </row>
    <row r="1741" customFormat="false" ht="12" hidden="false" customHeight="false" outlineLevel="0" collapsed="false">
      <c r="A1741" s="203" t="s">
        <v>4210</v>
      </c>
    </row>
    <row r="1742" customFormat="false" ht="12" hidden="false" customHeight="false" outlineLevel="0" collapsed="false">
      <c r="A1742" s="203" t="s">
        <v>4211</v>
      </c>
    </row>
    <row r="1743" customFormat="false" ht="12" hidden="false" customHeight="false" outlineLevel="0" collapsed="false">
      <c r="A1743" s="203" t="s">
        <v>4212</v>
      </c>
    </row>
    <row r="1744" customFormat="false" ht="12" hidden="false" customHeight="false" outlineLevel="0" collapsed="false">
      <c r="A1744" s="203" t="s">
        <v>4213</v>
      </c>
    </row>
    <row r="1745" customFormat="false" ht="12" hidden="false" customHeight="false" outlineLevel="0" collapsed="false">
      <c r="A1745" s="203" t="s">
        <v>4214</v>
      </c>
    </row>
    <row r="1746" customFormat="false" ht="12" hidden="false" customHeight="false" outlineLevel="0" collapsed="false">
      <c r="A1746" s="203" t="s">
        <v>4215</v>
      </c>
    </row>
    <row r="1747" customFormat="false" ht="12" hidden="false" customHeight="false" outlineLevel="0" collapsed="false">
      <c r="A1747" s="203" t="s">
        <v>4216</v>
      </c>
    </row>
    <row r="1748" customFormat="false" ht="12" hidden="false" customHeight="false" outlineLevel="0" collapsed="false">
      <c r="A1748" s="203" t="s">
        <v>4217</v>
      </c>
    </row>
    <row r="1749" customFormat="false" ht="12" hidden="false" customHeight="false" outlineLevel="0" collapsed="false">
      <c r="A1749" s="203" t="s">
        <v>4218</v>
      </c>
    </row>
    <row r="1750" customFormat="false" ht="12" hidden="false" customHeight="false" outlineLevel="0" collapsed="false">
      <c r="A1750" s="203" t="s">
        <v>4219</v>
      </c>
    </row>
    <row r="1751" customFormat="false" ht="12" hidden="false" customHeight="false" outlineLevel="0" collapsed="false">
      <c r="A1751" s="203" t="s">
        <v>4220</v>
      </c>
    </row>
    <row r="1752" customFormat="false" ht="12" hidden="false" customHeight="false" outlineLevel="0" collapsed="false">
      <c r="A1752" s="203" t="s">
        <v>4221</v>
      </c>
    </row>
    <row r="1753" customFormat="false" ht="12" hidden="false" customHeight="false" outlineLevel="0" collapsed="false">
      <c r="A1753" s="203" t="s">
        <v>4222</v>
      </c>
    </row>
    <row r="1754" customFormat="false" ht="12" hidden="false" customHeight="false" outlineLevel="0" collapsed="false">
      <c r="A1754" s="203" t="s">
        <v>4223</v>
      </c>
    </row>
    <row r="1755" customFormat="false" ht="12" hidden="false" customHeight="false" outlineLevel="0" collapsed="false">
      <c r="A1755" s="203" t="s">
        <v>4224</v>
      </c>
    </row>
    <row r="1756" customFormat="false" ht="12" hidden="false" customHeight="false" outlineLevel="0" collapsed="false">
      <c r="A1756" s="203" t="s">
        <v>4225</v>
      </c>
    </row>
    <row r="1757" customFormat="false" ht="12" hidden="false" customHeight="false" outlineLevel="0" collapsed="false">
      <c r="A1757" s="203" t="s">
        <v>4226</v>
      </c>
    </row>
    <row r="1758" customFormat="false" ht="12" hidden="false" customHeight="false" outlineLevel="0" collapsed="false">
      <c r="A1758" s="203" t="s">
        <v>4227</v>
      </c>
    </row>
    <row r="1759" customFormat="false" ht="12" hidden="false" customHeight="false" outlineLevel="0" collapsed="false">
      <c r="A1759" s="203" t="s">
        <v>4228</v>
      </c>
    </row>
    <row r="1760" customFormat="false" ht="12" hidden="false" customHeight="false" outlineLevel="0" collapsed="false">
      <c r="A1760" s="203" t="s">
        <v>4229</v>
      </c>
    </row>
    <row r="1761" customFormat="false" ht="12" hidden="false" customHeight="false" outlineLevel="0" collapsed="false">
      <c r="A1761" s="203" t="s">
        <v>4230</v>
      </c>
    </row>
    <row r="1762" customFormat="false" ht="12" hidden="false" customHeight="false" outlineLevel="0" collapsed="false">
      <c r="A1762" s="203" t="s">
        <v>4231</v>
      </c>
    </row>
    <row r="1763" customFormat="false" ht="12" hidden="false" customHeight="false" outlineLevel="0" collapsed="false">
      <c r="A1763" s="203" t="s">
        <v>4232</v>
      </c>
    </row>
    <row r="1764" customFormat="false" ht="12" hidden="false" customHeight="false" outlineLevel="0" collapsed="false">
      <c r="A1764" s="203" t="s">
        <v>4233</v>
      </c>
    </row>
    <row r="1765" customFormat="false" ht="12" hidden="false" customHeight="false" outlineLevel="0" collapsed="false">
      <c r="A1765" s="203" t="s">
        <v>4234</v>
      </c>
    </row>
    <row r="1766" customFormat="false" ht="12" hidden="false" customHeight="false" outlineLevel="0" collapsed="false">
      <c r="A1766" s="203" t="s">
        <v>4235</v>
      </c>
    </row>
    <row r="1767" customFormat="false" ht="12" hidden="false" customHeight="false" outlineLevel="0" collapsed="false">
      <c r="A1767" s="203" t="s">
        <v>4236</v>
      </c>
    </row>
    <row r="1768" customFormat="false" ht="12" hidden="false" customHeight="false" outlineLevel="0" collapsed="false">
      <c r="A1768" s="203" t="s">
        <v>4237</v>
      </c>
    </row>
    <row r="1769" customFormat="false" ht="12" hidden="false" customHeight="false" outlineLevel="0" collapsed="false">
      <c r="A1769" s="203" t="s">
        <v>4238</v>
      </c>
    </row>
    <row r="1770" customFormat="false" ht="12" hidden="false" customHeight="false" outlineLevel="0" collapsed="false">
      <c r="A1770" s="203" t="s">
        <v>4239</v>
      </c>
    </row>
    <row r="1771" customFormat="false" ht="12" hidden="false" customHeight="false" outlineLevel="0" collapsed="false">
      <c r="A1771" s="203" t="s">
        <v>4240</v>
      </c>
    </row>
    <row r="1772" customFormat="false" ht="12" hidden="false" customHeight="false" outlineLevel="0" collapsed="false">
      <c r="A1772" s="203" t="s">
        <v>4241</v>
      </c>
    </row>
    <row r="1773" customFormat="false" ht="12" hidden="false" customHeight="false" outlineLevel="0" collapsed="false">
      <c r="A1773" s="203" t="s">
        <v>4242</v>
      </c>
    </row>
    <row r="1774" customFormat="false" ht="12" hidden="false" customHeight="false" outlineLevel="0" collapsed="false">
      <c r="A1774" s="203" t="s">
        <v>4243</v>
      </c>
    </row>
    <row r="1775" customFormat="false" ht="12" hidden="false" customHeight="false" outlineLevel="0" collapsed="false">
      <c r="A1775" s="203" t="s">
        <v>4244</v>
      </c>
    </row>
    <row r="1776" customFormat="false" ht="12" hidden="false" customHeight="false" outlineLevel="0" collapsed="false">
      <c r="A1776" s="203" t="s">
        <v>4245</v>
      </c>
    </row>
    <row r="1777" customFormat="false" ht="12" hidden="false" customHeight="false" outlineLevel="0" collapsed="false">
      <c r="A1777" s="203" t="s">
        <v>4246</v>
      </c>
    </row>
    <row r="1778" customFormat="false" ht="12" hidden="false" customHeight="false" outlineLevel="0" collapsed="false">
      <c r="A1778" s="203" t="s">
        <v>4247</v>
      </c>
    </row>
    <row r="1779" customFormat="false" ht="12" hidden="false" customHeight="false" outlineLevel="0" collapsed="false">
      <c r="A1779" s="203" t="s">
        <v>4248</v>
      </c>
    </row>
    <row r="1780" customFormat="false" ht="12" hidden="false" customHeight="false" outlineLevel="0" collapsed="false">
      <c r="A1780" s="203" t="s">
        <v>4249</v>
      </c>
    </row>
    <row r="1781" customFormat="false" ht="12" hidden="false" customHeight="false" outlineLevel="0" collapsed="false">
      <c r="A1781" s="203" t="s">
        <v>4250</v>
      </c>
    </row>
    <row r="1782" customFormat="false" ht="12" hidden="false" customHeight="false" outlineLevel="0" collapsed="false">
      <c r="A1782" s="203" t="s">
        <v>4251</v>
      </c>
    </row>
    <row r="1783" customFormat="false" ht="12" hidden="false" customHeight="false" outlineLevel="0" collapsed="false">
      <c r="A1783" s="203" t="s">
        <v>4252</v>
      </c>
    </row>
    <row r="1784" customFormat="false" ht="12" hidden="false" customHeight="false" outlineLevel="0" collapsed="false">
      <c r="A1784" s="203" t="s">
        <v>4253</v>
      </c>
    </row>
    <row r="1785" customFormat="false" ht="12" hidden="false" customHeight="false" outlineLevel="0" collapsed="false">
      <c r="A1785" s="203" t="s">
        <v>4254</v>
      </c>
    </row>
    <row r="1786" customFormat="false" ht="12" hidden="false" customHeight="false" outlineLevel="0" collapsed="false">
      <c r="A1786" s="203" t="s">
        <v>4255</v>
      </c>
    </row>
    <row r="1787" customFormat="false" ht="12" hidden="false" customHeight="false" outlineLevel="0" collapsed="false">
      <c r="A1787" s="203" t="s">
        <v>4256</v>
      </c>
    </row>
    <row r="1788" customFormat="false" ht="12" hidden="false" customHeight="false" outlineLevel="0" collapsed="false">
      <c r="A1788" s="203" t="s">
        <v>4257</v>
      </c>
    </row>
    <row r="1789" customFormat="false" ht="12" hidden="false" customHeight="false" outlineLevel="0" collapsed="false">
      <c r="A1789" s="203" t="s">
        <v>4258</v>
      </c>
    </row>
    <row r="1790" customFormat="false" ht="12" hidden="false" customHeight="false" outlineLevel="0" collapsed="false">
      <c r="A1790" s="203" t="s">
        <v>4259</v>
      </c>
    </row>
    <row r="1791" customFormat="false" ht="12" hidden="false" customHeight="false" outlineLevel="0" collapsed="false">
      <c r="A1791" s="203" t="s">
        <v>4260</v>
      </c>
    </row>
    <row r="1792" customFormat="false" ht="12" hidden="false" customHeight="false" outlineLevel="0" collapsed="false">
      <c r="A1792" s="203" t="s">
        <v>4261</v>
      </c>
    </row>
    <row r="1793" customFormat="false" ht="12" hidden="false" customHeight="false" outlineLevel="0" collapsed="false">
      <c r="A1793" s="203" t="s">
        <v>4262</v>
      </c>
    </row>
    <row r="1794" customFormat="false" ht="12" hidden="false" customHeight="false" outlineLevel="0" collapsed="false">
      <c r="A1794" s="203" t="s">
        <v>4263</v>
      </c>
    </row>
    <row r="1795" customFormat="false" ht="12" hidden="false" customHeight="false" outlineLevel="0" collapsed="false">
      <c r="A1795" s="203" t="s">
        <v>4264</v>
      </c>
    </row>
    <row r="1796" customFormat="false" ht="12" hidden="false" customHeight="false" outlineLevel="0" collapsed="false">
      <c r="A1796" s="203" t="s">
        <v>4265</v>
      </c>
    </row>
    <row r="1797" customFormat="false" ht="12" hidden="false" customHeight="false" outlineLevel="0" collapsed="false">
      <c r="A1797" s="203" t="s">
        <v>4266</v>
      </c>
    </row>
    <row r="1798" customFormat="false" ht="12" hidden="false" customHeight="false" outlineLevel="0" collapsed="false">
      <c r="A1798" s="203" t="s">
        <v>4267</v>
      </c>
    </row>
    <row r="1799" customFormat="false" ht="12" hidden="false" customHeight="false" outlineLevel="0" collapsed="false">
      <c r="A1799" s="203" t="s">
        <v>4268</v>
      </c>
    </row>
    <row r="1800" customFormat="false" ht="12" hidden="false" customHeight="false" outlineLevel="0" collapsed="false">
      <c r="A1800" s="203" t="s">
        <v>4269</v>
      </c>
    </row>
    <row r="1801" customFormat="false" ht="12" hidden="false" customHeight="false" outlineLevel="0" collapsed="false">
      <c r="A1801" s="203" t="s">
        <v>4270</v>
      </c>
    </row>
    <row r="1802" customFormat="false" ht="12" hidden="false" customHeight="false" outlineLevel="0" collapsed="false">
      <c r="A1802" s="203" t="s">
        <v>4271</v>
      </c>
    </row>
    <row r="1803" customFormat="false" ht="12" hidden="false" customHeight="false" outlineLevel="0" collapsed="false">
      <c r="A1803" s="203" t="s">
        <v>4272</v>
      </c>
    </row>
    <row r="1804" customFormat="false" ht="12" hidden="false" customHeight="false" outlineLevel="0" collapsed="false">
      <c r="A1804" s="203" t="s">
        <v>4273</v>
      </c>
    </row>
    <row r="1805" customFormat="false" ht="12" hidden="false" customHeight="false" outlineLevel="0" collapsed="false">
      <c r="A1805" s="203" t="s">
        <v>4274</v>
      </c>
    </row>
    <row r="1806" customFormat="false" ht="12" hidden="false" customHeight="false" outlineLevel="0" collapsed="false">
      <c r="A1806" s="203" t="s">
        <v>4275</v>
      </c>
    </row>
    <row r="1807" customFormat="false" ht="12" hidden="false" customHeight="false" outlineLevel="0" collapsed="false">
      <c r="A1807" s="203" t="s">
        <v>4276</v>
      </c>
    </row>
    <row r="1808" customFormat="false" ht="12" hidden="false" customHeight="false" outlineLevel="0" collapsed="false">
      <c r="A1808" s="203" t="s">
        <v>4277</v>
      </c>
    </row>
    <row r="1809" customFormat="false" ht="12" hidden="false" customHeight="false" outlineLevel="0" collapsed="false">
      <c r="A1809" s="203" t="s">
        <v>4278</v>
      </c>
    </row>
    <row r="1810" customFormat="false" ht="12" hidden="false" customHeight="false" outlineLevel="0" collapsed="false">
      <c r="A1810" s="203" t="s">
        <v>4279</v>
      </c>
    </row>
    <row r="1811" customFormat="false" ht="12" hidden="false" customHeight="false" outlineLevel="0" collapsed="false">
      <c r="A1811" s="203" t="s">
        <v>4280</v>
      </c>
    </row>
    <row r="1812" customFormat="false" ht="12" hidden="false" customHeight="false" outlineLevel="0" collapsed="false">
      <c r="A1812" s="203" t="s">
        <v>4281</v>
      </c>
    </row>
    <row r="1813" customFormat="false" ht="12" hidden="false" customHeight="false" outlineLevel="0" collapsed="false">
      <c r="A1813" s="203" t="s">
        <v>4282</v>
      </c>
    </row>
    <row r="1814" customFormat="false" ht="12" hidden="false" customHeight="false" outlineLevel="0" collapsed="false">
      <c r="A1814" s="203" t="s">
        <v>4283</v>
      </c>
    </row>
    <row r="1815" customFormat="false" ht="12" hidden="false" customHeight="false" outlineLevel="0" collapsed="false">
      <c r="A1815" s="203" t="s">
        <v>4284</v>
      </c>
    </row>
    <row r="1816" customFormat="false" ht="12" hidden="false" customHeight="false" outlineLevel="0" collapsed="false">
      <c r="A1816" s="203" t="s">
        <v>4285</v>
      </c>
    </row>
    <row r="1817" customFormat="false" ht="12" hidden="false" customHeight="false" outlineLevel="0" collapsed="false">
      <c r="A1817" s="203" t="s">
        <v>4286</v>
      </c>
    </row>
    <row r="1818" customFormat="false" ht="12" hidden="false" customHeight="false" outlineLevel="0" collapsed="false">
      <c r="A1818" s="203" t="s">
        <v>4287</v>
      </c>
    </row>
    <row r="1819" customFormat="false" ht="12" hidden="false" customHeight="false" outlineLevel="0" collapsed="false">
      <c r="A1819" s="203" t="s">
        <v>4288</v>
      </c>
    </row>
    <row r="1820" customFormat="false" ht="12" hidden="false" customHeight="false" outlineLevel="0" collapsed="false">
      <c r="A1820" s="203" t="s">
        <v>4289</v>
      </c>
    </row>
    <row r="1821" customFormat="false" ht="12" hidden="false" customHeight="false" outlineLevel="0" collapsed="false">
      <c r="A1821" s="203" t="s">
        <v>4290</v>
      </c>
    </row>
    <row r="1822" customFormat="false" ht="12" hidden="false" customHeight="false" outlineLevel="0" collapsed="false">
      <c r="A1822" s="203" t="s">
        <v>4291</v>
      </c>
    </row>
    <row r="1823" customFormat="false" ht="12" hidden="false" customHeight="false" outlineLevel="0" collapsed="false">
      <c r="A1823" s="203" t="s">
        <v>4292</v>
      </c>
    </row>
    <row r="1824" customFormat="false" ht="12" hidden="false" customHeight="false" outlineLevel="0" collapsed="false">
      <c r="A1824" s="203" t="s">
        <v>4293</v>
      </c>
    </row>
    <row r="1825" customFormat="false" ht="12" hidden="false" customHeight="false" outlineLevel="0" collapsed="false">
      <c r="A1825" s="203" t="s">
        <v>4294</v>
      </c>
    </row>
    <row r="1826" customFormat="false" ht="12" hidden="false" customHeight="false" outlineLevel="0" collapsed="false">
      <c r="A1826" s="203" t="s">
        <v>4295</v>
      </c>
    </row>
    <row r="1827" customFormat="false" ht="12" hidden="false" customHeight="false" outlineLevel="0" collapsed="false">
      <c r="A1827" s="203" t="s">
        <v>4296</v>
      </c>
    </row>
    <row r="1828" customFormat="false" ht="12" hidden="false" customHeight="false" outlineLevel="0" collapsed="false">
      <c r="A1828" s="203" t="s">
        <v>4297</v>
      </c>
    </row>
    <row r="1829" customFormat="false" ht="12" hidden="false" customHeight="false" outlineLevel="0" collapsed="false">
      <c r="A1829" s="203" t="s">
        <v>4298</v>
      </c>
    </row>
    <row r="1830" customFormat="false" ht="12" hidden="false" customHeight="false" outlineLevel="0" collapsed="false">
      <c r="A1830" s="203" t="s">
        <v>4299</v>
      </c>
    </row>
    <row r="1831" customFormat="false" ht="12" hidden="false" customHeight="false" outlineLevel="0" collapsed="false">
      <c r="A1831" s="203" t="s">
        <v>4300</v>
      </c>
    </row>
    <row r="1832" customFormat="false" ht="12" hidden="false" customHeight="false" outlineLevel="0" collapsed="false">
      <c r="A1832" s="203" t="s">
        <v>4301</v>
      </c>
    </row>
    <row r="1833" customFormat="false" ht="12" hidden="false" customHeight="false" outlineLevel="0" collapsed="false">
      <c r="A1833" s="203" t="s">
        <v>4302</v>
      </c>
    </row>
    <row r="1834" customFormat="false" ht="12" hidden="false" customHeight="false" outlineLevel="0" collapsed="false">
      <c r="A1834" s="203" t="s">
        <v>4303</v>
      </c>
    </row>
    <row r="1835" customFormat="false" ht="12" hidden="false" customHeight="false" outlineLevel="0" collapsed="false">
      <c r="A1835" s="203" t="s">
        <v>4304</v>
      </c>
    </row>
    <row r="1836" customFormat="false" ht="12" hidden="false" customHeight="false" outlineLevel="0" collapsed="false">
      <c r="A1836" s="203" t="s">
        <v>4305</v>
      </c>
    </row>
    <row r="1837" customFormat="false" ht="12" hidden="false" customHeight="false" outlineLevel="0" collapsed="false">
      <c r="A1837" s="203" t="s">
        <v>4306</v>
      </c>
    </row>
    <row r="1838" customFormat="false" ht="12" hidden="false" customHeight="false" outlineLevel="0" collapsed="false">
      <c r="A1838" s="203" t="s">
        <v>4307</v>
      </c>
    </row>
    <row r="1839" customFormat="false" ht="12" hidden="false" customHeight="false" outlineLevel="0" collapsed="false">
      <c r="A1839" s="203" t="s">
        <v>4308</v>
      </c>
    </row>
    <row r="1840" customFormat="false" ht="12" hidden="false" customHeight="false" outlineLevel="0" collapsed="false">
      <c r="A1840" s="203" t="s">
        <v>4309</v>
      </c>
    </row>
    <row r="1841" customFormat="false" ht="12" hidden="false" customHeight="false" outlineLevel="0" collapsed="false">
      <c r="A1841" s="203" t="s">
        <v>4310</v>
      </c>
    </row>
    <row r="1842" customFormat="false" ht="12" hidden="false" customHeight="false" outlineLevel="0" collapsed="false">
      <c r="A1842" s="203" t="s">
        <v>4311</v>
      </c>
    </row>
    <row r="1843" customFormat="false" ht="12" hidden="false" customHeight="false" outlineLevel="0" collapsed="false">
      <c r="A1843" s="203" t="s">
        <v>4312</v>
      </c>
    </row>
    <row r="1844" customFormat="false" ht="12" hidden="false" customHeight="false" outlineLevel="0" collapsed="false">
      <c r="A1844" s="203" t="s">
        <v>4313</v>
      </c>
    </row>
    <row r="1845" customFormat="false" ht="12" hidden="false" customHeight="false" outlineLevel="0" collapsed="false">
      <c r="A1845" s="203" t="s">
        <v>4314</v>
      </c>
    </row>
    <row r="1846" customFormat="false" ht="12" hidden="false" customHeight="false" outlineLevel="0" collapsed="false">
      <c r="A1846" s="203" t="s">
        <v>4315</v>
      </c>
    </row>
    <row r="1847" customFormat="false" ht="12" hidden="false" customHeight="false" outlineLevel="0" collapsed="false">
      <c r="A1847" s="203" t="s">
        <v>4316</v>
      </c>
    </row>
    <row r="1848" customFormat="false" ht="12" hidden="false" customHeight="false" outlineLevel="0" collapsed="false">
      <c r="A1848" s="203" t="s">
        <v>4317</v>
      </c>
    </row>
    <row r="1849" customFormat="false" ht="12" hidden="false" customHeight="false" outlineLevel="0" collapsed="false">
      <c r="A1849" s="203" t="s">
        <v>4318</v>
      </c>
    </row>
    <row r="1850" customFormat="false" ht="12" hidden="false" customHeight="false" outlineLevel="0" collapsed="false">
      <c r="A1850" s="203" t="s">
        <v>4319</v>
      </c>
    </row>
    <row r="1851" customFormat="false" ht="12" hidden="false" customHeight="false" outlineLevel="0" collapsed="false">
      <c r="A1851" s="203" t="s">
        <v>4320</v>
      </c>
    </row>
    <row r="1852" customFormat="false" ht="12" hidden="false" customHeight="false" outlineLevel="0" collapsed="false">
      <c r="A1852" s="203" t="s">
        <v>4321</v>
      </c>
    </row>
    <row r="1853" customFormat="false" ht="12" hidden="false" customHeight="false" outlineLevel="0" collapsed="false">
      <c r="A1853" s="203" t="s">
        <v>4322</v>
      </c>
    </row>
    <row r="1854" customFormat="false" ht="12" hidden="false" customHeight="false" outlineLevel="0" collapsed="false">
      <c r="A1854" s="203" t="s">
        <v>4323</v>
      </c>
    </row>
    <row r="1855" customFormat="false" ht="12" hidden="false" customHeight="false" outlineLevel="0" collapsed="false">
      <c r="A1855" s="203" t="s">
        <v>4324</v>
      </c>
    </row>
    <row r="1856" customFormat="false" ht="12" hidden="false" customHeight="false" outlineLevel="0" collapsed="false">
      <c r="A1856" s="203" t="s">
        <v>4325</v>
      </c>
    </row>
    <row r="1857" customFormat="false" ht="12" hidden="false" customHeight="false" outlineLevel="0" collapsed="false">
      <c r="A1857" s="203" t="s">
        <v>4326</v>
      </c>
    </row>
    <row r="1858" customFormat="false" ht="12" hidden="false" customHeight="false" outlineLevel="0" collapsed="false">
      <c r="A1858" s="203" t="s">
        <v>4327</v>
      </c>
    </row>
    <row r="1859" customFormat="false" ht="12" hidden="false" customHeight="false" outlineLevel="0" collapsed="false">
      <c r="A1859" s="203" t="s">
        <v>4328</v>
      </c>
    </row>
    <row r="1860" customFormat="false" ht="12" hidden="false" customHeight="false" outlineLevel="0" collapsed="false">
      <c r="A1860" s="203" t="s">
        <v>4329</v>
      </c>
    </row>
    <row r="1861" customFormat="false" ht="12" hidden="false" customHeight="false" outlineLevel="0" collapsed="false">
      <c r="A1861" s="203" t="s">
        <v>4330</v>
      </c>
    </row>
    <row r="1862" customFormat="false" ht="12" hidden="false" customHeight="false" outlineLevel="0" collapsed="false">
      <c r="A1862" s="203" t="s">
        <v>4331</v>
      </c>
    </row>
    <row r="1863" customFormat="false" ht="12" hidden="false" customHeight="false" outlineLevel="0" collapsed="false">
      <c r="A1863" s="203" t="s">
        <v>4332</v>
      </c>
    </row>
    <row r="1864" customFormat="false" ht="12" hidden="false" customHeight="false" outlineLevel="0" collapsed="false">
      <c r="A1864" s="203" t="s">
        <v>4333</v>
      </c>
    </row>
    <row r="1865" customFormat="false" ht="12" hidden="false" customHeight="false" outlineLevel="0" collapsed="false">
      <c r="A1865" s="203" t="s">
        <v>4334</v>
      </c>
    </row>
    <row r="1866" customFormat="false" ht="12" hidden="false" customHeight="false" outlineLevel="0" collapsed="false">
      <c r="A1866" s="203" t="s">
        <v>4335</v>
      </c>
    </row>
    <row r="1867" customFormat="false" ht="12" hidden="false" customHeight="false" outlineLevel="0" collapsed="false">
      <c r="A1867" s="203" t="s">
        <v>4336</v>
      </c>
    </row>
    <row r="1868" customFormat="false" ht="12" hidden="false" customHeight="false" outlineLevel="0" collapsed="false">
      <c r="A1868" s="203" t="s">
        <v>4337</v>
      </c>
    </row>
    <row r="1869" customFormat="false" ht="12" hidden="false" customHeight="false" outlineLevel="0" collapsed="false">
      <c r="A1869" s="203" t="s">
        <v>4338</v>
      </c>
    </row>
    <row r="1870" customFormat="false" ht="12" hidden="false" customHeight="false" outlineLevel="0" collapsed="false">
      <c r="A1870" s="203" t="s">
        <v>4339</v>
      </c>
    </row>
    <row r="1871" customFormat="false" ht="12" hidden="false" customHeight="false" outlineLevel="0" collapsed="false">
      <c r="A1871" s="203" t="s">
        <v>4340</v>
      </c>
    </row>
    <row r="1872" customFormat="false" ht="12" hidden="false" customHeight="false" outlineLevel="0" collapsed="false">
      <c r="A1872" s="203" t="s">
        <v>4341</v>
      </c>
    </row>
    <row r="1873" customFormat="false" ht="12" hidden="false" customHeight="false" outlineLevel="0" collapsed="false">
      <c r="A1873" s="203" t="s">
        <v>4342</v>
      </c>
    </row>
    <row r="1874" customFormat="false" ht="12" hidden="false" customHeight="false" outlineLevel="0" collapsed="false">
      <c r="A1874" s="203" t="s">
        <v>4343</v>
      </c>
    </row>
    <row r="1875" customFormat="false" ht="12" hidden="false" customHeight="false" outlineLevel="0" collapsed="false">
      <c r="A1875" s="203" t="s">
        <v>4344</v>
      </c>
    </row>
    <row r="1876" customFormat="false" ht="12" hidden="false" customHeight="false" outlineLevel="0" collapsed="false">
      <c r="A1876" s="203" t="s">
        <v>4345</v>
      </c>
    </row>
    <row r="1877" customFormat="false" ht="12" hidden="false" customHeight="false" outlineLevel="0" collapsed="false">
      <c r="A1877" s="203" t="s">
        <v>4346</v>
      </c>
    </row>
    <row r="1878" customFormat="false" ht="12" hidden="false" customHeight="false" outlineLevel="0" collapsed="false">
      <c r="A1878" s="203" t="s">
        <v>4347</v>
      </c>
    </row>
    <row r="1879" customFormat="false" ht="12" hidden="false" customHeight="false" outlineLevel="0" collapsed="false">
      <c r="A1879" s="203" t="s">
        <v>4348</v>
      </c>
    </row>
    <row r="1880" customFormat="false" ht="12" hidden="false" customHeight="false" outlineLevel="0" collapsed="false">
      <c r="A1880" s="203" t="s">
        <v>4349</v>
      </c>
    </row>
    <row r="1881" customFormat="false" ht="12" hidden="false" customHeight="false" outlineLevel="0" collapsed="false">
      <c r="A1881" s="203" t="s">
        <v>4350</v>
      </c>
    </row>
    <row r="1882" customFormat="false" ht="12" hidden="false" customHeight="false" outlineLevel="0" collapsed="false">
      <c r="A1882" s="203" t="s">
        <v>4351</v>
      </c>
    </row>
    <row r="1883" customFormat="false" ht="12" hidden="false" customHeight="false" outlineLevel="0" collapsed="false">
      <c r="A1883" s="203" t="s">
        <v>4352</v>
      </c>
    </row>
    <row r="1884" customFormat="false" ht="12" hidden="false" customHeight="false" outlineLevel="0" collapsed="false">
      <c r="A1884" s="203" t="s">
        <v>4353</v>
      </c>
    </row>
    <row r="1885" customFormat="false" ht="12" hidden="false" customHeight="false" outlineLevel="0" collapsed="false">
      <c r="A1885" s="203" t="s">
        <v>4354</v>
      </c>
    </row>
    <row r="1886" customFormat="false" ht="12" hidden="false" customHeight="false" outlineLevel="0" collapsed="false">
      <c r="A1886" s="203" t="s">
        <v>4355</v>
      </c>
    </row>
    <row r="1887" customFormat="false" ht="12" hidden="false" customHeight="false" outlineLevel="0" collapsed="false">
      <c r="A1887" s="203" t="s">
        <v>4356</v>
      </c>
    </row>
    <row r="1888" customFormat="false" ht="12" hidden="false" customHeight="false" outlineLevel="0" collapsed="false">
      <c r="A1888" s="203" t="s">
        <v>4357</v>
      </c>
    </row>
    <row r="1889" customFormat="false" ht="12" hidden="false" customHeight="false" outlineLevel="0" collapsed="false">
      <c r="A1889" s="203" t="s">
        <v>4358</v>
      </c>
    </row>
    <row r="1890" customFormat="false" ht="12" hidden="false" customHeight="false" outlineLevel="0" collapsed="false">
      <c r="A1890" s="203" t="s">
        <v>4359</v>
      </c>
    </row>
    <row r="1891" customFormat="false" ht="12" hidden="false" customHeight="false" outlineLevel="0" collapsed="false">
      <c r="A1891" s="203" t="s">
        <v>4360</v>
      </c>
    </row>
    <row r="1892" customFormat="false" ht="12" hidden="false" customHeight="false" outlineLevel="0" collapsed="false">
      <c r="A1892" s="203" t="s">
        <v>4361</v>
      </c>
    </row>
    <row r="1893" customFormat="false" ht="12" hidden="false" customHeight="false" outlineLevel="0" collapsed="false">
      <c r="A1893" s="203" t="s">
        <v>4362</v>
      </c>
    </row>
    <row r="1894" customFormat="false" ht="12" hidden="false" customHeight="false" outlineLevel="0" collapsed="false">
      <c r="A1894" s="203" t="s">
        <v>4363</v>
      </c>
    </row>
    <row r="1895" customFormat="false" ht="12" hidden="false" customHeight="false" outlineLevel="0" collapsed="false">
      <c r="A1895" s="203" t="s">
        <v>4364</v>
      </c>
    </row>
    <row r="1896" customFormat="false" ht="12" hidden="false" customHeight="false" outlineLevel="0" collapsed="false">
      <c r="A1896" s="203" t="s">
        <v>4365</v>
      </c>
    </row>
    <row r="1897" customFormat="false" ht="12" hidden="false" customHeight="false" outlineLevel="0" collapsed="false">
      <c r="A1897" s="203" t="s">
        <v>4366</v>
      </c>
    </row>
    <row r="1898" customFormat="false" ht="12" hidden="false" customHeight="false" outlineLevel="0" collapsed="false">
      <c r="A1898" s="203" t="s">
        <v>4367</v>
      </c>
    </row>
    <row r="1899" customFormat="false" ht="12" hidden="false" customHeight="false" outlineLevel="0" collapsed="false">
      <c r="A1899" s="203" t="s">
        <v>4368</v>
      </c>
    </row>
    <row r="1900" customFormat="false" ht="12" hidden="false" customHeight="false" outlineLevel="0" collapsed="false">
      <c r="A1900" s="203" t="s">
        <v>4369</v>
      </c>
    </row>
    <row r="1901" customFormat="false" ht="12" hidden="false" customHeight="false" outlineLevel="0" collapsed="false">
      <c r="A1901" s="203" t="s">
        <v>4370</v>
      </c>
    </row>
    <row r="1902" customFormat="false" ht="12" hidden="false" customHeight="false" outlineLevel="0" collapsed="false">
      <c r="A1902" s="203" t="s">
        <v>4371</v>
      </c>
    </row>
    <row r="1903" customFormat="false" ht="12" hidden="false" customHeight="false" outlineLevel="0" collapsed="false">
      <c r="A1903" s="203" t="s">
        <v>4372</v>
      </c>
    </row>
    <row r="1904" customFormat="false" ht="12" hidden="false" customHeight="false" outlineLevel="0" collapsed="false">
      <c r="A1904" s="203" t="s">
        <v>4373</v>
      </c>
    </row>
    <row r="1905" customFormat="false" ht="12" hidden="false" customHeight="false" outlineLevel="0" collapsed="false">
      <c r="A1905" s="203" t="s">
        <v>4374</v>
      </c>
    </row>
    <row r="1906" customFormat="false" ht="12" hidden="false" customHeight="false" outlineLevel="0" collapsed="false">
      <c r="A1906" s="203" t="s">
        <v>4375</v>
      </c>
    </row>
    <row r="1907" customFormat="false" ht="12" hidden="false" customHeight="false" outlineLevel="0" collapsed="false">
      <c r="A1907" s="203" t="s">
        <v>4376</v>
      </c>
    </row>
    <row r="1908" customFormat="false" ht="12" hidden="false" customHeight="false" outlineLevel="0" collapsed="false">
      <c r="A1908" s="203" t="s">
        <v>4377</v>
      </c>
    </row>
    <row r="1909" customFormat="false" ht="12" hidden="false" customHeight="false" outlineLevel="0" collapsed="false">
      <c r="A1909" s="203" t="s">
        <v>4378</v>
      </c>
    </row>
    <row r="1910" customFormat="false" ht="12" hidden="false" customHeight="false" outlineLevel="0" collapsed="false">
      <c r="A1910" s="203" t="s">
        <v>4379</v>
      </c>
    </row>
    <row r="1911" customFormat="false" ht="12" hidden="false" customHeight="false" outlineLevel="0" collapsed="false">
      <c r="A1911" s="203" t="s">
        <v>4380</v>
      </c>
    </row>
    <row r="1912" customFormat="false" ht="12" hidden="false" customHeight="false" outlineLevel="0" collapsed="false">
      <c r="A1912" s="203" t="s">
        <v>4381</v>
      </c>
    </row>
    <row r="1913" customFormat="false" ht="12" hidden="false" customHeight="false" outlineLevel="0" collapsed="false">
      <c r="A1913" s="203" t="s">
        <v>4382</v>
      </c>
    </row>
    <row r="1914" customFormat="false" ht="12" hidden="false" customHeight="false" outlineLevel="0" collapsed="false">
      <c r="A1914" s="203" t="s">
        <v>4383</v>
      </c>
    </row>
    <row r="1915" customFormat="false" ht="12" hidden="false" customHeight="false" outlineLevel="0" collapsed="false">
      <c r="A1915" s="203" t="s">
        <v>4384</v>
      </c>
    </row>
    <row r="1916" customFormat="false" ht="12" hidden="false" customHeight="false" outlineLevel="0" collapsed="false">
      <c r="A1916" s="203" t="s">
        <v>4385</v>
      </c>
    </row>
    <row r="1917" customFormat="false" ht="12" hidden="false" customHeight="false" outlineLevel="0" collapsed="false">
      <c r="A1917" s="203" t="s">
        <v>4386</v>
      </c>
    </row>
    <row r="1918" customFormat="false" ht="12" hidden="false" customHeight="false" outlineLevel="0" collapsed="false">
      <c r="A1918" s="203" t="s">
        <v>4387</v>
      </c>
    </row>
    <row r="1919" customFormat="false" ht="12" hidden="false" customHeight="false" outlineLevel="0" collapsed="false">
      <c r="A1919" s="203" t="s">
        <v>4388</v>
      </c>
    </row>
    <row r="1920" customFormat="false" ht="12" hidden="false" customHeight="false" outlineLevel="0" collapsed="false">
      <c r="A1920" s="203" t="s">
        <v>4389</v>
      </c>
    </row>
    <row r="1921" customFormat="false" ht="12" hidden="false" customHeight="false" outlineLevel="0" collapsed="false">
      <c r="A1921" s="203" t="s">
        <v>4390</v>
      </c>
    </row>
    <row r="1922" customFormat="false" ht="12" hidden="false" customHeight="false" outlineLevel="0" collapsed="false">
      <c r="A1922" s="203" t="s">
        <v>4391</v>
      </c>
    </row>
    <row r="1923" customFormat="false" ht="12" hidden="false" customHeight="false" outlineLevel="0" collapsed="false">
      <c r="A1923" s="203" t="s">
        <v>4392</v>
      </c>
    </row>
    <row r="1924" customFormat="false" ht="12" hidden="false" customHeight="false" outlineLevel="0" collapsed="false">
      <c r="A1924" s="203" t="s">
        <v>4393</v>
      </c>
    </row>
    <row r="1925" customFormat="false" ht="12" hidden="false" customHeight="false" outlineLevel="0" collapsed="false">
      <c r="A1925" s="203" t="s">
        <v>4394</v>
      </c>
    </row>
    <row r="1926" customFormat="false" ht="12" hidden="false" customHeight="false" outlineLevel="0" collapsed="false">
      <c r="A1926" s="203" t="s">
        <v>4395</v>
      </c>
    </row>
    <row r="1927" customFormat="false" ht="12" hidden="false" customHeight="false" outlineLevel="0" collapsed="false">
      <c r="A1927" s="203" t="s">
        <v>4396</v>
      </c>
    </row>
    <row r="1928" customFormat="false" ht="12" hidden="false" customHeight="false" outlineLevel="0" collapsed="false">
      <c r="A1928" s="203" t="s">
        <v>4397</v>
      </c>
    </row>
    <row r="1929" customFormat="false" ht="12" hidden="false" customHeight="false" outlineLevel="0" collapsed="false">
      <c r="A1929" s="203" t="s">
        <v>4398</v>
      </c>
    </row>
    <row r="1930" customFormat="false" ht="12" hidden="false" customHeight="false" outlineLevel="0" collapsed="false">
      <c r="A1930" s="203" t="s">
        <v>4399</v>
      </c>
    </row>
    <row r="1931" customFormat="false" ht="12" hidden="false" customHeight="false" outlineLevel="0" collapsed="false">
      <c r="A1931" s="203" t="s">
        <v>4400</v>
      </c>
    </row>
    <row r="1932" customFormat="false" ht="12" hidden="false" customHeight="false" outlineLevel="0" collapsed="false">
      <c r="A1932" s="203" t="s">
        <v>4401</v>
      </c>
    </row>
    <row r="1933" customFormat="false" ht="12" hidden="false" customHeight="false" outlineLevel="0" collapsed="false">
      <c r="A1933" s="203" t="s">
        <v>4402</v>
      </c>
    </row>
    <row r="1934" customFormat="false" ht="12" hidden="false" customHeight="false" outlineLevel="0" collapsed="false">
      <c r="A1934" s="203" t="s">
        <v>4403</v>
      </c>
    </row>
    <row r="1935" customFormat="false" ht="12" hidden="false" customHeight="false" outlineLevel="0" collapsed="false">
      <c r="A1935" s="203" t="s">
        <v>4404</v>
      </c>
    </row>
    <row r="1936" customFormat="false" ht="12" hidden="false" customHeight="false" outlineLevel="0" collapsed="false">
      <c r="A1936" s="203" t="s">
        <v>4405</v>
      </c>
    </row>
    <row r="1937" customFormat="false" ht="12" hidden="false" customHeight="false" outlineLevel="0" collapsed="false">
      <c r="A1937" s="203" t="s">
        <v>4406</v>
      </c>
    </row>
    <row r="1938" customFormat="false" ht="12" hidden="false" customHeight="false" outlineLevel="0" collapsed="false">
      <c r="A1938" s="203" t="s">
        <v>4407</v>
      </c>
    </row>
    <row r="1939" customFormat="false" ht="12" hidden="false" customHeight="false" outlineLevel="0" collapsed="false">
      <c r="A1939" s="203" t="s">
        <v>4408</v>
      </c>
    </row>
    <row r="1940" customFormat="false" ht="12" hidden="false" customHeight="false" outlineLevel="0" collapsed="false">
      <c r="A1940" s="203" t="s">
        <v>4409</v>
      </c>
    </row>
    <row r="1941" customFormat="false" ht="12" hidden="false" customHeight="false" outlineLevel="0" collapsed="false">
      <c r="A1941" s="203" t="s">
        <v>4410</v>
      </c>
    </row>
    <row r="1942" customFormat="false" ht="12" hidden="false" customHeight="false" outlineLevel="0" collapsed="false">
      <c r="A1942" s="203" t="s">
        <v>4411</v>
      </c>
    </row>
    <row r="1943" customFormat="false" ht="12" hidden="false" customHeight="false" outlineLevel="0" collapsed="false">
      <c r="A1943" s="203" t="s">
        <v>4412</v>
      </c>
    </row>
    <row r="1944" customFormat="false" ht="12" hidden="false" customHeight="false" outlineLevel="0" collapsed="false">
      <c r="A1944" s="203" t="s">
        <v>4413</v>
      </c>
    </row>
    <row r="1945" customFormat="false" ht="12" hidden="false" customHeight="false" outlineLevel="0" collapsed="false">
      <c r="A1945" s="203" t="s">
        <v>4414</v>
      </c>
    </row>
    <row r="1946" customFormat="false" ht="12" hidden="false" customHeight="false" outlineLevel="0" collapsed="false">
      <c r="A1946" s="203" t="s">
        <v>4415</v>
      </c>
    </row>
    <row r="1947" customFormat="false" ht="12" hidden="false" customHeight="false" outlineLevel="0" collapsed="false">
      <c r="A1947" s="203" t="s">
        <v>4416</v>
      </c>
    </row>
    <row r="1948" customFormat="false" ht="12" hidden="false" customHeight="false" outlineLevel="0" collapsed="false">
      <c r="A1948" s="203" t="s">
        <v>4417</v>
      </c>
    </row>
    <row r="1949" customFormat="false" ht="12" hidden="false" customHeight="false" outlineLevel="0" collapsed="false">
      <c r="A1949" s="203" t="s">
        <v>4418</v>
      </c>
    </row>
    <row r="1950" customFormat="false" ht="12" hidden="false" customHeight="false" outlineLevel="0" collapsed="false">
      <c r="A1950" s="203" t="s">
        <v>4419</v>
      </c>
    </row>
    <row r="1951" customFormat="false" ht="12" hidden="false" customHeight="false" outlineLevel="0" collapsed="false">
      <c r="A1951" s="203" t="s">
        <v>4420</v>
      </c>
    </row>
    <row r="1952" customFormat="false" ht="12" hidden="false" customHeight="false" outlineLevel="0" collapsed="false">
      <c r="A1952" s="203" t="s">
        <v>4421</v>
      </c>
    </row>
    <row r="1953" customFormat="false" ht="12" hidden="false" customHeight="false" outlineLevel="0" collapsed="false">
      <c r="A1953" s="203" t="s">
        <v>4422</v>
      </c>
    </row>
    <row r="1954" customFormat="false" ht="12" hidden="false" customHeight="false" outlineLevel="0" collapsed="false">
      <c r="A1954" s="203" t="s">
        <v>4423</v>
      </c>
    </row>
    <row r="1955" customFormat="false" ht="12" hidden="false" customHeight="false" outlineLevel="0" collapsed="false">
      <c r="A1955" s="203" t="s">
        <v>4424</v>
      </c>
    </row>
    <row r="1956" customFormat="false" ht="12" hidden="false" customHeight="false" outlineLevel="0" collapsed="false">
      <c r="A1956" s="203" t="s">
        <v>4425</v>
      </c>
    </row>
    <row r="1957" customFormat="false" ht="12" hidden="false" customHeight="false" outlineLevel="0" collapsed="false">
      <c r="A1957" s="203" t="s">
        <v>4426</v>
      </c>
    </row>
    <row r="1958" customFormat="false" ht="12" hidden="false" customHeight="false" outlineLevel="0" collapsed="false">
      <c r="A1958" s="203" t="s">
        <v>4427</v>
      </c>
    </row>
    <row r="1959" customFormat="false" ht="12" hidden="false" customHeight="false" outlineLevel="0" collapsed="false">
      <c r="A1959" s="203" t="s">
        <v>4428</v>
      </c>
    </row>
    <row r="1960" customFormat="false" ht="12" hidden="false" customHeight="false" outlineLevel="0" collapsed="false">
      <c r="A1960" s="203" t="s">
        <v>4429</v>
      </c>
    </row>
    <row r="1961" customFormat="false" ht="12" hidden="false" customHeight="false" outlineLevel="0" collapsed="false">
      <c r="A1961" s="203" t="s">
        <v>4430</v>
      </c>
    </row>
    <row r="1962" customFormat="false" ht="12" hidden="false" customHeight="false" outlineLevel="0" collapsed="false">
      <c r="A1962" s="203" t="s">
        <v>4431</v>
      </c>
    </row>
    <row r="1963" customFormat="false" ht="12" hidden="false" customHeight="false" outlineLevel="0" collapsed="false">
      <c r="A1963" s="203" t="s">
        <v>4432</v>
      </c>
    </row>
    <row r="1964" customFormat="false" ht="12" hidden="false" customHeight="false" outlineLevel="0" collapsed="false">
      <c r="A1964" s="203" t="s">
        <v>4433</v>
      </c>
    </row>
    <row r="1965" customFormat="false" ht="12" hidden="false" customHeight="false" outlineLevel="0" collapsed="false">
      <c r="A1965" s="203" t="s">
        <v>4434</v>
      </c>
    </row>
    <row r="1966" customFormat="false" ht="12" hidden="false" customHeight="false" outlineLevel="0" collapsed="false">
      <c r="A1966" s="203" t="s">
        <v>4435</v>
      </c>
    </row>
    <row r="1967" customFormat="false" ht="12" hidden="false" customHeight="false" outlineLevel="0" collapsed="false">
      <c r="A1967" s="203" t="s">
        <v>4436</v>
      </c>
    </row>
    <row r="1968" customFormat="false" ht="12" hidden="false" customHeight="false" outlineLevel="0" collapsed="false">
      <c r="A1968" s="203" t="s">
        <v>4437</v>
      </c>
    </row>
    <row r="1969" customFormat="false" ht="12" hidden="false" customHeight="false" outlineLevel="0" collapsed="false">
      <c r="A1969" s="203" t="s">
        <v>4438</v>
      </c>
    </row>
    <row r="1970" customFormat="false" ht="12" hidden="false" customHeight="false" outlineLevel="0" collapsed="false">
      <c r="A1970" s="203" t="s">
        <v>4439</v>
      </c>
    </row>
    <row r="1971" customFormat="false" ht="12" hidden="false" customHeight="false" outlineLevel="0" collapsed="false">
      <c r="A1971" s="203" t="s">
        <v>4440</v>
      </c>
    </row>
    <row r="1972" customFormat="false" ht="12" hidden="false" customHeight="false" outlineLevel="0" collapsed="false">
      <c r="A1972" s="203" t="s">
        <v>4441</v>
      </c>
    </row>
    <row r="1973" customFormat="false" ht="12" hidden="false" customHeight="false" outlineLevel="0" collapsed="false">
      <c r="A1973" s="203" t="s">
        <v>4442</v>
      </c>
    </row>
    <row r="1974" customFormat="false" ht="12" hidden="false" customHeight="false" outlineLevel="0" collapsed="false">
      <c r="A1974" s="203" t="s">
        <v>4443</v>
      </c>
    </row>
    <row r="1975" customFormat="false" ht="12" hidden="false" customHeight="false" outlineLevel="0" collapsed="false">
      <c r="A1975" s="203" t="s">
        <v>4444</v>
      </c>
    </row>
    <row r="1976" customFormat="false" ht="12" hidden="false" customHeight="false" outlineLevel="0" collapsed="false">
      <c r="A1976" s="203" t="s">
        <v>4445</v>
      </c>
    </row>
    <row r="1977" customFormat="false" ht="12" hidden="false" customHeight="false" outlineLevel="0" collapsed="false">
      <c r="A1977" s="203" t="s">
        <v>4446</v>
      </c>
    </row>
    <row r="1978" customFormat="false" ht="12" hidden="false" customHeight="false" outlineLevel="0" collapsed="false">
      <c r="A1978" s="203" t="s">
        <v>4447</v>
      </c>
    </row>
    <row r="1979" customFormat="false" ht="12" hidden="false" customHeight="false" outlineLevel="0" collapsed="false">
      <c r="A1979" s="203" t="s">
        <v>4448</v>
      </c>
    </row>
    <row r="1980" customFormat="false" ht="12" hidden="false" customHeight="false" outlineLevel="0" collapsed="false">
      <c r="A1980" s="203" t="s">
        <v>4449</v>
      </c>
    </row>
    <row r="1981" customFormat="false" ht="12" hidden="false" customHeight="false" outlineLevel="0" collapsed="false">
      <c r="A1981" s="203" t="s">
        <v>4450</v>
      </c>
    </row>
    <row r="1982" customFormat="false" ht="12" hidden="false" customHeight="false" outlineLevel="0" collapsed="false">
      <c r="A1982" s="203" t="s">
        <v>4451</v>
      </c>
    </row>
    <row r="1983" customFormat="false" ht="12" hidden="false" customHeight="false" outlineLevel="0" collapsed="false">
      <c r="A1983" s="203" t="s">
        <v>4452</v>
      </c>
    </row>
    <row r="1984" customFormat="false" ht="12" hidden="false" customHeight="false" outlineLevel="0" collapsed="false">
      <c r="A1984" s="203" t="s">
        <v>4453</v>
      </c>
    </row>
    <row r="1985" customFormat="false" ht="12" hidden="false" customHeight="false" outlineLevel="0" collapsed="false">
      <c r="A1985" s="203" t="s">
        <v>4454</v>
      </c>
    </row>
    <row r="1986" customFormat="false" ht="12" hidden="false" customHeight="false" outlineLevel="0" collapsed="false">
      <c r="A1986" s="203" t="s">
        <v>4455</v>
      </c>
    </row>
    <row r="1987" customFormat="false" ht="12" hidden="false" customHeight="false" outlineLevel="0" collapsed="false">
      <c r="A1987" s="203" t="s">
        <v>4456</v>
      </c>
    </row>
    <row r="1988" customFormat="false" ht="12" hidden="false" customHeight="false" outlineLevel="0" collapsed="false">
      <c r="A1988" s="203" t="s">
        <v>4457</v>
      </c>
    </row>
    <row r="1989" customFormat="false" ht="12" hidden="false" customHeight="false" outlineLevel="0" collapsed="false">
      <c r="A1989" s="203" t="s">
        <v>4458</v>
      </c>
    </row>
    <row r="1990" customFormat="false" ht="12" hidden="false" customHeight="false" outlineLevel="0" collapsed="false">
      <c r="A1990" s="203" t="s">
        <v>4459</v>
      </c>
    </row>
    <row r="1991" customFormat="false" ht="12" hidden="false" customHeight="false" outlineLevel="0" collapsed="false">
      <c r="A1991" s="203" t="s">
        <v>4460</v>
      </c>
    </row>
    <row r="1992" customFormat="false" ht="12" hidden="false" customHeight="false" outlineLevel="0" collapsed="false">
      <c r="A1992" s="203" t="s">
        <v>4461</v>
      </c>
    </row>
    <row r="1993" customFormat="false" ht="12" hidden="false" customHeight="false" outlineLevel="0" collapsed="false">
      <c r="A1993" s="203" t="s">
        <v>4462</v>
      </c>
    </row>
    <row r="1994" customFormat="false" ht="12" hidden="false" customHeight="false" outlineLevel="0" collapsed="false">
      <c r="A1994" s="203" t="s">
        <v>4463</v>
      </c>
    </row>
    <row r="1995" customFormat="false" ht="12" hidden="false" customHeight="false" outlineLevel="0" collapsed="false">
      <c r="A1995" s="203" t="s">
        <v>4464</v>
      </c>
    </row>
    <row r="1996" customFormat="false" ht="12" hidden="false" customHeight="false" outlineLevel="0" collapsed="false">
      <c r="A1996" s="203" t="s">
        <v>4465</v>
      </c>
    </row>
    <row r="1997" customFormat="false" ht="12" hidden="false" customHeight="false" outlineLevel="0" collapsed="false">
      <c r="A1997" s="203" t="s">
        <v>4466</v>
      </c>
    </row>
    <row r="1998" customFormat="false" ht="12" hidden="false" customHeight="false" outlineLevel="0" collapsed="false">
      <c r="A1998" s="203" t="s">
        <v>4467</v>
      </c>
    </row>
    <row r="1999" customFormat="false" ht="12" hidden="false" customHeight="false" outlineLevel="0" collapsed="false">
      <c r="A1999" s="203" t="s">
        <v>4468</v>
      </c>
    </row>
    <row r="2000" customFormat="false" ht="12" hidden="false" customHeight="false" outlineLevel="0" collapsed="false">
      <c r="A2000" s="203" t="s">
        <v>4469</v>
      </c>
    </row>
    <row r="2001" customFormat="false" ht="12" hidden="false" customHeight="false" outlineLevel="0" collapsed="false">
      <c r="A2001" s="203" t="s">
        <v>4470</v>
      </c>
    </row>
    <row r="2002" customFormat="false" ht="12" hidden="false" customHeight="false" outlineLevel="0" collapsed="false">
      <c r="A2002" s="203" t="s">
        <v>4471</v>
      </c>
    </row>
    <row r="2003" customFormat="false" ht="12" hidden="false" customHeight="false" outlineLevel="0" collapsed="false">
      <c r="A2003" s="203" t="s">
        <v>4472</v>
      </c>
    </row>
    <row r="2004" customFormat="false" ht="12" hidden="false" customHeight="false" outlineLevel="0" collapsed="false">
      <c r="A2004" s="203" t="s">
        <v>4473</v>
      </c>
    </row>
    <row r="2005" customFormat="false" ht="12" hidden="false" customHeight="false" outlineLevel="0" collapsed="false">
      <c r="A2005" s="203" t="s">
        <v>4474</v>
      </c>
    </row>
    <row r="2006" customFormat="false" ht="12" hidden="false" customHeight="false" outlineLevel="0" collapsed="false">
      <c r="A2006" s="203" t="s">
        <v>4475</v>
      </c>
    </row>
    <row r="2007" customFormat="false" ht="12" hidden="false" customHeight="false" outlineLevel="0" collapsed="false">
      <c r="A2007" s="203" t="s">
        <v>4476</v>
      </c>
    </row>
    <row r="2008" customFormat="false" ht="12" hidden="false" customHeight="false" outlineLevel="0" collapsed="false">
      <c r="A2008" s="203" t="s">
        <v>4477</v>
      </c>
    </row>
    <row r="2009" customFormat="false" ht="12" hidden="false" customHeight="false" outlineLevel="0" collapsed="false">
      <c r="A2009" s="203" t="s">
        <v>4478</v>
      </c>
    </row>
    <row r="2010" customFormat="false" ht="12" hidden="false" customHeight="false" outlineLevel="0" collapsed="false">
      <c r="A2010" s="203" t="s">
        <v>4479</v>
      </c>
    </row>
    <row r="2011" customFormat="false" ht="12" hidden="false" customHeight="false" outlineLevel="0" collapsed="false">
      <c r="A2011" s="203" t="s">
        <v>4480</v>
      </c>
    </row>
    <row r="2012" customFormat="false" ht="12" hidden="false" customHeight="false" outlineLevel="0" collapsed="false">
      <c r="A2012" s="203" t="s">
        <v>4481</v>
      </c>
    </row>
    <row r="2013" customFormat="false" ht="12" hidden="false" customHeight="false" outlineLevel="0" collapsed="false">
      <c r="A2013" s="203" t="s">
        <v>4482</v>
      </c>
    </row>
    <row r="2014" customFormat="false" ht="12" hidden="false" customHeight="false" outlineLevel="0" collapsed="false">
      <c r="A2014" s="203" t="s">
        <v>4483</v>
      </c>
    </row>
    <row r="2015" customFormat="false" ht="12" hidden="false" customHeight="false" outlineLevel="0" collapsed="false">
      <c r="A2015" s="203" t="s">
        <v>4484</v>
      </c>
    </row>
    <row r="2016" customFormat="false" ht="12" hidden="false" customHeight="false" outlineLevel="0" collapsed="false">
      <c r="A2016" s="203" t="s">
        <v>4485</v>
      </c>
    </row>
    <row r="2017" customFormat="false" ht="12" hidden="false" customHeight="false" outlineLevel="0" collapsed="false">
      <c r="A2017" s="203" t="s">
        <v>4486</v>
      </c>
    </row>
    <row r="2018" customFormat="false" ht="12" hidden="false" customHeight="false" outlineLevel="0" collapsed="false">
      <c r="A2018" s="203" t="s">
        <v>4487</v>
      </c>
    </row>
    <row r="2019" customFormat="false" ht="12" hidden="false" customHeight="false" outlineLevel="0" collapsed="false">
      <c r="A2019" s="203" t="s">
        <v>4488</v>
      </c>
    </row>
    <row r="2020" customFormat="false" ht="12" hidden="false" customHeight="false" outlineLevel="0" collapsed="false">
      <c r="A2020" s="203" t="s">
        <v>4489</v>
      </c>
    </row>
    <row r="2021" customFormat="false" ht="12" hidden="false" customHeight="false" outlineLevel="0" collapsed="false">
      <c r="A2021" s="203" t="s">
        <v>4490</v>
      </c>
    </row>
    <row r="2022" customFormat="false" ht="12" hidden="false" customHeight="false" outlineLevel="0" collapsed="false">
      <c r="A2022" s="203" t="s">
        <v>4491</v>
      </c>
    </row>
    <row r="2023" customFormat="false" ht="12" hidden="false" customHeight="false" outlineLevel="0" collapsed="false">
      <c r="A2023" s="203" t="s">
        <v>4492</v>
      </c>
    </row>
    <row r="2024" customFormat="false" ht="12" hidden="false" customHeight="false" outlineLevel="0" collapsed="false">
      <c r="A2024" s="203" t="s">
        <v>4493</v>
      </c>
    </row>
    <row r="2025" customFormat="false" ht="12" hidden="false" customHeight="false" outlineLevel="0" collapsed="false">
      <c r="A2025" s="203" t="s">
        <v>4494</v>
      </c>
    </row>
    <row r="2026" customFormat="false" ht="12" hidden="false" customHeight="false" outlineLevel="0" collapsed="false">
      <c r="A2026" s="203" t="s">
        <v>4495</v>
      </c>
    </row>
    <row r="2027" customFormat="false" ht="12" hidden="false" customHeight="false" outlineLevel="0" collapsed="false">
      <c r="A2027" s="203" t="s">
        <v>4496</v>
      </c>
    </row>
    <row r="2028" customFormat="false" ht="12" hidden="false" customHeight="false" outlineLevel="0" collapsed="false">
      <c r="A2028" s="203" t="s">
        <v>4497</v>
      </c>
    </row>
    <row r="2029" customFormat="false" ht="12" hidden="false" customHeight="false" outlineLevel="0" collapsed="false">
      <c r="A2029" s="203" t="s">
        <v>4498</v>
      </c>
    </row>
    <row r="2030" customFormat="false" ht="12" hidden="false" customHeight="false" outlineLevel="0" collapsed="false">
      <c r="A2030" s="203" t="s">
        <v>4499</v>
      </c>
    </row>
    <row r="2031" customFormat="false" ht="12" hidden="false" customHeight="false" outlineLevel="0" collapsed="false">
      <c r="A2031" s="203" t="s">
        <v>4500</v>
      </c>
    </row>
    <row r="2032" customFormat="false" ht="12" hidden="false" customHeight="false" outlineLevel="0" collapsed="false">
      <c r="A2032" s="203" t="s">
        <v>4501</v>
      </c>
    </row>
    <row r="2033" customFormat="false" ht="12" hidden="false" customHeight="false" outlineLevel="0" collapsed="false">
      <c r="A2033" s="203" t="s">
        <v>4502</v>
      </c>
    </row>
    <row r="2034" customFormat="false" ht="12" hidden="false" customHeight="false" outlineLevel="0" collapsed="false">
      <c r="A2034" s="203" t="s">
        <v>4503</v>
      </c>
    </row>
    <row r="2035" customFormat="false" ht="12" hidden="false" customHeight="false" outlineLevel="0" collapsed="false">
      <c r="A2035" s="203" t="s">
        <v>4504</v>
      </c>
    </row>
    <row r="2036" customFormat="false" ht="12" hidden="false" customHeight="false" outlineLevel="0" collapsed="false">
      <c r="A2036" s="203" t="s">
        <v>4505</v>
      </c>
    </row>
    <row r="2037" customFormat="false" ht="12" hidden="false" customHeight="false" outlineLevel="0" collapsed="false">
      <c r="A2037" s="203" t="s">
        <v>4506</v>
      </c>
    </row>
    <row r="2038" customFormat="false" ht="12" hidden="false" customHeight="false" outlineLevel="0" collapsed="false">
      <c r="A2038" s="203" t="s">
        <v>4507</v>
      </c>
    </row>
    <row r="2039" customFormat="false" ht="12" hidden="false" customHeight="false" outlineLevel="0" collapsed="false">
      <c r="A2039" s="203" t="s">
        <v>4508</v>
      </c>
    </row>
    <row r="2040" customFormat="false" ht="12" hidden="false" customHeight="false" outlineLevel="0" collapsed="false">
      <c r="A2040" s="203" t="s">
        <v>4509</v>
      </c>
    </row>
    <row r="2041" customFormat="false" ht="12" hidden="false" customHeight="false" outlineLevel="0" collapsed="false">
      <c r="A2041" s="203" t="s">
        <v>4510</v>
      </c>
    </row>
    <row r="2042" customFormat="false" ht="12" hidden="false" customHeight="false" outlineLevel="0" collapsed="false">
      <c r="A2042" s="203" t="s">
        <v>4511</v>
      </c>
    </row>
    <row r="2043" customFormat="false" ht="12" hidden="false" customHeight="false" outlineLevel="0" collapsed="false">
      <c r="A2043" s="203" t="s">
        <v>4512</v>
      </c>
    </row>
    <row r="2044" customFormat="false" ht="12" hidden="false" customHeight="false" outlineLevel="0" collapsed="false">
      <c r="A2044" s="203" t="s">
        <v>4513</v>
      </c>
    </row>
    <row r="2045" customFormat="false" ht="12" hidden="false" customHeight="false" outlineLevel="0" collapsed="false">
      <c r="A2045" s="203" t="s">
        <v>4514</v>
      </c>
    </row>
    <row r="2046" customFormat="false" ht="12" hidden="false" customHeight="false" outlineLevel="0" collapsed="false">
      <c r="A2046" s="203" t="s">
        <v>4515</v>
      </c>
    </row>
    <row r="2047" customFormat="false" ht="12" hidden="false" customHeight="false" outlineLevel="0" collapsed="false">
      <c r="A2047" s="203" t="s">
        <v>4516</v>
      </c>
    </row>
    <row r="2048" customFormat="false" ht="12" hidden="false" customHeight="false" outlineLevel="0" collapsed="false">
      <c r="A2048" s="203" t="s">
        <v>4517</v>
      </c>
    </row>
    <row r="2049" customFormat="false" ht="12" hidden="false" customHeight="false" outlineLevel="0" collapsed="false">
      <c r="A2049" s="203" t="s">
        <v>4518</v>
      </c>
    </row>
    <row r="2050" customFormat="false" ht="12" hidden="false" customHeight="false" outlineLevel="0" collapsed="false">
      <c r="A2050" s="203" t="s">
        <v>4519</v>
      </c>
    </row>
    <row r="2051" customFormat="false" ht="12" hidden="false" customHeight="false" outlineLevel="0" collapsed="false">
      <c r="A2051" s="203" t="s">
        <v>4520</v>
      </c>
    </row>
    <row r="2052" customFormat="false" ht="12" hidden="false" customHeight="false" outlineLevel="0" collapsed="false">
      <c r="A2052" s="203" t="s">
        <v>4521</v>
      </c>
    </row>
    <row r="2053" customFormat="false" ht="12" hidden="false" customHeight="false" outlineLevel="0" collapsed="false">
      <c r="A2053" s="203" t="s">
        <v>4522</v>
      </c>
    </row>
    <row r="2054" customFormat="false" ht="12" hidden="false" customHeight="false" outlineLevel="0" collapsed="false">
      <c r="A2054" s="203" t="s">
        <v>4523</v>
      </c>
    </row>
    <row r="2055" customFormat="false" ht="12" hidden="false" customHeight="false" outlineLevel="0" collapsed="false">
      <c r="A2055" s="203" t="s">
        <v>4524</v>
      </c>
    </row>
    <row r="2056" customFormat="false" ht="12" hidden="false" customHeight="false" outlineLevel="0" collapsed="false">
      <c r="A2056" s="203" t="s">
        <v>4525</v>
      </c>
    </row>
    <row r="2057" customFormat="false" ht="12" hidden="false" customHeight="false" outlineLevel="0" collapsed="false">
      <c r="A2057" s="203" t="s">
        <v>4526</v>
      </c>
    </row>
    <row r="2058" customFormat="false" ht="12" hidden="false" customHeight="false" outlineLevel="0" collapsed="false">
      <c r="A2058" s="203" t="s">
        <v>4527</v>
      </c>
    </row>
    <row r="2059" customFormat="false" ht="12" hidden="false" customHeight="false" outlineLevel="0" collapsed="false">
      <c r="A2059" s="203" t="s">
        <v>4528</v>
      </c>
    </row>
    <row r="2060" customFormat="false" ht="12" hidden="false" customHeight="false" outlineLevel="0" collapsed="false">
      <c r="A2060" s="203" t="s">
        <v>4529</v>
      </c>
    </row>
    <row r="2061" customFormat="false" ht="12" hidden="false" customHeight="false" outlineLevel="0" collapsed="false">
      <c r="A2061" s="203" t="s">
        <v>4530</v>
      </c>
    </row>
    <row r="2062" customFormat="false" ht="12" hidden="false" customHeight="false" outlineLevel="0" collapsed="false">
      <c r="A2062" s="203" t="s">
        <v>4531</v>
      </c>
    </row>
    <row r="2063" customFormat="false" ht="12" hidden="false" customHeight="false" outlineLevel="0" collapsed="false">
      <c r="A2063" s="203" t="s">
        <v>4532</v>
      </c>
    </row>
    <row r="2064" customFormat="false" ht="12" hidden="false" customHeight="false" outlineLevel="0" collapsed="false">
      <c r="A2064" s="203" t="s">
        <v>4533</v>
      </c>
    </row>
    <row r="2065" customFormat="false" ht="12" hidden="false" customHeight="false" outlineLevel="0" collapsed="false">
      <c r="A2065" s="203" t="s">
        <v>4534</v>
      </c>
    </row>
    <row r="2066" customFormat="false" ht="12" hidden="false" customHeight="false" outlineLevel="0" collapsed="false">
      <c r="A2066" s="203" t="s">
        <v>4535</v>
      </c>
    </row>
    <row r="2067" customFormat="false" ht="12" hidden="false" customHeight="false" outlineLevel="0" collapsed="false">
      <c r="A2067" s="203" t="s">
        <v>4536</v>
      </c>
    </row>
    <row r="2068" customFormat="false" ht="12" hidden="false" customHeight="false" outlineLevel="0" collapsed="false">
      <c r="A2068" s="203" t="s">
        <v>4537</v>
      </c>
    </row>
    <row r="2069" customFormat="false" ht="12" hidden="false" customHeight="false" outlineLevel="0" collapsed="false">
      <c r="A2069" s="203" t="s">
        <v>4538</v>
      </c>
    </row>
    <row r="2070" customFormat="false" ht="12" hidden="false" customHeight="false" outlineLevel="0" collapsed="false">
      <c r="A2070" s="203" t="s">
        <v>4539</v>
      </c>
    </row>
    <row r="2071" customFormat="false" ht="12" hidden="false" customHeight="false" outlineLevel="0" collapsed="false">
      <c r="A2071" s="203" t="s">
        <v>4540</v>
      </c>
    </row>
    <row r="2072" customFormat="false" ht="12" hidden="false" customHeight="false" outlineLevel="0" collapsed="false">
      <c r="A2072" s="203" t="s">
        <v>4541</v>
      </c>
    </row>
    <row r="2073" customFormat="false" ht="12" hidden="false" customHeight="false" outlineLevel="0" collapsed="false">
      <c r="A2073" s="203" t="s">
        <v>4542</v>
      </c>
    </row>
    <row r="2074" customFormat="false" ht="12" hidden="false" customHeight="false" outlineLevel="0" collapsed="false">
      <c r="A2074" s="203" t="s">
        <v>4543</v>
      </c>
    </row>
    <row r="2075" customFormat="false" ht="12" hidden="false" customHeight="false" outlineLevel="0" collapsed="false">
      <c r="A2075" s="203" t="s">
        <v>4544</v>
      </c>
    </row>
    <row r="2076" customFormat="false" ht="12" hidden="false" customHeight="false" outlineLevel="0" collapsed="false">
      <c r="A2076" s="203" t="s">
        <v>4545</v>
      </c>
    </row>
    <row r="2077" customFormat="false" ht="12" hidden="false" customHeight="false" outlineLevel="0" collapsed="false">
      <c r="A2077" s="203" t="s">
        <v>4546</v>
      </c>
    </row>
    <row r="2078" customFormat="false" ht="12" hidden="false" customHeight="false" outlineLevel="0" collapsed="false">
      <c r="A2078" s="203" t="s">
        <v>4547</v>
      </c>
    </row>
    <row r="2079" customFormat="false" ht="12" hidden="false" customHeight="false" outlineLevel="0" collapsed="false">
      <c r="A2079" s="203" t="s">
        <v>4548</v>
      </c>
    </row>
    <row r="2080" customFormat="false" ht="12" hidden="false" customHeight="false" outlineLevel="0" collapsed="false">
      <c r="A2080" s="203" t="s">
        <v>4549</v>
      </c>
    </row>
    <row r="2081" customFormat="false" ht="12" hidden="false" customHeight="false" outlineLevel="0" collapsed="false">
      <c r="A2081" s="203" t="s">
        <v>4550</v>
      </c>
    </row>
    <row r="2082" customFormat="false" ht="12" hidden="false" customHeight="false" outlineLevel="0" collapsed="false">
      <c r="A2082" s="203" t="s">
        <v>4551</v>
      </c>
    </row>
    <row r="2083" customFormat="false" ht="12" hidden="false" customHeight="false" outlineLevel="0" collapsed="false">
      <c r="A2083" s="203" t="s">
        <v>4552</v>
      </c>
    </row>
    <row r="2084" customFormat="false" ht="12" hidden="false" customHeight="false" outlineLevel="0" collapsed="false">
      <c r="A2084" s="203" t="s">
        <v>4553</v>
      </c>
    </row>
    <row r="2085" customFormat="false" ht="12" hidden="false" customHeight="false" outlineLevel="0" collapsed="false">
      <c r="A2085" s="203" t="s">
        <v>4554</v>
      </c>
    </row>
    <row r="2086" customFormat="false" ht="12" hidden="false" customHeight="false" outlineLevel="0" collapsed="false">
      <c r="A2086" s="203" t="s">
        <v>4555</v>
      </c>
    </row>
    <row r="2087" customFormat="false" ht="12" hidden="false" customHeight="false" outlineLevel="0" collapsed="false">
      <c r="A2087" s="203" t="s">
        <v>4556</v>
      </c>
    </row>
    <row r="2088" customFormat="false" ht="12" hidden="false" customHeight="false" outlineLevel="0" collapsed="false">
      <c r="A2088" s="203" t="s">
        <v>4557</v>
      </c>
    </row>
    <row r="2089" customFormat="false" ht="12" hidden="false" customHeight="false" outlineLevel="0" collapsed="false">
      <c r="A2089" s="203" t="s">
        <v>4558</v>
      </c>
    </row>
    <row r="2090" customFormat="false" ht="12" hidden="false" customHeight="false" outlineLevel="0" collapsed="false">
      <c r="A2090" s="203" t="s">
        <v>4559</v>
      </c>
    </row>
    <row r="2091" customFormat="false" ht="12" hidden="false" customHeight="false" outlineLevel="0" collapsed="false">
      <c r="A2091" s="203" t="s">
        <v>4560</v>
      </c>
    </row>
    <row r="2092" customFormat="false" ht="12" hidden="false" customHeight="false" outlineLevel="0" collapsed="false">
      <c r="A2092" s="203" t="s">
        <v>4561</v>
      </c>
    </row>
    <row r="2093" customFormat="false" ht="12" hidden="false" customHeight="false" outlineLevel="0" collapsed="false">
      <c r="A2093" s="203" t="s">
        <v>4562</v>
      </c>
    </row>
    <row r="2094" customFormat="false" ht="12" hidden="false" customHeight="false" outlineLevel="0" collapsed="false">
      <c r="A2094" s="203" t="s">
        <v>4563</v>
      </c>
    </row>
    <row r="2095" customFormat="false" ht="12" hidden="false" customHeight="false" outlineLevel="0" collapsed="false">
      <c r="A2095" s="203" t="s">
        <v>4564</v>
      </c>
    </row>
    <row r="2096" customFormat="false" ht="12" hidden="false" customHeight="false" outlineLevel="0" collapsed="false">
      <c r="A2096" s="203" t="s">
        <v>4565</v>
      </c>
    </row>
    <row r="2097" customFormat="false" ht="12" hidden="false" customHeight="false" outlineLevel="0" collapsed="false">
      <c r="A2097" s="203" t="s">
        <v>4566</v>
      </c>
    </row>
    <row r="2098" customFormat="false" ht="12" hidden="false" customHeight="false" outlineLevel="0" collapsed="false">
      <c r="A2098" s="203" t="s">
        <v>4567</v>
      </c>
    </row>
    <row r="2099" customFormat="false" ht="12" hidden="false" customHeight="false" outlineLevel="0" collapsed="false">
      <c r="A2099" s="203" t="s">
        <v>4568</v>
      </c>
    </row>
    <row r="2100" customFormat="false" ht="12" hidden="false" customHeight="false" outlineLevel="0" collapsed="false">
      <c r="A2100" s="203" t="s">
        <v>4569</v>
      </c>
    </row>
    <row r="2101" customFormat="false" ht="12" hidden="false" customHeight="false" outlineLevel="0" collapsed="false">
      <c r="A2101" s="203" t="s">
        <v>4570</v>
      </c>
    </row>
    <row r="2102" customFormat="false" ht="12" hidden="false" customHeight="false" outlineLevel="0" collapsed="false">
      <c r="A2102" s="203" t="s">
        <v>4571</v>
      </c>
    </row>
    <row r="2103" customFormat="false" ht="12" hidden="false" customHeight="false" outlineLevel="0" collapsed="false">
      <c r="A2103" s="203" t="s">
        <v>4572</v>
      </c>
    </row>
    <row r="2104" customFormat="false" ht="12" hidden="false" customHeight="false" outlineLevel="0" collapsed="false">
      <c r="A2104" s="203" t="s">
        <v>4573</v>
      </c>
    </row>
    <row r="2105" customFormat="false" ht="12" hidden="false" customHeight="false" outlineLevel="0" collapsed="false">
      <c r="A2105" s="203" t="s">
        <v>4574</v>
      </c>
    </row>
    <row r="2106" customFormat="false" ht="12" hidden="false" customHeight="false" outlineLevel="0" collapsed="false">
      <c r="A2106" s="203" t="s">
        <v>4575</v>
      </c>
    </row>
    <row r="2107" customFormat="false" ht="12" hidden="false" customHeight="false" outlineLevel="0" collapsed="false">
      <c r="A2107" s="203" t="s">
        <v>4576</v>
      </c>
    </row>
    <row r="2108" customFormat="false" ht="12" hidden="false" customHeight="false" outlineLevel="0" collapsed="false">
      <c r="A2108" s="203" t="s">
        <v>4577</v>
      </c>
    </row>
    <row r="2109" customFormat="false" ht="12" hidden="false" customHeight="false" outlineLevel="0" collapsed="false">
      <c r="A2109" s="203" t="s">
        <v>4578</v>
      </c>
    </row>
    <row r="2110" customFormat="false" ht="12" hidden="false" customHeight="false" outlineLevel="0" collapsed="false">
      <c r="A2110" s="203" t="s">
        <v>4579</v>
      </c>
    </row>
    <row r="2111" customFormat="false" ht="12" hidden="false" customHeight="false" outlineLevel="0" collapsed="false">
      <c r="A2111" s="203" t="s">
        <v>4580</v>
      </c>
    </row>
    <row r="2112" customFormat="false" ht="12" hidden="false" customHeight="false" outlineLevel="0" collapsed="false">
      <c r="A2112" s="203" t="s">
        <v>4581</v>
      </c>
    </row>
    <row r="2113" customFormat="false" ht="12" hidden="false" customHeight="false" outlineLevel="0" collapsed="false">
      <c r="A2113" s="203" t="s">
        <v>4582</v>
      </c>
    </row>
    <row r="2114" customFormat="false" ht="12" hidden="false" customHeight="false" outlineLevel="0" collapsed="false">
      <c r="A2114" s="203" t="s">
        <v>4583</v>
      </c>
    </row>
    <row r="2115" customFormat="false" ht="12" hidden="false" customHeight="false" outlineLevel="0" collapsed="false">
      <c r="A2115" s="203" t="s">
        <v>4584</v>
      </c>
    </row>
    <row r="2116" customFormat="false" ht="12" hidden="false" customHeight="false" outlineLevel="0" collapsed="false">
      <c r="A2116" s="203" t="s">
        <v>4585</v>
      </c>
    </row>
    <row r="2117" customFormat="false" ht="12" hidden="false" customHeight="false" outlineLevel="0" collapsed="false">
      <c r="A2117" s="203" t="s">
        <v>4586</v>
      </c>
    </row>
    <row r="2118" customFormat="false" ht="12" hidden="false" customHeight="false" outlineLevel="0" collapsed="false">
      <c r="A2118" s="203" t="s">
        <v>4587</v>
      </c>
    </row>
    <row r="2119" customFormat="false" ht="12" hidden="false" customHeight="false" outlineLevel="0" collapsed="false">
      <c r="A2119" s="203" t="s">
        <v>4588</v>
      </c>
    </row>
    <row r="2120" customFormat="false" ht="12" hidden="false" customHeight="false" outlineLevel="0" collapsed="false">
      <c r="A2120" s="203" t="s">
        <v>4589</v>
      </c>
    </row>
    <row r="2121" customFormat="false" ht="12" hidden="false" customHeight="false" outlineLevel="0" collapsed="false">
      <c r="A2121" s="203" t="s">
        <v>4590</v>
      </c>
    </row>
    <row r="2122" customFormat="false" ht="12" hidden="false" customHeight="false" outlineLevel="0" collapsed="false">
      <c r="A2122" s="203" t="s">
        <v>4591</v>
      </c>
    </row>
    <row r="2123" customFormat="false" ht="12" hidden="false" customHeight="false" outlineLevel="0" collapsed="false">
      <c r="A2123" s="203" t="s">
        <v>4592</v>
      </c>
    </row>
    <row r="2124" customFormat="false" ht="12" hidden="false" customHeight="false" outlineLevel="0" collapsed="false">
      <c r="A2124" s="203" t="s">
        <v>4593</v>
      </c>
    </row>
    <row r="2125" customFormat="false" ht="12" hidden="false" customHeight="false" outlineLevel="0" collapsed="false">
      <c r="A2125" s="203" t="s">
        <v>4594</v>
      </c>
    </row>
    <row r="2126" customFormat="false" ht="12" hidden="false" customHeight="false" outlineLevel="0" collapsed="false">
      <c r="A2126" s="203" t="s">
        <v>4595</v>
      </c>
    </row>
    <row r="2127" customFormat="false" ht="12" hidden="false" customHeight="false" outlineLevel="0" collapsed="false">
      <c r="A2127" s="203" t="s">
        <v>4596</v>
      </c>
    </row>
    <row r="2128" customFormat="false" ht="12" hidden="false" customHeight="false" outlineLevel="0" collapsed="false">
      <c r="A2128" s="203" t="s">
        <v>4597</v>
      </c>
    </row>
    <row r="2129" customFormat="false" ht="12" hidden="false" customHeight="false" outlineLevel="0" collapsed="false">
      <c r="A2129" s="203" t="s">
        <v>4598</v>
      </c>
    </row>
    <row r="2130" customFormat="false" ht="12" hidden="false" customHeight="false" outlineLevel="0" collapsed="false">
      <c r="A2130" s="203" t="s">
        <v>4599</v>
      </c>
    </row>
    <row r="2131" customFormat="false" ht="12" hidden="false" customHeight="false" outlineLevel="0" collapsed="false">
      <c r="A2131" s="203" t="s">
        <v>4600</v>
      </c>
    </row>
    <row r="2132" customFormat="false" ht="12" hidden="false" customHeight="false" outlineLevel="0" collapsed="false">
      <c r="A2132" s="203" t="s">
        <v>4601</v>
      </c>
    </row>
    <row r="2133" customFormat="false" ht="12" hidden="false" customHeight="false" outlineLevel="0" collapsed="false">
      <c r="A2133" s="203" t="s">
        <v>4602</v>
      </c>
    </row>
    <row r="2134" customFormat="false" ht="12" hidden="false" customHeight="false" outlineLevel="0" collapsed="false">
      <c r="A2134" s="203" t="s">
        <v>4603</v>
      </c>
    </row>
    <row r="2135" customFormat="false" ht="12" hidden="false" customHeight="false" outlineLevel="0" collapsed="false">
      <c r="A2135" s="203" t="s">
        <v>4604</v>
      </c>
    </row>
    <row r="2136" customFormat="false" ht="12" hidden="false" customHeight="false" outlineLevel="0" collapsed="false">
      <c r="A2136" s="203" t="s">
        <v>4605</v>
      </c>
    </row>
    <row r="2137" customFormat="false" ht="12" hidden="false" customHeight="false" outlineLevel="0" collapsed="false">
      <c r="A2137" s="203" t="s">
        <v>4606</v>
      </c>
    </row>
    <row r="2138" customFormat="false" ht="12" hidden="false" customHeight="false" outlineLevel="0" collapsed="false">
      <c r="A2138" s="203" t="s">
        <v>4607</v>
      </c>
    </row>
    <row r="2139" customFormat="false" ht="12" hidden="false" customHeight="false" outlineLevel="0" collapsed="false">
      <c r="A2139" s="203" t="s">
        <v>4608</v>
      </c>
    </row>
    <row r="2140" customFormat="false" ht="12" hidden="false" customHeight="false" outlineLevel="0" collapsed="false">
      <c r="A2140" s="203" t="s">
        <v>4609</v>
      </c>
    </row>
    <row r="2141" customFormat="false" ht="12" hidden="false" customHeight="false" outlineLevel="0" collapsed="false">
      <c r="A2141" s="203" t="s">
        <v>4610</v>
      </c>
    </row>
    <row r="2142" customFormat="false" ht="12" hidden="false" customHeight="false" outlineLevel="0" collapsed="false">
      <c r="A2142" s="203" t="s">
        <v>4611</v>
      </c>
    </row>
    <row r="2143" customFormat="false" ht="12" hidden="false" customHeight="false" outlineLevel="0" collapsed="false">
      <c r="A2143" s="203" t="s">
        <v>4612</v>
      </c>
    </row>
    <row r="2144" customFormat="false" ht="12" hidden="false" customHeight="false" outlineLevel="0" collapsed="false">
      <c r="A2144" s="203" t="s">
        <v>4613</v>
      </c>
    </row>
    <row r="2145" customFormat="false" ht="12" hidden="false" customHeight="false" outlineLevel="0" collapsed="false">
      <c r="A2145" s="203" t="s">
        <v>4614</v>
      </c>
    </row>
    <row r="2146" customFormat="false" ht="12" hidden="false" customHeight="false" outlineLevel="0" collapsed="false">
      <c r="A2146" s="203" t="s">
        <v>4615</v>
      </c>
    </row>
    <row r="2147" customFormat="false" ht="12" hidden="false" customHeight="false" outlineLevel="0" collapsed="false">
      <c r="A2147" s="203" t="s">
        <v>4616</v>
      </c>
    </row>
    <row r="2148" customFormat="false" ht="12" hidden="false" customHeight="false" outlineLevel="0" collapsed="false">
      <c r="A2148" s="203" t="s">
        <v>4617</v>
      </c>
    </row>
    <row r="2149" customFormat="false" ht="12" hidden="false" customHeight="false" outlineLevel="0" collapsed="false">
      <c r="A2149" s="203" t="s">
        <v>4618</v>
      </c>
    </row>
    <row r="2150" customFormat="false" ht="12" hidden="false" customHeight="false" outlineLevel="0" collapsed="false">
      <c r="A2150" s="203" t="s">
        <v>4619</v>
      </c>
    </row>
    <row r="2151" customFormat="false" ht="12" hidden="false" customHeight="false" outlineLevel="0" collapsed="false">
      <c r="A2151" s="203" t="s">
        <v>4620</v>
      </c>
    </row>
    <row r="2152" customFormat="false" ht="12" hidden="false" customHeight="false" outlineLevel="0" collapsed="false">
      <c r="A2152" s="203" t="s">
        <v>4621</v>
      </c>
    </row>
    <row r="2153" customFormat="false" ht="12" hidden="false" customHeight="false" outlineLevel="0" collapsed="false">
      <c r="A2153" s="203" t="s">
        <v>4622</v>
      </c>
    </row>
    <row r="2154" customFormat="false" ht="12" hidden="false" customHeight="false" outlineLevel="0" collapsed="false">
      <c r="A2154" s="203" t="s">
        <v>4623</v>
      </c>
    </row>
    <row r="2155" customFormat="false" ht="12" hidden="false" customHeight="false" outlineLevel="0" collapsed="false">
      <c r="A2155" s="203" t="s">
        <v>4624</v>
      </c>
    </row>
    <row r="2156" customFormat="false" ht="12" hidden="false" customHeight="false" outlineLevel="0" collapsed="false">
      <c r="A2156" s="203" t="s">
        <v>4625</v>
      </c>
    </row>
    <row r="2157" customFormat="false" ht="12" hidden="false" customHeight="false" outlineLevel="0" collapsed="false">
      <c r="A2157" s="203" t="s">
        <v>4626</v>
      </c>
    </row>
    <row r="2158" customFormat="false" ht="12" hidden="false" customHeight="false" outlineLevel="0" collapsed="false">
      <c r="A2158" s="203" t="s">
        <v>4627</v>
      </c>
    </row>
    <row r="2159" customFormat="false" ht="12" hidden="false" customHeight="false" outlineLevel="0" collapsed="false">
      <c r="A2159" s="203" t="s">
        <v>4628</v>
      </c>
    </row>
    <row r="2160" customFormat="false" ht="12" hidden="false" customHeight="false" outlineLevel="0" collapsed="false">
      <c r="A2160" s="203" t="s">
        <v>4629</v>
      </c>
    </row>
    <row r="2161" customFormat="false" ht="12" hidden="false" customHeight="false" outlineLevel="0" collapsed="false">
      <c r="A2161" s="203" t="s">
        <v>4630</v>
      </c>
    </row>
    <row r="2162" customFormat="false" ht="12" hidden="false" customHeight="false" outlineLevel="0" collapsed="false">
      <c r="A2162" s="203" t="s">
        <v>4631</v>
      </c>
    </row>
    <row r="2163" customFormat="false" ht="12" hidden="false" customHeight="false" outlineLevel="0" collapsed="false">
      <c r="A2163" s="203" t="s">
        <v>4632</v>
      </c>
    </row>
    <row r="2164" customFormat="false" ht="12" hidden="false" customHeight="false" outlineLevel="0" collapsed="false">
      <c r="A2164" s="203" t="s">
        <v>4633</v>
      </c>
    </row>
    <row r="2165" customFormat="false" ht="12" hidden="false" customHeight="false" outlineLevel="0" collapsed="false">
      <c r="A2165" s="203" t="s">
        <v>4634</v>
      </c>
    </row>
    <row r="2166" customFormat="false" ht="12" hidden="false" customHeight="false" outlineLevel="0" collapsed="false">
      <c r="A2166" s="203" t="s">
        <v>4635</v>
      </c>
    </row>
    <row r="2167" customFormat="false" ht="12" hidden="false" customHeight="false" outlineLevel="0" collapsed="false">
      <c r="A2167" s="203" t="s">
        <v>4636</v>
      </c>
    </row>
    <row r="2168" customFormat="false" ht="12" hidden="false" customHeight="false" outlineLevel="0" collapsed="false">
      <c r="A2168" s="203" t="s">
        <v>4637</v>
      </c>
    </row>
    <row r="2169" customFormat="false" ht="12" hidden="false" customHeight="false" outlineLevel="0" collapsed="false">
      <c r="A2169" s="203" t="s">
        <v>4638</v>
      </c>
    </row>
    <row r="2170" customFormat="false" ht="12" hidden="false" customHeight="false" outlineLevel="0" collapsed="false">
      <c r="A2170" s="203" t="s">
        <v>4639</v>
      </c>
    </row>
    <row r="2171" customFormat="false" ht="12" hidden="false" customHeight="false" outlineLevel="0" collapsed="false">
      <c r="A2171" s="203" t="s">
        <v>4640</v>
      </c>
    </row>
    <row r="2172" customFormat="false" ht="12" hidden="false" customHeight="false" outlineLevel="0" collapsed="false">
      <c r="A2172" s="203" t="s">
        <v>4641</v>
      </c>
    </row>
    <row r="2173" customFormat="false" ht="12" hidden="false" customHeight="false" outlineLevel="0" collapsed="false">
      <c r="A2173" s="203" t="s">
        <v>4642</v>
      </c>
    </row>
    <row r="2174" customFormat="false" ht="12" hidden="false" customHeight="false" outlineLevel="0" collapsed="false">
      <c r="A2174" s="203" t="s">
        <v>4643</v>
      </c>
    </row>
    <row r="2175" customFormat="false" ht="12" hidden="false" customHeight="false" outlineLevel="0" collapsed="false">
      <c r="A2175" s="203" t="s">
        <v>4644</v>
      </c>
    </row>
    <row r="2176" customFormat="false" ht="12" hidden="false" customHeight="false" outlineLevel="0" collapsed="false">
      <c r="A2176" s="203" t="s">
        <v>4645</v>
      </c>
    </row>
    <row r="2177" customFormat="false" ht="12" hidden="false" customHeight="false" outlineLevel="0" collapsed="false">
      <c r="A2177" s="203" t="s">
        <v>4646</v>
      </c>
    </row>
    <row r="2178" customFormat="false" ht="12" hidden="false" customHeight="false" outlineLevel="0" collapsed="false">
      <c r="A2178" s="203" t="s">
        <v>4647</v>
      </c>
    </row>
    <row r="2179" customFormat="false" ht="12" hidden="false" customHeight="false" outlineLevel="0" collapsed="false">
      <c r="A2179" s="203" t="s">
        <v>4648</v>
      </c>
    </row>
    <row r="2180" customFormat="false" ht="12" hidden="false" customHeight="false" outlineLevel="0" collapsed="false">
      <c r="A2180" s="203" t="s">
        <v>4649</v>
      </c>
    </row>
    <row r="2181" customFormat="false" ht="12" hidden="false" customHeight="false" outlineLevel="0" collapsed="false">
      <c r="A2181" s="203" t="s">
        <v>4650</v>
      </c>
    </row>
    <row r="2182" customFormat="false" ht="12" hidden="false" customHeight="false" outlineLevel="0" collapsed="false">
      <c r="A2182" s="203" t="s">
        <v>4651</v>
      </c>
    </row>
    <row r="2183" customFormat="false" ht="12" hidden="false" customHeight="false" outlineLevel="0" collapsed="false">
      <c r="A2183" s="203" t="s">
        <v>4652</v>
      </c>
    </row>
    <row r="2184" customFormat="false" ht="12" hidden="false" customHeight="false" outlineLevel="0" collapsed="false">
      <c r="A2184" s="203" t="s">
        <v>4653</v>
      </c>
    </row>
    <row r="2185" customFormat="false" ht="12" hidden="false" customHeight="false" outlineLevel="0" collapsed="false">
      <c r="A2185" s="203" t="s">
        <v>4654</v>
      </c>
    </row>
    <row r="2186" customFormat="false" ht="12" hidden="false" customHeight="false" outlineLevel="0" collapsed="false">
      <c r="A2186" s="203" t="s">
        <v>4655</v>
      </c>
    </row>
    <row r="2187" customFormat="false" ht="12" hidden="false" customHeight="false" outlineLevel="0" collapsed="false">
      <c r="A2187" s="203" t="s">
        <v>4656</v>
      </c>
    </row>
    <row r="2188" customFormat="false" ht="12" hidden="false" customHeight="false" outlineLevel="0" collapsed="false">
      <c r="A2188" s="203" t="s">
        <v>4657</v>
      </c>
    </row>
    <row r="2189" customFormat="false" ht="12" hidden="false" customHeight="false" outlineLevel="0" collapsed="false">
      <c r="A2189" s="203" t="s">
        <v>4658</v>
      </c>
    </row>
    <row r="2190" customFormat="false" ht="12" hidden="false" customHeight="false" outlineLevel="0" collapsed="false">
      <c r="A2190" s="203" t="s">
        <v>4659</v>
      </c>
    </row>
    <row r="2191" customFormat="false" ht="12" hidden="false" customHeight="false" outlineLevel="0" collapsed="false">
      <c r="A2191" s="203" t="s">
        <v>4660</v>
      </c>
    </row>
    <row r="2192" customFormat="false" ht="12" hidden="false" customHeight="false" outlineLevel="0" collapsed="false">
      <c r="A2192" s="203" t="s">
        <v>4661</v>
      </c>
    </row>
    <row r="2193" customFormat="false" ht="12" hidden="false" customHeight="false" outlineLevel="0" collapsed="false">
      <c r="A2193" s="203" t="s">
        <v>4662</v>
      </c>
    </row>
    <row r="2194" customFormat="false" ht="12" hidden="false" customHeight="false" outlineLevel="0" collapsed="false">
      <c r="A2194" s="203" t="s">
        <v>4663</v>
      </c>
    </row>
    <row r="2195" customFormat="false" ht="12" hidden="false" customHeight="false" outlineLevel="0" collapsed="false">
      <c r="A2195" s="203" t="s">
        <v>4664</v>
      </c>
    </row>
    <row r="2196" customFormat="false" ht="12" hidden="false" customHeight="false" outlineLevel="0" collapsed="false">
      <c r="A2196" s="203" t="s">
        <v>4665</v>
      </c>
    </row>
    <row r="2197" customFormat="false" ht="12" hidden="false" customHeight="false" outlineLevel="0" collapsed="false">
      <c r="A2197" s="203" t="s">
        <v>4666</v>
      </c>
    </row>
    <row r="2198" customFormat="false" ht="12" hidden="false" customHeight="false" outlineLevel="0" collapsed="false">
      <c r="A2198" s="203" t="s">
        <v>4667</v>
      </c>
    </row>
    <row r="2199" customFormat="false" ht="12" hidden="false" customHeight="false" outlineLevel="0" collapsed="false">
      <c r="A2199" s="203" t="s">
        <v>4668</v>
      </c>
    </row>
    <row r="2200" customFormat="false" ht="12" hidden="false" customHeight="false" outlineLevel="0" collapsed="false">
      <c r="A2200" s="203" t="s">
        <v>4669</v>
      </c>
    </row>
    <row r="2201" customFormat="false" ht="12" hidden="false" customHeight="false" outlineLevel="0" collapsed="false">
      <c r="A2201" s="203" t="s">
        <v>4670</v>
      </c>
    </row>
    <row r="2202" customFormat="false" ht="12" hidden="false" customHeight="false" outlineLevel="0" collapsed="false">
      <c r="A2202" s="203" t="s">
        <v>4671</v>
      </c>
    </row>
    <row r="2203" customFormat="false" ht="12" hidden="false" customHeight="false" outlineLevel="0" collapsed="false">
      <c r="A2203" s="203" t="s">
        <v>4672</v>
      </c>
    </row>
    <row r="2204" customFormat="false" ht="12" hidden="false" customHeight="false" outlineLevel="0" collapsed="false">
      <c r="A2204" s="203" t="s">
        <v>4673</v>
      </c>
    </row>
    <row r="2205" customFormat="false" ht="12" hidden="false" customHeight="false" outlineLevel="0" collapsed="false">
      <c r="A2205" s="203" t="s">
        <v>4674</v>
      </c>
    </row>
    <row r="2206" customFormat="false" ht="12" hidden="false" customHeight="false" outlineLevel="0" collapsed="false">
      <c r="A2206" s="203" t="s">
        <v>4675</v>
      </c>
    </row>
    <row r="2207" customFormat="false" ht="12" hidden="false" customHeight="false" outlineLevel="0" collapsed="false">
      <c r="A2207" s="203" t="s">
        <v>4676</v>
      </c>
    </row>
    <row r="2208" customFormat="false" ht="12" hidden="false" customHeight="false" outlineLevel="0" collapsed="false">
      <c r="A2208" s="203" t="s">
        <v>4677</v>
      </c>
    </row>
    <row r="2209" customFormat="false" ht="12" hidden="false" customHeight="false" outlineLevel="0" collapsed="false">
      <c r="A2209" s="203" t="s">
        <v>4678</v>
      </c>
    </row>
    <row r="2210" customFormat="false" ht="12" hidden="false" customHeight="false" outlineLevel="0" collapsed="false">
      <c r="A2210" s="203" t="s">
        <v>4679</v>
      </c>
    </row>
    <row r="2211" customFormat="false" ht="12" hidden="false" customHeight="false" outlineLevel="0" collapsed="false">
      <c r="A2211" s="203" t="s">
        <v>4680</v>
      </c>
    </row>
    <row r="2212" customFormat="false" ht="12" hidden="false" customHeight="false" outlineLevel="0" collapsed="false">
      <c r="A2212" s="203" t="s">
        <v>4681</v>
      </c>
    </row>
    <row r="2213" customFormat="false" ht="12" hidden="false" customHeight="false" outlineLevel="0" collapsed="false">
      <c r="A2213" s="203" t="s">
        <v>4682</v>
      </c>
    </row>
    <row r="2214" customFormat="false" ht="12" hidden="false" customHeight="false" outlineLevel="0" collapsed="false">
      <c r="A2214" s="203" t="s">
        <v>4683</v>
      </c>
    </row>
    <row r="2215" customFormat="false" ht="12" hidden="false" customHeight="false" outlineLevel="0" collapsed="false">
      <c r="A2215" s="203" t="s">
        <v>4684</v>
      </c>
    </row>
    <row r="2216" customFormat="false" ht="12" hidden="false" customHeight="false" outlineLevel="0" collapsed="false">
      <c r="A2216" s="203" t="s">
        <v>4685</v>
      </c>
    </row>
    <row r="2217" customFormat="false" ht="12" hidden="false" customHeight="false" outlineLevel="0" collapsed="false">
      <c r="A2217" s="203" t="s">
        <v>4686</v>
      </c>
    </row>
    <row r="2218" customFormat="false" ht="12" hidden="false" customHeight="false" outlineLevel="0" collapsed="false">
      <c r="A2218" s="203" t="s">
        <v>4687</v>
      </c>
    </row>
    <row r="2219" customFormat="false" ht="12" hidden="false" customHeight="false" outlineLevel="0" collapsed="false">
      <c r="A2219" s="203" t="s">
        <v>4688</v>
      </c>
    </row>
    <row r="2220" customFormat="false" ht="12" hidden="false" customHeight="false" outlineLevel="0" collapsed="false">
      <c r="A2220" s="203" t="s">
        <v>4689</v>
      </c>
    </row>
    <row r="2221" customFormat="false" ht="12" hidden="false" customHeight="false" outlineLevel="0" collapsed="false">
      <c r="A2221" s="203" t="s">
        <v>4690</v>
      </c>
    </row>
    <row r="2222" customFormat="false" ht="12" hidden="false" customHeight="false" outlineLevel="0" collapsed="false">
      <c r="A2222" s="203" t="s">
        <v>4691</v>
      </c>
    </row>
    <row r="2223" customFormat="false" ht="12" hidden="false" customHeight="false" outlineLevel="0" collapsed="false">
      <c r="A2223" s="203" t="s">
        <v>4692</v>
      </c>
    </row>
    <row r="2224" customFormat="false" ht="12" hidden="false" customHeight="false" outlineLevel="0" collapsed="false">
      <c r="A2224" s="203" t="s">
        <v>4693</v>
      </c>
    </row>
    <row r="2225" customFormat="false" ht="12" hidden="false" customHeight="false" outlineLevel="0" collapsed="false">
      <c r="A2225" s="203" t="s">
        <v>4694</v>
      </c>
    </row>
    <row r="2226" customFormat="false" ht="12" hidden="false" customHeight="false" outlineLevel="0" collapsed="false">
      <c r="A2226" s="203" t="s">
        <v>4695</v>
      </c>
    </row>
    <row r="2227" customFormat="false" ht="12" hidden="false" customHeight="false" outlineLevel="0" collapsed="false">
      <c r="A2227" s="203" t="s">
        <v>4696</v>
      </c>
    </row>
    <row r="2228" customFormat="false" ht="12" hidden="false" customHeight="false" outlineLevel="0" collapsed="false">
      <c r="A2228" s="203" t="s">
        <v>4697</v>
      </c>
    </row>
    <row r="2229" customFormat="false" ht="12" hidden="false" customHeight="false" outlineLevel="0" collapsed="false">
      <c r="A2229" s="203" t="s">
        <v>4698</v>
      </c>
    </row>
    <row r="2230" customFormat="false" ht="12" hidden="false" customHeight="false" outlineLevel="0" collapsed="false">
      <c r="A2230" s="203" t="s">
        <v>4699</v>
      </c>
    </row>
    <row r="2231" customFormat="false" ht="12" hidden="false" customHeight="false" outlineLevel="0" collapsed="false">
      <c r="A2231" s="203" t="s">
        <v>4700</v>
      </c>
    </row>
    <row r="2232" customFormat="false" ht="12" hidden="false" customHeight="false" outlineLevel="0" collapsed="false">
      <c r="A2232" s="203" t="s">
        <v>4701</v>
      </c>
    </row>
    <row r="2233" customFormat="false" ht="12" hidden="false" customHeight="false" outlineLevel="0" collapsed="false">
      <c r="A2233" s="203" t="s">
        <v>4702</v>
      </c>
    </row>
    <row r="2234" customFormat="false" ht="12" hidden="false" customHeight="false" outlineLevel="0" collapsed="false">
      <c r="A2234" s="203" t="s">
        <v>4703</v>
      </c>
    </row>
    <row r="2235" customFormat="false" ht="12" hidden="false" customHeight="false" outlineLevel="0" collapsed="false">
      <c r="A2235" s="203" t="s">
        <v>4704</v>
      </c>
    </row>
    <row r="2236" customFormat="false" ht="12" hidden="false" customHeight="false" outlineLevel="0" collapsed="false">
      <c r="A2236" s="203" t="s">
        <v>4705</v>
      </c>
    </row>
    <row r="2237" customFormat="false" ht="12" hidden="false" customHeight="false" outlineLevel="0" collapsed="false">
      <c r="A2237" s="203" t="s">
        <v>4706</v>
      </c>
    </row>
    <row r="2238" customFormat="false" ht="12" hidden="false" customHeight="false" outlineLevel="0" collapsed="false">
      <c r="A2238" s="203" t="s">
        <v>4707</v>
      </c>
    </row>
    <row r="2239" customFormat="false" ht="12" hidden="false" customHeight="false" outlineLevel="0" collapsed="false">
      <c r="A2239" s="203" t="s">
        <v>4708</v>
      </c>
    </row>
    <row r="2240" customFormat="false" ht="12" hidden="false" customHeight="false" outlineLevel="0" collapsed="false">
      <c r="A2240" s="203" t="s">
        <v>4709</v>
      </c>
    </row>
    <row r="2241" customFormat="false" ht="12" hidden="false" customHeight="false" outlineLevel="0" collapsed="false">
      <c r="A2241" s="203" t="s">
        <v>4710</v>
      </c>
    </row>
    <row r="2242" customFormat="false" ht="12" hidden="false" customHeight="false" outlineLevel="0" collapsed="false">
      <c r="A2242" s="203" t="s">
        <v>4711</v>
      </c>
    </row>
    <row r="2243" customFormat="false" ht="12" hidden="false" customHeight="false" outlineLevel="0" collapsed="false">
      <c r="A2243" s="203" t="s">
        <v>4712</v>
      </c>
    </row>
    <row r="2244" customFormat="false" ht="12" hidden="false" customHeight="false" outlineLevel="0" collapsed="false">
      <c r="A2244" s="203" t="s">
        <v>4713</v>
      </c>
    </row>
    <row r="2245" customFormat="false" ht="12" hidden="false" customHeight="false" outlineLevel="0" collapsed="false">
      <c r="A2245" s="203" t="s">
        <v>4714</v>
      </c>
    </row>
    <row r="2246" customFormat="false" ht="12" hidden="false" customHeight="false" outlineLevel="0" collapsed="false">
      <c r="A2246" s="203" t="s">
        <v>4715</v>
      </c>
    </row>
    <row r="2247" customFormat="false" ht="12" hidden="false" customHeight="false" outlineLevel="0" collapsed="false">
      <c r="A2247" s="203" t="s">
        <v>4716</v>
      </c>
    </row>
    <row r="2248" customFormat="false" ht="12" hidden="false" customHeight="false" outlineLevel="0" collapsed="false">
      <c r="A2248" s="203" t="s">
        <v>4717</v>
      </c>
    </row>
    <row r="2249" customFormat="false" ht="12" hidden="false" customHeight="false" outlineLevel="0" collapsed="false">
      <c r="A2249" s="203" t="s">
        <v>4718</v>
      </c>
    </row>
    <row r="2250" customFormat="false" ht="12" hidden="false" customHeight="false" outlineLevel="0" collapsed="false">
      <c r="A2250" s="203" t="s">
        <v>4719</v>
      </c>
    </row>
    <row r="2251" customFormat="false" ht="12" hidden="false" customHeight="false" outlineLevel="0" collapsed="false">
      <c r="A2251" s="203" t="s">
        <v>4720</v>
      </c>
    </row>
    <row r="2252" customFormat="false" ht="12" hidden="false" customHeight="false" outlineLevel="0" collapsed="false">
      <c r="A2252" s="203" t="s">
        <v>4721</v>
      </c>
    </row>
    <row r="2253" customFormat="false" ht="12" hidden="false" customHeight="false" outlineLevel="0" collapsed="false">
      <c r="A2253" s="203" t="s">
        <v>4722</v>
      </c>
    </row>
    <row r="2254" customFormat="false" ht="12" hidden="false" customHeight="false" outlineLevel="0" collapsed="false">
      <c r="A2254" s="203" t="s">
        <v>4723</v>
      </c>
    </row>
    <row r="2255" customFormat="false" ht="12" hidden="false" customHeight="false" outlineLevel="0" collapsed="false">
      <c r="A2255" s="203" t="s">
        <v>4724</v>
      </c>
    </row>
    <row r="2256" customFormat="false" ht="12" hidden="false" customHeight="false" outlineLevel="0" collapsed="false">
      <c r="A2256" s="203" t="s">
        <v>4725</v>
      </c>
    </row>
    <row r="2257" customFormat="false" ht="12" hidden="false" customHeight="false" outlineLevel="0" collapsed="false">
      <c r="A2257" s="203" t="s">
        <v>4726</v>
      </c>
    </row>
    <row r="2258" customFormat="false" ht="12" hidden="false" customHeight="false" outlineLevel="0" collapsed="false">
      <c r="A2258" s="203" t="s">
        <v>4727</v>
      </c>
    </row>
    <row r="2259" customFormat="false" ht="12" hidden="false" customHeight="false" outlineLevel="0" collapsed="false">
      <c r="A2259" s="203" t="s">
        <v>4728</v>
      </c>
    </row>
    <row r="2260" customFormat="false" ht="12" hidden="false" customHeight="false" outlineLevel="0" collapsed="false">
      <c r="A2260" s="203" t="s">
        <v>4729</v>
      </c>
    </row>
    <row r="2261" customFormat="false" ht="12" hidden="false" customHeight="false" outlineLevel="0" collapsed="false">
      <c r="A2261" s="203" t="s">
        <v>4730</v>
      </c>
    </row>
    <row r="2262" customFormat="false" ht="12" hidden="false" customHeight="false" outlineLevel="0" collapsed="false">
      <c r="A2262" s="203" t="s">
        <v>4731</v>
      </c>
    </row>
    <row r="2263" customFormat="false" ht="12" hidden="false" customHeight="false" outlineLevel="0" collapsed="false">
      <c r="A2263" s="203" t="s">
        <v>4732</v>
      </c>
    </row>
    <row r="2264" customFormat="false" ht="12" hidden="false" customHeight="false" outlineLevel="0" collapsed="false">
      <c r="A2264" s="203" t="s">
        <v>4733</v>
      </c>
    </row>
    <row r="2265" customFormat="false" ht="12" hidden="false" customHeight="false" outlineLevel="0" collapsed="false">
      <c r="A2265" s="203" t="s">
        <v>4734</v>
      </c>
    </row>
    <row r="2266" customFormat="false" ht="12" hidden="false" customHeight="false" outlineLevel="0" collapsed="false">
      <c r="A2266" s="203" t="s">
        <v>4735</v>
      </c>
    </row>
    <row r="2267" customFormat="false" ht="12" hidden="false" customHeight="false" outlineLevel="0" collapsed="false">
      <c r="A2267" s="203" t="s">
        <v>4736</v>
      </c>
    </row>
    <row r="2268" customFormat="false" ht="12" hidden="false" customHeight="false" outlineLevel="0" collapsed="false">
      <c r="A2268" s="203" t="s">
        <v>4737</v>
      </c>
    </row>
    <row r="2269" customFormat="false" ht="12" hidden="false" customHeight="false" outlineLevel="0" collapsed="false">
      <c r="A2269" s="203" t="s">
        <v>4738</v>
      </c>
    </row>
    <row r="2270" customFormat="false" ht="12" hidden="false" customHeight="false" outlineLevel="0" collapsed="false">
      <c r="A2270" s="203" t="s">
        <v>4739</v>
      </c>
    </row>
    <row r="2271" customFormat="false" ht="12" hidden="false" customHeight="false" outlineLevel="0" collapsed="false">
      <c r="A2271" s="203" t="s">
        <v>4740</v>
      </c>
    </row>
    <row r="2272" customFormat="false" ht="12" hidden="false" customHeight="false" outlineLevel="0" collapsed="false">
      <c r="A2272" s="203" t="s">
        <v>4741</v>
      </c>
    </row>
    <row r="2273" customFormat="false" ht="12" hidden="false" customHeight="false" outlineLevel="0" collapsed="false">
      <c r="A2273" s="203" t="s">
        <v>4742</v>
      </c>
    </row>
    <row r="2274" customFormat="false" ht="12" hidden="false" customHeight="false" outlineLevel="0" collapsed="false">
      <c r="A2274" s="203" t="s">
        <v>4743</v>
      </c>
    </row>
    <row r="2275" customFormat="false" ht="12" hidden="false" customHeight="false" outlineLevel="0" collapsed="false">
      <c r="A2275" s="203" t="s">
        <v>4744</v>
      </c>
    </row>
    <row r="2276" customFormat="false" ht="12" hidden="false" customHeight="false" outlineLevel="0" collapsed="false">
      <c r="A2276" s="203" t="s">
        <v>4745</v>
      </c>
    </row>
    <row r="2277" customFormat="false" ht="12" hidden="false" customHeight="false" outlineLevel="0" collapsed="false">
      <c r="A2277" s="203" t="s">
        <v>4746</v>
      </c>
    </row>
    <row r="2278" customFormat="false" ht="12" hidden="false" customHeight="false" outlineLevel="0" collapsed="false">
      <c r="A2278" s="203" t="s">
        <v>4747</v>
      </c>
    </row>
    <row r="2279" customFormat="false" ht="12" hidden="false" customHeight="false" outlineLevel="0" collapsed="false">
      <c r="A2279" s="203" t="s">
        <v>4748</v>
      </c>
    </row>
    <row r="2280" customFormat="false" ht="12" hidden="false" customHeight="false" outlineLevel="0" collapsed="false">
      <c r="A2280" s="203" t="s">
        <v>4749</v>
      </c>
    </row>
    <row r="2281" customFormat="false" ht="12" hidden="false" customHeight="false" outlineLevel="0" collapsed="false">
      <c r="A2281" s="203" t="s">
        <v>4750</v>
      </c>
    </row>
    <row r="2282" customFormat="false" ht="12" hidden="false" customHeight="false" outlineLevel="0" collapsed="false">
      <c r="A2282" s="203" t="s">
        <v>4751</v>
      </c>
    </row>
    <row r="2283" customFormat="false" ht="12" hidden="false" customHeight="false" outlineLevel="0" collapsed="false">
      <c r="A2283" s="203" t="s">
        <v>4752</v>
      </c>
    </row>
    <row r="2284" customFormat="false" ht="12" hidden="false" customHeight="false" outlineLevel="0" collapsed="false">
      <c r="A2284" s="203" t="s">
        <v>4753</v>
      </c>
    </row>
    <row r="2285" customFormat="false" ht="12" hidden="false" customHeight="false" outlineLevel="0" collapsed="false">
      <c r="A2285" s="203" t="s">
        <v>4754</v>
      </c>
    </row>
    <row r="2286" customFormat="false" ht="12" hidden="false" customHeight="false" outlineLevel="0" collapsed="false">
      <c r="A2286" s="203" t="s">
        <v>4755</v>
      </c>
    </row>
    <row r="2287" customFormat="false" ht="12" hidden="false" customHeight="false" outlineLevel="0" collapsed="false">
      <c r="A2287" s="203" t="s">
        <v>4756</v>
      </c>
    </row>
    <row r="2288" customFormat="false" ht="12" hidden="false" customHeight="false" outlineLevel="0" collapsed="false">
      <c r="A2288" s="203" t="s">
        <v>4757</v>
      </c>
    </row>
    <row r="2289" customFormat="false" ht="12" hidden="false" customHeight="false" outlineLevel="0" collapsed="false">
      <c r="A2289" s="203" t="s">
        <v>4758</v>
      </c>
    </row>
    <row r="2290" customFormat="false" ht="12" hidden="false" customHeight="false" outlineLevel="0" collapsed="false">
      <c r="A2290" s="203" t="s">
        <v>4759</v>
      </c>
    </row>
    <row r="2291" customFormat="false" ht="12" hidden="false" customHeight="false" outlineLevel="0" collapsed="false">
      <c r="A2291" s="203" t="s">
        <v>4760</v>
      </c>
    </row>
    <row r="2292" customFormat="false" ht="12" hidden="false" customHeight="false" outlineLevel="0" collapsed="false">
      <c r="A2292" s="203" t="s">
        <v>4761</v>
      </c>
    </row>
    <row r="2293" customFormat="false" ht="12" hidden="false" customHeight="false" outlineLevel="0" collapsed="false">
      <c r="A2293" s="203" t="s">
        <v>4762</v>
      </c>
    </row>
    <row r="2294" customFormat="false" ht="12" hidden="false" customHeight="false" outlineLevel="0" collapsed="false">
      <c r="A2294" s="203" t="s">
        <v>4763</v>
      </c>
    </row>
    <row r="2295" customFormat="false" ht="12" hidden="false" customHeight="false" outlineLevel="0" collapsed="false">
      <c r="A2295" s="203" t="s">
        <v>4764</v>
      </c>
    </row>
    <row r="2296" customFormat="false" ht="12" hidden="false" customHeight="false" outlineLevel="0" collapsed="false">
      <c r="A2296" s="203" t="s">
        <v>4765</v>
      </c>
    </row>
    <row r="2297" customFormat="false" ht="12" hidden="false" customHeight="false" outlineLevel="0" collapsed="false">
      <c r="A2297" s="203" t="s">
        <v>4766</v>
      </c>
    </row>
    <row r="2298" customFormat="false" ht="12" hidden="false" customHeight="false" outlineLevel="0" collapsed="false">
      <c r="A2298" s="203" t="s">
        <v>4767</v>
      </c>
    </row>
    <row r="2299" customFormat="false" ht="12" hidden="false" customHeight="false" outlineLevel="0" collapsed="false">
      <c r="A2299" s="203" t="s">
        <v>4768</v>
      </c>
    </row>
    <row r="2300" customFormat="false" ht="12" hidden="false" customHeight="false" outlineLevel="0" collapsed="false">
      <c r="A2300" s="203" t="s">
        <v>4769</v>
      </c>
    </row>
    <row r="2301" customFormat="false" ht="12" hidden="false" customHeight="false" outlineLevel="0" collapsed="false">
      <c r="A2301" s="203" t="s">
        <v>4770</v>
      </c>
    </row>
    <row r="2302" customFormat="false" ht="12" hidden="false" customHeight="false" outlineLevel="0" collapsed="false">
      <c r="A2302" s="203" t="s">
        <v>4771</v>
      </c>
    </row>
    <row r="2303" customFormat="false" ht="12" hidden="false" customHeight="false" outlineLevel="0" collapsed="false">
      <c r="A2303" s="203" t="s">
        <v>4772</v>
      </c>
    </row>
    <row r="2304" customFormat="false" ht="12" hidden="false" customHeight="false" outlineLevel="0" collapsed="false">
      <c r="A2304" s="203" t="s">
        <v>4773</v>
      </c>
    </row>
    <row r="2305" customFormat="false" ht="12" hidden="false" customHeight="false" outlineLevel="0" collapsed="false">
      <c r="A2305" s="203" t="s">
        <v>4774</v>
      </c>
    </row>
    <row r="2306" customFormat="false" ht="12" hidden="false" customHeight="false" outlineLevel="0" collapsed="false">
      <c r="A2306" s="203" t="s">
        <v>4775</v>
      </c>
    </row>
    <row r="2307" customFormat="false" ht="12" hidden="false" customHeight="false" outlineLevel="0" collapsed="false">
      <c r="A2307" s="203" t="s">
        <v>4776</v>
      </c>
    </row>
    <row r="2308" customFormat="false" ht="12" hidden="false" customHeight="false" outlineLevel="0" collapsed="false">
      <c r="A2308" s="203" t="s">
        <v>4777</v>
      </c>
    </row>
    <row r="2309" customFormat="false" ht="12" hidden="false" customHeight="false" outlineLevel="0" collapsed="false">
      <c r="A2309" s="203" t="s">
        <v>4778</v>
      </c>
    </row>
    <row r="2310" customFormat="false" ht="12" hidden="false" customHeight="false" outlineLevel="0" collapsed="false">
      <c r="A2310" s="203" t="s">
        <v>4779</v>
      </c>
    </row>
    <row r="2311" customFormat="false" ht="12" hidden="false" customHeight="false" outlineLevel="0" collapsed="false">
      <c r="A2311" s="203" t="s">
        <v>4780</v>
      </c>
    </row>
    <row r="2312" customFormat="false" ht="12" hidden="false" customHeight="false" outlineLevel="0" collapsed="false">
      <c r="A2312" s="203" t="s">
        <v>4781</v>
      </c>
    </row>
    <row r="2313" customFormat="false" ht="12" hidden="false" customHeight="false" outlineLevel="0" collapsed="false">
      <c r="A2313" s="203" t="s">
        <v>4782</v>
      </c>
    </row>
    <row r="2314" customFormat="false" ht="12" hidden="false" customHeight="false" outlineLevel="0" collapsed="false">
      <c r="A2314" s="203" t="s">
        <v>4783</v>
      </c>
    </row>
    <row r="2315" customFormat="false" ht="12" hidden="false" customHeight="false" outlineLevel="0" collapsed="false">
      <c r="A2315" s="203" t="s">
        <v>4784</v>
      </c>
    </row>
    <row r="2316" customFormat="false" ht="12" hidden="false" customHeight="false" outlineLevel="0" collapsed="false">
      <c r="A2316" s="203" t="s">
        <v>4785</v>
      </c>
    </row>
    <row r="2317" customFormat="false" ht="12" hidden="false" customHeight="false" outlineLevel="0" collapsed="false">
      <c r="A2317" s="203" t="s">
        <v>4786</v>
      </c>
    </row>
    <row r="2318" customFormat="false" ht="12" hidden="false" customHeight="false" outlineLevel="0" collapsed="false">
      <c r="A2318" s="203" t="s">
        <v>4787</v>
      </c>
    </row>
    <row r="2319" customFormat="false" ht="12" hidden="false" customHeight="false" outlineLevel="0" collapsed="false">
      <c r="A2319" s="203" t="s">
        <v>4788</v>
      </c>
    </row>
    <row r="2320" customFormat="false" ht="12" hidden="false" customHeight="false" outlineLevel="0" collapsed="false">
      <c r="A2320" s="203" t="s">
        <v>4789</v>
      </c>
    </row>
    <row r="2321" customFormat="false" ht="12" hidden="false" customHeight="false" outlineLevel="0" collapsed="false">
      <c r="A2321" s="203" t="s">
        <v>4790</v>
      </c>
    </row>
    <row r="2322" customFormat="false" ht="12" hidden="false" customHeight="false" outlineLevel="0" collapsed="false">
      <c r="A2322" s="203" t="s">
        <v>4791</v>
      </c>
    </row>
    <row r="2323" customFormat="false" ht="12" hidden="false" customHeight="false" outlineLevel="0" collapsed="false">
      <c r="A2323" s="203" t="s">
        <v>4792</v>
      </c>
    </row>
    <row r="2324" customFormat="false" ht="12" hidden="false" customHeight="false" outlineLevel="0" collapsed="false">
      <c r="A2324" s="203" t="s">
        <v>4793</v>
      </c>
    </row>
    <row r="2325" customFormat="false" ht="12" hidden="false" customHeight="false" outlineLevel="0" collapsed="false">
      <c r="A2325" s="203" t="s">
        <v>4794</v>
      </c>
    </row>
    <row r="2326" customFormat="false" ht="12" hidden="false" customHeight="false" outlineLevel="0" collapsed="false">
      <c r="A2326" s="203" t="s">
        <v>4795</v>
      </c>
    </row>
    <row r="2327" customFormat="false" ht="12" hidden="false" customHeight="false" outlineLevel="0" collapsed="false">
      <c r="A2327" s="203" t="s">
        <v>4796</v>
      </c>
    </row>
    <row r="2328" customFormat="false" ht="12" hidden="false" customHeight="false" outlineLevel="0" collapsed="false">
      <c r="A2328" s="203" t="s">
        <v>4797</v>
      </c>
    </row>
    <row r="2329" customFormat="false" ht="12" hidden="false" customHeight="false" outlineLevel="0" collapsed="false">
      <c r="A2329" s="203" t="s">
        <v>4798</v>
      </c>
    </row>
    <row r="2330" customFormat="false" ht="12" hidden="false" customHeight="false" outlineLevel="0" collapsed="false">
      <c r="A2330" s="203" t="s">
        <v>4799</v>
      </c>
    </row>
    <row r="2331" customFormat="false" ht="12" hidden="false" customHeight="false" outlineLevel="0" collapsed="false">
      <c r="A2331" s="203" t="s">
        <v>4800</v>
      </c>
    </row>
    <row r="2332" customFormat="false" ht="12" hidden="false" customHeight="false" outlineLevel="0" collapsed="false">
      <c r="A2332" s="203" t="s">
        <v>4801</v>
      </c>
    </row>
    <row r="2333" customFormat="false" ht="12" hidden="false" customHeight="false" outlineLevel="0" collapsed="false">
      <c r="A2333" s="203" t="s">
        <v>4802</v>
      </c>
    </row>
    <row r="2334" customFormat="false" ht="12" hidden="false" customHeight="false" outlineLevel="0" collapsed="false">
      <c r="A2334" s="203" t="s">
        <v>4803</v>
      </c>
    </row>
    <row r="2335" customFormat="false" ht="12" hidden="false" customHeight="false" outlineLevel="0" collapsed="false">
      <c r="A2335" s="203" t="s">
        <v>4804</v>
      </c>
    </row>
    <row r="2336" customFormat="false" ht="12" hidden="false" customHeight="false" outlineLevel="0" collapsed="false">
      <c r="A2336" s="203" t="s">
        <v>4805</v>
      </c>
    </row>
    <row r="2337" customFormat="false" ht="12" hidden="false" customHeight="false" outlineLevel="0" collapsed="false">
      <c r="A2337" s="203" t="s">
        <v>4806</v>
      </c>
    </row>
    <row r="2338" customFormat="false" ht="12" hidden="false" customHeight="false" outlineLevel="0" collapsed="false">
      <c r="A2338" s="203" t="s">
        <v>4807</v>
      </c>
    </row>
    <row r="2339" customFormat="false" ht="12" hidden="false" customHeight="false" outlineLevel="0" collapsed="false">
      <c r="A2339" s="203" t="s">
        <v>4808</v>
      </c>
    </row>
    <row r="2340" customFormat="false" ht="12" hidden="false" customHeight="false" outlineLevel="0" collapsed="false">
      <c r="A2340" s="203" t="s">
        <v>4809</v>
      </c>
    </row>
    <row r="2341" customFormat="false" ht="12" hidden="false" customHeight="false" outlineLevel="0" collapsed="false">
      <c r="A2341" s="203" t="s">
        <v>4810</v>
      </c>
    </row>
    <row r="2342" customFormat="false" ht="12" hidden="false" customHeight="false" outlineLevel="0" collapsed="false">
      <c r="A2342" s="203" t="s">
        <v>4811</v>
      </c>
    </row>
    <row r="2343" customFormat="false" ht="12" hidden="false" customHeight="false" outlineLevel="0" collapsed="false">
      <c r="A2343" s="203" t="s">
        <v>4812</v>
      </c>
    </row>
    <row r="2344" customFormat="false" ht="12" hidden="false" customHeight="false" outlineLevel="0" collapsed="false">
      <c r="A2344" s="203" t="s">
        <v>4813</v>
      </c>
    </row>
    <row r="2345" customFormat="false" ht="12" hidden="false" customHeight="false" outlineLevel="0" collapsed="false">
      <c r="A2345" s="203" t="s">
        <v>4814</v>
      </c>
    </row>
    <row r="2346" customFormat="false" ht="12" hidden="false" customHeight="false" outlineLevel="0" collapsed="false">
      <c r="A2346" s="203" t="s">
        <v>4815</v>
      </c>
    </row>
    <row r="2347" customFormat="false" ht="12" hidden="false" customHeight="false" outlineLevel="0" collapsed="false">
      <c r="A2347" s="203" t="s">
        <v>4816</v>
      </c>
    </row>
    <row r="2348" customFormat="false" ht="12" hidden="false" customHeight="false" outlineLevel="0" collapsed="false">
      <c r="A2348" s="203" t="s">
        <v>4817</v>
      </c>
    </row>
    <row r="2349" customFormat="false" ht="12" hidden="false" customHeight="false" outlineLevel="0" collapsed="false">
      <c r="A2349" s="203" t="s">
        <v>4818</v>
      </c>
    </row>
    <row r="2350" customFormat="false" ht="12" hidden="false" customHeight="false" outlineLevel="0" collapsed="false">
      <c r="A2350" s="203" t="s">
        <v>4819</v>
      </c>
    </row>
    <row r="2351" customFormat="false" ht="12" hidden="false" customHeight="false" outlineLevel="0" collapsed="false">
      <c r="A2351" s="203" t="s">
        <v>4820</v>
      </c>
    </row>
    <row r="2352" customFormat="false" ht="12" hidden="false" customHeight="false" outlineLevel="0" collapsed="false">
      <c r="A2352" s="203" t="s">
        <v>4821</v>
      </c>
    </row>
    <row r="2353" customFormat="false" ht="12" hidden="false" customHeight="false" outlineLevel="0" collapsed="false">
      <c r="A2353" s="203" t="s">
        <v>4822</v>
      </c>
    </row>
    <row r="2354" customFormat="false" ht="12" hidden="false" customHeight="false" outlineLevel="0" collapsed="false">
      <c r="A2354" s="203" t="s">
        <v>4823</v>
      </c>
    </row>
    <row r="2355" customFormat="false" ht="12" hidden="false" customHeight="false" outlineLevel="0" collapsed="false">
      <c r="A2355" s="203" t="s">
        <v>4824</v>
      </c>
    </row>
    <row r="2356" customFormat="false" ht="12" hidden="false" customHeight="false" outlineLevel="0" collapsed="false">
      <c r="A2356" s="203" t="s">
        <v>4825</v>
      </c>
    </row>
    <row r="2357" customFormat="false" ht="12" hidden="false" customHeight="false" outlineLevel="0" collapsed="false">
      <c r="A2357" s="203" t="s">
        <v>4826</v>
      </c>
    </row>
    <row r="2358" customFormat="false" ht="12" hidden="false" customHeight="false" outlineLevel="0" collapsed="false">
      <c r="A2358" s="203" t="s">
        <v>4827</v>
      </c>
    </row>
    <row r="2359" customFormat="false" ht="12" hidden="false" customHeight="false" outlineLevel="0" collapsed="false">
      <c r="A2359" s="203" t="s">
        <v>4828</v>
      </c>
    </row>
    <row r="2360" customFormat="false" ht="12" hidden="false" customHeight="false" outlineLevel="0" collapsed="false">
      <c r="A2360" s="203" t="s">
        <v>4829</v>
      </c>
    </row>
    <row r="2361" customFormat="false" ht="12" hidden="false" customHeight="false" outlineLevel="0" collapsed="false">
      <c r="A2361" s="203" t="s">
        <v>4830</v>
      </c>
    </row>
    <row r="2362" customFormat="false" ht="12" hidden="false" customHeight="false" outlineLevel="0" collapsed="false">
      <c r="A2362" s="203" t="s">
        <v>4831</v>
      </c>
    </row>
    <row r="2363" customFormat="false" ht="12" hidden="false" customHeight="false" outlineLevel="0" collapsed="false">
      <c r="A2363" s="203" t="s">
        <v>4832</v>
      </c>
    </row>
    <row r="2364" customFormat="false" ht="12" hidden="false" customHeight="false" outlineLevel="0" collapsed="false">
      <c r="A2364" s="203" t="s">
        <v>4833</v>
      </c>
    </row>
    <row r="2365" customFormat="false" ht="12" hidden="false" customHeight="false" outlineLevel="0" collapsed="false">
      <c r="A2365" s="203" t="s">
        <v>4834</v>
      </c>
    </row>
    <row r="2366" customFormat="false" ht="12" hidden="false" customHeight="false" outlineLevel="0" collapsed="false">
      <c r="A2366" s="203" t="s">
        <v>4835</v>
      </c>
    </row>
    <row r="2367" customFormat="false" ht="12" hidden="false" customHeight="false" outlineLevel="0" collapsed="false">
      <c r="A2367" s="203" t="s">
        <v>4836</v>
      </c>
    </row>
    <row r="2368" customFormat="false" ht="12" hidden="false" customHeight="false" outlineLevel="0" collapsed="false">
      <c r="A2368" s="203" t="s">
        <v>4837</v>
      </c>
    </row>
    <row r="2369" customFormat="false" ht="12" hidden="false" customHeight="false" outlineLevel="0" collapsed="false">
      <c r="A2369" s="203" t="s">
        <v>4838</v>
      </c>
    </row>
    <row r="2370" customFormat="false" ht="12" hidden="false" customHeight="false" outlineLevel="0" collapsed="false">
      <c r="A2370" s="203" t="s">
        <v>4839</v>
      </c>
    </row>
    <row r="2371" customFormat="false" ht="12" hidden="false" customHeight="false" outlineLevel="0" collapsed="false">
      <c r="A2371" s="203" t="s">
        <v>4840</v>
      </c>
    </row>
    <row r="2372" customFormat="false" ht="12" hidden="false" customHeight="false" outlineLevel="0" collapsed="false">
      <c r="A2372" s="203" t="s">
        <v>4841</v>
      </c>
    </row>
    <row r="2373" customFormat="false" ht="12" hidden="false" customHeight="false" outlineLevel="0" collapsed="false">
      <c r="A2373" s="203" t="s">
        <v>4842</v>
      </c>
    </row>
    <row r="2374" customFormat="false" ht="12" hidden="false" customHeight="false" outlineLevel="0" collapsed="false">
      <c r="A2374" s="203" t="s">
        <v>4843</v>
      </c>
    </row>
    <row r="2375" customFormat="false" ht="12" hidden="false" customHeight="false" outlineLevel="0" collapsed="false">
      <c r="A2375" s="203" t="s">
        <v>4844</v>
      </c>
    </row>
    <row r="2376" customFormat="false" ht="12" hidden="false" customHeight="false" outlineLevel="0" collapsed="false">
      <c r="A2376" s="203" t="s">
        <v>4845</v>
      </c>
    </row>
    <row r="2377" customFormat="false" ht="12" hidden="false" customHeight="false" outlineLevel="0" collapsed="false">
      <c r="A2377" s="203" t="s">
        <v>4846</v>
      </c>
    </row>
    <row r="2378" customFormat="false" ht="12" hidden="false" customHeight="false" outlineLevel="0" collapsed="false">
      <c r="A2378" s="203" t="s">
        <v>4847</v>
      </c>
    </row>
    <row r="2379" customFormat="false" ht="12" hidden="false" customHeight="false" outlineLevel="0" collapsed="false">
      <c r="A2379" s="203" t="s">
        <v>4848</v>
      </c>
    </row>
    <row r="2380" customFormat="false" ht="12" hidden="false" customHeight="false" outlineLevel="0" collapsed="false">
      <c r="A2380" s="203" t="s">
        <v>4849</v>
      </c>
    </row>
    <row r="2381" customFormat="false" ht="12" hidden="false" customHeight="false" outlineLevel="0" collapsed="false">
      <c r="A2381" s="203" t="s">
        <v>4850</v>
      </c>
    </row>
    <row r="2382" customFormat="false" ht="12" hidden="false" customHeight="false" outlineLevel="0" collapsed="false">
      <c r="A2382" s="203" t="s">
        <v>4851</v>
      </c>
    </row>
    <row r="2383" customFormat="false" ht="12" hidden="false" customHeight="false" outlineLevel="0" collapsed="false">
      <c r="A2383" s="203" t="s">
        <v>4852</v>
      </c>
    </row>
    <row r="2384" customFormat="false" ht="12" hidden="false" customHeight="false" outlineLevel="0" collapsed="false">
      <c r="A2384" s="203" t="s">
        <v>4853</v>
      </c>
    </row>
    <row r="2385" customFormat="false" ht="12" hidden="false" customHeight="false" outlineLevel="0" collapsed="false">
      <c r="A2385" s="203" t="s">
        <v>4854</v>
      </c>
    </row>
    <row r="2386" customFormat="false" ht="12" hidden="false" customHeight="false" outlineLevel="0" collapsed="false">
      <c r="A2386" s="203" t="s">
        <v>4855</v>
      </c>
    </row>
    <row r="2387" customFormat="false" ht="12" hidden="false" customHeight="false" outlineLevel="0" collapsed="false">
      <c r="A2387" s="203" t="s">
        <v>4856</v>
      </c>
    </row>
    <row r="2388" customFormat="false" ht="12" hidden="false" customHeight="false" outlineLevel="0" collapsed="false">
      <c r="A2388" s="203" t="s">
        <v>4857</v>
      </c>
    </row>
    <row r="2389" customFormat="false" ht="12" hidden="false" customHeight="false" outlineLevel="0" collapsed="false">
      <c r="A2389" s="203" t="s">
        <v>4858</v>
      </c>
    </row>
    <row r="2390" customFormat="false" ht="12" hidden="false" customHeight="false" outlineLevel="0" collapsed="false">
      <c r="A2390" s="203" t="s">
        <v>4859</v>
      </c>
    </row>
    <row r="2391" customFormat="false" ht="12" hidden="false" customHeight="false" outlineLevel="0" collapsed="false">
      <c r="A2391" s="203" t="s">
        <v>4860</v>
      </c>
    </row>
    <row r="2392" customFormat="false" ht="12" hidden="false" customHeight="false" outlineLevel="0" collapsed="false">
      <c r="A2392" s="203" t="s">
        <v>4861</v>
      </c>
    </row>
    <row r="2393" customFormat="false" ht="12" hidden="false" customHeight="false" outlineLevel="0" collapsed="false">
      <c r="A2393" s="203" t="s">
        <v>4862</v>
      </c>
    </row>
    <row r="2394" customFormat="false" ht="12" hidden="false" customHeight="false" outlineLevel="0" collapsed="false">
      <c r="A2394" s="203" t="s">
        <v>4863</v>
      </c>
    </row>
    <row r="2395" customFormat="false" ht="12" hidden="false" customHeight="false" outlineLevel="0" collapsed="false">
      <c r="A2395" s="203" t="s">
        <v>4864</v>
      </c>
    </row>
    <row r="2396" customFormat="false" ht="12" hidden="false" customHeight="false" outlineLevel="0" collapsed="false">
      <c r="A2396" s="203" t="s">
        <v>4865</v>
      </c>
    </row>
    <row r="2397" customFormat="false" ht="12" hidden="false" customHeight="false" outlineLevel="0" collapsed="false">
      <c r="A2397" s="203" t="s">
        <v>4866</v>
      </c>
    </row>
    <row r="2398" customFormat="false" ht="12" hidden="false" customHeight="false" outlineLevel="0" collapsed="false">
      <c r="A2398" s="203" t="s">
        <v>4867</v>
      </c>
    </row>
    <row r="2399" customFormat="false" ht="12" hidden="false" customHeight="false" outlineLevel="0" collapsed="false">
      <c r="A2399" s="203" t="s">
        <v>4868</v>
      </c>
    </row>
    <row r="2400" customFormat="false" ht="12" hidden="false" customHeight="false" outlineLevel="0" collapsed="false">
      <c r="A2400" s="203" t="s">
        <v>4869</v>
      </c>
    </row>
    <row r="2401" customFormat="false" ht="12" hidden="false" customHeight="false" outlineLevel="0" collapsed="false">
      <c r="A2401" s="203" t="s">
        <v>4870</v>
      </c>
    </row>
    <row r="2402" customFormat="false" ht="12" hidden="false" customHeight="false" outlineLevel="0" collapsed="false">
      <c r="A2402" s="203" t="s">
        <v>4871</v>
      </c>
    </row>
    <row r="2403" customFormat="false" ht="12" hidden="false" customHeight="false" outlineLevel="0" collapsed="false">
      <c r="A2403" s="203" t="s">
        <v>4872</v>
      </c>
    </row>
    <row r="2404" customFormat="false" ht="12" hidden="false" customHeight="false" outlineLevel="0" collapsed="false">
      <c r="A2404" s="203" t="s">
        <v>4873</v>
      </c>
    </row>
    <row r="2405" customFormat="false" ht="12" hidden="false" customHeight="false" outlineLevel="0" collapsed="false">
      <c r="A2405" s="203" t="s">
        <v>4874</v>
      </c>
    </row>
    <row r="2406" customFormat="false" ht="12" hidden="false" customHeight="false" outlineLevel="0" collapsed="false">
      <c r="A2406" s="203" t="s">
        <v>4875</v>
      </c>
    </row>
    <row r="2407" customFormat="false" ht="12" hidden="false" customHeight="false" outlineLevel="0" collapsed="false">
      <c r="A2407" s="203" t="s">
        <v>4876</v>
      </c>
    </row>
    <row r="2408" customFormat="false" ht="12" hidden="false" customHeight="false" outlineLevel="0" collapsed="false">
      <c r="A2408" s="203" t="s">
        <v>4877</v>
      </c>
    </row>
    <row r="2409" customFormat="false" ht="12" hidden="false" customHeight="false" outlineLevel="0" collapsed="false">
      <c r="A2409" s="203" t="s">
        <v>4878</v>
      </c>
    </row>
    <row r="2410" customFormat="false" ht="12" hidden="false" customHeight="false" outlineLevel="0" collapsed="false">
      <c r="A2410" s="203" t="s">
        <v>4879</v>
      </c>
    </row>
    <row r="2411" customFormat="false" ht="12" hidden="false" customHeight="false" outlineLevel="0" collapsed="false">
      <c r="A2411" s="203" t="s">
        <v>4880</v>
      </c>
    </row>
    <row r="2412" customFormat="false" ht="12" hidden="false" customHeight="false" outlineLevel="0" collapsed="false">
      <c r="A2412" s="203" t="s">
        <v>4881</v>
      </c>
    </row>
    <row r="2413" customFormat="false" ht="12" hidden="false" customHeight="false" outlineLevel="0" collapsed="false">
      <c r="A2413" s="203" t="s">
        <v>4882</v>
      </c>
    </row>
    <row r="2414" customFormat="false" ht="12" hidden="false" customHeight="false" outlineLevel="0" collapsed="false">
      <c r="A2414" s="203" t="s">
        <v>4883</v>
      </c>
    </row>
    <row r="2415" customFormat="false" ht="12" hidden="false" customHeight="false" outlineLevel="0" collapsed="false">
      <c r="A2415" s="203" t="s">
        <v>4884</v>
      </c>
    </row>
    <row r="2416" customFormat="false" ht="12" hidden="false" customHeight="false" outlineLevel="0" collapsed="false">
      <c r="A2416" s="203" t="s">
        <v>4885</v>
      </c>
    </row>
    <row r="2417" customFormat="false" ht="12" hidden="false" customHeight="false" outlineLevel="0" collapsed="false">
      <c r="A2417" s="203" t="s">
        <v>4886</v>
      </c>
    </row>
    <row r="2418" customFormat="false" ht="12" hidden="false" customHeight="false" outlineLevel="0" collapsed="false">
      <c r="A2418" s="203" t="s">
        <v>4887</v>
      </c>
    </row>
    <row r="2419" customFormat="false" ht="12" hidden="false" customHeight="false" outlineLevel="0" collapsed="false">
      <c r="A2419" s="203" t="s">
        <v>4888</v>
      </c>
    </row>
    <row r="2420" customFormat="false" ht="12" hidden="false" customHeight="false" outlineLevel="0" collapsed="false">
      <c r="A2420" s="203" t="s">
        <v>4889</v>
      </c>
    </row>
    <row r="2421" customFormat="false" ht="12" hidden="false" customHeight="false" outlineLevel="0" collapsed="false">
      <c r="A2421" s="203" t="s">
        <v>4890</v>
      </c>
    </row>
    <row r="2422" customFormat="false" ht="12" hidden="false" customHeight="false" outlineLevel="0" collapsed="false">
      <c r="A2422" s="203" t="s">
        <v>4891</v>
      </c>
    </row>
    <row r="2423" customFormat="false" ht="12" hidden="false" customHeight="false" outlineLevel="0" collapsed="false">
      <c r="A2423" s="203" t="s">
        <v>4892</v>
      </c>
    </row>
    <row r="2424" customFormat="false" ht="12" hidden="false" customHeight="false" outlineLevel="0" collapsed="false">
      <c r="A2424" s="203" t="s">
        <v>4893</v>
      </c>
    </row>
    <row r="2425" customFormat="false" ht="12" hidden="false" customHeight="false" outlineLevel="0" collapsed="false">
      <c r="A2425" s="203" t="s">
        <v>4894</v>
      </c>
    </row>
    <row r="2426" customFormat="false" ht="12" hidden="false" customHeight="false" outlineLevel="0" collapsed="false">
      <c r="A2426" s="203" t="s">
        <v>4895</v>
      </c>
    </row>
    <row r="2427" customFormat="false" ht="12" hidden="false" customHeight="false" outlineLevel="0" collapsed="false">
      <c r="A2427" s="203" t="s">
        <v>4896</v>
      </c>
    </row>
    <row r="2428" customFormat="false" ht="12" hidden="false" customHeight="false" outlineLevel="0" collapsed="false">
      <c r="A2428" s="203" t="s">
        <v>4897</v>
      </c>
    </row>
    <row r="2429" customFormat="false" ht="12" hidden="false" customHeight="false" outlineLevel="0" collapsed="false">
      <c r="A2429" s="203" t="s">
        <v>4898</v>
      </c>
    </row>
    <row r="2430" customFormat="false" ht="12" hidden="false" customHeight="false" outlineLevel="0" collapsed="false">
      <c r="A2430" s="203" t="s">
        <v>4899</v>
      </c>
    </row>
    <row r="2431" customFormat="false" ht="12" hidden="false" customHeight="false" outlineLevel="0" collapsed="false">
      <c r="A2431" s="203" t="s">
        <v>4900</v>
      </c>
    </row>
    <row r="2432" customFormat="false" ht="12" hidden="false" customHeight="false" outlineLevel="0" collapsed="false">
      <c r="A2432" s="203" t="s">
        <v>4901</v>
      </c>
    </row>
    <row r="2433" customFormat="false" ht="12" hidden="false" customHeight="false" outlineLevel="0" collapsed="false">
      <c r="A2433" s="203" t="s">
        <v>4902</v>
      </c>
    </row>
    <row r="2434" customFormat="false" ht="12" hidden="false" customHeight="false" outlineLevel="0" collapsed="false">
      <c r="A2434" s="203" t="s">
        <v>4903</v>
      </c>
    </row>
    <row r="2435" customFormat="false" ht="12" hidden="false" customHeight="false" outlineLevel="0" collapsed="false">
      <c r="A2435" s="203" t="s">
        <v>4904</v>
      </c>
    </row>
    <row r="2436" customFormat="false" ht="12" hidden="false" customHeight="false" outlineLevel="0" collapsed="false">
      <c r="A2436" s="203" t="s">
        <v>4905</v>
      </c>
    </row>
    <row r="2437" customFormat="false" ht="12" hidden="false" customHeight="false" outlineLevel="0" collapsed="false">
      <c r="A2437" s="203" t="s">
        <v>4906</v>
      </c>
    </row>
    <row r="2438" customFormat="false" ht="12" hidden="false" customHeight="false" outlineLevel="0" collapsed="false">
      <c r="A2438" s="203" t="s">
        <v>4907</v>
      </c>
    </row>
    <row r="2439" customFormat="false" ht="12" hidden="false" customHeight="false" outlineLevel="0" collapsed="false">
      <c r="A2439" s="203" t="s">
        <v>4908</v>
      </c>
    </row>
    <row r="2440" customFormat="false" ht="12" hidden="false" customHeight="false" outlineLevel="0" collapsed="false">
      <c r="A2440" s="203" t="s">
        <v>4909</v>
      </c>
    </row>
    <row r="2441" customFormat="false" ht="12" hidden="false" customHeight="false" outlineLevel="0" collapsed="false">
      <c r="A2441" s="203" t="s">
        <v>4910</v>
      </c>
    </row>
    <row r="2442" customFormat="false" ht="12" hidden="false" customHeight="false" outlineLevel="0" collapsed="false">
      <c r="A2442" s="203" t="s">
        <v>4911</v>
      </c>
    </row>
    <row r="2443" customFormat="false" ht="12" hidden="false" customHeight="false" outlineLevel="0" collapsed="false">
      <c r="A2443" s="203" t="s">
        <v>4912</v>
      </c>
    </row>
    <row r="2444" customFormat="false" ht="12" hidden="false" customHeight="false" outlineLevel="0" collapsed="false">
      <c r="A2444" s="203" t="s">
        <v>4913</v>
      </c>
    </row>
    <row r="2445" customFormat="false" ht="12" hidden="false" customHeight="false" outlineLevel="0" collapsed="false">
      <c r="A2445" s="203" t="s">
        <v>4914</v>
      </c>
    </row>
    <row r="2446" customFormat="false" ht="12" hidden="false" customHeight="false" outlineLevel="0" collapsed="false">
      <c r="A2446" s="203" t="s">
        <v>4915</v>
      </c>
    </row>
    <row r="2447" customFormat="false" ht="12" hidden="false" customHeight="false" outlineLevel="0" collapsed="false">
      <c r="A2447" s="203" t="s">
        <v>4916</v>
      </c>
    </row>
    <row r="2448" customFormat="false" ht="12" hidden="false" customHeight="false" outlineLevel="0" collapsed="false">
      <c r="A2448" s="203" t="s">
        <v>4917</v>
      </c>
    </row>
    <row r="2449" customFormat="false" ht="12" hidden="false" customHeight="false" outlineLevel="0" collapsed="false">
      <c r="A2449" s="203" t="s">
        <v>4918</v>
      </c>
    </row>
    <row r="2450" customFormat="false" ht="12" hidden="false" customHeight="false" outlineLevel="0" collapsed="false">
      <c r="A2450" s="203" t="s">
        <v>4919</v>
      </c>
    </row>
    <row r="2451" customFormat="false" ht="12" hidden="false" customHeight="false" outlineLevel="0" collapsed="false">
      <c r="A2451" s="203" t="s">
        <v>4920</v>
      </c>
    </row>
    <row r="2452" customFormat="false" ht="12" hidden="false" customHeight="false" outlineLevel="0" collapsed="false">
      <c r="A2452" s="203" t="s">
        <v>4921</v>
      </c>
    </row>
    <row r="2453" customFormat="false" ht="12" hidden="false" customHeight="false" outlineLevel="0" collapsed="false">
      <c r="A2453" s="203" t="s">
        <v>4922</v>
      </c>
    </row>
    <row r="2454" customFormat="false" ht="12" hidden="false" customHeight="false" outlineLevel="0" collapsed="false">
      <c r="A2454" s="203" t="s">
        <v>4923</v>
      </c>
    </row>
    <row r="2455" customFormat="false" ht="12" hidden="false" customHeight="false" outlineLevel="0" collapsed="false">
      <c r="A2455" s="203" t="s">
        <v>4924</v>
      </c>
    </row>
    <row r="2456" customFormat="false" ht="12" hidden="false" customHeight="false" outlineLevel="0" collapsed="false">
      <c r="A2456" s="203" t="s">
        <v>4925</v>
      </c>
    </row>
    <row r="2457" customFormat="false" ht="12" hidden="false" customHeight="false" outlineLevel="0" collapsed="false">
      <c r="A2457" s="203" t="s">
        <v>4926</v>
      </c>
    </row>
    <row r="2458" customFormat="false" ht="12" hidden="false" customHeight="false" outlineLevel="0" collapsed="false">
      <c r="A2458" s="203" t="s">
        <v>4927</v>
      </c>
    </row>
    <row r="2459" customFormat="false" ht="12" hidden="false" customHeight="false" outlineLevel="0" collapsed="false">
      <c r="A2459" s="203" t="s">
        <v>4928</v>
      </c>
    </row>
    <row r="2460" customFormat="false" ht="12" hidden="false" customHeight="false" outlineLevel="0" collapsed="false">
      <c r="A2460" s="203" t="s">
        <v>4929</v>
      </c>
    </row>
    <row r="2461" customFormat="false" ht="12" hidden="false" customHeight="false" outlineLevel="0" collapsed="false">
      <c r="A2461" s="203" t="s">
        <v>4930</v>
      </c>
    </row>
    <row r="2462" customFormat="false" ht="12" hidden="false" customHeight="false" outlineLevel="0" collapsed="false">
      <c r="A2462" s="203" t="s">
        <v>4931</v>
      </c>
    </row>
    <row r="2463" customFormat="false" ht="12" hidden="false" customHeight="false" outlineLevel="0" collapsed="false">
      <c r="A2463" s="203" t="s">
        <v>4932</v>
      </c>
    </row>
    <row r="2464" customFormat="false" ht="12" hidden="false" customHeight="false" outlineLevel="0" collapsed="false">
      <c r="A2464" s="203" t="s">
        <v>4933</v>
      </c>
    </row>
    <row r="2465" customFormat="false" ht="12" hidden="false" customHeight="false" outlineLevel="0" collapsed="false">
      <c r="A2465" s="203" t="s">
        <v>4934</v>
      </c>
    </row>
    <row r="2466" customFormat="false" ht="12" hidden="false" customHeight="false" outlineLevel="0" collapsed="false">
      <c r="A2466" s="203" t="s">
        <v>4935</v>
      </c>
    </row>
    <row r="2467" customFormat="false" ht="12" hidden="false" customHeight="false" outlineLevel="0" collapsed="false">
      <c r="A2467" s="203" t="s">
        <v>4936</v>
      </c>
    </row>
    <row r="2468" customFormat="false" ht="12" hidden="false" customHeight="false" outlineLevel="0" collapsed="false">
      <c r="A2468" s="203" t="s">
        <v>4937</v>
      </c>
    </row>
    <row r="2469" customFormat="false" ht="12" hidden="false" customHeight="false" outlineLevel="0" collapsed="false">
      <c r="A2469" s="203" t="s">
        <v>4938</v>
      </c>
    </row>
    <row r="2470" customFormat="false" ht="12" hidden="false" customHeight="false" outlineLevel="0" collapsed="false">
      <c r="A2470" s="203" t="s">
        <v>4939</v>
      </c>
    </row>
    <row r="2471" customFormat="false" ht="12" hidden="false" customHeight="false" outlineLevel="0" collapsed="false">
      <c r="A2471" s="203" t="s">
        <v>4940</v>
      </c>
    </row>
    <row r="2472" customFormat="false" ht="12" hidden="false" customHeight="false" outlineLevel="0" collapsed="false">
      <c r="A2472" s="203" t="s">
        <v>4941</v>
      </c>
    </row>
    <row r="2473" customFormat="false" ht="12" hidden="false" customHeight="false" outlineLevel="0" collapsed="false">
      <c r="A2473" s="203" t="s">
        <v>4942</v>
      </c>
    </row>
    <row r="2474" customFormat="false" ht="12" hidden="false" customHeight="false" outlineLevel="0" collapsed="false">
      <c r="A2474" s="203" t="s">
        <v>4943</v>
      </c>
    </row>
    <row r="2475" customFormat="false" ht="12" hidden="false" customHeight="false" outlineLevel="0" collapsed="false">
      <c r="A2475" s="203" t="s">
        <v>4944</v>
      </c>
    </row>
    <row r="2476" customFormat="false" ht="12" hidden="false" customHeight="false" outlineLevel="0" collapsed="false">
      <c r="A2476" s="203" t="s">
        <v>4945</v>
      </c>
    </row>
    <row r="2477" customFormat="false" ht="12" hidden="false" customHeight="false" outlineLevel="0" collapsed="false">
      <c r="A2477" s="203" t="s">
        <v>4946</v>
      </c>
    </row>
    <row r="2478" customFormat="false" ht="12" hidden="false" customHeight="false" outlineLevel="0" collapsed="false">
      <c r="A2478" s="203" t="s">
        <v>4947</v>
      </c>
    </row>
    <row r="2479" customFormat="false" ht="12" hidden="false" customHeight="false" outlineLevel="0" collapsed="false">
      <c r="A2479" s="203" t="s">
        <v>4948</v>
      </c>
    </row>
    <row r="2480" customFormat="false" ht="12" hidden="false" customHeight="false" outlineLevel="0" collapsed="false">
      <c r="A2480" s="203" t="s">
        <v>4949</v>
      </c>
    </row>
    <row r="2481" customFormat="false" ht="12" hidden="false" customHeight="false" outlineLevel="0" collapsed="false">
      <c r="A2481" s="203" t="s">
        <v>4950</v>
      </c>
    </row>
    <row r="2482" customFormat="false" ht="12" hidden="false" customHeight="false" outlineLevel="0" collapsed="false">
      <c r="A2482" s="203" t="s">
        <v>4951</v>
      </c>
    </row>
    <row r="2483" customFormat="false" ht="12" hidden="false" customHeight="false" outlineLevel="0" collapsed="false">
      <c r="A2483" s="203" t="s">
        <v>4952</v>
      </c>
    </row>
    <row r="2484" customFormat="false" ht="12" hidden="false" customHeight="false" outlineLevel="0" collapsed="false">
      <c r="A2484" s="203" t="s">
        <v>4953</v>
      </c>
    </row>
    <row r="2485" customFormat="false" ht="12" hidden="false" customHeight="false" outlineLevel="0" collapsed="false">
      <c r="A2485" s="203" t="s">
        <v>4954</v>
      </c>
    </row>
    <row r="2486" customFormat="false" ht="12" hidden="false" customHeight="false" outlineLevel="0" collapsed="false">
      <c r="A2486" s="203" t="s">
        <v>4955</v>
      </c>
    </row>
    <row r="2487" customFormat="false" ht="12" hidden="false" customHeight="false" outlineLevel="0" collapsed="false">
      <c r="A2487" s="203" t="s">
        <v>4956</v>
      </c>
    </row>
    <row r="2488" customFormat="false" ht="12" hidden="false" customHeight="false" outlineLevel="0" collapsed="false">
      <c r="A2488" s="203" t="s">
        <v>4957</v>
      </c>
    </row>
    <row r="2489" customFormat="false" ht="12" hidden="false" customHeight="false" outlineLevel="0" collapsed="false">
      <c r="A2489" s="203" t="s">
        <v>4958</v>
      </c>
    </row>
    <row r="2490" customFormat="false" ht="12" hidden="false" customHeight="false" outlineLevel="0" collapsed="false">
      <c r="A2490" s="203" t="s">
        <v>4959</v>
      </c>
    </row>
    <row r="2491" customFormat="false" ht="12" hidden="false" customHeight="false" outlineLevel="0" collapsed="false">
      <c r="A2491" s="203" t="s">
        <v>4960</v>
      </c>
    </row>
    <row r="2492" customFormat="false" ht="12" hidden="false" customHeight="false" outlineLevel="0" collapsed="false">
      <c r="A2492" s="203" t="s">
        <v>4961</v>
      </c>
    </row>
    <row r="2493" customFormat="false" ht="12" hidden="false" customHeight="false" outlineLevel="0" collapsed="false">
      <c r="A2493" s="203" t="s">
        <v>4962</v>
      </c>
    </row>
    <row r="2494" customFormat="false" ht="12" hidden="false" customHeight="false" outlineLevel="0" collapsed="false">
      <c r="A2494" s="203" t="s">
        <v>4963</v>
      </c>
    </row>
    <row r="2495" customFormat="false" ht="12" hidden="false" customHeight="false" outlineLevel="0" collapsed="false">
      <c r="A2495" s="203" t="s">
        <v>4964</v>
      </c>
    </row>
    <row r="2496" customFormat="false" ht="12" hidden="false" customHeight="false" outlineLevel="0" collapsed="false">
      <c r="A2496" s="203" t="s">
        <v>4965</v>
      </c>
    </row>
    <row r="2497" customFormat="false" ht="12" hidden="false" customHeight="false" outlineLevel="0" collapsed="false">
      <c r="A2497" s="203" t="s">
        <v>4966</v>
      </c>
    </row>
    <row r="2498" customFormat="false" ht="12" hidden="false" customHeight="false" outlineLevel="0" collapsed="false">
      <c r="A2498" s="203" t="s">
        <v>4967</v>
      </c>
    </row>
    <row r="2499" customFormat="false" ht="12" hidden="false" customHeight="false" outlineLevel="0" collapsed="false">
      <c r="A2499" s="203" t="s">
        <v>4968</v>
      </c>
    </row>
    <row r="2500" customFormat="false" ht="12" hidden="false" customHeight="false" outlineLevel="0" collapsed="false">
      <c r="A2500" s="203" t="s">
        <v>4969</v>
      </c>
    </row>
    <row r="2501" customFormat="false" ht="12" hidden="false" customHeight="false" outlineLevel="0" collapsed="false">
      <c r="A2501" s="203" t="s">
        <v>4970</v>
      </c>
    </row>
    <row r="2502" customFormat="false" ht="12" hidden="false" customHeight="false" outlineLevel="0" collapsed="false">
      <c r="A2502" s="203" t="s">
        <v>4971</v>
      </c>
    </row>
    <row r="2503" customFormat="false" ht="12" hidden="false" customHeight="false" outlineLevel="0" collapsed="false">
      <c r="A2503" s="203" t="s">
        <v>4972</v>
      </c>
    </row>
    <row r="2504" customFormat="false" ht="12" hidden="false" customHeight="false" outlineLevel="0" collapsed="false">
      <c r="A2504" s="203" t="s">
        <v>4973</v>
      </c>
    </row>
    <row r="2505" customFormat="false" ht="12" hidden="false" customHeight="false" outlineLevel="0" collapsed="false">
      <c r="A2505" s="203" t="s">
        <v>4974</v>
      </c>
    </row>
    <row r="2506" customFormat="false" ht="12" hidden="false" customHeight="false" outlineLevel="0" collapsed="false">
      <c r="A2506" s="203" t="s">
        <v>4975</v>
      </c>
    </row>
    <row r="2507" customFormat="false" ht="12" hidden="false" customHeight="false" outlineLevel="0" collapsed="false">
      <c r="A2507" s="203" t="s">
        <v>4976</v>
      </c>
    </row>
    <row r="2508" customFormat="false" ht="12" hidden="false" customHeight="false" outlineLevel="0" collapsed="false">
      <c r="A2508" s="203" t="s">
        <v>4977</v>
      </c>
    </row>
    <row r="2509" customFormat="false" ht="12" hidden="false" customHeight="false" outlineLevel="0" collapsed="false">
      <c r="A2509" s="203" t="s">
        <v>4978</v>
      </c>
    </row>
    <row r="2510" customFormat="false" ht="12" hidden="false" customHeight="false" outlineLevel="0" collapsed="false">
      <c r="A2510" s="203" t="s">
        <v>4979</v>
      </c>
    </row>
    <row r="2511" customFormat="false" ht="12" hidden="false" customHeight="false" outlineLevel="0" collapsed="false">
      <c r="A2511" s="203" t="s">
        <v>4980</v>
      </c>
    </row>
    <row r="2512" customFormat="false" ht="12" hidden="false" customHeight="false" outlineLevel="0" collapsed="false">
      <c r="A2512" s="203" t="s">
        <v>4981</v>
      </c>
    </row>
    <row r="2513" customFormat="false" ht="12" hidden="false" customHeight="false" outlineLevel="0" collapsed="false">
      <c r="A2513" s="203" t="s">
        <v>4982</v>
      </c>
    </row>
    <row r="2514" customFormat="false" ht="12" hidden="false" customHeight="false" outlineLevel="0" collapsed="false">
      <c r="A2514" s="203" t="s">
        <v>4983</v>
      </c>
    </row>
    <row r="2515" customFormat="false" ht="12" hidden="false" customHeight="false" outlineLevel="0" collapsed="false">
      <c r="A2515" s="203" t="s">
        <v>4984</v>
      </c>
    </row>
    <row r="2516" customFormat="false" ht="12" hidden="false" customHeight="false" outlineLevel="0" collapsed="false">
      <c r="A2516" s="203" t="s">
        <v>4985</v>
      </c>
    </row>
    <row r="2517" customFormat="false" ht="12" hidden="false" customHeight="false" outlineLevel="0" collapsed="false">
      <c r="A2517" s="203" t="s">
        <v>4986</v>
      </c>
    </row>
    <row r="2518" customFormat="false" ht="12" hidden="false" customHeight="false" outlineLevel="0" collapsed="false">
      <c r="A2518" s="203" t="s">
        <v>4987</v>
      </c>
    </row>
    <row r="2519" customFormat="false" ht="12" hidden="false" customHeight="false" outlineLevel="0" collapsed="false">
      <c r="A2519" s="203" t="s">
        <v>4988</v>
      </c>
    </row>
    <row r="2520" customFormat="false" ht="12" hidden="false" customHeight="false" outlineLevel="0" collapsed="false">
      <c r="A2520" s="203" t="s">
        <v>4989</v>
      </c>
    </row>
    <row r="2521" customFormat="false" ht="12" hidden="false" customHeight="false" outlineLevel="0" collapsed="false">
      <c r="A2521" s="203" t="s">
        <v>4990</v>
      </c>
    </row>
    <row r="2522" customFormat="false" ht="12" hidden="false" customHeight="false" outlineLevel="0" collapsed="false">
      <c r="A2522" s="203" t="s">
        <v>4991</v>
      </c>
    </row>
    <row r="2523" customFormat="false" ht="12" hidden="false" customHeight="false" outlineLevel="0" collapsed="false">
      <c r="A2523" s="203" t="s">
        <v>4992</v>
      </c>
    </row>
    <row r="2524" customFormat="false" ht="12" hidden="false" customHeight="false" outlineLevel="0" collapsed="false">
      <c r="A2524" s="203" t="s">
        <v>4993</v>
      </c>
    </row>
    <row r="2525" customFormat="false" ht="12" hidden="false" customHeight="false" outlineLevel="0" collapsed="false">
      <c r="A2525" s="203" t="s">
        <v>4994</v>
      </c>
    </row>
    <row r="2526" customFormat="false" ht="12" hidden="false" customHeight="false" outlineLevel="0" collapsed="false">
      <c r="A2526" s="203" t="s">
        <v>4995</v>
      </c>
    </row>
    <row r="2527" customFormat="false" ht="12" hidden="false" customHeight="false" outlineLevel="0" collapsed="false">
      <c r="A2527" s="203" t="s">
        <v>4996</v>
      </c>
    </row>
    <row r="2528" customFormat="false" ht="12" hidden="false" customHeight="false" outlineLevel="0" collapsed="false">
      <c r="A2528" s="203" t="s">
        <v>4997</v>
      </c>
    </row>
    <row r="2529" customFormat="false" ht="12" hidden="false" customHeight="false" outlineLevel="0" collapsed="false">
      <c r="A2529" s="203" t="s">
        <v>4998</v>
      </c>
    </row>
    <row r="2530" customFormat="false" ht="12" hidden="false" customHeight="false" outlineLevel="0" collapsed="false">
      <c r="A2530" s="203" t="s">
        <v>4999</v>
      </c>
    </row>
    <row r="2531" customFormat="false" ht="12" hidden="false" customHeight="false" outlineLevel="0" collapsed="false">
      <c r="A2531" s="203" t="s">
        <v>5000</v>
      </c>
    </row>
    <row r="2532" customFormat="false" ht="12" hidden="false" customHeight="false" outlineLevel="0" collapsed="false">
      <c r="A2532" s="203" t="s">
        <v>5001</v>
      </c>
    </row>
    <row r="2533" customFormat="false" ht="12" hidden="false" customHeight="false" outlineLevel="0" collapsed="false">
      <c r="A2533" s="203" t="s">
        <v>5002</v>
      </c>
    </row>
    <row r="2534" customFormat="false" ht="12" hidden="false" customHeight="false" outlineLevel="0" collapsed="false">
      <c r="A2534" s="203" t="s">
        <v>5003</v>
      </c>
    </row>
    <row r="2535" customFormat="false" ht="12" hidden="false" customHeight="false" outlineLevel="0" collapsed="false">
      <c r="A2535" s="203" t="s">
        <v>5004</v>
      </c>
    </row>
    <row r="2536" customFormat="false" ht="12" hidden="false" customHeight="false" outlineLevel="0" collapsed="false">
      <c r="A2536" s="203" t="s">
        <v>5005</v>
      </c>
    </row>
    <row r="2537" customFormat="false" ht="12" hidden="false" customHeight="false" outlineLevel="0" collapsed="false">
      <c r="A2537" s="203" t="s">
        <v>5006</v>
      </c>
    </row>
    <row r="2538" customFormat="false" ht="12" hidden="false" customHeight="false" outlineLevel="0" collapsed="false">
      <c r="A2538" s="203" t="s">
        <v>5007</v>
      </c>
    </row>
    <row r="2539" customFormat="false" ht="12" hidden="false" customHeight="false" outlineLevel="0" collapsed="false">
      <c r="A2539" s="203" t="s">
        <v>5008</v>
      </c>
    </row>
    <row r="2540" customFormat="false" ht="12" hidden="false" customHeight="false" outlineLevel="0" collapsed="false">
      <c r="A2540" s="203" t="s">
        <v>5009</v>
      </c>
    </row>
    <row r="2541" customFormat="false" ht="12" hidden="false" customHeight="false" outlineLevel="0" collapsed="false">
      <c r="A2541" s="203" t="s">
        <v>5010</v>
      </c>
    </row>
    <row r="2542" customFormat="false" ht="12" hidden="false" customHeight="false" outlineLevel="0" collapsed="false">
      <c r="A2542" s="203" t="s">
        <v>5011</v>
      </c>
    </row>
    <row r="2543" customFormat="false" ht="12" hidden="false" customHeight="false" outlineLevel="0" collapsed="false">
      <c r="A2543" s="203" t="s">
        <v>5012</v>
      </c>
    </row>
    <row r="2544" customFormat="false" ht="12" hidden="false" customHeight="false" outlineLevel="0" collapsed="false">
      <c r="A2544" s="203" t="s">
        <v>5013</v>
      </c>
    </row>
    <row r="2545" customFormat="false" ht="12" hidden="false" customHeight="false" outlineLevel="0" collapsed="false">
      <c r="A2545" s="203" t="s">
        <v>5014</v>
      </c>
    </row>
    <row r="2546" customFormat="false" ht="12" hidden="false" customHeight="false" outlineLevel="0" collapsed="false">
      <c r="A2546" s="203" t="s">
        <v>5015</v>
      </c>
    </row>
    <row r="2547" customFormat="false" ht="12" hidden="false" customHeight="false" outlineLevel="0" collapsed="false">
      <c r="A2547" s="203" t="s">
        <v>5016</v>
      </c>
    </row>
    <row r="2548" customFormat="false" ht="12" hidden="false" customHeight="false" outlineLevel="0" collapsed="false">
      <c r="A2548" s="203" t="s">
        <v>5017</v>
      </c>
    </row>
    <row r="2549" customFormat="false" ht="12" hidden="false" customHeight="false" outlineLevel="0" collapsed="false">
      <c r="A2549" s="203" t="s">
        <v>5018</v>
      </c>
    </row>
    <row r="2550" customFormat="false" ht="12" hidden="false" customHeight="false" outlineLevel="0" collapsed="false">
      <c r="A2550" s="203" t="s">
        <v>5019</v>
      </c>
    </row>
    <row r="2551" customFormat="false" ht="12" hidden="false" customHeight="false" outlineLevel="0" collapsed="false">
      <c r="A2551" s="203" t="s">
        <v>5020</v>
      </c>
    </row>
    <row r="2552" customFormat="false" ht="12" hidden="false" customHeight="false" outlineLevel="0" collapsed="false">
      <c r="A2552" s="203" t="s">
        <v>5021</v>
      </c>
    </row>
    <row r="2553" customFormat="false" ht="12" hidden="false" customHeight="false" outlineLevel="0" collapsed="false">
      <c r="A2553" s="203" t="s">
        <v>5022</v>
      </c>
    </row>
    <row r="2554" customFormat="false" ht="12" hidden="false" customHeight="false" outlineLevel="0" collapsed="false">
      <c r="A2554" s="203" t="s">
        <v>5023</v>
      </c>
    </row>
    <row r="2555" customFormat="false" ht="12" hidden="false" customHeight="false" outlineLevel="0" collapsed="false">
      <c r="A2555" s="203" t="s">
        <v>5024</v>
      </c>
    </row>
    <row r="2556" customFormat="false" ht="12" hidden="false" customHeight="false" outlineLevel="0" collapsed="false">
      <c r="A2556" s="203" t="s">
        <v>5025</v>
      </c>
    </row>
    <row r="2557" customFormat="false" ht="12" hidden="false" customHeight="false" outlineLevel="0" collapsed="false">
      <c r="A2557" s="203" t="s">
        <v>5026</v>
      </c>
    </row>
    <row r="2558" customFormat="false" ht="12" hidden="false" customHeight="false" outlineLevel="0" collapsed="false">
      <c r="A2558" s="203" t="s">
        <v>5027</v>
      </c>
    </row>
    <row r="2559" customFormat="false" ht="12" hidden="false" customHeight="false" outlineLevel="0" collapsed="false">
      <c r="A2559" s="203" t="s">
        <v>5028</v>
      </c>
    </row>
    <row r="2560" customFormat="false" ht="12" hidden="false" customHeight="false" outlineLevel="0" collapsed="false">
      <c r="A2560" s="203" t="s">
        <v>5029</v>
      </c>
    </row>
    <row r="2561" customFormat="false" ht="12" hidden="false" customHeight="false" outlineLevel="0" collapsed="false">
      <c r="A2561" s="203" t="s">
        <v>5030</v>
      </c>
    </row>
    <row r="2562" customFormat="false" ht="12" hidden="false" customHeight="false" outlineLevel="0" collapsed="false">
      <c r="A2562" s="203" t="s">
        <v>5031</v>
      </c>
    </row>
    <row r="2563" customFormat="false" ht="12" hidden="false" customHeight="false" outlineLevel="0" collapsed="false">
      <c r="A2563" s="203" t="s">
        <v>5032</v>
      </c>
    </row>
    <row r="2564" customFormat="false" ht="12" hidden="false" customHeight="false" outlineLevel="0" collapsed="false">
      <c r="A2564" s="203" t="s">
        <v>5033</v>
      </c>
    </row>
    <row r="2565" customFormat="false" ht="12" hidden="false" customHeight="false" outlineLevel="0" collapsed="false">
      <c r="A2565" s="203" t="s">
        <v>5034</v>
      </c>
    </row>
    <row r="2566" customFormat="false" ht="12" hidden="false" customHeight="false" outlineLevel="0" collapsed="false">
      <c r="A2566" s="203" t="s">
        <v>5035</v>
      </c>
    </row>
    <row r="2567" customFormat="false" ht="12" hidden="false" customHeight="false" outlineLevel="0" collapsed="false">
      <c r="A2567" s="203" t="s">
        <v>5036</v>
      </c>
    </row>
    <row r="2568" customFormat="false" ht="12" hidden="false" customHeight="false" outlineLevel="0" collapsed="false">
      <c r="A2568" s="203" t="s">
        <v>5037</v>
      </c>
    </row>
    <row r="2569" customFormat="false" ht="12" hidden="false" customHeight="false" outlineLevel="0" collapsed="false">
      <c r="A2569" s="203" t="s">
        <v>5038</v>
      </c>
    </row>
    <row r="2570" customFormat="false" ht="12" hidden="false" customHeight="false" outlineLevel="0" collapsed="false">
      <c r="A2570" s="203" t="s">
        <v>5039</v>
      </c>
    </row>
    <row r="2571" customFormat="false" ht="12" hidden="false" customHeight="false" outlineLevel="0" collapsed="false">
      <c r="A2571" s="203" t="s">
        <v>5040</v>
      </c>
    </row>
    <row r="2572" customFormat="false" ht="12" hidden="false" customHeight="false" outlineLevel="0" collapsed="false">
      <c r="A2572" s="203" t="s">
        <v>5041</v>
      </c>
    </row>
    <row r="2573" customFormat="false" ht="12" hidden="false" customHeight="false" outlineLevel="0" collapsed="false">
      <c r="A2573" s="203" t="s">
        <v>5042</v>
      </c>
    </row>
    <row r="2574" customFormat="false" ht="12" hidden="false" customHeight="false" outlineLevel="0" collapsed="false">
      <c r="A2574" s="203" t="s">
        <v>5043</v>
      </c>
    </row>
    <row r="2575" customFormat="false" ht="12" hidden="false" customHeight="false" outlineLevel="0" collapsed="false">
      <c r="A2575" s="203" t="s">
        <v>5044</v>
      </c>
    </row>
    <row r="2576" customFormat="false" ht="12" hidden="false" customHeight="false" outlineLevel="0" collapsed="false">
      <c r="A2576" s="203" t="s">
        <v>5045</v>
      </c>
    </row>
    <row r="2577" customFormat="false" ht="12" hidden="false" customHeight="false" outlineLevel="0" collapsed="false">
      <c r="A2577" s="203" t="s">
        <v>5046</v>
      </c>
    </row>
    <row r="2578" customFormat="false" ht="12" hidden="false" customHeight="false" outlineLevel="0" collapsed="false">
      <c r="A2578" s="203" t="s">
        <v>5047</v>
      </c>
    </row>
    <row r="2579" customFormat="false" ht="12" hidden="false" customHeight="false" outlineLevel="0" collapsed="false">
      <c r="A2579" s="203" t="s">
        <v>5048</v>
      </c>
    </row>
    <row r="2580" customFormat="false" ht="12" hidden="false" customHeight="false" outlineLevel="0" collapsed="false">
      <c r="A2580" s="203" t="s">
        <v>5049</v>
      </c>
    </row>
    <row r="2581" customFormat="false" ht="12" hidden="false" customHeight="false" outlineLevel="0" collapsed="false">
      <c r="A2581" s="203" t="s">
        <v>5050</v>
      </c>
    </row>
    <row r="2582" customFormat="false" ht="12" hidden="false" customHeight="false" outlineLevel="0" collapsed="false">
      <c r="A2582" s="203" t="s">
        <v>5051</v>
      </c>
    </row>
    <row r="2583" customFormat="false" ht="12" hidden="false" customHeight="false" outlineLevel="0" collapsed="false">
      <c r="A2583" s="203" t="s">
        <v>5052</v>
      </c>
    </row>
    <row r="2584" customFormat="false" ht="12" hidden="false" customHeight="false" outlineLevel="0" collapsed="false">
      <c r="A2584" s="203" t="s">
        <v>5053</v>
      </c>
    </row>
    <row r="2585" customFormat="false" ht="12" hidden="false" customHeight="false" outlineLevel="0" collapsed="false">
      <c r="A2585" s="203" t="s">
        <v>5054</v>
      </c>
    </row>
    <row r="2586" customFormat="false" ht="12" hidden="false" customHeight="false" outlineLevel="0" collapsed="false">
      <c r="A2586" s="203" t="s">
        <v>5055</v>
      </c>
    </row>
    <row r="2587" customFormat="false" ht="12" hidden="false" customHeight="false" outlineLevel="0" collapsed="false">
      <c r="A2587" s="203" t="s">
        <v>5056</v>
      </c>
    </row>
    <row r="2588" customFormat="false" ht="12" hidden="false" customHeight="false" outlineLevel="0" collapsed="false">
      <c r="A2588" s="203" t="s">
        <v>5057</v>
      </c>
    </row>
    <row r="2589" customFormat="false" ht="12" hidden="false" customHeight="false" outlineLevel="0" collapsed="false">
      <c r="A2589" s="203" t="s">
        <v>5058</v>
      </c>
    </row>
    <row r="2590" customFormat="false" ht="12" hidden="false" customHeight="false" outlineLevel="0" collapsed="false">
      <c r="A2590" s="203" t="s">
        <v>5059</v>
      </c>
    </row>
    <row r="2591" customFormat="false" ht="12" hidden="false" customHeight="false" outlineLevel="0" collapsed="false">
      <c r="A2591" s="203" t="s">
        <v>5060</v>
      </c>
    </row>
    <row r="2592" customFormat="false" ht="12" hidden="false" customHeight="false" outlineLevel="0" collapsed="false">
      <c r="A2592" s="203" t="s">
        <v>5061</v>
      </c>
    </row>
    <row r="2593" customFormat="false" ht="12" hidden="false" customHeight="false" outlineLevel="0" collapsed="false">
      <c r="A2593" s="203" t="s">
        <v>5062</v>
      </c>
    </row>
    <row r="2594" customFormat="false" ht="12" hidden="false" customHeight="false" outlineLevel="0" collapsed="false">
      <c r="A2594" s="203" t="s">
        <v>5063</v>
      </c>
    </row>
    <row r="2595" customFormat="false" ht="12" hidden="false" customHeight="false" outlineLevel="0" collapsed="false">
      <c r="A2595" s="203" t="s">
        <v>5064</v>
      </c>
    </row>
    <row r="2596" customFormat="false" ht="12" hidden="false" customHeight="false" outlineLevel="0" collapsed="false">
      <c r="A2596" s="203" t="s">
        <v>5065</v>
      </c>
    </row>
    <row r="2597" customFormat="false" ht="12" hidden="false" customHeight="false" outlineLevel="0" collapsed="false">
      <c r="A2597" s="203" t="s">
        <v>5066</v>
      </c>
    </row>
    <row r="2598" customFormat="false" ht="12" hidden="false" customHeight="false" outlineLevel="0" collapsed="false">
      <c r="A2598" s="203" t="s">
        <v>5067</v>
      </c>
    </row>
    <row r="2599" customFormat="false" ht="12" hidden="false" customHeight="false" outlineLevel="0" collapsed="false">
      <c r="A2599" s="203" t="s">
        <v>5068</v>
      </c>
    </row>
    <row r="2600" customFormat="false" ht="12" hidden="false" customHeight="false" outlineLevel="0" collapsed="false">
      <c r="A2600" s="203" t="s">
        <v>5069</v>
      </c>
    </row>
    <row r="2601" customFormat="false" ht="12" hidden="false" customHeight="false" outlineLevel="0" collapsed="false">
      <c r="A2601" s="203" t="s">
        <v>5070</v>
      </c>
    </row>
    <row r="2602" customFormat="false" ht="12" hidden="false" customHeight="false" outlineLevel="0" collapsed="false">
      <c r="A2602" s="203" t="s">
        <v>5071</v>
      </c>
    </row>
    <row r="2603" customFormat="false" ht="12" hidden="false" customHeight="false" outlineLevel="0" collapsed="false">
      <c r="A2603" s="203" t="s">
        <v>5072</v>
      </c>
    </row>
    <row r="2604" customFormat="false" ht="12" hidden="false" customHeight="false" outlineLevel="0" collapsed="false">
      <c r="A2604" s="203" t="s">
        <v>5073</v>
      </c>
    </row>
    <row r="2605" customFormat="false" ht="12" hidden="false" customHeight="false" outlineLevel="0" collapsed="false">
      <c r="A2605" s="203" t="s">
        <v>5074</v>
      </c>
    </row>
    <row r="2606" customFormat="false" ht="12" hidden="false" customHeight="false" outlineLevel="0" collapsed="false">
      <c r="A2606" s="203" t="s">
        <v>5075</v>
      </c>
    </row>
    <row r="2607" customFormat="false" ht="12" hidden="false" customHeight="false" outlineLevel="0" collapsed="false">
      <c r="A2607" s="203" t="s">
        <v>5076</v>
      </c>
    </row>
    <row r="2608" customFormat="false" ht="12" hidden="false" customHeight="false" outlineLevel="0" collapsed="false">
      <c r="A2608" s="203" t="s">
        <v>5077</v>
      </c>
    </row>
    <row r="2609" customFormat="false" ht="12" hidden="false" customHeight="false" outlineLevel="0" collapsed="false">
      <c r="A2609" s="203" t="s">
        <v>5078</v>
      </c>
    </row>
    <row r="2610" customFormat="false" ht="12" hidden="false" customHeight="false" outlineLevel="0" collapsed="false">
      <c r="A2610" s="203" t="s">
        <v>5079</v>
      </c>
    </row>
    <row r="2611" customFormat="false" ht="12" hidden="false" customHeight="false" outlineLevel="0" collapsed="false">
      <c r="A2611" s="203" t="s">
        <v>5080</v>
      </c>
    </row>
    <row r="2612" customFormat="false" ht="12" hidden="false" customHeight="false" outlineLevel="0" collapsed="false">
      <c r="A2612" s="203" t="s">
        <v>5081</v>
      </c>
    </row>
    <row r="2613" customFormat="false" ht="12" hidden="false" customHeight="false" outlineLevel="0" collapsed="false">
      <c r="A2613" s="203" t="s">
        <v>5082</v>
      </c>
    </row>
    <row r="2614" customFormat="false" ht="12" hidden="false" customHeight="false" outlineLevel="0" collapsed="false">
      <c r="A2614" s="203" t="s">
        <v>5083</v>
      </c>
    </row>
    <row r="2615" customFormat="false" ht="12" hidden="false" customHeight="false" outlineLevel="0" collapsed="false">
      <c r="A2615" s="203" t="s">
        <v>5084</v>
      </c>
    </row>
    <row r="2616" customFormat="false" ht="12" hidden="false" customHeight="false" outlineLevel="0" collapsed="false">
      <c r="A2616" s="203" t="s">
        <v>5085</v>
      </c>
    </row>
    <row r="2617" customFormat="false" ht="12" hidden="false" customHeight="false" outlineLevel="0" collapsed="false">
      <c r="A2617" s="203" t="s">
        <v>5086</v>
      </c>
    </row>
    <row r="2618" customFormat="false" ht="12" hidden="false" customHeight="false" outlineLevel="0" collapsed="false">
      <c r="A2618" s="203" t="s">
        <v>5087</v>
      </c>
    </row>
    <row r="2619" customFormat="false" ht="12" hidden="false" customHeight="false" outlineLevel="0" collapsed="false">
      <c r="A2619" s="203" t="s">
        <v>5088</v>
      </c>
    </row>
    <row r="2620" customFormat="false" ht="12" hidden="false" customHeight="false" outlineLevel="0" collapsed="false">
      <c r="A2620" s="203" t="s">
        <v>5089</v>
      </c>
    </row>
    <row r="2621" customFormat="false" ht="12" hidden="false" customHeight="false" outlineLevel="0" collapsed="false">
      <c r="A2621" s="203" t="s">
        <v>5090</v>
      </c>
    </row>
    <row r="2622" customFormat="false" ht="12" hidden="false" customHeight="false" outlineLevel="0" collapsed="false">
      <c r="A2622" s="203" t="s">
        <v>5091</v>
      </c>
    </row>
    <row r="2623" customFormat="false" ht="12" hidden="false" customHeight="false" outlineLevel="0" collapsed="false">
      <c r="A2623" s="203" t="s">
        <v>5092</v>
      </c>
    </row>
    <row r="2624" customFormat="false" ht="12" hidden="false" customHeight="false" outlineLevel="0" collapsed="false">
      <c r="A2624" s="203" t="s">
        <v>5093</v>
      </c>
    </row>
    <row r="2625" customFormat="false" ht="12" hidden="false" customHeight="false" outlineLevel="0" collapsed="false">
      <c r="A2625" s="203" t="s">
        <v>5094</v>
      </c>
    </row>
    <row r="2626" customFormat="false" ht="12" hidden="false" customHeight="false" outlineLevel="0" collapsed="false">
      <c r="A2626" s="203" t="s">
        <v>5095</v>
      </c>
    </row>
    <row r="2627" customFormat="false" ht="12" hidden="false" customHeight="false" outlineLevel="0" collapsed="false">
      <c r="A2627" s="203" t="s">
        <v>5096</v>
      </c>
    </row>
    <row r="2628" customFormat="false" ht="12" hidden="false" customHeight="false" outlineLevel="0" collapsed="false">
      <c r="A2628" s="203" t="s">
        <v>5097</v>
      </c>
    </row>
    <row r="2629" customFormat="false" ht="12" hidden="false" customHeight="false" outlineLevel="0" collapsed="false">
      <c r="A2629" s="203" t="s">
        <v>5098</v>
      </c>
    </row>
    <row r="2630" customFormat="false" ht="12" hidden="false" customHeight="false" outlineLevel="0" collapsed="false">
      <c r="A2630" s="203" t="s">
        <v>5099</v>
      </c>
    </row>
    <row r="2631" customFormat="false" ht="12" hidden="false" customHeight="false" outlineLevel="0" collapsed="false">
      <c r="A2631" s="203" t="s">
        <v>5100</v>
      </c>
    </row>
    <row r="2632" customFormat="false" ht="12" hidden="false" customHeight="false" outlineLevel="0" collapsed="false">
      <c r="A2632" s="203" t="s">
        <v>5101</v>
      </c>
    </row>
    <row r="2633" customFormat="false" ht="12" hidden="false" customHeight="false" outlineLevel="0" collapsed="false">
      <c r="A2633" s="203" t="s">
        <v>5102</v>
      </c>
    </row>
    <row r="2634" customFormat="false" ht="12" hidden="false" customHeight="false" outlineLevel="0" collapsed="false">
      <c r="A2634" s="203" t="s">
        <v>5103</v>
      </c>
    </row>
    <row r="2635" customFormat="false" ht="12" hidden="false" customHeight="false" outlineLevel="0" collapsed="false">
      <c r="A2635" s="203" t="s">
        <v>5104</v>
      </c>
    </row>
    <row r="2636" customFormat="false" ht="12" hidden="false" customHeight="false" outlineLevel="0" collapsed="false">
      <c r="A2636" s="203" t="s">
        <v>5105</v>
      </c>
    </row>
    <row r="2637" customFormat="false" ht="12" hidden="false" customHeight="false" outlineLevel="0" collapsed="false">
      <c r="A2637" s="203" t="s">
        <v>5106</v>
      </c>
    </row>
    <row r="2638" customFormat="false" ht="12" hidden="false" customHeight="false" outlineLevel="0" collapsed="false">
      <c r="A2638" s="203" t="s">
        <v>5107</v>
      </c>
    </row>
    <row r="2639" customFormat="false" ht="12" hidden="false" customHeight="false" outlineLevel="0" collapsed="false">
      <c r="A2639" s="203" t="s">
        <v>5108</v>
      </c>
    </row>
    <row r="2640" customFormat="false" ht="12" hidden="false" customHeight="false" outlineLevel="0" collapsed="false">
      <c r="A2640" s="203" t="s">
        <v>5109</v>
      </c>
    </row>
    <row r="2641" customFormat="false" ht="12" hidden="false" customHeight="false" outlineLevel="0" collapsed="false">
      <c r="A2641" s="203" t="s">
        <v>5110</v>
      </c>
    </row>
    <row r="2642" customFormat="false" ht="12" hidden="false" customHeight="false" outlineLevel="0" collapsed="false">
      <c r="A2642" s="203" t="s">
        <v>5111</v>
      </c>
    </row>
    <row r="2643" customFormat="false" ht="12" hidden="false" customHeight="false" outlineLevel="0" collapsed="false">
      <c r="A2643" s="203" t="s">
        <v>5112</v>
      </c>
    </row>
    <row r="2644" customFormat="false" ht="12" hidden="false" customHeight="false" outlineLevel="0" collapsed="false">
      <c r="A2644" s="203" t="s">
        <v>5113</v>
      </c>
    </row>
    <row r="2645" customFormat="false" ht="12" hidden="false" customHeight="false" outlineLevel="0" collapsed="false">
      <c r="A2645" s="203" t="s">
        <v>5114</v>
      </c>
    </row>
    <row r="2646" customFormat="false" ht="12" hidden="false" customHeight="false" outlineLevel="0" collapsed="false">
      <c r="A2646" s="203" t="s">
        <v>5115</v>
      </c>
    </row>
    <row r="2647" customFormat="false" ht="12" hidden="false" customHeight="false" outlineLevel="0" collapsed="false">
      <c r="A2647" s="203" t="s">
        <v>5116</v>
      </c>
    </row>
    <row r="2648" customFormat="false" ht="12" hidden="false" customHeight="false" outlineLevel="0" collapsed="false">
      <c r="A2648" s="203" t="s">
        <v>5117</v>
      </c>
    </row>
    <row r="2649" customFormat="false" ht="12" hidden="false" customHeight="false" outlineLevel="0" collapsed="false">
      <c r="A2649" s="203" t="s">
        <v>5118</v>
      </c>
    </row>
    <row r="2650" customFormat="false" ht="12" hidden="false" customHeight="false" outlineLevel="0" collapsed="false">
      <c r="A2650" s="203" t="s">
        <v>5119</v>
      </c>
    </row>
    <row r="2651" customFormat="false" ht="12" hidden="false" customHeight="false" outlineLevel="0" collapsed="false">
      <c r="A2651" s="203" t="s">
        <v>5120</v>
      </c>
    </row>
    <row r="2652" customFormat="false" ht="12" hidden="false" customHeight="false" outlineLevel="0" collapsed="false">
      <c r="A2652" s="203" t="s">
        <v>5121</v>
      </c>
    </row>
    <row r="2653" customFormat="false" ht="12" hidden="false" customHeight="false" outlineLevel="0" collapsed="false">
      <c r="A2653" s="203" t="s">
        <v>5122</v>
      </c>
    </row>
    <row r="2654" customFormat="false" ht="12" hidden="false" customHeight="false" outlineLevel="0" collapsed="false">
      <c r="A2654" s="203" t="s">
        <v>5123</v>
      </c>
    </row>
    <row r="2655" customFormat="false" ht="12" hidden="false" customHeight="false" outlineLevel="0" collapsed="false">
      <c r="A2655" s="203" t="s">
        <v>5124</v>
      </c>
    </row>
    <row r="2656" customFormat="false" ht="12" hidden="false" customHeight="false" outlineLevel="0" collapsed="false">
      <c r="A2656" s="203" t="s">
        <v>5125</v>
      </c>
    </row>
    <row r="2657" customFormat="false" ht="12" hidden="false" customHeight="false" outlineLevel="0" collapsed="false">
      <c r="A2657" s="203" t="s">
        <v>5126</v>
      </c>
    </row>
    <row r="2658" customFormat="false" ht="12" hidden="false" customHeight="false" outlineLevel="0" collapsed="false">
      <c r="A2658" s="203" t="s">
        <v>5127</v>
      </c>
    </row>
    <row r="2659" customFormat="false" ht="12" hidden="false" customHeight="false" outlineLevel="0" collapsed="false">
      <c r="A2659" s="203" t="s">
        <v>5128</v>
      </c>
    </row>
    <row r="2660" customFormat="false" ht="12" hidden="false" customHeight="false" outlineLevel="0" collapsed="false">
      <c r="A2660" s="203" t="s">
        <v>5129</v>
      </c>
    </row>
    <row r="2661" customFormat="false" ht="12" hidden="false" customHeight="false" outlineLevel="0" collapsed="false">
      <c r="A2661" s="203" t="s">
        <v>5130</v>
      </c>
    </row>
    <row r="2662" customFormat="false" ht="12" hidden="false" customHeight="false" outlineLevel="0" collapsed="false">
      <c r="A2662" s="203" t="s">
        <v>5131</v>
      </c>
    </row>
    <row r="2663" customFormat="false" ht="12" hidden="false" customHeight="false" outlineLevel="0" collapsed="false">
      <c r="A2663" s="203" t="s">
        <v>5132</v>
      </c>
    </row>
    <row r="2664" customFormat="false" ht="12" hidden="false" customHeight="false" outlineLevel="0" collapsed="false">
      <c r="A2664" s="203" t="s">
        <v>5133</v>
      </c>
    </row>
    <row r="2665" customFormat="false" ht="12" hidden="false" customHeight="false" outlineLevel="0" collapsed="false">
      <c r="A2665" s="203" t="s">
        <v>5134</v>
      </c>
    </row>
    <row r="2666" customFormat="false" ht="12" hidden="false" customHeight="false" outlineLevel="0" collapsed="false">
      <c r="A2666" s="203" t="s">
        <v>5135</v>
      </c>
    </row>
    <row r="2667" customFormat="false" ht="12" hidden="false" customHeight="false" outlineLevel="0" collapsed="false">
      <c r="A2667" s="203" t="s">
        <v>5136</v>
      </c>
    </row>
    <row r="2668" customFormat="false" ht="12" hidden="false" customHeight="false" outlineLevel="0" collapsed="false">
      <c r="A2668" s="203" t="s">
        <v>5137</v>
      </c>
    </row>
    <row r="2669" customFormat="false" ht="12" hidden="false" customHeight="false" outlineLevel="0" collapsed="false">
      <c r="A2669" s="203" t="s">
        <v>5138</v>
      </c>
    </row>
    <row r="2670" customFormat="false" ht="12" hidden="false" customHeight="false" outlineLevel="0" collapsed="false">
      <c r="A2670" s="203" t="s">
        <v>5139</v>
      </c>
    </row>
    <row r="2671" customFormat="false" ht="12" hidden="false" customHeight="false" outlineLevel="0" collapsed="false">
      <c r="A2671" s="203" t="s">
        <v>5140</v>
      </c>
    </row>
    <row r="2672" customFormat="false" ht="12" hidden="false" customHeight="false" outlineLevel="0" collapsed="false">
      <c r="A2672" s="203" t="s">
        <v>5141</v>
      </c>
    </row>
    <row r="2673" customFormat="false" ht="12" hidden="false" customHeight="false" outlineLevel="0" collapsed="false">
      <c r="A2673" s="203" t="s">
        <v>5142</v>
      </c>
    </row>
    <row r="2674" customFormat="false" ht="12" hidden="false" customHeight="false" outlineLevel="0" collapsed="false">
      <c r="A2674" s="203" t="s">
        <v>5143</v>
      </c>
    </row>
    <row r="2675" customFormat="false" ht="12" hidden="false" customHeight="false" outlineLevel="0" collapsed="false">
      <c r="A2675" s="203" t="s">
        <v>5144</v>
      </c>
    </row>
    <row r="2676" customFormat="false" ht="12" hidden="false" customHeight="false" outlineLevel="0" collapsed="false">
      <c r="A2676" s="203" t="s">
        <v>5145</v>
      </c>
    </row>
    <row r="2677" customFormat="false" ht="12" hidden="false" customHeight="false" outlineLevel="0" collapsed="false">
      <c r="A2677" s="203" t="s">
        <v>5146</v>
      </c>
    </row>
    <row r="2678" customFormat="false" ht="12" hidden="false" customHeight="false" outlineLevel="0" collapsed="false">
      <c r="A2678" s="203" t="s">
        <v>5147</v>
      </c>
    </row>
    <row r="2679" customFormat="false" ht="12" hidden="false" customHeight="false" outlineLevel="0" collapsed="false">
      <c r="A2679" s="203" t="s">
        <v>5148</v>
      </c>
    </row>
    <row r="2680" customFormat="false" ht="12" hidden="false" customHeight="false" outlineLevel="0" collapsed="false">
      <c r="A2680" s="203" t="s">
        <v>5149</v>
      </c>
    </row>
    <row r="2681" customFormat="false" ht="12" hidden="false" customHeight="false" outlineLevel="0" collapsed="false">
      <c r="A2681" s="203" t="s">
        <v>5150</v>
      </c>
    </row>
    <row r="2682" customFormat="false" ht="12" hidden="false" customHeight="false" outlineLevel="0" collapsed="false">
      <c r="A2682" s="203" t="s">
        <v>5151</v>
      </c>
    </row>
    <row r="2683" customFormat="false" ht="12" hidden="false" customHeight="false" outlineLevel="0" collapsed="false">
      <c r="A2683" s="203" t="s">
        <v>5152</v>
      </c>
    </row>
    <row r="2684" customFormat="false" ht="12" hidden="false" customHeight="false" outlineLevel="0" collapsed="false">
      <c r="A2684" s="203" t="s">
        <v>5153</v>
      </c>
    </row>
    <row r="2685" customFormat="false" ht="12" hidden="false" customHeight="false" outlineLevel="0" collapsed="false">
      <c r="A2685" s="203" t="s">
        <v>5154</v>
      </c>
    </row>
    <row r="2686" customFormat="false" ht="12" hidden="false" customHeight="false" outlineLevel="0" collapsed="false">
      <c r="A2686" s="203" t="s">
        <v>5155</v>
      </c>
    </row>
    <row r="2687" customFormat="false" ht="12" hidden="false" customHeight="false" outlineLevel="0" collapsed="false">
      <c r="A2687" s="203" t="s">
        <v>5156</v>
      </c>
    </row>
    <row r="2688" customFormat="false" ht="12" hidden="false" customHeight="false" outlineLevel="0" collapsed="false">
      <c r="A2688" s="203" t="s">
        <v>5157</v>
      </c>
    </row>
    <row r="2689" customFormat="false" ht="12" hidden="false" customHeight="false" outlineLevel="0" collapsed="false">
      <c r="A2689" s="203" t="s">
        <v>5158</v>
      </c>
    </row>
    <row r="2690" customFormat="false" ht="12" hidden="false" customHeight="false" outlineLevel="0" collapsed="false">
      <c r="A2690" s="203" t="s">
        <v>5159</v>
      </c>
    </row>
    <row r="2691" customFormat="false" ht="12" hidden="false" customHeight="false" outlineLevel="0" collapsed="false">
      <c r="A2691" s="203" t="s">
        <v>5160</v>
      </c>
    </row>
    <row r="2692" customFormat="false" ht="12" hidden="false" customHeight="false" outlineLevel="0" collapsed="false">
      <c r="A2692" s="203" t="s">
        <v>5161</v>
      </c>
    </row>
    <row r="2693" customFormat="false" ht="12" hidden="false" customHeight="false" outlineLevel="0" collapsed="false">
      <c r="A2693" s="203" t="s">
        <v>5162</v>
      </c>
    </row>
    <row r="2694" customFormat="false" ht="12" hidden="false" customHeight="false" outlineLevel="0" collapsed="false">
      <c r="A2694" s="203" t="s">
        <v>5163</v>
      </c>
    </row>
    <row r="2695" customFormat="false" ht="12" hidden="false" customHeight="false" outlineLevel="0" collapsed="false">
      <c r="A2695" s="203" t="s">
        <v>5164</v>
      </c>
    </row>
    <row r="2696" customFormat="false" ht="12" hidden="false" customHeight="false" outlineLevel="0" collapsed="false">
      <c r="A2696" s="203" t="s">
        <v>5165</v>
      </c>
    </row>
    <row r="2697" customFormat="false" ht="12" hidden="false" customHeight="false" outlineLevel="0" collapsed="false">
      <c r="A2697" s="203" t="s">
        <v>5166</v>
      </c>
    </row>
    <row r="2698" customFormat="false" ht="12" hidden="false" customHeight="false" outlineLevel="0" collapsed="false">
      <c r="A2698" s="203" t="s">
        <v>5167</v>
      </c>
    </row>
    <row r="2699" customFormat="false" ht="12" hidden="false" customHeight="false" outlineLevel="0" collapsed="false">
      <c r="A2699" s="203" t="s">
        <v>5168</v>
      </c>
    </row>
    <row r="2700" customFormat="false" ht="12" hidden="false" customHeight="false" outlineLevel="0" collapsed="false">
      <c r="A2700" s="203" t="s">
        <v>5169</v>
      </c>
    </row>
    <row r="2701" customFormat="false" ht="12" hidden="false" customHeight="false" outlineLevel="0" collapsed="false">
      <c r="A2701" s="203" t="s">
        <v>5170</v>
      </c>
    </row>
    <row r="2702" customFormat="false" ht="12" hidden="false" customHeight="false" outlineLevel="0" collapsed="false">
      <c r="A2702" s="203" t="s">
        <v>5171</v>
      </c>
    </row>
    <row r="2703" customFormat="false" ht="12" hidden="false" customHeight="false" outlineLevel="0" collapsed="false">
      <c r="A2703" s="203" t="s">
        <v>5172</v>
      </c>
    </row>
    <row r="2704" customFormat="false" ht="12" hidden="false" customHeight="false" outlineLevel="0" collapsed="false">
      <c r="A2704" s="203" t="s">
        <v>5173</v>
      </c>
    </row>
    <row r="2705" customFormat="false" ht="12" hidden="false" customHeight="false" outlineLevel="0" collapsed="false">
      <c r="A2705" s="203" t="s">
        <v>5174</v>
      </c>
    </row>
    <row r="2706" customFormat="false" ht="12" hidden="false" customHeight="false" outlineLevel="0" collapsed="false">
      <c r="A2706" s="203" t="s">
        <v>5175</v>
      </c>
    </row>
    <row r="2707" customFormat="false" ht="12" hidden="false" customHeight="false" outlineLevel="0" collapsed="false">
      <c r="A2707" s="203" t="s">
        <v>5176</v>
      </c>
    </row>
    <row r="2708" customFormat="false" ht="12" hidden="false" customHeight="false" outlineLevel="0" collapsed="false">
      <c r="A2708" s="203" t="s">
        <v>5177</v>
      </c>
    </row>
    <row r="2709" customFormat="false" ht="12" hidden="false" customHeight="false" outlineLevel="0" collapsed="false">
      <c r="A2709" s="203" t="s">
        <v>5178</v>
      </c>
    </row>
    <row r="2710" customFormat="false" ht="12" hidden="false" customHeight="false" outlineLevel="0" collapsed="false">
      <c r="A2710" s="203" t="s">
        <v>5179</v>
      </c>
    </row>
    <row r="2711" customFormat="false" ht="12" hidden="false" customHeight="false" outlineLevel="0" collapsed="false">
      <c r="A2711" s="203" t="s">
        <v>5180</v>
      </c>
    </row>
    <row r="2712" customFormat="false" ht="12" hidden="false" customHeight="false" outlineLevel="0" collapsed="false">
      <c r="A2712" s="203" t="s">
        <v>5181</v>
      </c>
    </row>
    <row r="2713" customFormat="false" ht="12" hidden="false" customHeight="false" outlineLevel="0" collapsed="false">
      <c r="A2713" s="203" t="s">
        <v>5182</v>
      </c>
    </row>
    <row r="2714" customFormat="false" ht="12" hidden="false" customHeight="false" outlineLevel="0" collapsed="false">
      <c r="A2714" s="203" t="s">
        <v>5183</v>
      </c>
    </row>
    <row r="2715" customFormat="false" ht="12" hidden="false" customHeight="false" outlineLevel="0" collapsed="false">
      <c r="A2715" s="203" t="s">
        <v>5184</v>
      </c>
    </row>
    <row r="2716" customFormat="false" ht="12" hidden="false" customHeight="false" outlineLevel="0" collapsed="false">
      <c r="A2716" s="203" t="s">
        <v>5185</v>
      </c>
    </row>
    <row r="2717" customFormat="false" ht="12" hidden="false" customHeight="false" outlineLevel="0" collapsed="false">
      <c r="A2717" s="203" t="s">
        <v>5186</v>
      </c>
    </row>
    <row r="2718" customFormat="false" ht="12" hidden="false" customHeight="false" outlineLevel="0" collapsed="false">
      <c r="A2718" s="203" t="s">
        <v>5187</v>
      </c>
    </row>
    <row r="2719" customFormat="false" ht="12" hidden="false" customHeight="false" outlineLevel="0" collapsed="false">
      <c r="A2719" s="203" t="s">
        <v>5188</v>
      </c>
    </row>
    <row r="2720" customFormat="false" ht="12" hidden="false" customHeight="false" outlineLevel="0" collapsed="false">
      <c r="A2720" s="203" t="s">
        <v>5189</v>
      </c>
    </row>
    <row r="2721" customFormat="false" ht="12" hidden="false" customHeight="false" outlineLevel="0" collapsed="false">
      <c r="A2721" s="203" t="s">
        <v>5190</v>
      </c>
    </row>
    <row r="2722" customFormat="false" ht="12" hidden="false" customHeight="false" outlineLevel="0" collapsed="false">
      <c r="A2722" s="203" t="s">
        <v>5191</v>
      </c>
    </row>
    <row r="2723" customFormat="false" ht="12" hidden="false" customHeight="false" outlineLevel="0" collapsed="false">
      <c r="A2723" s="203" t="s">
        <v>5192</v>
      </c>
    </row>
    <row r="2724" customFormat="false" ht="12" hidden="false" customHeight="false" outlineLevel="0" collapsed="false">
      <c r="A2724" s="203" t="s">
        <v>5193</v>
      </c>
    </row>
    <row r="2725" customFormat="false" ht="12" hidden="false" customHeight="false" outlineLevel="0" collapsed="false">
      <c r="A2725" s="203" t="s">
        <v>5194</v>
      </c>
    </row>
    <row r="2726" customFormat="false" ht="12" hidden="false" customHeight="false" outlineLevel="0" collapsed="false">
      <c r="A2726" s="203" t="s">
        <v>5195</v>
      </c>
    </row>
    <row r="2727" customFormat="false" ht="12" hidden="false" customHeight="false" outlineLevel="0" collapsed="false">
      <c r="A2727" s="203" t="s">
        <v>5196</v>
      </c>
    </row>
    <row r="2728" customFormat="false" ht="12" hidden="false" customHeight="false" outlineLevel="0" collapsed="false">
      <c r="A2728" s="203" t="s">
        <v>5197</v>
      </c>
    </row>
    <row r="2729" customFormat="false" ht="12" hidden="false" customHeight="false" outlineLevel="0" collapsed="false">
      <c r="A2729" s="203" t="s">
        <v>5198</v>
      </c>
    </row>
    <row r="2730" customFormat="false" ht="12" hidden="false" customHeight="false" outlineLevel="0" collapsed="false">
      <c r="A2730" s="203" t="s">
        <v>5199</v>
      </c>
    </row>
    <row r="2731" customFormat="false" ht="12" hidden="false" customHeight="false" outlineLevel="0" collapsed="false">
      <c r="A2731" s="203" t="s">
        <v>5200</v>
      </c>
    </row>
    <row r="2732" customFormat="false" ht="12" hidden="false" customHeight="false" outlineLevel="0" collapsed="false">
      <c r="A2732" s="203" t="s">
        <v>5201</v>
      </c>
    </row>
    <row r="2733" customFormat="false" ht="12" hidden="false" customHeight="false" outlineLevel="0" collapsed="false">
      <c r="A2733" s="203" t="s">
        <v>5202</v>
      </c>
    </row>
    <row r="2734" customFormat="false" ht="12" hidden="false" customHeight="false" outlineLevel="0" collapsed="false">
      <c r="A2734" s="203" t="s">
        <v>5203</v>
      </c>
    </row>
    <row r="2735" customFormat="false" ht="12" hidden="false" customHeight="false" outlineLevel="0" collapsed="false">
      <c r="A2735" s="203" t="s">
        <v>5204</v>
      </c>
    </row>
    <row r="2736" customFormat="false" ht="12" hidden="false" customHeight="false" outlineLevel="0" collapsed="false">
      <c r="A2736" s="203" t="s">
        <v>5205</v>
      </c>
    </row>
    <row r="2737" customFormat="false" ht="12" hidden="false" customHeight="false" outlineLevel="0" collapsed="false">
      <c r="A2737" s="203" t="s">
        <v>5206</v>
      </c>
    </row>
    <row r="2738" customFormat="false" ht="12" hidden="false" customHeight="false" outlineLevel="0" collapsed="false">
      <c r="A2738" s="203" t="s">
        <v>5207</v>
      </c>
    </row>
    <row r="2739" customFormat="false" ht="12" hidden="false" customHeight="false" outlineLevel="0" collapsed="false">
      <c r="A2739" s="203" t="s">
        <v>5208</v>
      </c>
    </row>
    <row r="2740" customFormat="false" ht="12" hidden="false" customHeight="false" outlineLevel="0" collapsed="false">
      <c r="A2740" s="203" t="s">
        <v>5209</v>
      </c>
    </row>
    <row r="2741" customFormat="false" ht="12" hidden="false" customHeight="false" outlineLevel="0" collapsed="false">
      <c r="A2741" s="203" t="s">
        <v>5210</v>
      </c>
    </row>
    <row r="2742" customFormat="false" ht="12" hidden="false" customHeight="false" outlineLevel="0" collapsed="false">
      <c r="A2742" s="203" t="s">
        <v>5211</v>
      </c>
    </row>
    <row r="2743" customFormat="false" ht="12" hidden="false" customHeight="false" outlineLevel="0" collapsed="false">
      <c r="A2743" s="203" t="s">
        <v>5212</v>
      </c>
    </row>
    <row r="2744" customFormat="false" ht="12" hidden="false" customHeight="false" outlineLevel="0" collapsed="false">
      <c r="A2744" s="203" t="s">
        <v>5213</v>
      </c>
    </row>
    <row r="2745" customFormat="false" ht="12" hidden="false" customHeight="false" outlineLevel="0" collapsed="false">
      <c r="A2745" s="203" t="s">
        <v>5214</v>
      </c>
    </row>
    <row r="2746" customFormat="false" ht="12" hidden="false" customHeight="false" outlineLevel="0" collapsed="false">
      <c r="A2746" s="203" t="s">
        <v>5215</v>
      </c>
    </row>
    <row r="2747" customFormat="false" ht="12" hidden="false" customHeight="false" outlineLevel="0" collapsed="false">
      <c r="A2747" s="203" t="s">
        <v>5216</v>
      </c>
    </row>
    <row r="2748" customFormat="false" ht="12" hidden="false" customHeight="false" outlineLevel="0" collapsed="false">
      <c r="A2748" s="203" t="s">
        <v>5217</v>
      </c>
    </row>
    <row r="2749" customFormat="false" ht="12" hidden="false" customHeight="false" outlineLevel="0" collapsed="false">
      <c r="A2749" s="203" t="s">
        <v>5218</v>
      </c>
    </row>
    <row r="2750" customFormat="false" ht="12" hidden="false" customHeight="false" outlineLevel="0" collapsed="false">
      <c r="A2750" s="203" t="s">
        <v>5219</v>
      </c>
    </row>
    <row r="2751" customFormat="false" ht="12" hidden="false" customHeight="false" outlineLevel="0" collapsed="false">
      <c r="A2751" s="203" t="s">
        <v>5220</v>
      </c>
    </row>
    <row r="2752" customFormat="false" ht="12" hidden="false" customHeight="false" outlineLevel="0" collapsed="false">
      <c r="A2752" s="203" t="s">
        <v>5221</v>
      </c>
    </row>
    <row r="2753" customFormat="false" ht="12" hidden="false" customHeight="false" outlineLevel="0" collapsed="false">
      <c r="A2753" s="203" t="s">
        <v>5222</v>
      </c>
    </row>
    <row r="2754" customFormat="false" ht="12" hidden="false" customHeight="false" outlineLevel="0" collapsed="false">
      <c r="A2754" s="203" t="s">
        <v>5223</v>
      </c>
    </row>
    <row r="2755" customFormat="false" ht="12" hidden="false" customHeight="false" outlineLevel="0" collapsed="false">
      <c r="A2755" s="203" t="s">
        <v>5224</v>
      </c>
    </row>
    <row r="2756" customFormat="false" ht="12" hidden="false" customHeight="false" outlineLevel="0" collapsed="false">
      <c r="A2756" s="203" t="s">
        <v>5225</v>
      </c>
    </row>
    <row r="2757" customFormat="false" ht="12" hidden="false" customHeight="false" outlineLevel="0" collapsed="false">
      <c r="A2757" s="203" t="s">
        <v>5226</v>
      </c>
    </row>
    <row r="2758" customFormat="false" ht="12" hidden="false" customHeight="false" outlineLevel="0" collapsed="false">
      <c r="A2758" s="203" t="s">
        <v>5227</v>
      </c>
    </row>
    <row r="2759" customFormat="false" ht="12" hidden="false" customHeight="false" outlineLevel="0" collapsed="false">
      <c r="A2759" s="203" t="s">
        <v>5228</v>
      </c>
    </row>
    <row r="2760" customFormat="false" ht="12" hidden="false" customHeight="false" outlineLevel="0" collapsed="false">
      <c r="A2760" s="203" t="s">
        <v>5229</v>
      </c>
    </row>
    <row r="2761" customFormat="false" ht="12" hidden="false" customHeight="false" outlineLevel="0" collapsed="false">
      <c r="A2761" s="203" t="s">
        <v>5230</v>
      </c>
    </row>
    <row r="2762" customFormat="false" ht="12" hidden="false" customHeight="false" outlineLevel="0" collapsed="false">
      <c r="A2762" s="203" t="s">
        <v>5231</v>
      </c>
    </row>
    <row r="2763" customFormat="false" ht="12" hidden="false" customHeight="false" outlineLevel="0" collapsed="false">
      <c r="A2763" s="203" t="s">
        <v>5232</v>
      </c>
    </row>
    <row r="2764" customFormat="false" ht="12" hidden="false" customHeight="false" outlineLevel="0" collapsed="false">
      <c r="A2764" s="203" t="s">
        <v>5233</v>
      </c>
    </row>
    <row r="2765" customFormat="false" ht="12" hidden="false" customHeight="false" outlineLevel="0" collapsed="false">
      <c r="A2765" s="203" t="s">
        <v>5234</v>
      </c>
    </row>
    <row r="2766" customFormat="false" ht="12" hidden="false" customHeight="false" outlineLevel="0" collapsed="false">
      <c r="A2766" s="203" t="s">
        <v>5235</v>
      </c>
    </row>
    <row r="2767" customFormat="false" ht="12" hidden="false" customHeight="false" outlineLevel="0" collapsed="false">
      <c r="A2767" s="203" t="s">
        <v>5236</v>
      </c>
    </row>
    <row r="2768" customFormat="false" ht="12" hidden="false" customHeight="false" outlineLevel="0" collapsed="false">
      <c r="A2768" s="203" t="s">
        <v>5237</v>
      </c>
    </row>
    <row r="2769" customFormat="false" ht="12" hidden="false" customHeight="false" outlineLevel="0" collapsed="false">
      <c r="A2769" s="203" t="s">
        <v>5238</v>
      </c>
    </row>
    <row r="2770" customFormat="false" ht="12" hidden="false" customHeight="false" outlineLevel="0" collapsed="false">
      <c r="A2770" s="203" t="s">
        <v>5239</v>
      </c>
    </row>
    <row r="2771" customFormat="false" ht="12" hidden="false" customHeight="false" outlineLevel="0" collapsed="false">
      <c r="A2771" s="203" t="s">
        <v>5240</v>
      </c>
    </row>
    <row r="2772" customFormat="false" ht="12" hidden="false" customHeight="false" outlineLevel="0" collapsed="false">
      <c r="A2772" s="203" t="s">
        <v>5241</v>
      </c>
    </row>
    <row r="2773" customFormat="false" ht="12" hidden="false" customHeight="false" outlineLevel="0" collapsed="false">
      <c r="A2773" s="203" t="s">
        <v>5242</v>
      </c>
    </row>
    <row r="2774" customFormat="false" ht="12" hidden="false" customHeight="false" outlineLevel="0" collapsed="false">
      <c r="A2774" s="203" t="s">
        <v>5243</v>
      </c>
    </row>
    <row r="2775" customFormat="false" ht="12" hidden="false" customHeight="false" outlineLevel="0" collapsed="false">
      <c r="A2775" s="203" t="s">
        <v>5244</v>
      </c>
    </row>
    <row r="2776" customFormat="false" ht="12" hidden="false" customHeight="false" outlineLevel="0" collapsed="false">
      <c r="A2776" s="203" t="s">
        <v>5245</v>
      </c>
    </row>
    <row r="2777" customFormat="false" ht="12" hidden="false" customHeight="false" outlineLevel="0" collapsed="false">
      <c r="A2777" s="203" t="s">
        <v>5246</v>
      </c>
    </row>
    <row r="2778" customFormat="false" ht="12" hidden="false" customHeight="false" outlineLevel="0" collapsed="false">
      <c r="A2778" s="203" t="s">
        <v>5247</v>
      </c>
    </row>
    <row r="2779" customFormat="false" ht="12" hidden="false" customHeight="false" outlineLevel="0" collapsed="false">
      <c r="A2779" s="203" t="s">
        <v>5248</v>
      </c>
    </row>
    <row r="2780" customFormat="false" ht="12" hidden="false" customHeight="false" outlineLevel="0" collapsed="false">
      <c r="A2780" s="203" t="s">
        <v>5249</v>
      </c>
    </row>
    <row r="2781" customFormat="false" ht="12" hidden="false" customHeight="false" outlineLevel="0" collapsed="false">
      <c r="A2781" s="203" t="s">
        <v>5250</v>
      </c>
    </row>
    <row r="2782" customFormat="false" ht="12" hidden="false" customHeight="false" outlineLevel="0" collapsed="false">
      <c r="A2782" s="203" t="s">
        <v>5251</v>
      </c>
    </row>
    <row r="2783" customFormat="false" ht="12" hidden="false" customHeight="false" outlineLevel="0" collapsed="false">
      <c r="A2783" s="203" t="s">
        <v>5252</v>
      </c>
    </row>
    <row r="2784" customFormat="false" ht="12" hidden="false" customHeight="false" outlineLevel="0" collapsed="false">
      <c r="A2784" s="203" t="s">
        <v>5253</v>
      </c>
    </row>
    <row r="2785" customFormat="false" ht="12" hidden="false" customHeight="false" outlineLevel="0" collapsed="false">
      <c r="A2785" s="203" t="s">
        <v>5254</v>
      </c>
    </row>
    <row r="2786" customFormat="false" ht="12" hidden="false" customHeight="false" outlineLevel="0" collapsed="false">
      <c r="A2786" s="203" t="s">
        <v>5255</v>
      </c>
    </row>
    <row r="2787" customFormat="false" ht="12" hidden="false" customHeight="false" outlineLevel="0" collapsed="false">
      <c r="A2787" s="203" t="s">
        <v>5256</v>
      </c>
    </row>
    <row r="2788" customFormat="false" ht="12" hidden="false" customHeight="false" outlineLevel="0" collapsed="false">
      <c r="A2788" s="203" t="s">
        <v>5257</v>
      </c>
    </row>
    <row r="2789" customFormat="false" ht="12" hidden="false" customHeight="false" outlineLevel="0" collapsed="false">
      <c r="A2789" s="203" t="s">
        <v>5258</v>
      </c>
    </row>
    <row r="2790" customFormat="false" ht="12" hidden="false" customHeight="false" outlineLevel="0" collapsed="false">
      <c r="A2790" s="203" t="s">
        <v>5259</v>
      </c>
    </row>
    <row r="2791" customFormat="false" ht="12" hidden="false" customHeight="false" outlineLevel="0" collapsed="false">
      <c r="A2791" s="203" t="s">
        <v>5260</v>
      </c>
    </row>
    <row r="2792" customFormat="false" ht="12" hidden="false" customHeight="false" outlineLevel="0" collapsed="false">
      <c r="A2792" s="203" t="s">
        <v>5261</v>
      </c>
    </row>
    <row r="2793" customFormat="false" ht="12" hidden="false" customHeight="false" outlineLevel="0" collapsed="false">
      <c r="A2793" s="203" t="s">
        <v>5262</v>
      </c>
    </row>
    <row r="2794" customFormat="false" ht="12" hidden="false" customHeight="false" outlineLevel="0" collapsed="false">
      <c r="A2794" s="203" t="s">
        <v>5263</v>
      </c>
    </row>
    <row r="2795" customFormat="false" ht="12" hidden="false" customHeight="false" outlineLevel="0" collapsed="false">
      <c r="A2795" s="203" t="s">
        <v>5264</v>
      </c>
    </row>
    <row r="2796" customFormat="false" ht="12" hidden="false" customHeight="false" outlineLevel="0" collapsed="false">
      <c r="A2796" s="203" t="s">
        <v>5265</v>
      </c>
    </row>
    <row r="2797" customFormat="false" ht="12" hidden="false" customHeight="false" outlineLevel="0" collapsed="false">
      <c r="A2797" s="203" t="s">
        <v>5266</v>
      </c>
    </row>
    <row r="2798" customFormat="false" ht="12" hidden="false" customHeight="false" outlineLevel="0" collapsed="false">
      <c r="A2798" s="203" t="s">
        <v>5267</v>
      </c>
    </row>
    <row r="2799" customFormat="false" ht="12" hidden="false" customHeight="false" outlineLevel="0" collapsed="false">
      <c r="A2799" s="203" t="s">
        <v>5268</v>
      </c>
    </row>
    <row r="2800" customFormat="false" ht="12" hidden="false" customHeight="false" outlineLevel="0" collapsed="false">
      <c r="A2800" s="203" t="s">
        <v>5269</v>
      </c>
    </row>
    <row r="2801" customFormat="false" ht="12" hidden="false" customHeight="false" outlineLevel="0" collapsed="false">
      <c r="A2801" s="203" t="s">
        <v>5270</v>
      </c>
    </row>
    <row r="2802" customFormat="false" ht="12" hidden="false" customHeight="false" outlineLevel="0" collapsed="false">
      <c r="A2802" s="203" t="s">
        <v>5271</v>
      </c>
    </row>
    <row r="2803" customFormat="false" ht="12" hidden="false" customHeight="false" outlineLevel="0" collapsed="false">
      <c r="A2803" s="203" t="s">
        <v>5272</v>
      </c>
    </row>
    <row r="2804" customFormat="false" ht="12" hidden="false" customHeight="false" outlineLevel="0" collapsed="false">
      <c r="A2804" s="203" t="s">
        <v>5273</v>
      </c>
    </row>
    <row r="2805" customFormat="false" ht="12" hidden="false" customHeight="false" outlineLevel="0" collapsed="false">
      <c r="A2805" s="203" t="s">
        <v>5274</v>
      </c>
    </row>
    <row r="2806" customFormat="false" ht="12" hidden="false" customHeight="false" outlineLevel="0" collapsed="false">
      <c r="A2806" s="203" t="s">
        <v>5275</v>
      </c>
    </row>
    <row r="2807" customFormat="false" ht="12" hidden="false" customHeight="false" outlineLevel="0" collapsed="false">
      <c r="A2807" s="203" t="s">
        <v>5276</v>
      </c>
    </row>
    <row r="2808" customFormat="false" ht="12" hidden="false" customHeight="false" outlineLevel="0" collapsed="false">
      <c r="A2808" s="203" t="s">
        <v>5277</v>
      </c>
    </row>
    <row r="2809" customFormat="false" ht="12" hidden="false" customHeight="false" outlineLevel="0" collapsed="false">
      <c r="A2809" s="203" t="s">
        <v>5278</v>
      </c>
    </row>
    <row r="2810" customFormat="false" ht="12" hidden="false" customHeight="false" outlineLevel="0" collapsed="false">
      <c r="A2810" s="203" t="s">
        <v>5279</v>
      </c>
    </row>
    <row r="2811" customFormat="false" ht="12" hidden="false" customHeight="false" outlineLevel="0" collapsed="false">
      <c r="A2811" s="203" t="s">
        <v>5280</v>
      </c>
    </row>
    <row r="2812" customFormat="false" ht="12" hidden="false" customHeight="false" outlineLevel="0" collapsed="false">
      <c r="A2812" s="203" t="s">
        <v>5281</v>
      </c>
    </row>
    <row r="2813" customFormat="false" ht="12" hidden="false" customHeight="false" outlineLevel="0" collapsed="false">
      <c r="A2813" s="203" t="s">
        <v>5282</v>
      </c>
    </row>
    <row r="2814" customFormat="false" ht="12" hidden="false" customHeight="false" outlineLevel="0" collapsed="false">
      <c r="A2814" s="203" t="s">
        <v>5283</v>
      </c>
    </row>
    <row r="2815" customFormat="false" ht="12" hidden="false" customHeight="false" outlineLevel="0" collapsed="false">
      <c r="A2815" s="203" t="s">
        <v>5284</v>
      </c>
    </row>
    <row r="2816" customFormat="false" ht="12" hidden="false" customHeight="false" outlineLevel="0" collapsed="false">
      <c r="A2816" s="203" t="s">
        <v>5285</v>
      </c>
    </row>
    <row r="2817" customFormat="false" ht="12" hidden="false" customHeight="false" outlineLevel="0" collapsed="false">
      <c r="A2817" s="203" t="s">
        <v>5286</v>
      </c>
    </row>
    <row r="2818" customFormat="false" ht="12" hidden="false" customHeight="false" outlineLevel="0" collapsed="false">
      <c r="A2818" s="203" t="s">
        <v>5287</v>
      </c>
    </row>
    <row r="2819" customFormat="false" ht="12" hidden="false" customHeight="false" outlineLevel="0" collapsed="false">
      <c r="A2819" s="203" t="s">
        <v>5288</v>
      </c>
    </row>
    <row r="2820" customFormat="false" ht="12" hidden="false" customHeight="false" outlineLevel="0" collapsed="false">
      <c r="A2820" s="203" t="s">
        <v>5289</v>
      </c>
    </row>
    <row r="2821" customFormat="false" ht="12" hidden="false" customHeight="false" outlineLevel="0" collapsed="false">
      <c r="A2821" s="203" t="s">
        <v>5290</v>
      </c>
    </row>
    <row r="2822" customFormat="false" ht="12" hidden="false" customHeight="false" outlineLevel="0" collapsed="false">
      <c r="A2822" s="203" t="s">
        <v>5291</v>
      </c>
    </row>
    <row r="2823" customFormat="false" ht="12" hidden="false" customHeight="false" outlineLevel="0" collapsed="false">
      <c r="A2823" s="203" t="s">
        <v>5292</v>
      </c>
    </row>
    <row r="2824" customFormat="false" ht="12" hidden="false" customHeight="false" outlineLevel="0" collapsed="false">
      <c r="A2824" s="203" t="s">
        <v>5293</v>
      </c>
    </row>
    <row r="2825" customFormat="false" ht="12" hidden="false" customHeight="false" outlineLevel="0" collapsed="false">
      <c r="A2825" s="203" t="s">
        <v>5294</v>
      </c>
    </row>
    <row r="2826" customFormat="false" ht="12" hidden="false" customHeight="false" outlineLevel="0" collapsed="false">
      <c r="A2826" s="203" t="s">
        <v>5295</v>
      </c>
    </row>
    <row r="2827" customFormat="false" ht="12" hidden="false" customHeight="false" outlineLevel="0" collapsed="false">
      <c r="A2827" s="203" t="s">
        <v>5296</v>
      </c>
    </row>
    <row r="2828" customFormat="false" ht="12" hidden="false" customHeight="false" outlineLevel="0" collapsed="false">
      <c r="A2828" s="203" t="s">
        <v>5297</v>
      </c>
    </row>
    <row r="2829" customFormat="false" ht="12" hidden="false" customHeight="false" outlineLevel="0" collapsed="false">
      <c r="A2829" s="203" t="s">
        <v>5298</v>
      </c>
    </row>
    <row r="2830" customFormat="false" ht="12" hidden="false" customHeight="false" outlineLevel="0" collapsed="false">
      <c r="A2830" s="203" t="s">
        <v>5299</v>
      </c>
    </row>
    <row r="2831" customFormat="false" ht="12" hidden="false" customHeight="false" outlineLevel="0" collapsed="false">
      <c r="A2831" s="203" t="s">
        <v>5300</v>
      </c>
    </row>
    <row r="2832" customFormat="false" ht="12" hidden="false" customHeight="false" outlineLevel="0" collapsed="false">
      <c r="A2832" s="203" t="s">
        <v>5301</v>
      </c>
    </row>
    <row r="2833" customFormat="false" ht="12" hidden="false" customHeight="false" outlineLevel="0" collapsed="false">
      <c r="A2833" s="203" t="s">
        <v>5302</v>
      </c>
    </row>
    <row r="2834" customFormat="false" ht="12" hidden="false" customHeight="false" outlineLevel="0" collapsed="false">
      <c r="A2834" s="203" t="s">
        <v>5303</v>
      </c>
    </row>
    <row r="2835" customFormat="false" ht="12" hidden="false" customHeight="false" outlineLevel="0" collapsed="false">
      <c r="A2835" s="203" t="s">
        <v>5304</v>
      </c>
    </row>
    <row r="2836" customFormat="false" ht="12" hidden="false" customHeight="false" outlineLevel="0" collapsed="false">
      <c r="A2836" s="203" t="s">
        <v>5305</v>
      </c>
    </row>
    <row r="2837" customFormat="false" ht="12" hidden="false" customHeight="false" outlineLevel="0" collapsed="false">
      <c r="A2837" s="203" t="s">
        <v>5306</v>
      </c>
    </row>
    <row r="2838" customFormat="false" ht="12" hidden="false" customHeight="false" outlineLevel="0" collapsed="false">
      <c r="A2838" s="203" t="s">
        <v>5307</v>
      </c>
    </row>
    <row r="2839" customFormat="false" ht="12" hidden="false" customHeight="false" outlineLevel="0" collapsed="false">
      <c r="A2839" s="203" t="s">
        <v>5308</v>
      </c>
    </row>
    <row r="2840" customFormat="false" ht="12" hidden="false" customHeight="false" outlineLevel="0" collapsed="false">
      <c r="A2840" s="203" t="s">
        <v>5309</v>
      </c>
    </row>
    <row r="2841" customFormat="false" ht="12" hidden="false" customHeight="false" outlineLevel="0" collapsed="false">
      <c r="A2841" s="203" t="s">
        <v>5310</v>
      </c>
    </row>
    <row r="2842" customFormat="false" ht="12" hidden="false" customHeight="false" outlineLevel="0" collapsed="false">
      <c r="A2842" s="203" t="s">
        <v>5311</v>
      </c>
    </row>
    <row r="2843" customFormat="false" ht="12" hidden="false" customHeight="false" outlineLevel="0" collapsed="false">
      <c r="A2843" s="203" t="s">
        <v>5312</v>
      </c>
    </row>
    <row r="2844" customFormat="false" ht="12" hidden="false" customHeight="false" outlineLevel="0" collapsed="false">
      <c r="A2844" s="203" t="s">
        <v>5313</v>
      </c>
    </row>
    <row r="2845" customFormat="false" ht="12" hidden="false" customHeight="false" outlineLevel="0" collapsed="false">
      <c r="A2845" s="203" t="s">
        <v>5314</v>
      </c>
    </row>
    <row r="2846" customFormat="false" ht="12" hidden="false" customHeight="false" outlineLevel="0" collapsed="false">
      <c r="A2846" s="203" t="s">
        <v>5315</v>
      </c>
    </row>
    <row r="2847" customFormat="false" ht="12" hidden="false" customHeight="false" outlineLevel="0" collapsed="false">
      <c r="A2847" s="203" t="s">
        <v>5316</v>
      </c>
    </row>
    <row r="2848" customFormat="false" ht="12" hidden="false" customHeight="false" outlineLevel="0" collapsed="false">
      <c r="A2848" s="203" t="s">
        <v>5317</v>
      </c>
    </row>
    <row r="2849" customFormat="false" ht="12" hidden="false" customHeight="false" outlineLevel="0" collapsed="false">
      <c r="A2849" s="203" t="s">
        <v>5318</v>
      </c>
    </row>
    <row r="2850" customFormat="false" ht="12" hidden="false" customHeight="false" outlineLevel="0" collapsed="false">
      <c r="A2850" s="203" t="s">
        <v>5319</v>
      </c>
    </row>
    <row r="2851" customFormat="false" ht="12" hidden="false" customHeight="false" outlineLevel="0" collapsed="false">
      <c r="A2851" s="203" t="s">
        <v>5320</v>
      </c>
    </row>
    <row r="2852" customFormat="false" ht="12" hidden="false" customHeight="false" outlineLevel="0" collapsed="false">
      <c r="A2852" s="203" t="s">
        <v>5321</v>
      </c>
    </row>
    <row r="2853" customFormat="false" ht="12" hidden="false" customHeight="false" outlineLevel="0" collapsed="false">
      <c r="A2853" s="203" t="s">
        <v>5322</v>
      </c>
    </row>
    <row r="2854" customFormat="false" ht="12" hidden="false" customHeight="false" outlineLevel="0" collapsed="false">
      <c r="A2854" s="203" t="s">
        <v>5323</v>
      </c>
    </row>
    <row r="2855" customFormat="false" ht="12" hidden="false" customHeight="false" outlineLevel="0" collapsed="false">
      <c r="A2855" s="203" t="s">
        <v>5324</v>
      </c>
    </row>
    <row r="2856" customFormat="false" ht="12" hidden="false" customHeight="false" outlineLevel="0" collapsed="false">
      <c r="A2856" s="203" t="s">
        <v>5325</v>
      </c>
    </row>
    <row r="2857" customFormat="false" ht="12" hidden="false" customHeight="false" outlineLevel="0" collapsed="false">
      <c r="A2857" s="203" t="s">
        <v>5326</v>
      </c>
    </row>
    <row r="2858" customFormat="false" ht="12" hidden="false" customHeight="false" outlineLevel="0" collapsed="false">
      <c r="A2858" s="203" t="s">
        <v>5327</v>
      </c>
    </row>
    <row r="2859" customFormat="false" ht="12" hidden="false" customHeight="false" outlineLevel="0" collapsed="false">
      <c r="A2859" s="203" t="s">
        <v>5328</v>
      </c>
    </row>
    <row r="2860" customFormat="false" ht="12" hidden="false" customHeight="false" outlineLevel="0" collapsed="false">
      <c r="A2860" s="203" t="s">
        <v>5329</v>
      </c>
    </row>
    <row r="2861" customFormat="false" ht="12" hidden="false" customHeight="false" outlineLevel="0" collapsed="false">
      <c r="A2861" s="203" t="s">
        <v>5330</v>
      </c>
    </row>
    <row r="2862" customFormat="false" ht="12" hidden="false" customHeight="false" outlineLevel="0" collapsed="false">
      <c r="A2862" s="203" t="s">
        <v>5331</v>
      </c>
    </row>
    <row r="2863" customFormat="false" ht="12" hidden="false" customHeight="false" outlineLevel="0" collapsed="false">
      <c r="A2863" s="203" t="s">
        <v>5332</v>
      </c>
    </row>
    <row r="2864" customFormat="false" ht="12" hidden="false" customHeight="false" outlineLevel="0" collapsed="false">
      <c r="A2864" s="203" t="s">
        <v>5333</v>
      </c>
    </row>
    <row r="2865" customFormat="false" ht="12" hidden="false" customHeight="false" outlineLevel="0" collapsed="false">
      <c r="A2865" s="203" t="s">
        <v>5334</v>
      </c>
    </row>
    <row r="2866" customFormat="false" ht="12" hidden="false" customHeight="false" outlineLevel="0" collapsed="false">
      <c r="A2866" s="203" t="s">
        <v>5335</v>
      </c>
    </row>
    <row r="2867" customFormat="false" ht="12" hidden="false" customHeight="false" outlineLevel="0" collapsed="false">
      <c r="A2867" s="203" t="s">
        <v>5336</v>
      </c>
    </row>
    <row r="2868" customFormat="false" ht="12" hidden="false" customHeight="false" outlineLevel="0" collapsed="false">
      <c r="A2868" s="203" t="s">
        <v>5337</v>
      </c>
    </row>
    <row r="2869" customFormat="false" ht="12" hidden="false" customHeight="false" outlineLevel="0" collapsed="false">
      <c r="A2869" s="203" t="s">
        <v>5338</v>
      </c>
    </row>
    <row r="2870" customFormat="false" ht="12" hidden="false" customHeight="false" outlineLevel="0" collapsed="false">
      <c r="A2870" s="203" t="s">
        <v>5339</v>
      </c>
    </row>
    <row r="2871" customFormat="false" ht="12" hidden="false" customHeight="false" outlineLevel="0" collapsed="false">
      <c r="A2871" s="203" t="s">
        <v>5340</v>
      </c>
    </row>
    <row r="2872" customFormat="false" ht="12" hidden="false" customHeight="false" outlineLevel="0" collapsed="false">
      <c r="A2872" s="203" t="s">
        <v>5341</v>
      </c>
    </row>
    <row r="2873" customFormat="false" ht="12" hidden="false" customHeight="false" outlineLevel="0" collapsed="false">
      <c r="A2873" s="203" t="s">
        <v>5342</v>
      </c>
    </row>
    <row r="2874" customFormat="false" ht="12" hidden="false" customHeight="false" outlineLevel="0" collapsed="false">
      <c r="A2874" s="203" t="s">
        <v>5343</v>
      </c>
    </row>
    <row r="2875" customFormat="false" ht="12" hidden="false" customHeight="false" outlineLevel="0" collapsed="false">
      <c r="A2875" s="203" t="s">
        <v>5344</v>
      </c>
    </row>
    <row r="2876" customFormat="false" ht="12" hidden="false" customHeight="false" outlineLevel="0" collapsed="false">
      <c r="A2876" s="203" t="s">
        <v>5345</v>
      </c>
    </row>
    <row r="2877" customFormat="false" ht="12" hidden="false" customHeight="false" outlineLevel="0" collapsed="false">
      <c r="A2877" s="203" t="s">
        <v>5346</v>
      </c>
    </row>
    <row r="2878" customFormat="false" ht="12" hidden="false" customHeight="false" outlineLevel="0" collapsed="false">
      <c r="A2878" s="203" t="s">
        <v>5347</v>
      </c>
    </row>
    <row r="2879" customFormat="false" ht="12" hidden="false" customHeight="false" outlineLevel="0" collapsed="false">
      <c r="A2879" s="203" t="s">
        <v>5348</v>
      </c>
    </row>
    <row r="2880" customFormat="false" ht="12" hidden="false" customHeight="false" outlineLevel="0" collapsed="false">
      <c r="A2880" s="203" t="s">
        <v>5349</v>
      </c>
    </row>
    <row r="2881" customFormat="false" ht="12" hidden="false" customHeight="false" outlineLevel="0" collapsed="false">
      <c r="A2881" s="203" t="s">
        <v>5350</v>
      </c>
    </row>
    <row r="2882" customFormat="false" ht="12" hidden="false" customHeight="false" outlineLevel="0" collapsed="false">
      <c r="A2882" s="203" t="s">
        <v>5351</v>
      </c>
    </row>
    <row r="2883" customFormat="false" ht="12" hidden="false" customHeight="false" outlineLevel="0" collapsed="false">
      <c r="A2883" s="203" t="s">
        <v>5352</v>
      </c>
    </row>
    <row r="2884" customFormat="false" ht="12" hidden="false" customHeight="false" outlineLevel="0" collapsed="false">
      <c r="A2884" s="203" t="s">
        <v>5353</v>
      </c>
    </row>
    <row r="2885" customFormat="false" ht="12" hidden="false" customHeight="false" outlineLevel="0" collapsed="false">
      <c r="A2885" s="203" t="s">
        <v>5354</v>
      </c>
    </row>
    <row r="2886" customFormat="false" ht="12" hidden="false" customHeight="false" outlineLevel="0" collapsed="false">
      <c r="A2886" s="203" t="s">
        <v>5355</v>
      </c>
    </row>
    <row r="2887" customFormat="false" ht="12" hidden="false" customHeight="false" outlineLevel="0" collapsed="false">
      <c r="A2887" s="203" t="s">
        <v>5356</v>
      </c>
    </row>
    <row r="2888" customFormat="false" ht="12" hidden="false" customHeight="false" outlineLevel="0" collapsed="false">
      <c r="A2888" s="203" t="s">
        <v>5357</v>
      </c>
    </row>
    <row r="2889" customFormat="false" ht="12" hidden="false" customHeight="false" outlineLevel="0" collapsed="false">
      <c r="A2889" s="203" t="s">
        <v>5358</v>
      </c>
    </row>
    <row r="2890" customFormat="false" ht="12" hidden="false" customHeight="false" outlineLevel="0" collapsed="false">
      <c r="A2890" s="203" t="s">
        <v>5359</v>
      </c>
    </row>
    <row r="2891" customFormat="false" ht="12" hidden="false" customHeight="false" outlineLevel="0" collapsed="false">
      <c r="A2891" s="203" t="s">
        <v>5360</v>
      </c>
    </row>
    <row r="2892" customFormat="false" ht="12" hidden="false" customHeight="false" outlineLevel="0" collapsed="false">
      <c r="A2892" s="203" t="s">
        <v>5361</v>
      </c>
    </row>
    <row r="2893" customFormat="false" ht="12" hidden="false" customHeight="false" outlineLevel="0" collapsed="false">
      <c r="A2893" s="203" t="s">
        <v>5362</v>
      </c>
    </row>
    <row r="2894" customFormat="false" ht="12" hidden="false" customHeight="false" outlineLevel="0" collapsed="false">
      <c r="A2894" s="203" t="s">
        <v>5363</v>
      </c>
    </row>
    <row r="2895" customFormat="false" ht="12" hidden="false" customHeight="false" outlineLevel="0" collapsed="false">
      <c r="A2895" s="203" t="s">
        <v>5364</v>
      </c>
    </row>
    <row r="2896" customFormat="false" ht="12" hidden="false" customHeight="false" outlineLevel="0" collapsed="false">
      <c r="A2896" s="203" t="s">
        <v>5365</v>
      </c>
    </row>
    <row r="2897" customFormat="false" ht="12" hidden="false" customHeight="false" outlineLevel="0" collapsed="false">
      <c r="A2897" s="203" t="s">
        <v>5366</v>
      </c>
    </row>
    <row r="2898" customFormat="false" ht="12" hidden="false" customHeight="false" outlineLevel="0" collapsed="false">
      <c r="A2898" s="203" t="s">
        <v>5367</v>
      </c>
    </row>
    <row r="2899" customFormat="false" ht="12" hidden="false" customHeight="false" outlineLevel="0" collapsed="false">
      <c r="A2899" s="203" t="s">
        <v>5368</v>
      </c>
    </row>
    <row r="2900" customFormat="false" ht="12" hidden="false" customHeight="false" outlineLevel="0" collapsed="false">
      <c r="A2900" s="203" t="s">
        <v>5369</v>
      </c>
    </row>
    <row r="2901" customFormat="false" ht="12" hidden="false" customHeight="false" outlineLevel="0" collapsed="false">
      <c r="A2901" s="203" t="s">
        <v>5370</v>
      </c>
    </row>
    <row r="2902" customFormat="false" ht="12" hidden="false" customHeight="false" outlineLevel="0" collapsed="false">
      <c r="A2902" s="203" t="s">
        <v>5371</v>
      </c>
    </row>
    <row r="2903" customFormat="false" ht="12" hidden="false" customHeight="false" outlineLevel="0" collapsed="false">
      <c r="A2903" s="203" t="s">
        <v>5372</v>
      </c>
    </row>
    <row r="2904" customFormat="false" ht="12" hidden="false" customHeight="false" outlineLevel="0" collapsed="false">
      <c r="A2904" s="203" t="s">
        <v>5373</v>
      </c>
    </row>
    <row r="2905" customFormat="false" ht="12" hidden="false" customHeight="false" outlineLevel="0" collapsed="false">
      <c r="A2905" s="203" t="s">
        <v>5374</v>
      </c>
    </row>
    <row r="2906" customFormat="false" ht="12" hidden="false" customHeight="false" outlineLevel="0" collapsed="false">
      <c r="A2906" s="203" t="s">
        <v>5375</v>
      </c>
    </row>
    <row r="2907" customFormat="false" ht="12" hidden="false" customHeight="false" outlineLevel="0" collapsed="false">
      <c r="A2907" s="203" t="s">
        <v>5376</v>
      </c>
    </row>
    <row r="2908" customFormat="false" ht="12" hidden="false" customHeight="false" outlineLevel="0" collapsed="false">
      <c r="A2908" s="203" t="s">
        <v>5377</v>
      </c>
    </row>
    <row r="2909" customFormat="false" ht="12" hidden="false" customHeight="false" outlineLevel="0" collapsed="false">
      <c r="A2909" s="203" t="s">
        <v>5378</v>
      </c>
    </row>
    <row r="2910" customFormat="false" ht="12" hidden="false" customHeight="false" outlineLevel="0" collapsed="false">
      <c r="A2910" s="203" t="s">
        <v>5379</v>
      </c>
    </row>
    <row r="2911" customFormat="false" ht="12" hidden="false" customHeight="false" outlineLevel="0" collapsed="false">
      <c r="A2911" s="203" t="s">
        <v>5380</v>
      </c>
    </row>
    <row r="2912" customFormat="false" ht="12" hidden="false" customHeight="false" outlineLevel="0" collapsed="false">
      <c r="A2912" s="203" t="s">
        <v>5381</v>
      </c>
    </row>
    <row r="2913" customFormat="false" ht="12" hidden="false" customHeight="false" outlineLevel="0" collapsed="false">
      <c r="A2913" s="203" t="s">
        <v>5382</v>
      </c>
    </row>
    <row r="2914" customFormat="false" ht="12" hidden="false" customHeight="false" outlineLevel="0" collapsed="false">
      <c r="A2914" s="203" t="s">
        <v>5383</v>
      </c>
    </row>
    <row r="2915" customFormat="false" ht="12" hidden="false" customHeight="false" outlineLevel="0" collapsed="false">
      <c r="A2915" s="203" t="s">
        <v>5384</v>
      </c>
    </row>
    <row r="2916" customFormat="false" ht="12" hidden="false" customHeight="false" outlineLevel="0" collapsed="false">
      <c r="A2916" s="203" t="s">
        <v>5385</v>
      </c>
    </row>
    <row r="2917" customFormat="false" ht="12" hidden="false" customHeight="false" outlineLevel="0" collapsed="false">
      <c r="A2917" s="203" t="s">
        <v>5386</v>
      </c>
    </row>
    <row r="2918" customFormat="false" ht="12" hidden="false" customHeight="false" outlineLevel="0" collapsed="false">
      <c r="A2918" s="203" t="s">
        <v>5387</v>
      </c>
    </row>
    <row r="2919" customFormat="false" ht="12" hidden="false" customHeight="false" outlineLevel="0" collapsed="false">
      <c r="A2919" s="203" t="s">
        <v>5388</v>
      </c>
    </row>
    <row r="2920" customFormat="false" ht="12" hidden="false" customHeight="false" outlineLevel="0" collapsed="false">
      <c r="A2920" s="203" t="s">
        <v>5389</v>
      </c>
    </row>
    <row r="2921" customFormat="false" ht="12" hidden="false" customHeight="false" outlineLevel="0" collapsed="false">
      <c r="A2921" s="203" t="s">
        <v>5390</v>
      </c>
    </row>
    <row r="2922" customFormat="false" ht="12" hidden="false" customHeight="false" outlineLevel="0" collapsed="false">
      <c r="A2922" s="203" t="s">
        <v>5391</v>
      </c>
    </row>
    <row r="2923" customFormat="false" ht="12" hidden="false" customHeight="false" outlineLevel="0" collapsed="false">
      <c r="A2923" s="203" t="s">
        <v>5392</v>
      </c>
    </row>
    <row r="2924" customFormat="false" ht="12" hidden="false" customHeight="false" outlineLevel="0" collapsed="false">
      <c r="A2924" s="203" t="s">
        <v>5393</v>
      </c>
    </row>
    <row r="2925" customFormat="false" ht="12" hidden="false" customHeight="false" outlineLevel="0" collapsed="false">
      <c r="A2925" s="203" t="s">
        <v>5394</v>
      </c>
    </row>
    <row r="2926" customFormat="false" ht="12" hidden="false" customHeight="false" outlineLevel="0" collapsed="false">
      <c r="A2926" s="203" t="s">
        <v>5395</v>
      </c>
    </row>
    <row r="2927" customFormat="false" ht="12" hidden="false" customHeight="false" outlineLevel="0" collapsed="false">
      <c r="A2927" s="203" t="s">
        <v>5396</v>
      </c>
    </row>
    <row r="2928" customFormat="false" ht="12" hidden="false" customHeight="false" outlineLevel="0" collapsed="false">
      <c r="A2928" s="203" t="s">
        <v>5397</v>
      </c>
    </row>
    <row r="2929" customFormat="false" ht="12" hidden="false" customHeight="false" outlineLevel="0" collapsed="false">
      <c r="A2929" s="203" t="s">
        <v>5398</v>
      </c>
    </row>
    <row r="2930" customFormat="false" ht="12" hidden="false" customHeight="false" outlineLevel="0" collapsed="false">
      <c r="A2930" s="203" t="s">
        <v>5399</v>
      </c>
    </row>
    <row r="2931" customFormat="false" ht="12" hidden="false" customHeight="false" outlineLevel="0" collapsed="false">
      <c r="A2931" s="203" t="s">
        <v>5400</v>
      </c>
    </row>
    <row r="2932" customFormat="false" ht="12" hidden="false" customHeight="false" outlineLevel="0" collapsed="false">
      <c r="A2932" s="203" t="s">
        <v>5401</v>
      </c>
    </row>
    <row r="2933" customFormat="false" ht="12" hidden="false" customHeight="false" outlineLevel="0" collapsed="false">
      <c r="A2933" s="203" t="s">
        <v>5402</v>
      </c>
    </row>
    <row r="2934" customFormat="false" ht="12" hidden="false" customHeight="false" outlineLevel="0" collapsed="false">
      <c r="A2934" s="203" t="s">
        <v>5403</v>
      </c>
    </row>
    <row r="2935" customFormat="false" ht="12" hidden="false" customHeight="false" outlineLevel="0" collapsed="false">
      <c r="A2935" s="203" t="s">
        <v>5404</v>
      </c>
    </row>
    <row r="2936" customFormat="false" ht="12" hidden="false" customHeight="false" outlineLevel="0" collapsed="false">
      <c r="A2936" s="203" t="s">
        <v>5405</v>
      </c>
    </row>
    <row r="2937" customFormat="false" ht="12" hidden="false" customHeight="false" outlineLevel="0" collapsed="false">
      <c r="A2937" s="203" t="s">
        <v>5406</v>
      </c>
    </row>
    <row r="2938" customFormat="false" ht="12" hidden="false" customHeight="false" outlineLevel="0" collapsed="false">
      <c r="A2938" s="203" t="s">
        <v>5407</v>
      </c>
    </row>
    <row r="2939" customFormat="false" ht="12" hidden="false" customHeight="false" outlineLevel="0" collapsed="false">
      <c r="A2939" s="203" t="s">
        <v>5408</v>
      </c>
    </row>
    <row r="2940" customFormat="false" ht="12" hidden="false" customHeight="false" outlineLevel="0" collapsed="false">
      <c r="A2940" s="203" t="s">
        <v>5409</v>
      </c>
    </row>
    <row r="2941" customFormat="false" ht="12" hidden="false" customHeight="false" outlineLevel="0" collapsed="false">
      <c r="A2941" s="203" t="s">
        <v>5410</v>
      </c>
    </row>
    <row r="2942" customFormat="false" ht="12" hidden="false" customHeight="false" outlineLevel="0" collapsed="false">
      <c r="A2942" s="203" t="s">
        <v>5411</v>
      </c>
    </row>
    <row r="2943" customFormat="false" ht="12" hidden="false" customHeight="false" outlineLevel="0" collapsed="false">
      <c r="A2943" s="203" t="s">
        <v>5412</v>
      </c>
    </row>
    <row r="2944" customFormat="false" ht="12" hidden="false" customHeight="false" outlineLevel="0" collapsed="false">
      <c r="A2944" s="203" t="s">
        <v>5413</v>
      </c>
    </row>
    <row r="2945" customFormat="false" ht="12" hidden="false" customHeight="false" outlineLevel="0" collapsed="false">
      <c r="A2945" s="203" t="s">
        <v>5414</v>
      </c>
    </row>
    <row r="2946" customFormat="false" ht="12" hidden="false" customHeight="false" outlineLevel="0" collapsed="false">
      <c r="A2946" s="203" t="s">
        <v>5415</v>
      </c>
    </row>
    <row r="2947" customFormat="false" ht="12" hidden="false" customHeight="false" outlineLevel="0" collapsed="false">
      <c r="A2947" s="203" t="s">
        <v>5416</v>
      </c>
    </row>
    <row r="2948" customFormat="false" ht="12" hidden="false" customHeight="false" outlineLevel="0" collapsed="false">
      <c r="A2948" s="203" t="s">
        <v>5417</v>
      </c>
    </row>
    <row r="2949" customFormat="false" ht="12" hidden="false" customHeight="false" outlineLevel="0" collapsed="false">
      <c r="A2949" s="203" t="s">
        <v>5418</v>
      </c>
    </row>
    <row r="2950" customFormat="false" ht="12" hidden="false" customHeight="false" outlineLevel="0" collapsed="false">
      <c r="A2950" s="203" t="s">
        <v>5419</v>
      </c>
    </row>
    <row r="2951" customFormat="false" ht="12" hidden="false" customHeight="false" outlineLevel="0" collapsed="false">
      <c r="A2951" s="203" t="s">
        <v>5420</v>
      </c>
    </row>
    <row r="2952" customFormat="false" ht="12" hidden="false" customHeight="false" outlineLevel="0" collapsed="false">
      <c r="A2952" s="203" t="s">
        <v>5421</v>
      </c>
    </row>
    <row r="2953" customFormat="false" ht="12" hidden="false" customHeight="false" outlineLevel="0" collapsed="false">
      <c r="A2953" s="203" t="s">
        <v>5422</v>
      </c>
    </row>
    <row r="2954" customFormat="false" ht="12" hidden="false" customHeight="false" outlineLevel="0" collapsed="false">
      <c r="A2954" s="203" t="s">
        <v>5423</v>
      </c>
    </row>
    <row r="2955" customFormat="false" ht="12" hidden="false" customHeight="false" outlineLevel="0" collapsed="false">
      <c r="A2955" s="203" t="s">
        <v>5424</v>
      </c>
    </row>
    <row r="2956" customFormat="false" ht="12" hidden="false" customHeight="false" outlineLevel="0" collapsed="false">
      <c r="A2956" s="203" t="s">
        <v>5425</v>
      </c>
    </row>
    <row r="2957" customFormat="false" ht="12" hidden="false" customHeight="false" outlineLevel="0" collapsed="false">
      <c r="A2957" s="203" t="s">
        <v>5426</v>
      </c>
    </row>
    <row r="2958" customFormat="false" ht="12" hidden="false" customHeight="false" outlineLevel="0" collapsed="false">
      <c r="A2958" s="203" t="s">
        <v>5427</v>
      </c>
    </row>
    <row r="2959" customFormat="false" ht="12" hidden="false" customHeight="false" outlineLevel="0" collapsed="false">
      <c r="A2959" s="203" t="s">
        <v>5428</v>
      </c>
    </row>
    <row r="2960" customFormat="false" ht="12" hidden="false" customHeight="false" outlineLevel="0" collapsed="false">
      <c r="A2960" s="203" t="s">
        <v>5429</v>
      </c>
    </row>
    <row r="2961" customFormat="false" ht="12" hidden="false" customHeight="false" outlineLevel="0" collapsed="false">
      <c r="A2961" s="203" t="s">
        <v>5430</v>
      </c>
    </row>
    <row r="2962" customFormat="false" ht="12" hidden="false" customHeight="false" outlineLevel="0" collapsed="false">
      <c r="A2962" s="203" t="s">
        <v>5431</v>
      </c>
    </row>
    <row r="2963" customFormat="false" ht="12" hidden="false" customHeight="false" outlineLevel="0" collapsed="false">
      <c r="A2963" s="203" t="s">
        <v>5432</v>
      </c>
    </row>
    <row r="2964" customFormat="false" ht="12" hidden="false" customHeight="false" outlineLevel="0" collapsed="false">
      <c r="A2964" s="203" t="s">
        <v>5433</v>
      </c>
    </row>
    <row r="2965" customFormat="false" ht="12" hidden="false" customHeight="false" outlineLevel="0" collapsed="false">
      <c r="A2965" s="203" t="s">
        <v>5434</v>
      </c>
    </row>
    <row r="2966" customFormat="false" ht="12" hidden="false" customHeight="false" outlineLevel="0" collapsed="false">
      <c r="A2966" s="203" t="s">
        <v>5435</v>
      </c>
    </row>
    <row r="2967" customFormat="false" ht="12" hidden="false" customHeight="false" outlineLevel="0" collapsed="false">
      <c r="A2967" s="203" t="s">
        <v>5436</v>
      </c>
    </row>
    <row r="2968" customFormat="false" ht="12" hidden="false" customHeight="false" outlineLevel="0" collapsed="false">
      <c r="A2968" s="203" t="s">
        <v>5437</v>
      </c>
    </row>
    <row r="2969" customFormat="false" ht="12" hidden="false" customHeight="false" outlineLevel="0" collapsed="false">
      <c r="A2969" s="203" t="s">
        <v>5438</v>
      </c>
    </row>
    <row r="2970" customFormat="false" ht="12" hidden="false" customHeight="false" outlineLevel="0" collapsed="false">
      <c r="A2970" s="203" t="s">
        <v>5439</v>
      </c>
    </row>
    <row r="2971" customFormat="false" ht="12" hidden="false" customHeight="false" outlineLevel="0" collapsed="false">
      <c r="A2971" s="203" t="s">
        <v>5440</v>
      </c>
    </row>
    <row r="2972" customFormat="false" ht="12" hidden="false" customHeight="false" outlineLevel="0" collapsed="false">
      <c r="A2972" s="203" t="s">
        <v>5441</v>
      </c>
    </row>
    <row r="2973" customFormat="false" ht="12" hidden="false" customHeight="false" outlineLevel="0" collapsed="false">
      <c r="A2973" s="203" t="s">
        <v>5442</v>
      </c>
    </row>
    <row r="2974" customFormat="false" ht="12" hidden="false" customHeight="false" outlineLevel="0" collapsed="false">
      <c r="A2974" s="203" t="s">
        <v>5443</v>
      </c>
    </row>
    <row r="2975" customFormat="false" ht="12" hidden="false" customHeight="false" outlineLevel="0" collapsed="false">
      <c r="A2975" s="203" t="s">
        <v>5444</v>
      </c>
    </row>
    <row r="2976" customFormat="false" ht="12" hidden="false" customHeight="false" outlineLevel="0" collapsed="false">
      <c r="A2976" s="203" t="s">
        <v>5445</v>
      </c>
    </row>
    <row r="2977" customFormat="false" ht="12" hidden="false" customHeight="false" outlineLevel="0" collapsed="false">
      <c r="A2977" s="203" t="s">
        <v>5446</v>
      </c>
    </row>
    <row r="2978" customFormat="false" ht="12" hidden="false" customHeight="false" outlineLevel="0" collapsed="false">
      <c r="A2978" s="203" t="s">
        <v>5447</v>
      </c>
    </row>
    <row r="2979" customFormat="false" ht="12" hidden="false" customHeight="false" outlineLevel="0" collapsed="false">
      <c r="A2979" s="203" t="s">
        <v>5448</v>
      </c>
    </row>
    <row r="2980" customFormat="false" ht="12" hidden="false" customHeight="false" outlineLevel="0" collapsed="false">
      <c r="A2980" s="203" t="s">
        <v>5449</v>
      </c>
    </row>
    <row r="2981" customFormat="false" ht="12" hidden="false" customHeight="false" outlineLevel="0" collapsed="false">
      <c r="A2981" s="203" t="s">
        <v>5450</v>
      </c>
    </row>
    <row r="2982" customFormat="false" ht="12" hidden="false" customHeight="false" outlineLevel="0" collapsed="false">
      <c r="A2982" s="203" t="s">
        <v>5451</v>
      </c>
    </row>
    <row r="2983" customFormat="false" ht="12" hidden="false" customHeight="false" outlineLevel="0" collapsed="false">
      <c r="A2983" s="203" t="s">
        <v>5452</v>
      </c>
    </row>
    <row r="2984" customFormat="false" ht="12" hidden="false" customHeight="false" outlineLevel="0" collapsed="false">
      <c r="A2984" s="203" t="s">
        <v>5453</v>
      </c>
    </row>
    <row r="2985" customFormat="false" ht="12" hidden="false" customHeight="false" outlineLevel="0" collapsed="false">
      <c r="A2985" s="203" t="s">
        <v>5454</v>
      </c>
    </row>
    <row r="2986" customFormat="false" ht="12" hidden="false" customHeight="false" outlineLevel="0" collapsed="false">
      <c r="A2986" s="203" t="s">
        <v>5455</v>
      </c>
    </row>
    <row r="2987" customFormat="false" ht="12" hidden="false" customHeight="false" outlineLevel="0" collapsed="false">
      <c r="A2987" s="203" t="s">
        <v>5456</v>
      </c>
    </row>
    <row r="2988" customFormat="false" ht="12" hidden="false" customHeight="false" outlineLevel="0" collapsed="false">
      <c r="A2988" s="203" t="s">
        <v>5457</v>
      </c>
    </row>
    <row r="2989" customFormat="false" ht="12" hidden="false" customHeight="false" outlineLevel="0" collapsed="false">
      <c r="A2989" s="203" t="s">
        <v>5458</v>
      </c>
    </row>
    <row r="2990" customFormat="false" ht="12" hidden="false" customHeight="false" outlineLevel="0" collapsed="false">
      <c r="A2990" s="203" t="s">
        <v>5459</v>
      </c>
    </row>
    <row r="2991" customFormat="false" ht="12" hidden="false" customHeight="false" outlineLevel="0" collapsed="false">
      <c r="A2991" s="203" t="s">
        <v>5460</v>
      </c>
    </row>
    <row r="2992" customFormat="false" ht="12" hidden="false" customHeight="false" outlineLevel="0" collapsed="false">
      <c r="A2992" s="203" t="s">
        <v>5461</v>
      </c>
    </row>
    <row r="2993" customFormat="false" ht="12" hidden="false" customHeight="false" outlineLevel="0" collapsed="false">
      <c r="A2993" s="203" t="s">
        <v>5462</v>
      </c>
    </row>
    <row r="2994" customFormat="false" ht="12" hidden="false" customHeight="false" outlineLevel="0" collapsed="false">
      <c r="A2994" s="203" t="s">
        <v>5463</v>
      </c>
    </row>
    <row r="2995" customFormat="false" ht="12" hidden="false" customHeight="false" outlineLevel="0" collapsed="false">
      <c r="A2995" s="203" t="s">
        <v>5464</v>
      </c>
    </row>
    <row r="2996" customFormat="false" ht="12" hidden="false" customHeight="false" outlineLevel="0" collapsed="false">
      <c r="A2996" s="203" t="s">
        <v>5465</v>
      </c>
    </row>
    <row r="2997" customFormat="false" ht="12" hidden="false" customHeight="false" outlineLevel="0" collapsed="false">
      <c r="A2997" s="203" t="s">
        <v>5466</v>
      </c>
    </row>
    <row r="2998" customFormat="false" ht="12" hidden="false" customHeight="false" outlineLevel="0" collapsed="false">
      <c r="A2998" s="203" t="s">
        <v>5467</v>
      </c>
    </row>
    <row r="2999" customFormat="false" ht="12" hidden="false" customHeight="false" outlineLevel="0" collapsed="false">
      <c r="A2999" s="203" t="s">
        <v>5468</v>
      </c>
    </row>
    <row r="3000" customFormat="false" ht="12" hidden="false" customHeight="false" outlineLevel="0" collapsed="false">
      <c r="A3000" s="203" t="s">
        <v>5469</v>
      </c>
    </row>
    <row r="3001" customFormat="false" ht="12" hidden="false" customHeight="false" outlineLevel="0" collapsed="false">
      <c r="A3001" s="203" t="s">
        <v>5470</v>
      </c>
    </row>
    <row r="3002" customFormat="false" ht="12" hidden="false" customHeight="false" outlineLevel="0" collapsed="false">
      <c r="A3002" s="203" t="s">
        <v>5471</v>
      </c>
    </row>
    <row r="3003" customFormat="false" ht="12" hidden="false" customHeight="false" outlineLevel="0" collapsed="false">
      <c r="A3003" s="203" t="s">
        <v>5472</v>
      </c>
    </row>
    <row r="3004" customFormat="false" ht="12" hidden="false" customHeight="false" outlineLevel="0" collapsed="false">
      <c r="A3004" s="203" t="s">
        <v>5473</v>
      </c>
    </row>
    <row r="3005" customFormat="false" ht="12" hidden="false" customHeight="false" outlineLevel="0" collapsed="false">
      <c r="A3005" s="203" t="s">
        <v>5474</v>
      </c>
    </row>
    <row r="3006" customFormat="false" ht="12" hidden="false" customHeight="false" outlineLevel="0" collapsed="false">
      <c r="A3006" s="203" t="s">
        <v>5475</v>
      </c>
    </row>
    <row r="3007" customFormat="false" ht="12" hidden="false" customHeight="false" outlineLevel="0" collapsed="false">
      <c r="A3007" s="203" t="s">
        <v>5476</v>
      </c>
    </row>
    <row r="3008" customFormat="false" ht="12" hidden="false" customHeight="false" outlineLevel="0" collapsed="false">
      <c r="A3008" s="203" t="s">
        <v>5477</v>
      </c>
    </row>
    <row r="3009" customFormat="false" ht="12" hidden="false" customHeight="false" outlineLevel="0" collapsed="false">
      <c r="A3009" s="203" t="s">
        <v>5478</v>
      </c>
    </row>
    <row r="3010" customFormat="false" ht="12" hidden="false" customHeight="false" outlineLevel="0" collapsed="false">
      <c r="A3010" s="203" t="s">
        <v>5479</v>
      </c>
    </row>
    <row r="3011" customFormat="false" ht="12" hidden="false" customHeight="false" outlineLevel="0" collapsed="false">
      <c r="A3011" s="203" t="s">
        <v>5480</v>
      </c>
    </row>
    <row r="3012" customFormat="false" ht="12" hidden="false" customHeight="false" outlineLevel="0" collapsed="false">
      <c r="A3012" s="203" t="s">
        <v>5481</v>
      </c>
    </row>
    <row r="3013" customFormat="false" ht="12" hidden="false" customHeight="false" outlineLevel="0" collapsed="false">
      <c r="A3013" s="203" t="s">
        <v>5482</v>
      </c>
    </row>
    <row r="3014" customFormat="false" ht="12" hidden="false" customHeight="false" outlineLevel="0" collapsed="false">
      <c r="A3014" s="203" t="s">
        <v>5483</v>
      </c>
    </row>
    <row r="3015" customFormat="false" ht="12" hidden="false" customHeight="false" outlineLevel="0" collapsed="false">
      <c r="A3015" s="203" t="s">
        <v>5484</v>
      </c>
    </row>
    <row r="3016" customFormat="false" ht="12" hidden="false" customHeight="false" outlineLevel="0" collapsed="false">
      <c r="A3016" s="203" t="s">
        <v>5485</v>
      </c>
    </row>
    <row r="3017" customFormat="false" ht="12" hidden="false" customHeight="false" outlineLevel="0" collapsed="false">
      <c r="A3017" s="203" t="s">
        <v>5486</v>
      </c>
    </row>
    <row r="3018" customFormat="false" ht="12" hidden="false" customHeight="false" outlineLevel="0" collapsed="false">
      <c r="A3018" s="203" t="s">
        <v>5487</v>
      </c>
    </row>
    <row r="3019" customFormat="false" ht="12" hidden="false" customHeight="false" outlineLevel="0" collapsed="false">
      <c r="A3019" s="203" t="s">
        <v>5488</v>
      </c>
    </row>
    <row r="3020" customFormat="false" ht="12" hidden="false" customHeight="false" outlineLevel="0" collapsed="false">
      <c r="A3020" s="203" t="s">
        <v>5489</v>
      </c>
    </row>
    <row r="3021" customFormat="false" ht="12" hidden="false" customHeight="false" outlineLevel="0" collapsed="false">
      <c r="A3021" s="203" t="s">
        <v>5490</v>
      </c>
    </row>
    <row r="3022" customFormat="false" ht="12" hidden="false" customHeight="false" outlineLevel="0" collapsed="false">
      <c r="A3022" s="203" t="s">
        <v>5491</v>
      </c>
    </row>
    <row r="3023" customFormat="false" ht="12" hidden="false" customHeight="false" outlineLevel="0" collapsed="false">
      <c r="A3023" s="203" t="s">
        <v>5492</v>
      </c>
    </row>
    <row r="3024" customFormat="false" ht="12" hidden="false" customHeight="false" outlineLevel="0" collapsed="false">
      <c r="A3024" s="203" t="s">
        <v>5493</v>
      </c>
    </row>
    <row r="3025" customFormat="false" ht="12" hidden="false" customHeight="false" outlineLevel="0" collapsed="false">
      <c r="A3025" s="203" t="s">
        <v>5494</v>
      </c>
    </row>
    <row r="3026" customFormat="false" ht="12" hidden="false" customHeight="false" outlineLevel="0" collapsed="false">
      <c r="A3026" s="203" t="s">
        <v>5495</v>
      </c>
    </row>
    <row r="3027" customFormat="false" ht="12" hidden="false" customHeight="false" outlineLevel="0" collapsed="false">
      <c r="A3027" s="203" t="s">
        <v>5496</v>
      </c>
    </row>
    <row r="3028" customFormat="false" ht="12" hidden="false" customHeight="false" outlineLevel="0" collapsed="false">
      <c r="A3028" s="203" t="s">
        <v>5497</v>
      </c>
    </row>
    <row r="3029" customFormat="false" ht="12" hidden="false" customHeight="false" outlineLevel="0" collapsed="false">
      <c r="A3029" s="203" t="s">
        <v>5498</v>
      </c>
    </row>
    <row r="3030" customFormat="false" ht="12" hidden="false" customHeight="false" outlineLevel="0" collapsed="false">
      <c r="A3030" s="203" t="s">
        <v>5499</v>
      </c>
    </row>
    <row r="3031" customFormat="false" ht="12" hidden="false" customHeight="false" outlineLevel="0" collapsed="false">
      <c r="A3031" s="203" t="s">
        <v>5500</v>
      </c>
    </row>
    <row r="3032" customFormat="false" ht="12" hidden="false" customHeight="false" outlineLevel="0" collapsed="false">
      <c r="A3032" s="203" t="s">
        <v>5501</v>
      </c>
    </row>
    <row r="3033" customFormat="false" ht="12" hidden="false" customHeight="false" outlineLevel="0" collapsed="false">
      <c r="A3033" s="203" t="s">
        <v>5502</v>
      </c>
    </row>
    <row r="3034" customFormat="false" ht="12" hidden="false" customHeight="false" outlineLevel="0" collapsed="false">
      <c r="A3034" s="203" t="s">
        <v>5503</v>
      </c>
    </row>
    <row r="3035" customFormat="false" ht="12" hidden="false" customHeight="false" outlineLevel="0" collapsed="false">
      <c r="A3035" s="203" t="s">
        <v>5504</v>
      </c>
    </row>
    <row r="3036" customFormat="false" ht="12" hidden="false" customHeight="false" outlineLevel="0" collapsed="false">
      <c r="A3036" s="203" t="s">
        <v>5505</v>
      </c>
    </row>
    <row r="3037" customFormat="false" ht="12" hidden="false" customHeight="false" outlineLevel="0" collapsed="false">
      <c r="A3037" s="203" t="s">
        <v>5506</v>
      </c>
    </row>
    <row r="3038" customFormat="false" ht="12" hidden="false" customHeight="false" outlineLevel="0" collapsed="false">
      <c r="A3038" s="203" t="s">
        <v>5507</v>
      </c>
    </row>
    <row r="3039" customFormat="false" ht="12" hidden="false" customHeight="false" outlineLevel="0" collapsed="false">
      <c r="A3039" s="203" t="s">
        <v>5508</v>
      </c>
    </row>
    <row r="3040" customFormat="false" ht="12" hidden="false" customHeight="false" outlineLevel="0" collapsed="false">
      <c r="A3040" s="203" t="s">
        <v>5509</v>
      </c>
    </row>
    <row r="3041" customFormat="false" ht="12" hidden="false" customHeight="false" outlineLevel="0" collapsed="false">
      <c r="A3041" s="203" t="s">
        <v>5510</v>
      </c>
    </row>
    <row r="3042" customFormat="false" ht="12" hidden="false" customHeight="false" outlineLevel="0" collapsed="false">
      <c r="A3042" s="203" t="s">
        <v>5511</v>
      </c>
    </row>
    <row r="3043" customFormat="false" ht="12" hidden="false" customHeight="false" outlineLevel="0" collapsed="false">
      <c r="A3043" s="203" t="s">
        <v>5512</v>
      </c>
    </row>
    <row r="3044" customFormat="false" ht="12" hidden="false" customHeight="false" outlineLevel="0" collapsed="false">
      <c r="A3044" s="203" t="s">
        <v>5513</v>
      </c>
    </row>
    <row r="3045" customFormat="false" ht="12" hidden="false" customHeight="false" outlineLevel="0" collapsed="false">
      <c r="A3045" s="203" t="s">
        <v>5514</v>
      </c>
    </row>
    <row r="3046" customFormat="false" ht="12" hidden="false" customHeight="false" outlineLevel="0" collapsed="false">
      <c r="A3046" s="203" t="s">
        <v>5515</v>
      </c>
    </row>
    <row r="3047" customFormat="false" ht="12" hidden="false" customHeight="false" outlineLevel="0" collapsed="false">
      <c r="A3047" s="203" t="s">
        <v>5516</v>
      </c>
    </row>
    <row r="3048" customFormat="false" ht="12" hidden="false" customHeight="false" outlineLevel="0" collapsed="false">
      <c r="A3048" s="203" t="s">
        <v>5517</v>
      </c>
    </row>
    <row r="3049" customFormat="false" ht="12" hidden="false" customHeight="false" outlineLevel="0" collapsed="false">
      <c r="A3049" s="203" t="s">
        <v>5518</v>
      </c>
    </row>
    <row r="3050" customFormat="false" ht="12" hidden="false" customHeight="false" outlineLevel="0" collapsed="false">
      <c r="A3050" s="203" t="s">
        <v>5519</v>
      </c>
    </row>
    <row r="3051" customFormat="false" ht="12" hidden="false" customHeight="false" outlineLevel="0" collapsed="false">
      <c r="A3051" s="203" t="s">
        <v>5520</v>
      </c>
    </row>
    <row r="3052" customFormat="false" ht="12" hidden="false" customHeight="false" outlineLevel="0" collapsed="false">
      <c r="A3052" s="203" t="s">
        <v>5521</v>
      </c>
    </row>
    <row r="3053" customFormat="false" ht="12" hidden="false" customHeight="false" outlineLevel="0" collapsed="false">
      <c r="A3053" s="203" t="s">
        <v>5522</v>
      </c>
    </row>
    <row r="3054" customFormat="false" ht="12" hidden="false" customHeight="false" outlineLevel="0" collapsed="false">
      <c r="A3054" s="203" t="s">
        <v>5523</v>
      </c>
    </row>
    <row r="3055" customFormat="false" ht="12" hidden="false" customHeight="false" outlineLevel="0" collapsed="false">
      <c r="A3055" s="203" t="s">
        <v>5524</v>
      </c>
    </row>
    <row r="3056" customFormat="false" ht="12" hidden="false" customHeight="false" outlineLevel="0" collapsed="false">
      <c r="A3056" s="203" t="s">
        <v>5525</v>
      </c>
    </row>
    <row r="3057" customFormat="false" ht="12" hidden="false" customHeight="false" outlineLevel="0" collapsed="false">
      <c r="A3057" s="203" t="s">
        <v>5526</v>
      </c>
    </row>
    <row r="3058" customFormat="false" ht="12" hidden="false" customHeight="false" outlineLevel="0" collapsed="false">
      <c r="A3058" s="203" t="s">
        <v>5527</v>
      </c>
    </row>
    <row r="3059" customFormat="false" ht="12" hidden="false" customHeight="false" outlineLevel="0" collapsed="false">
      <c r="A3059" s="203" t="s">
        <v>5528</v>
      </c>
    </row>
    <row r="3060" customFormat="false" ht="12" hidden="false" customHeight="false" outlineLevel="0" collapsed="false">
      <c r="A3060" s="203" t="s">
        <v>5529</v>
      </c>
    </row>
    <row r="3061" customFormat="false" ht="12" hidden="false" customHeight="false" outlineLevel="0" collapsed="false">
      <c r="A3061" s="203" t="s">
        <v>5530</v>
      </c>
    </row>
    <row r="3062" customFormat="false" ht="12" hidden="false" customHeight="false" outlineLevel="0" collapsed="false">
      <c r="A3062" s="203" t="s">
        <v>5531</v>
      </c>
    </row>
    <row r="3063" customFormat="false" ht="12" hidden="false" customHeight="false" outlineLevel="0" collapsed="false">
      <c r="A3063" s="203" t="s">
        <v>5532</v>
      </c>
    </row>
    <row r="3064" customFormat="false" ht="12" hidden="false" customHeight="false" outlineLevel="0" collapsed="false">
      <c r="A3064" s="203" t="s">
        <v>5533</v>
      </c>
    </row>
    <row r="3065" customFormat="false" ht="12" hidden="false" customHeight="false" outlineLevel="0" collapsed="false">
      <c r="A3065" s="203" t="s">
        <v>5534</v>
      </c>
    </row>
    <row r="3066" customFormat="false" ht="12" hidden="false" customHeight="false" outlineLevel="0" collapsed="false">
      <c r="A3066" s="203" t="s">
        <v>5535</v>
      </c>
    </row>
    <row r="3067" customFormat="false" ht="12" hidden="false" customHeight="false" outlineLevel="0" collapsed="false">
      <c r="A3067" s="203" t="s">
        <v>5536</v>
      </c>
    </row>
    <row r="3068" customFormat="false" ht="12" hidden="false" customHeight="false" outlineLevel="0" collapsed="false">
      <c r="A3068" s="203" t="s">
        <v>5537</v>
      </c>
    </row>
    <row r="3069" customFormat="false" ht="12" hidden="false" customHeight="false" outlineLevel="0" collapsed="false">
      <c r="A3069" s="203" t="s">
        <v>5538</v>
      </c>
    </row>
    <row r="3070" customFormat="false" ht="12" hidden="false" customHeight="false" outlineLevel="0" collapsed="false">
      <c r="A3070" s="203" t="s">
        <v>5539</v>
      </c>
    </row>
    <row r="3071" customFormat="false" ht="12" hidden="false" customHeight="false" outlineLevel="0" collapsed="false">
      <c r="A3071" s="203" t="s">
        <v>5540</v>
      </c>
    </row>
    <row r="3072" customFormat="false" ht="12" hidden="false" customHeight="false" outlineLevel="0" collapsed="false">
      <c r="A3072" s="203" t="s">
        <v>5541</v>
      </c>
    </row>
    <row r="3073" customFormat="false" ht="12" hidden="false" customHeight="false" outlineLevel="0" collapsed="false">
      <c r="A3073" s="203" t="s">
        <v>5542</v>
      </c>
    </row>
    <row r="3074" customFormat="false" ht="12" hidden="false" customHeight="false" outlineLevel="0" collapsed="false">
      <c r="A3074" s="203" t="s">
        <v>5543</v>
      </c>
    </row>
    <row r="3075" customFormat="false" ht="12" hidden="false" customHeight="false" outlineLevel="0" collapsed="false">
      <c r="A3075" s="203" t="s">
        <v>5544</v>
      </c>
    </row>
    <row r="3076" customFormat="false" ht="12" hidden="false" customHeight="false" outlineLevel="0" collapsed="false">
      <c r="A3076" s="203" t="s">
        <v>5545</v>
      </c>
    </row>
    <row r="3077" customFormat="false" ht="12" hidden="false" customHeight="false" outlineLevel="0" collapsed="false">
      <c r="A3077" s="203" t="s">
        <v>5546</v>
      </c>
    </row>
    <row r="3078" customFormat="false" ht="12" hidden="false" customHeight="false" outlineLevel="0" collapsed="false">
      <c r="A3078" s="203" t="s">
        <v>5547</v>
      </c>
    </row>
    <row r="3079" customFormat="false" ht="12" hidden="false" customHeight="false" outlineLevel="0" collapsed="false">
      <c r="A3079" s="203" t="s">
        <v>5548</v>
      </c>
    </row>
    <row r="3080" customFormat="false" ht="12" hidden="false" customHeight="false" outlineLevel="0" collapsed="false">
      <c r="A3080" s="203" t="s">
        <v>5549</v>
      </c>
    </row>
    <row r="3081" customFormat="false" ht="12" hidden="false" customHeight="false" outlineLevel="0" collapsed="false">
      <c r="A3081" s="203" t="s">
        <v>5550</v>
      </c>
    </row>
    <row r="3082" customFormat="false" ht="12" hidden="false" customHeight="false" outlineLevel="0" collapsed="false">
      <c r="A3082" s="203" t="s">
        <v>5551</v>
      </c>
    </row>
    <row r="3083" customFormat="false" ht="12" hidden="false" customHeight="false" outlineLevel="0" collapsed="false">
      <c r="A3083" s="203" t="s">
        <v>5552</v>
      </c>
    </row>
    <row r="3084" customFormat="false" ht="12" hidden="false" customHeight="false" outlineLevel="0" collapsed="false">
      <c r="A3084" s="203" t="s">
        <v>5553</v>
      </c>
    </row>
    <row r="3085" customFormat="false" ht="12" hidden="false" customHeight="false" outlineLevel="0" collapsed="false">
      <c r="A3085" s="203" t="s">
        <v>5554</v>
      </c>
    </row>
    <row r="3086" customFormat="false" ht="12" hidden="false" customHeight="false" outlineLevel="0" collapsed="false">
      <c r="A3086" s="203" t="s">
        <v>5555</v>
      </c>
    </row>
    <row r="3087" customFormat="false" ht="12" hidden="false" customHeight="false" outlineLevel="0" collapsed="false">
      <c r="A3087" s="203" t="s">
        <v>5556</v>
      </c>
    </row>
    <row r="3088" customFormat="false" ht="12" hidden="false" customHeight="false" outlineLevel="0" collapsed="false">
      <c r="A3088" s="203" t="s">
        <v>5557</v>
      </c>
    </row>
    <row r="3089" customFormat="false" ht="12" hidden="false" customHeight="false" outlineLevel="0" collapsed="false">
      <c r="A3089" s="203" t="s">
        <v>5558</v>
      </c>
    </row>
    <row r="3090" customFormat="false" ht="12" hidden="false" customHeight="false" outlineLevel="0" collapsed="false">
      <c r="A3090" s="203" t="s">
        <v>5559</v>
      </c>
    </row>
    <row r="3091" customFormat="false" ht="12" hidden="false" customHeight="false" outlineLevel="0" collapsed="false">
      <c r="A3091" s="203" t="s">
        <v>5560</v>
      </c>
    </row>
    <row r="3092" customFormat="false" ht="12" hidden="false" customHeight="false" outlineLevel="0" collapsed="false">
      <c r="A3092" s="203" t="s">
        <v>5561</v>
      </c>
    </row>
    <row r="3093" customFormat="false" ht="12" hidden="false" customHeight="false" outlineLevel="0" collapsed="false">
      <c r="A3093" s="203" t="s">
        <v>5562</v>
      </c>
    </row>
    <row r="3094" customFormat="false" ht="12" hidden="false" customHeight="false" outlineLevel="0" collapsed="false">
      <c r="A3094" s="203" t="s">
        <v>5563</v>
      </c>
    </row>
    <row r="3095" customFormat="false" ht="12" hidden="false" customHeight="false" outlineLevel="0" collapsed="false">
      <c r="A3095" s="203" t="s">
        <v>5564</v>
      </c>
    </row>
    <row r="3096" customFormat="false" ht="12" hidden="false" customHeight="false" outlineLevel="0" collapsed="false">
      <c r="A3096" s="203" t="s">
        <v>5565</v>
      </c>
    </row>
    <row r="3097" customFormat="false" ht="12" hidden="false" customHeight="false" outlineLevel="0" collapsed="false">
      <c r="A3097" s="203" t="s">
        <v>5566</v>
      </c>
    </row>
    <row r="3098" customFormat="false" ht="12" hidden="false" customHeight="false" outlineLevel="0" collapsed="false">
      <c r="A3098" s="203" t="s">
        <v>5567</v>
      </c>
    </row>
    <row r="3099" customFormat="false" ht="12" hidden="false" customHeight="false" outlineLevel="0" collapsed="false">
      <c r="A3099" s="203" t="s">
        <v>5568</v>
      </c>
    </row>
    <row r="3100" customFormat="false" ht="12" hidden="false" customHeight="false" outlineLevel="0" collapsed="false">
      <c r="A3100" s="203" t="s">
        <v>5569</v>
      </c>
    </row>
    <row r="3101" customFormat="false" ht="12" hidden="false" customHeight="false" outlineLevel="0" collapsed="false">
      <c r="A3101" s="203" t="s">
        <v>5570</v>
      </c>
    </row>
    <row r="3102" customFormat="false" ht="12" hidden="false" customHeight="false" outlineLevel="0" collapsed="false">
      <c r="A3102" s="203" t="s">
        <v>5571</v>
      </c>
    </row>
    <row r="3103" customFormat="false" ht="12" hidden="false" customHeight="false" outlineLevel="0" collapsed="false">
      <c r="A3103" s="203" t="s">
        <v>5572</v>
      </c>
    </row>
    <row r="3104" customFormat="false" ht="12" hidden="false" customHeight="false" outlineLevel="0" collapsed="false">
      <c r="A3104" s="203" t="s">
        <v>5573</v>
      </c>
    </row>
    <row r="3105" customFormat="false" ht="12" hidden="false" customHeight="false" outlineLevel="0" collapsed="false">
      <c r="A3105" s="203" t="s">
        <v>5574</v>
      </c>
    </row>
    <row r="3106" customFormat="false" ht="12" hidden="false" customHeight="false" outlineLevel="0" collapsed="false">
      <c r="A3106" s="203" t="s">
        <v>5575</v>
      </c>
    </row>
    <row r="3107" customFormat="false" ht="12" hidden="false" customHeight="false" outlineLevel="0" collapsed="false">
      <c r="A3107" s="203" t="s">
        <v>5576</v>
      </c>
    </row>
    <row r="3108" customFormat="false" ht="12" hidden="false" customHeight="false" outlineLevel="0" collapsed="false">
      <c r="A3108" s="203" t="s">
        <v>5577</v>
      </c>
    </row>
    <row r="3109" customFormat="false" ht="12" hidden="false" customHeight="false" outlineLevel="0" collapsed="false">
      <c r="A3109" s="203" t="s">
        <v>5578</v>
      </c>
    </row>
    <row r="3110" customFormat="false" ht="12" hidden="false" customHeight="false" outlineLevel="0" collapsed="false">
      <c r="A3110" s="203" t="s">
        <v>5579</v>
      </c>
    </row>
    <row r="3111" customFormat="false" ht="12" hidden="false" customHeight="false" outlineLevel="0" collapsed="false">
      <c r="A3111" s="203" t="s">
        <v>5580</v>
      </c>
    </row>
    <row r="3112" customFormat="false" ht="12" hidden="false" customHeight="false" outlineLevel="0" collapsed="false">
      <c r="A3112" s="203" t="s">
        <v>5581</v>
      </c>
    </row>
    <row r="3113" customFormat="false" ht="12" hidden="false" customHeight="false" outlineLevel="0" collapsed="false">
      <c r="A3113" s="203" t="s">
        <v>5582</v>
      </c>
    </row>
    <row r="3114" customFormat="false" ht="12" hidden="false" customHeight="false" outlineLevel="0" collapsed="false">
      <c r="A3114" s="203" t="s">
        <v>5583</v>
      </c>
    </row>
    <row r="3115" customFormat="false" ht="12" hidden="false" customHeight="false" outlineLevel="0" collapsed="false">
      <c r="A3115" s="203" t="s">
        <v>5584</v>
      </c>
    </row>
    <row r="3116" customFormat="false" ht="12" hidden="false" customHeight="false" outlineLevel="0" collapsed="false">
      <c r="A3116" s="203" t="s">
        <v>5585</v>
      </c>
    </row>
    <row r="3117" customFormat="false" ht="12" hidden="false" customHeight="false" outlineLevel="0" collapsed="false">
      <c r="A3117" s="203" t="s">
        <v>5586</v>
      </c>
    </row>
    <row r="3118" customFormat="false" ht="12" hidden="false" customHeight="false" outlineLevel="0" collapsed="false">
      <c r="A3118" s="203" t="s">
        <v>5587</v>
      </c>
    </row>
    <row r="3119" customFormat="false" ht="12" hidden="false" customHeight="false" outlineLevel="0" collapsed="false">
      <c r="A3119" s="203" t="s">
        <v>5588</v>
      </c>
    </row>
    <row r="3120" customFormat="false" ht="12" hidden="false" customHeight="false" outlineLevel="0" collapsed="false">
      <c r="A3120" s="203" t="s">
        <v>5589</v>
      </c>
    </row>
    <row r="3121" customFormat="false" ht="12" hidden="false" customHeight="false" outlineLevel="0" collapsed="false">
      <c r="A3121" s="203" t="s">
        <v>5590</v>
      </c>
    </row>
    <row r="3122" customFormat="false" ht="12" hidden="false" customHeight="false" outlineLevel="0" collapsed="false">
      <c r="A3122" s="203" t="s">
        <v>5591</v>
      </c>
    </row>
    <row r="3123" customFormat="false" ht="12" hidden="false" customHeight="false" outlineLevel="0" collapsed="false">
      <c r="A3123" s="203" t="s">
        <v>5592</v>
      </c>
    </row>
    <row r="3124" customFormat="false" ht="12" hidden="false" customHeight="false" outlineLevel="0" collapsed="false">
      <c r="A3124" s="203" t="s">
        <v>5593</v>
      </c>
    </row>
    <row r="3125" customFormat="false" ht="12" hidden="false" customHeight="false" outlineLevel="0" collapsed="false">
      <c r="A3125" s="203" t="s">
        <v>5594</v>
      </c>
    </row>
    <row r="3126" customFormat="false" ht="12" hidden="false" customHeight="false" outlineLevel="0" collapsed="false">
      <c r="A3126" s="203" t="s">
        <v>5595</v>
      </c>
    </row>
    <row r="3127" customFormat="false" ht="12" hidden="false" customHeight="false" outlineLevel="0" collapsed="false">
      <c r="A3127" s="203" t="s">
        <v>5596</v>
      </c>
    </row>
    <row r="3128" customFormat="false" ht="12" hidden="false" customHeight="false" outlineLevel="0" collapsed="false">
      <c r="A3128" s="203" t="s">
        <v>5597</v>
      </c>
    </row>
    <row r="3129" customFormat="false" ht="12" hidden="false" customHeight="false" outlineLevel="0" collapsed="false">
      <c r="A3129" s="203" t="s">
        <v>5598</v>
      </c>
    </row>
    <row r="3130" customFormat="false" ht="12" hidden="false" customHeight="false" outlineLevel="0" collapsed="false">
      <c r="A3130" s="203" t="s">
        <v>5599</v>
      </c>
    </row>
    <row r="3131" customFormat="false" ht="12" hidden="false" customHeight="false" outlineLevel="0" collapsed="false">
      <c r="A3131" s="203" t="s">
        <v>5600</v>
      </c>
    </row>
    <row r="3132" customFormat="false" ht="12" hidden="false" customHeight="false" outlineLevel="0" collapsed="false">
      <c r="A3132" s="203" t="s">
        <v>5601</v>
      </c>
    </row>
    <row r="3133" customFormat="false" ht="12" hidden="false" customHeight="false" outlineLevel="0" collapsed="false">
      <c r="A3133" s="203" t="s">
        <v>5602</v>
      </c>
    </row>
    <row r="3134" customFormat="false" ht="12" hidden="false" customHeight="false" outlineLevel="0" collapsed="false">
      <c r="A3134" s="203" t="s">
        <v>5603</v>
      </c>
    </row>
    <row r="3135" customFormat="false" ht="12" hidden="false" customHeight="false" outlineLevel="0" collapsed="false">
      <c r="A3135" s="203" t="s">
        <v>5604</v>
      </c>
    </row>
    <row r="3136" customFormat="false" ht="12" hidden="false" customHeight="false" outlineLevel="0" collapsed="false">
      <c r="A3136" s="203" t="s">
        <v>5605</v>
      </c>
    </row>
    <row r="3137" customFormat="false" ht="12" hidden="false" customHeight="false" outlineLevel="0" collapsed="false">
      <c r="A3137" s="203" t="s">
        <v>5606</v>
      </c>
    </row>
    <row r="3138" customFormat="false" ht="12" hidden="false" customHeight="false" outlineLevel="0" collapsed="false">
      <c r="A3138" s="203" t="s">
        <v>5607</v>
      </c>
    </row>
    <row r="3139" customFormat="false" ht="12" hidden="false" customHeight="false" outlineLevel="0" collapsed="false">
      <c r="A3139" s="203" t="s">
        <v>5608</v>
      </c>
    </row>
    <row r="3140" customFormat="false" ht="12" hidden="false" customHeight="false" outlineLevel="0" collapsed="false">
      <c r="A3140" s="203" t="s">
        <v>5609</v>
      </c>
    </row>
    <row r="3141" customFormat="false" ht="12" hidden="false" customHeight="false" outlineLevel="0" collapsed="false">
      <c r="A3141" s="203" t="s">
        <v>5610</v>
      </c>
    </row>
    <row r="3142" customFormat="false" ht="12" hidden="false" customHeight="false" outlineLevel="0" collapsed="false">
      <c r="A3142" s="203" t="s">
        <v>5611</v>
      </c>
    </row>
    <row r="3143" customFormat="false" ht="12" hidden="false" customHeight="false" outlineLevel="0" collapsed="false">
      <c r="A3143" s="203" t="s">
        <v>5612</v>
      </c>
    </row>
    <row r="3144" customFormat="false" ht="12" hidden="false" customHeight="false" outlineLevel="0" collapsed="false">
      <c r="A3144" s="203" t="s">
        <v>5613</v>
      </c>
    </row>
    <row r="3145" customFormat="false" ht="12" hidden="false" customHeight="false" outlineLevel="0" collapsed="false">
      <c r="A3145" s="203" t="s">
        <v>5614</v>
      </c>
    </row>
    <row r="3146" customFormat="false" ht="12" hidden="false" customHeight="false" outlineLevel="0" collapsed="false">
      <c r="A3146" s="203" t="s">
        <v>5615</v>
      </c>
    </row>
    <row r="3147" customFormat="false" ht="12" hidden="false" customHeight="false" outlineLevel="0" collapsed="false">
      <c r="A3147" s="203" t="s">
        <v>5616</v>
      </c>
    </row>
    <row r="3148" customFormat="false" ht="12" hidden="false" customHeight="false" outlineLevel="0" collapsed="false">
      <c r="A3148" s="203" t="s">
        <v>5617</v>
      </c>
    </row>
    <row r="3149" customFormat="false" ht="12" hidden="false" customHeight="false" outlineLevel="0" collapsed="false">
      <c r="A3149" s="203" t="s">
        <v>5618</v>
      </c>
    </row>
    <row r="3150" customFormat="false" ht="12" hidden="false" customHeight="false" outlineLevel="0" collapsed="false">
      <c r="A3150" s="203" t="s">
        <v>5619</v>
      </c>
    </row>
    <row r="3151" customFormat="false" ht="12" hidden="false" customHeight="false" outlineLevel="0" collapsed="false">
      <c r="A3151" s="203" t="s">
        <v>5620</v>
      </c>
    </row>
    <row r="3152" customFormat="false" ht="12" hidden="false" customHeight="false" outlineLevel="0" collapsed="false">
      <c r="A3152" s="203" t="s">
        <v>5621</v>
      </c>
    </row>
    <row r="3153" customFormat="false" ht="12" hidden="false" customHeight="false" outlineLevel="0" collapsed="false">
      <c r="A3153" s="203" t="s">
        <v>5622</v>
      </c>
    </row>
    <row r="3154" customFormat="false" ht="12" hidden="false" customHeight="false" outlineLevel="0" collapsed="false">
      <c r="A3154" s="203" t="s">
        <v>5623</v>
      </c>
    </row>
    <row r="3155" customFormat="false" ht="12" hidden="false" customHeight="false" outlineLevel="0" collapsed="false">
      <c r="A3155" s="203" t="s">
        <v>5624</v>
      </c>
    </row>
    <row r="3156" customFormat="false" ht="12" hidden="false" customHeight="false" outlineLevel="0" collapsed="false">
      <c r="A3156" s="203" t="s">
        <v>5625</v>
      </c>
    </row>
    <row r="3157" customFormat="false" ht="12" hidden="false" customHeight="false" outlineLevel="0" collapsed="false">
      <c r="A3157" s="203" t="s">
        <v>5626</v>
      </c>
    </row>
    <row r="3158" customFormat="false" ht="12" hidden="false" customHeight="false" outlineLevel="0" collapsed="false">
      <c r="A3158" s="203" t="s">
        <v>5627</v>
      </c>
    </row>
    <row r="3159" customFormat="false" ht="12" hidden="false" customHeight="false" outlineLevel="0" collapsed="false">
      <c r="A3159" s="203" t="s">
        <v>5628</v>
      </c>
    </row>
    <row r="3160" customFormat="false" ht="12" hidden="false" customHeight="false" outlineLevel="0" collapsed="false">
      <c r="A3160" s="203" t="s">
        <v>5629</v>
      </c>
    </row>
    <row r="3161" customFormat="false" ht="12" hidden="false" customHeight="false" outlineLevel="0" collapsed="false">
      <c r="A3161" s="203" t="s">
        <v>5630</v>
      </c>
    </row>
    <row r="3162" customFormat="false" ht="12" hidden="false" customHeight="false" outlineLevel="0" collapsed="false">
      <c r="A3162" s="203" t="s">
        <v>5631</v>
      </c>
    </row>
    <row r="3163" customFormat="false" ht="12" hidden="false" customHeight="false" outlineLevel="0" collapsed="false">
      <c r="A3163" s="203" t="s">
        <v>5632</v>
      </c>
    </row>
    <row r="3164" customFormat="false" ht="12" hidden="false" customHeight="false" outlineLevel="0" collapsed="false">
      <c r="A3164" s="203" t="s">
        <v>5633</v>
      </c>
    </row>
    <row r="3165" customFormat="false" ht="12" hidden="false" customHeight="false" outlineLevel="0" collapsed="false">
      <c r="A3165" s="203" t="s">
        <v>5634</v>
      </c>
    </row>
    <row r="3166" customFormat="false" ht="12" hidden="false" customHeight="false" outlineLevel="0" collapsed="false">
      <c r="A3166" s="203" t="s">
        <v>5635</v>
      </c>
    </row>
    <row r="3167" customFormat="false" ht="12" hidden="false" customHeight="false" outlineLevel="0" collapsed="false">
      <c r="A3167" s="203" t="s">
        <v>5636</v>
      </c>
    </row>
    <row r="3168" customFormat="false" ht="12" hidden="false" customHeight="false" outlineLevel="0" collapsed="false">
      <c r="A3168" s="203" t="s">
        <v>5637</v>
      </c>
    </row>
    <row r="3169" customFormat="false" ht="12" hidden="false" customHeight="false" outlineLevel="0" collapsed="false">
      <c r="A3169" s="203" t="s">
        <v>5638</v>
      </c>
    </row>
    <row r="3170" customFormat="false" ht="12" hidden="false" customHeight="false" outlineLevel="0" collapsed="false">
      <c r="A3170" s="203" t="s">
        <v>5639</v>
      </c>
    </row>
    <row r="3171" customFormat="false" ht="12" hidden="false" customHeight="false" outlineLevel="0" collapsed="false">
      <c r="A3171" s="203" t="s">
        <v>5640</v>
      </c>
    </row>
    <row r="3172" customFormat="false" ht="12" hidden="false" customHeight="false" outlineLevel="0" collapsed="false">
      <c r="A3172" s="203" t="s">
        <v>5641</v>
      </c>
    </row>
    <row r="3173" customFormat="false" ht="12" hidden="false" customHeight="false" outlineLevel="0" collapsed="false">
      <c r="A3173" s="203" t="s">
        <v>5642</v>
      </c>
    </row>
    <row r="3174" customFormat="false" ht="12" hidden="false" customHeight="false" outlineLevel="0" collapsed="false">
      <c r="A3174" s="203" t="s">
        <v>5643</v>
      </c>
    </row>
    <row r="3175" customFormat="false" ht="12" hidden="false" customHeight="false" outlineLevel="0" collapsed="false">
      <c r="A3175" s="203" t="s">
        <v>5644</v>
      </c>
    </row>
    <row r="3176" customFormat="false" ht="12" hidden="false" customHeight="false" outlineLevel="0" collapsed="false">
      <c r="A3176" s="203" t="s">
        <v>5645</v>
      </c>
    </row>
    <row r="3177" customFormat="false" ht="12" hidden="false" customHeight="false" outlineLevel="0" collapsed="false">
      <c r="A3177" s="203" t="s">
        <v>5646</v>
      </c>
    </row>
    <row r="3178" customFormat="false" ht="12" hidden="false" customHeight="false" outlineLevel="0" collapsed="false">
      <c r="A3178" s="203" t="s">
        <v>5647</v>
      </c>
    </row>
    <row r="3179" customFormat="false" ht="12" hidden="false" customHeight="false" outlineLevel="0" collapsed="false">
      <c r="A3179" s="203" t="s">
        <v>5648</v>
      </c>
    </row>
    <row r="3180" customFormat="false" ht="12" hidden="false" customHeight="false" outlineLevel="0" collapsed="false">
      <c r="A3180" s="203" t="s">
        <v>5649</v>
      </c>
    </row>
    <row r="3181" customFormat="false" ht="12" hidden="false" customHeight="false" outlineLevel="0" collapsed="false">
      <c r="A3181" s="203" t="s">
        <v>5650</v>
      </c>
    </row>
    <row r="3182" customFormat="false" ht="12" hidden="false" customHeight="false" outlineLevel="0" collapsed="false">
      <c r="A3182" s="203" t="s">
        <v>5651</v>
      </c>
    </row>
    <row r="3183" customFormat="false" ht="12" hidden="false" customHeight="false" outlineLevel="0" collapsed="false">
      <c r="A3183" s="203" t="s">
        <v>5652</v>
      </c>
    </row>
    <row r="3184" customFormat="false" ht="12" hidden="false" customHeight="false" outlineLevel="0" collapsed="false">
      <c r="A3184" s="203" t="s">
        <v>5653</v>
      </c>
    </row>
    <row r="3185" customFormat="false" ht="12" hidden="false" customHeight="false" outlineLevel="0" collapsed="false">
      <c r="A3185" s="203" t="s">
        <v>5654</v>
      </c>
    </row>
    <row r="3186" customFormat="false" ht="12" hidden="false" customHeight="false" outlineLevel="0" collapsed="false">
      <c r="A3186" s="203" t="s">
        <v>5655</v>
      </c>
    </row>
    <row r="3187" customFormat="false" ht="12" hidden="false" customHeight="false" outlineLevel="0" collapsed="false">
      <c r="A3187" s="203" t="s">
        <v>5656</v>
      </c>
    </row>
    <row r="3188" customFormat="false" ht="12" hidden="false" customHeight="false" outlineLevel="0" collapsed="false">
      <c r="A3188" s="203" t="s">
        <v>5657</v>
      </c>
    </row>
    <row r="3189" customFormat="false" ht="12" hidden="false" customHeight="false" outlineLevel="0" collapsed="false">
      <c r="A3189" s="203" t="s">
        <v>5658</v>
      </c>
    </row>
    <row r="3190" customFormat="false" ht="12" hidden="false" customHeight="false" outlineLevel="0" collapsed="false">
      <c r="A3190" s="203" t="s">
        <v>5659</v>
      </c>
    </row>
    <row r="3191" customFormat="false" ht="12" hidden="false" customHeight="false" outlineLevel="0" collapsed="false">
      <c r="A3191" s="203" t="s">
        <v>5660</v>
      </c>
    </row>
    <row r="3192" customFormat="false" ht="12" hidden="false" customHeight="false" outlineLevel="0" collapsed="false">
      <c r="A3192" s="203" t="s">
        <v>5661</v>
      </c>
    </row>
    <row r="3193" customFormat="false" ht="12" hidden="false" customHeight="false" outlineLevel="0" collapsed="false">
      <c r="A3193" s="203" t="s">
        <v>5662</v>
      </c>
    </row>
    <row r="3194" customFormat="false" ht="12" hidden="false" customHeight="false" outlineLevel="0" collapsed="false">
      <c r="A3194" s="203" t="s">
        <v>5663</v>
      </c>
    </row>
    <row r="3195" customFormat="false" ht="12" hidden="false" customHeight="false" outlineLevel="0" collapsed="false">
      <c r="A3195" s="203" t="s">
        <v>5664</v>
      </c>
    </row>
    <row r="3196" customFormat="false" ht="12" hidden="false" customHeight="false" outlineLevel="0" collapsed="false">
      <c r="A3196" s="203" t="s">
        <v>5665</v>
      </c>
    </row>
    <row r="3197" customFormat="false" ht="12" hidden="false" customHeight="false" outlineLevel="0" collapsed="false">
      <c r="A3197" s="203" t="s">
        <v>5666</v>
      </c>
    </row>
    <row r="3198" customFormat="false" ht="12" hidden="false" customHeight="false" outlineLevel="0" collapsed="false">
      <c r="A3198" s="203" t="s">
        <v>5667</v>
      </c>
    </row>
    <row r="3199" customFormat="false" ht="12" hidden="false" customHeight="false" outlineLevel="0" collapsed="false">
      <c r="A3199" s="203" t="s">
        <v>5668</v>
      </c>
    </row>
    <row r="3200" customFormat="false" ht="12" hidden="false" customHeight="false" outlineLevel="0" collapsed="false">
      <c r="A3200" s="203" t="s">
        <v>5669</v>
      </c>
    </row>
    <row r="3201" customFormat="false" ht="12" hidden="false" customHeight="false" outlineLevel="0" collapsed="false">
      <c r="A3201" s="203" t="s">
        <v>5670</v>
      </c>
    </row>
    <row r="3202" customFormat="false" ht="12" hidden="false" customHeight="false" outlineLevel="0" collapsed="false">
      <c r="A3202" s="203" t="s">
        <v>5671</v>
      </c>
    </row>
    <row r="3203" customFormat="false" ht="12" hidden="false" customHeight="false" outlineLevel="0" collapsed="false">
      <c r="A3203" s="203" t="s">
        <v>5672</v>
      </c>
    </row>
    <row r="3204" customFormat="false" ht="12" hidden="false" customHeight="false" outlineLevel="0" collapsed="false">
      <c r="A3204" s="203" t="s">
        <v>5673</v>
      </c>
    </row>
    <row r="3205" customFormat="false" ht="12" hidden="false" customHeight="false" outlineLevel="0" collapsed="false">
      <c r="A3205" s="203" t="s">
        <v>5674</v>
      </c>
    </row>
    <row r="3206" customFormat="false" ht="12" hidden="false" customHeight="false" outlineLevel="0" collapsed="false">
      <c r="A3206" s="203" t="s">
        <v>5675</v>
      </c>
    </row>
    <row r="3207" customFormat="false" ht="12" hidden="false" customHeight="false" outlineLevel="0" collapsed="false">
      <c r="A3207" s="203" t="s">
        <v>5676</v>
      </c>
    </row>
    <row r="3208" customFormat="false" ht="12" hidden="false" customHeight="false" outlineLevel="0" collapsed="false">
      <c r="A3208" s="203" t="s">
        <v>5677</v>
      </c>
    </row>
    <row r="3209" customFormat="false" ht="12" hidden="false" customHeight="false" outlineLevel="0" collapsed="false">
      <c r="A3209" s="203" t="s">
        <v>5678</v>
      </c>
    </row>
    <row r="3210" customFormat="false" ht="12" hidden="false" customHeight="false" outlineLevel="0" collapsed="false">
      <c r="A3210" s="203" t="s">
        <v>5679</v>
      </c>
    </row>
    <row r="3211" customFormat="false" ht="12" hidden="false" customHeight="false" outlineLevel="0" collapsed="false">
      <c r="A3211" s="203" t="s">
        <v>5680</v>
      </c>
    </row>
    <row r="3212" customFormat="false" ht="12" hidden="false" customHeight="false" outlineLevel="0" collapsed="false">
      <c r="A3212" s="203" t="s">
        <v>5681</v>
      </c>
    </row>
    <row r="3213" customFormat="false" ht="12" hidden="false" customHeight="false" outlineLevel="0" collapsed="false">
      <c r="A3213" s="203" t="s">
        <v>5682</v>
      </c>
    </row>
    <row r="3214" customFormat="false" ht="12" hidden="false" customHeight="false" outlineLevel="0" collapsed="false">
      <c r="A3214" s="203" t="s">
        <v>5683</v>
      </c>
    </row>
    <row r="3215" customFormat="false" ht="12" hidden="false" customHeight="false" outlineLevel="0" collapsed="false">
      <c r="A3215" s="203" t="s">
        <v>5684</v>
      </c>
    </row>
    <row r="3216" customFormat="false" ht="12" hidden="false" customHeight="false" outlineLevel="0" collapsed="false">
      <c r="A3216" s="203" t="s">
        <v>5685</v>
      </c>
    </row>
    <row r="3217" customFormat="false" ht="12" hidden="false" customHeight="false" outlineLevel="0" collapsed="false">
      <c r="A3217" s="203" t="s">
        <v>5686</v>
      </c>
    </row>
    <row r="3218" customFormat="false" ht="12" hidden="false" customHeight="false" outlineLevel="0" collapsed="false">
      <c r="A3218" s="203" t="s">
        <v>5687</v>
      </c>
    </row>
    <row r="3219" customFormat="false" ht="12" hidden="false" customHeight="false" outlineLevel="0" collapsed="false">
      <c r="A3219" s="203" t="s">
        <v>5688</v>
      </c>
    </row>
    <row r="3220" customFormat="false" ht="12" hidden="false" customHeight="false" outlineLevel="0" collapsed="false">
      <c r="A3220" s="203" t="s">
        <v>5689</v>
      </c>
    </row>
    <row r="3221" customFormat="false" ht="12" hidden="false" customHeight="false" outlineLevel="0" collapsed="false">
      <c r="A3221" s="203" t="s">
        <v>5690</v>
      </c>
    </row>
    <row r="3222" customFormat="false" ht="12" hidden="false" customHeight="false" outlineLevel="0" collapsed="false">
      <c r="A3222" s="203" t="s">
        <v>5691</v>
      </c>
    </row>
    <row r="3223" customFormat="false" ht="12" hidden="false" customHeight="false" outlineLevel="0" collapsed="false">
      <c r="A3223" s="203" t="s">
        <v>5692</v>
      </c>
    </row>
    <row r="3224" customFormat="false" ht="12" hidden="false" customHeight="false" outlineLevel="0" collapsed="false">
      <c r="A3224" s="203" t="s">
        <v>5693</v>
      </c>
    </row>
    <row r="3225" customFormat="false" ht="12" hidden="false" customHeight="false" outlineLevel="0" collapsed="false">
      <c r="A3225" s="203" t="s">
        <v>5694</v>
      </c>
    </row>
    <row r="3226" customFormat="false" ht="12" hidden="false" customHeight="false" outlineLevel="0" collapsed="false">
      <c r="A3226" s="203" t="s">
        <v>5695</v>
      </c>
    </row>
    <row r="3227" customFormat="false" ht="12" hidden="false" customHeight="false" outlineLevel="0" collapsed="false">
      <c r="A3227" s="203" t="s">
        <v>5696</v>
      </c>
    </row>
    <row r="3228" customFormat="false" ht="12" hidden="false" customHeight="false" outlineLevel="0" collapsed="false">
      <c r="A3228" s="203" t="s">
        <v>5697</v>
      </c>
    </row>
    <row r="3229" customFormat="false" ht="12" hidden="false" customHeight="false" outlineLevel="0" collapsed="false">
      <c r="A3229" s="203" t="s">
        <v>5698</v>
      </c>
    </row>
    <row r="3230" customFormat="false" ht="12" hidden="false" customHeight="false" outlineLevel="0" collapsed="false">
      <c r="A3230" s="203" t="s">
        <v>5699</v>
      </c>
    </row>
    <row r="3231" customFormat="false" ht="12" hidden="false" customHeight="false" outlineLevel="0" collapsed="false">
      <c r="A3231" s="203" t="s">
        <v>5700</v>
      </c>
    </row>
    <row r="3232" customFormat="false" ht="12" hidden="false" customHeight="false" outlineLevel="0" collapsed="false">
      <c r="A3232" s="203" t="s">
        <v>5701</v>
      </c>
    </row>
    <row r="3233" customFormat="false" ht="12" hidden="false" customHeight="false" outlineLevel="0" collapsed="false">
      <c r="A3233" s="203" t="s">
        <v>5702</v>
      </c>
    </row>
    <row r="3234" customFormat="false" ht="12" hidden="false" customHeight="false" outlineLevel="0" collapsed="false">
      <c r="A3234" s="203" t="s">
        <v>5703</v>
      </c>
    </row>
    <row r="3235" customFormat="false" ht="12" hidden="false" customHeight="false" outlineLevel="0" collapsed="false">
      <c r="A3235" s="203" t="s">
        <v>5704</v>
      </c>
    </row>
    <row r="3236" customFormat="false" ht="12" hidden="false" customHeight="false" outlineLevel="0" collapsed="false">
      <c r="A3236" s="203" t="s">
        <v>5705</v>
      </c>
    </row>
    <row r="3237" customFormat="false" ht="12" hidden="false" customHeight="false" outlineLevel="0" collapsed="false">
      <c r="A3237" s="203" t="s">
        <v>5706</v>
      </c>
    </row>
    <row r="3238" customFormat="false" ht="12" hidden="false" customHeight="false" outlineLevel="0" collapsed="false">
      <c r="A3238" s="203" t="s">
        <v>5707</v>
      </c>
    </row>
    <row r="3239" customFormat="false" ht="12" hidden="false" customHeight="false" outlineLevel="0" collapsed="false">
      <c r="A3239" s="203" t="s">
        <v>5708</v>
      </c>
    </row>
    <row r="3240" customFormat="false" ht="12" hidden="false" customHeight="false" outlineLevel="0" collapsed="false">
      <c r="A3240" s="203" t="s">
        <v>5709</v>
      </c>
    </row>
    <row r="3241" customFormat="false" ht="12" hidden="false" customHeight="false" outlineLevel="0" collapsed="false">
      <c r="A3241" s="203" t="s">
        <v>5710</v>
      </c>
    </row>
    <row r="3242" customFormat="false" ht="12" hidden="false" customHeight="false" outlineLevel="0" collapsed="false">
      <c r="A3242" s="203" t="s">
        <v>5711</v>
      </c>
    </row>
    <row r="3243" customFormat="false" ht="12" hidden="false" customHeight="false" outlineLevel="0" collapsed="false">
      <c r="A3243" s="203" t="s">
        <v>5712</v>
      </c>
    </row>
    <row r="3244" customFormat="false" ht="12" hidden="false" customHeight="false" outlineLevel="0" collapsed="false">
      <c r="A3244" s="203" t="s">
        <v>5713</v>
      </c>
    </row>
    <row r="3245" customFormat="false" ht="12" hidden="false" customHeight="false" outlineLevel="0" collapsed="false">
      <c r="A3245" s="203" t="s">
        <v>5714</v>
      </c>
    </row>
    <row r="3246" customFormat="false" ht="12" hidden="false" customHeight="false" outlineLevel="0" collapsed="false">
      <c r="A3246" s="203" t="s">
        <v>5715</v>
      </c>
    </row>
    <row r="3247" customFormat="false" ht="12" hidden="false" customHeight="false" outlineLevel="0" collapsed="false">
      <c r="A3247" s="203" t="s">
        <v>5716</v>
      </c>
    </row>
    <row r="3248" customFormat="false" ht="12" hidden="false" customHeight="false" outlineLevel="0" collapsed="false">
      <c r="A3248" s="203" t="s">
        <v>5717</v>
      </c>
    </row>
    <row r="3249" customFormat="false" ht="12" hidden="false" customHeight="false" outlineLevel="0" collapsed="false">
      <c r="A3249" s="203" t="s">
        <v>5718</v>
      </c>
    </row>
    <row r="3250" customFormat="false" ht="12" hidden="false" customHeight="false" outlineLevel="0" collapsed="false">
      <c r="A3250" s="203" t="s">
        <v>5719</v>
      </c>
    </row>
    <row r="3251" customFormat="false" ht="12" hidden="false" customHeight="false" outlineLevel="0" collapsed="false">
      <c r="A3251" s="203" t="s">
        <v>5720</v>
      </c>
    </row>
    <row r="3252" customFormat="false" ht="12" hidden="false" customHeight="false" outlineLevel="0" collapsed="false">
      <c r="A3252" s="203" t="s">
        <v>5721</v>
      </c>
    </row>
    <row r="3253" customFormat="false" ht="12" hidden="false" customHeight="false" outlineLevel="0" collapsed="false">
      <c r="A3253" s="203" t="s">
        <v>5722</v>
      </c>
    </row>
    <row r="3254" customFormat="false" ht="12" hidden="false" customHeight="false" outlineLevel="0" collapsed="false">
      <c r="A3254" s="203" t="s">
        <v>5723</v>
      </c>
    </row>
    <row r="3255" customFormat="false" ht="12" hidden="false" customHeight="false" outlineLevel="0" collapsed="false">
      <c r="A3255" s="203" t="s">
        <v>5724</v>
      </c>
    </row>
    <row r="3256" customFormat="false" ht="12" hidden="false" customHeight="false" outlineLevel="0" collapsed="false">
      <c r="A3256" s="203" t="s">
        <v>5725</v>
      </c>
    </row>
    <row r="3257" customFormat="false" ht="12" hidden="false" customHeight="false" outlineLevel="0" collapsed="false">
      <c r="A3257" s="203" t="s">
        <v>5726</v>
      </c>
    </row>
    <row r="3258" customFormat="false" ht="12" hidden="false" customHeight="false" outlineLevel="0" collapsed="false">
      <c r="A3258" s="203" t="s">
        <v>5727</v>
      </c>
    </row>
    <row r="3259" customFormat="false" ht="12" hidden="false" customHeight="false" outlineLevel="0" collapsed="false">
      <c r="A3259" s="203" t="s">
        <v>5728</v>
      </c>
    </row>
    <row r="3260" customFormat="false" ht="12" hidden="false" customHeight="false" outlineLevel="0" collapsed="false">
      <c r="A3260" s="203" t="s">
        <v>5729</v>
      </c>
    </row>
    <row r="3261" customFormat="false" ht="12" hidden="false" customHeight="false" outlineLevel="0" collapsed="false">
      <c r="A3261" s="203" t="s">
        <v>5730</v>
      </c>
    </row>
    <row r="3262" customFormat="false" ht="12" hidden="false" customHeight="false" outlineLevel="0" collapsed="false">
      <c r="A3262" s="203" t="s">
        <v>5731</v>
      </c>
    </row>
    <row r="3263" customFormat="false" ht="12" hidden="false" customHeight="false" outlineLevel="0" collapsed="false">
      <c r="A3263" s="203" t="s">
        <v>5732</v>
      </c>
    </row>
    <row r="3264" customFormat="false" ht="12" hidden="false" customHeight="false" outlineLevel="0" collapsed="false">
      <c r="A3264" s="203" t="s">
        <v>5733</v>
      </c>
    </row>
    <row r="3265" customFormat="false" ht="12" hidden="false" customHeight="false" outlineLevel="0" collapsed="false">
      <c r="A3265" s="203" t="s">
        <v>5734</v>
      </c>
    </row>
    <row r="3266" customFormat="false" ht="12" hidden="false" customHeight="false" outlineLevel="0" collapsed="false">
      <c r="A3266" s="203" t="s">
        <v>5735</v>
      </c>
    </row>
    <row r="3267" customFormat="false" ht="12" hidden="false" customHeight="false" outlineLevel="0" collapsed="false">
      <c r="A3267" s="203" t="s">
        <v>5736</v>
      </c>
    </row>
    <row r="3268" customFormat="false" ht="12" hidden="false" customHeight="false" outlineLevel="0" collapsed="false">
      <c r="A3268" s="203" t="s">
        <v>5737</v>
      </c>
    </row>
    <row r="3269" customFormat="false" ht="12" hidden="false" customHeight="false" outlineLevel="0" collapsed="false">
      <c r="A3269" s="203" t="s">
        <v>5738</v>
      </c>
    </row>
    <row r="3270" customFormat="false" ht="12" hidden="false" customHeight="false" outlineLevel="0" collapsed="false">
      <c r="A3270" s="203" t="s">
        <v>5739</v>
      </c>
    </row>
    <row r="3271" customFormat="false" ht="12" hidden="false" customHeight="false" outlineLevel="0" collapsed="false">
      <c r="A3271" s="203" t="s">
        <v>5740</v>
      </c>
    </row>
    <row r="3272" customFormat="false" ht="12" hidden="false" customHeight="false" outlineLevel="0" collapsed="false">
      <c r="A3272" s="203" t="s">
        <v>5741</v>
      </c>
    </row>
    <row r="3273" customFormat="false" ht="12" hidden="false" customHeight="false" outlineLevel="0" collapsed="false">
      <c r="A3273" s="203" t="s">
        <v>5742</v>
      </c>
    </row>
    <row r="3274" customFormat="false" ht="12" hidden="false" customHeight="false" outlineLevel="0" collapsed="false">
      <c r="A3274" s="203" t="s">
        <v>5743</v>
      </c>
    </row>
    <row r="3275" customFormat="false" ht="12" hidden="false" customHeight="false" outlineLevel="0" collapsed="false">
      <c r="A3275" s="203" t="s">
        <v>5744</v>
      </c>
    </row>
    <row r="3276" customFormat="false" ht="12" hidden="false" customHeight="false" outlineLevel="0" collapsed="false">
      <c r="A3276" s="203" t="s">
        <v>5745</v>
      </c>
    </row>
    <row r="3277" customFormat="false" ht="12" hidden="false" customHeight="false" outlineLevel="0" collapsed="false">
      <c r="A3277" s="203" t="s">
        <v>5746</v>
      </c>
    </row>
    <row r="3278" customFormat="false" ht="12" hidden="false" customHeight="false" outlineLevel="0" collapsed="false">
      <c r="A3278" s="203" t="s">
        <v>5747</v>
      </c>
    </row>
    <row r="3279" customFormat="false" ht="12" hidden="false" customHeight="false" outlineLevel="0" collapsed="false">
      <c r="A3279" s="203" t="s">
        <v>5748</v>
      </c>
    </row>
    <row r="3280" customFormat="false" ht="12" hidden="false" customHeight="false" outlineLevel="0" collapsed="false">
      <c r="A3280" s="203" t="s">
        <v>5749</v>
      </c>
    </row>
    <row r="3281" customFormat="false" ht="12" hidden="false" customHeight="false" outlineLevel="0" collapsed="false">
      <c r="A3281" s="203" t="s">
        <v>5750</v>
      </c>
    </row>
    <row r="3282" customFormat="false" ht="12" hidden="false" customHeight="false" outlineLevel="0" collapsed="false">
      <c r="A3282" s="203" t="s">
        <v>5751</v>
      </c>
    </row>
    <row r="3283" customFormat="false" ht="12" hidden="false" customHeight="false" outlineLevel="0" collapsed="false">
      <c r="A3283" s="203" t="s">
        <v>5752</v>
      </c>
    </row>
    <row r="3284" customFormat="false" ht="12" hidden="false" customHeight="false" outlineLevel="0" collapsed="false">
      <c r="A3284" s="203" t="s">
        <v>5753</v>
      </c>
    </row>
    <row r="3285" customFormat="false" ht="12" hidden="false" customHeight="false" outlineLevel="0" collapsed="false">
      <c r="A3285" s="203" t="s">
        <v>5754</v>
      </c>
    </row>
    <row r="3286" customFormat="false" ht="12" hidden="false" customHeight="false" outlineLevel="0" collapsed="false">
      <c r="A3286" s="203" t="s">
        <v>5755</v>
      </c>
    </row>
    <row r="3287" customFormat="false" ht="12" hidden="false" customHeight="false" outlineLevel="0" collapsed="false">
      <c r="A3287" s="203" t="s">
        <v>5756</v>
      </c>
    </row>
    <row r="3288" customFormat="false" ht="12" hidden="false" customHeight="false" outlineLevel="0" collapsed="false">
      <c r="A3288" s="203" t="s">
        <v>5757</v>
      </c>
    </row>
    <row r="3289" customFormat="false" ht="12" hidden="false" customHeight="false" outlineLevel="0" collapsed="false">
      <c r="A3289" s="203" t="s">
        <v>5758</v>
      </c>
    </row>
    <row r="3290" customFormat="false" ht="12" hidden="false" customHeight="false" outlineLevel="0" collapsed="false">
      <c r="A3290" s="203" t="s">
        <v>5759</v>
      </c>
    </row>
    <row r="3291" customFormat="false" ht="12" hidden="false" customHeight="false" outlineLevel="0" collapsed="false">
      <c r="A3291" s="203" t="s">
        <v>5760</v>
      </c>
    </row>
    <row r="3292" customFormat="false" ht="12" hidden="false" customHeight="false" outlineLevel="0" collapsed="false">
      <c r="A3292" s="203" t="s">
        <v>5761</v>
      </c>
    </row>
    <row r="3293" customFormat="false" ht="12" hidden="false" customHeight="false" outlineLevel="0" collapsed="false">
      <c r="A3293" s="203" t="s">
        <v>5762</v>
      </c>
    </row>
    <row r="3294" customFormat="false" ht="12" hidden="false" customHeight="false" outlineLevel="0" collapsed="false">
      <c r="A3294" s="203" t="s">
        <v>5763</v>
      </c>
    </row>
    <row r="3295" customFormat="false" ht="12" hidden="false" customHeight="false" outlineLevel="0" collapsed="false">
      <c r="A3295" s="203" t="s">
        <v>5764</v>
      </c>
    </row>
    <row r="3296" customFormat="false" ht="12" hidden="false" customHeight="false" outlineLevel="0" collapsed="false">
      <c r="A3296" s="203" t="s">
        <v>5765</v>
      </c>
    </row>
    <row r="3297" customFormat="false" ht="12" hidden="false" customHeight="false" outlineLevel="0" collapsed="false">
      <c r="A3297" s="203" t="s">
        <v>5766</v>
      </c>
    </row>
    <row r="3298" customFormat="false" ht="12" hidden="false" customHeight="false" outlineLevel="0" collapsed="false">
      <c r="A3298" s="203" t="s">
        <v>5767</v>
      </c>
    </row>
    <row r="3299" customFormat="false" ht="12" hidden="false" customHeight="false" outlineLevel="0" collapsed="false">
      <c r="A3299" s="203" t="s">
        <v>5768</v>
      </c>
    </row>
    <row r="3300" customFormat="false" ht="12" hidden="false" customHeight="false" outlineLevel="0" collapsed="false">
      <c r="A3300" s="203" t="s">
        <v>5769</v>
      </c>
    </row>
    <row r="3301" customFormat="false" ht="12" hidden="false" customHeight="false" outlineLevel="0" collapsed="false">
      <c r="A3301" s="203" t="s">
        <v>5770</v>
      </c>
    </row>
    <row r="3302" customFormat="false" ht="12" hidden="false" customHeight="false" outlineLevel="0" collapsed="false">
      <c r="A3302" s="203" t="s">
        <v>5771</v>
      </c>
    </row>
    <row r="3303" customFormat="false" ht="12" hidden="false" customHeight="false" outlineLevel="0" collapsed="false">
      <c r="A3303" s="203" t="s">
        <v>5772</v>
      </c>
    </row>
    <row r="3304" customFormat="false" ht="12" hidden="false" customHeight="false" outlineLevel="0" collapsed="false">
      <c r="A3304" s="203" t="s">
        <v>5773</v>
      </c>
    </row>
    <row r="3305" customFormat="false" ht="12" hidden="false" customHeight="false" outlineLevel="0" collapsed="false">
      <c r="A3305" s="203" t="s">
        <v>5774</v>
      </c>
    </row>
    <row r="3306" customFormat="false" ht="12" hidden="false" customHeight="false" outlineLevel="0" collapsed="false">
      <c r="A3306" s="203" t="s">
        <v>5775</v>
      </c>
    </row>
    <row r="3307" customFormat="false" ht="12" hidden="false" customHeight="false" outlineLevel="0" collapsed="false">
      <c r="A3307" s="203" t="s">
        <v>5776</v>
      </c>
    </row>
    <row r="3308" customFormat="false" ht="12" hidden="false" customHeight="false" outlineLevel="0" collapsed="false">
      <c r="A3308" s="203" t="s">
        <v>5777</v>
      </c>
    </row>
    <row r="3309" customFormat="false" ht="12" hidden="false" customHeight="false" outlineLevel="0" collapsed="false">
      <c r="A3309" s="203" t="s">
        <v>5778</v>
      </c>
    </row>
    <row r="3310" customFormat="false" ht="12" hidden="false" customHeight="false" outlineLevel="0" collapsed="false">
      <c r="A3310" s="203" t="s">
        <v>5779</v>
      </c>
    </row>
    <row r="3311" customFormat="false" ht="12" hidden="false" customHeight="false" outlineLevel="0" collapsed="false">
      <c r="A3311" s="203" t="s">
        <v>5780</v>
      </c>
    </row>
    <row r="3312" customFormat="false" ht="12" hidden="false" customHeight="false" outlineLevel="0" collapsed="false">
      <c r="A3312" s="203" t="s">
        <v>5781</v>
      </c>
    </row>
    <row r="3313" customFormat="false" ht="12" hidden="false" customHeight="false" outlineLevel="0" collapsed="false">
      <c r="A3313" s="203" t="s">
        <v>5782</v>
      </c>
    </row>
    <row r="3314" customFormat="false" ht="12" hidden="false" customHeight="false" outlineLevel="0" collapsed="false">
      <c r="A3314" s="203" t="s">
        <v>5783</v>
      </c>
    </row>
    <row r="3315" customFormat="false" ht="12" hidden="false" customHeight="false" outlineLevel="0" collapsed="false">
      <c r="A3315" s="203" t="s">
        <v>5784</v>
      </c>
    </row>
    <row r="3316" customFormat="false" ht="12" hidden="false" customHeight="false" outlineLevel="0" collapsed="false">
      <c r="A3316" s="203" t="s">
        <v>5785</v>
      </c>
    </row>
    <row r="3317" customFormat="false" ht="12" hidden="false" customHeight="false" outlineLevel="0" collapsed="false">
      <c r="A3317" s="203" t="s">
        <v>5786</v>
      </c>
    </row>
    <row r="3318" customFormat="false" ht="12" hidden="false" customHeight="false" outlineLevel="0" collapsed="false">
      <c r="A3318" s="203" t="s">
        <v>5787</v>
      </c>
    </row>
    <row r="3319" customFormat="false" ht="12" hidden="false" customHeight="false" outlineLevel="0" collapsed="false">
      <c r="A3319" s="203" t="s">
        <v>5788</v>
      </c>
    </row>
    <row r="3320" customFormat="false" ht="12" hidden="false" customHeight="false" outlineLevel="0" collapsed="false">
      <c r="A3320" s="203" t="s">
        <v>5789</v>
      </c>
    </row>
    <row r="3321" customFormat="false" ht="12" hidden="false" customHeight="false" outlineLevel="0" collapsed="false">
      <c r="A3321" s="203" t="s">
        <v>5790</v>
      </c>
    </row>
    <row r="3322" customFormat="false" ht="12" hidden="false" customHeight="false" outlineLevel="0" collapsed="false">
      <c r="A3322" s="203" t="s">
        <v>5791</v>
      </c>
    </row>
    <row r="3323" customFormat="false" ht="12" hidden="false" customHeight="false" outlineLevel="0" collapsed="false">
      <c r="A3323" s="203" t="s">
        <v>5792</v>
      </c>
    </row>
    <row r="3324" customFormat="false" ht="12" hidden="false" customHeight="false" outlineLevel="0" collapsed="false">
      <c r="A3324" s="203" t="s">
        <v>5793</v>
      </c>
    </row>
    <row r="3325" customFormat="false" ht="12" hidden="false" customHeight="false" outlineLevel="0" collapsed="false">
      <c r="A3325" s="203" t="s">
        <v>5794</v>
      </c>
    </row>
    <row r="3326" customFormat="false" ht="12" hidden="false" customHeight="false" outlineLevel="0" collapsed="false">
      <c r="A3326" s="203" t="s">
        <v>5795</v>
      </c>
    </row>
    <row r="3327" customFormat="false" ht="12" hidden="false" customHeight="false" outlineLevel="0" collapsed="false">
      <c r="A3327" s="203" t="s">
        <v>5796</v>
      </c>
    </row>
    <row r="3328" customFormat="false" ht="12" hidden="false" customHeight="false" outlineLevel="0" collapsed="false">
      <c r="A3328" s="203" t="s">
        <v>5797</v>
      </c>
    </row>
    <row r="3329" customFormat="false" ht="12" hidden="false" customHeight="false" outlineLevel="0" collapsed="false">
      <c r="A3329" s="203" t="s">
        <v>5798</v>
      </c>
    </row>
    <row r="3330" customFormat="false" ht="12" hidden="false" customHeight="false" outlineLevel="0" collapsed="false">
      <c r="A3330" s="203" t="s">
        <v>5799</v>
      </c>
    </row>
    <row r="3331" customFormat="false" ht="12" hidden="false" customHeight="false" outlineLevel="0" collapsed="false">
      <c r="A3331" s="203" t="s">
        <v>5800</v>
      </c>
    </row>
    <row r="3332" customFormat="false" ht="12" hidden="false" customHeight="false" outlineLevel="0" collapsed="false">
      <c r="A3332" s="203" t="s">
        <v>5801</v>
      </c>
    </row>
    <row r="3333" customFormat="false" ht="12" hidden="false" customHeight="false" outlineLevel="0" collapsed="false">
      <c r="A3333" s="203" t="s">
        <v>5802</v>
      </c>
    </row>
    <row r="3334" customFormat="false" ht="12" hidden="false" customHeight="false" outlineLevel="0" collapsed="false">
      <c r="A3334" s="203" t="s">
        <v>5803</v>
      </c>
    </row>
    <row r="3335" customFormat="false" ht="12" hidden="false" customHeight="false" outlineLevel="0" collapsed="false">
      <c r="A3335" s="203" t="s">
        <v>5804</v>
      </c>
    </row>
    <row r="3336" customFormat="false" ht="12" hidden="false" customHeight="false" outlineLevel="0" collapsed="false">
      <c r="A3336" s="203" t="s">
        <v>5805</v>
      </c>
    </row>
    <row r="3337" customFormat="false" ht="12" hidden="false" customHeight="false" outlineLevel="0" collapsed="false">
      <c r="A3337" s="203" t="s">
        <v>5806</v>
      </c>
    </row>
    <row r="3338" customFormat="false" ht="12" hidden="false" customHeight="false" outlineLevel="0" collapsed="false">
      <c r="A3338" s="203" t="s">
        <v>5807</v>
      </c>
    </row>
    <row r="3339" customFormat="false" ht="12" hidden="false" customHeight="false" outlineLevel="0" collapsed="false">
      <c r="A3339" s="203" t="s">
        <v>5808</v>
      </c>
    </row>
    <row r="3340" customFormat="false" ht="12" hidden="false" customHeight="false" outlineLevel="0" collapsed="false">
      <c r="A3340" s="203" t="s">
        <v>5809</v>
      </c>
    </row>
    <row r="3341" customFormat="false" ht="12" hidden="false" customHeight="false" outlineLevel="0" collapsed="false">
      <c r="A3341" s="203" t="s">
        <v>5810</v>
      </c>
    </row>
    <row r="3342" customFormat="false" ht="12" hidden="false" customHeight="false" outlineLevel="0" collapsed="false">
      <c r="A3342" s="203" t="s">
        <v>5811</v>
      </c>
    </row>
    <row r="3343" customFormat="false" ht="12" hidden="false" customHeight="false" outlineLevel="0" collapsed="false">
      <c r="A3343" s="203" t="s">
        <v>5812</v>
      </c>
    </row>
    <row r="3344" customFormat="false" ht="12" hidden="false" customHeight="false" outlineLevel="0" collapsed="false">
      <c r="A3344" s="203" t="s">
        <v>5813</v>
      </c>
    </row>
    <row r="3345" customFormat="false" ht="12" hidden="false" customHeight="false" outlineLevel="0" collapsed="false">
      <c r="A3345" s="203" t="s">
        <v>5814</v>
      </c>
    </row>
    <row r="3346" customFormat="false" ht="12" hidden="false" customHeight="false" outlineLevel="0" collapsed="false">
      <c r="A3346" s="203" t="s">
        <v>5815</v>
      </c>
    </row>
    <row r="3347" customFormat="false" ht="12" hidden="false" customHeight="false" outlineLevel="0" collapsed="false">
      <c r="A3347" s="203" t="s">
        <v>5816</v>
      </c>
    </row>
    <row r="3348" customFormat="false" ht="12" hidden="false" customHeight="false" outlineLevel="0" collapsed="false">
      <c r="A3348" s="203" t="s">
        <v>5817</v>
      </c>
    </row>
    <row r="3349" customFormat="false" ht="12" hidden="false" customHeight="false" outlineLevel="0" collapsed="false">
      <c r="A3349" s="203" t="s">
        <v>5818</v>
      </c>
    </row>
    <row r="3350" customFormat="false" ht="12" hidden="false" customHeight="false" outlineLevel="0" collapsed="false">
      <c r="A3350" s="203" t="s">
        <v>5819</v>
      </c>
    </row>
    <row r="3351" customFormat="false" ht="12" hidden="false" customHeight="false" outlineLevel="0" collapsed="false">
      <c r="A3351" s="203" t="s">
        <v>5820</v>
      </c>
    </row>
    <row r="3352" customFormat="false" ht="12" hidden="false" customHeight="false" outlineLevel="0" collapsed="false">
      <c r="A3352" s="203" t="s">
        <v>5821</v>
      </c>
    </row>
    <row r="3353" customFormat="false" ht="12" hidden="false" customHeight="false" outlineLevel="0" collapsed="false">
      <c r="A3353" s="203" t="s">
        <v>5822</v>
      </c>
    </row>
    <row r="3354" customFormat="false" ht="12" hidden="false" customHeight="false" outlineLevel="0" collapsed="false">
      <c r="A3354" s="203" t="s">
        <v>5823</v>
      </c>
    </row>
    <row r="3355" customFormat="false" ht="12" hidden="false" customHeight="false" outlineLevel="0" collapsed="false">
      <c r="A3355" s="203" t="s">
        <v>5824</v>
      </c>
    </row>
    <row r="3356" customFormat="false" ht="12" hidden="false" customHeight="false" outlineLevel="0" collapsed="false">
      <c r="A3356" s="203" t="s">
        <v>5825</v>
      </c>
    </row>
    <row r="3357" customFormat="false" ht="12" hidden="false" customHeight="false" outlineLevel="0" collapsed="false">
      <c r="A3357" s="203" t="s">
        <v>5826</v>
      </c>
    </row>
    <row r="3358" customFormat="false" ht="12" hidden="false" customHeight="false" outlineLevel="0" collapsed="false">
      <c r="A3358" s="203" t="s">
        <v>5827</v>
      </c>
    </row>
    <row r="3359" customFormat="false" ht="12" hidden="false" customHeight="false" outlineLevel="0" collapsed="false">
      <c r="A3359" s="203" t="s">
        <v>5828</v>
      </c>
    </row>
    <row r="3360" customFormat="false" ht="12" hidden="false" customHeight="false" outlineLevel="0" collapsed="false">
      <c r="A3360" s="203" t="s">
        <v>5829</v>
      </c>
    </row>
    <row r="3361" customFormat="false" ht="12" hidden="false" customHeight="false" outlineLevel="0" collapsed="false">
      <c r="A3361" s="203" t="s">
        <v>5830</v>
      </c>
    </row>
    <row r="3362" customFormat="false" ht="12" hidden="false" customHeight="false" outlineLevel="0" collapsed="false">
      <c r="A3362" s="203" t="s">
        <v>5831</v>
      </c>
    </row>
    <row r="3363" customFormat="false" ht="12" hidden="false" customHeight="false" outlineLevel="0" collapsed="false">
      <c r="A3363" s="203" t="s">
        <v>5832</v>
      </c>
    </row>
    <row r="3364" customFormat="false" ht="12" hidden="false" customHeight="false" outlineLevel="0" collapsed="false">
      <c r="A3364" s="203" t="s">
        <v>5833</v>
      </c>
    </row>
    <row r="3365" customFormat="false" ht="12" hidden="false" customHeight="false" outlineLevel="0" collapsed="false">
      <c r="A3365" s="203" t="s">
        <v>5834</v>
      </c>
    </row>
    <row r="3366" customFormat="false" ht="12" hidden="false" customHeight="false" outlineLevel="0" collapsed="false">
      <c r="A3366" s="203" t="s">
        <v>5835</v>
      </c>
    </row>
    <row r="3367" customFormat="false" ht="12" hidden="false" customHeight="false" outlineLevel="0" collapsed="false">
      <c r="A3367" s="203" t="s">
        <v>5836</v>
      </c>
    </row>
    <row r="3368" customFormat="false" ht="12" hidden="false" customHeight="false" outlineLevel="0" collapsed="false">
      <c r="A3368" s="203" t="s">
        <v>5837</v>
      </c>
    </row>
    <row r="3369" customFormat="false" ht="12" hidden="false" customHeight="false" outlineLevel="0" collapsed="false">
      <c r="A3369" s="203" t="s">
        <v>5838</v>
      </c>
    </row>
    <row r="3370" customFormat="false" ht="12" hidden="false" customHeight="false" outlineLevel="0" collapsed="false">
      <c r="A3370" s="203" t="s">
        <v>5839</v>
      </c>
    </row>
    <row r="3371" customFormat="false" ht="12" hidden="false" customHeight="false" outlineLevel="0" collapsed="false">
      <c r="A3371" s="203" t="s">
        <v>5840</v>
      </c>
    </row>
    <row r="3372" customFormat="false" ht="12" hidden="false" customHeight="false" outlineLevel="0" collapsed="false">
      <c r="A3372" s="203" t="s">
        <v>5841</v>
      </c>
    </row>
    <row r="3373" customFormat="false" ht="12" hidden="false" customHeight="false" outlineLevel="0" collapsed="false">
      <c r="A3373" s="203" t="s">
        <v>5842</v>
      </c>
    </row>
    <row r="3374" customFormat="false" ht="12" hidden="false" customHeight="false" outlineLevel="0" collapsed="false">
      <c r="A3374" s="203" t="s">
        <v>5843</v>
      </c>
    </row>
    <row r="3375" customFormat="false" ht="12" hidden="false" customHeight="false" outlineLevel="0" collapsed="false">
      <c r="A3375" s="203" t="s">
        <v>5844</v>
      </c>
    </row>
    <row r="3376" customFormat="false" ht="12" hidden="false" customHeight="false" outlineLevel="0" collapsed="false">
      <c r="A3376" s="203" t="s">
        <v>5845</v>
      </c>
    </row>
    <row r="3377" customFormat="false" ht="12" hidden="false" customHeight="false" outlineLevel="0" collapsed="false">
      <c r="A3377" s="203" t="s">
        <v>5846</v>
      </c>
    </row>
    <row r="3378" customFormat="false" ht="12" hidden="false" customHeight="false" outlineLevel="0" collapsed="false">
      <c r="A3378" s="203" t="s">
        <v>5847</v>
      </c>
    </row>
    <row r="3379" customFormat="false" ht="12" hidden="false" customHeight="false" outlineLevel="0" collapsed="false">
      <c r="A3379" s="203" t="s">
        <v>5848</v>
      </c>
    </row>
    <row r="3380" customFormat="false" ht="12" hidden="false" customHeight="false" outlineLevel="0" collapsed="false">
      <c r="A3380" s="203" t="s">
        <v>5849</v>
      </c>
    </row>
    <row r="3381" customFormat="false" ht="12" hidden="false" customHeight="false" outlineLevel="0" collapsed="false">
      <c r="A3381" s="203" t="s">
        <v>5850</v>
      </c>
    </row>
    <row r="3382" customFormat="false" ht="12" hidden="false" customHeight="false" outlineLevel="0" collapsed="false">
      <c r="A3382" s="203" t="s">
        <v>5851</v>
      </c>
    </row>
    <row r="3383" customFormat="false" ht="12" hidden="false" customHeight="false" outlineLevel="0" collapsed="false">
      <c r="A3383" s="203" t="s">
        <v>5852</v>
      </c>
    </row>
    <row r="3384" customFormat="false" ht="12" hidden="false" customHeight="false" outlineLevel="0" collapsed="false">
      <c r="A3384" s="203" t="s">
        <v>5853</v>
      </c>
    </row>
    <row r="3385" customFormat="false" ht="12" hidden="false" customHeight="false" outlineLevel="0" collapsed="false">
      <c r="A3385" s="203" t="s">
        <v>5854</v>
      </c>
    </row>
    <row r="3386" customFormat="false" ht="12" hidden="false" customHeight="false" outlineLevel="0" collapsed="false">
      <c r="A3386" s="203" t="s">
        <v>5855</v>
      </c>
    </row>
    <row r="3387" customFormat="false" ht="12" hidden="false" customHeight="false" outlineLevel="0" collapsed="false">
      <c r="A3387" s="203" t="s">
        <v>5856</v>
      </c>
    </row>
    <row r="3388" customFormat="false" ht="12" hidden="false" customHeight="false" outlineLevel="0" collapsed="false">
      <c r="A3388" s="203" t="s">
        <v>5857</v>
      </c>
    </row>
    <row r="3389" customFormat="false" ht="12" hidden="false" customHeight="false" outlineLevel="0" collapsed="false">
      <c r="A3389" s="203" t="s">
        <v>5858</v>
      </c>
    </row>
    <row r="3390" customFormat="false" ht="12" hidden="false" customHeight="false" outlineLevel="0" collapsed="false">
      <c r="A3390" s="203" t="s">
        <v>5859</v>
      </c>
    </row>
    <row r="3391" customFormat="false" ht="12" hidden="false" customHeight="false" outlineLevel="0" collapsed="false">
      <c r="A3391" s="203" t="s">
        <v>5860</v>
      </c>
    </row>
    <row r="3392" customFormat="false" ht="12" hidden="false" customHeight="false" outlineLevel="0" collapsed="false">
      <c r="A3392" s="203" t="s">
        <v>5861</v>
      </c>
    </row>
    <row r="3393" customFormat="false" ht="12" hidden="false" customHeight="false" outlineLevel="0" collapsed="false">
      <c r="A3393" s="203" t="s">
        <v>5862</v>
      </c>
    </row>
    <row r="3394" customFormat="false" ht="12" hidden="false" customHeight="false" outlineLevel="0" collapsed="false">
      <c r="A3394" s="203" t="s">
        <v>5863</v>
      </c>
    </row>
    <row r="3395" customFormat="false" ht="12" hidden="false" customHeight="false" outlineLevel="0" collapsed="false">
      <c r="A3395" s="203" t="s">
        <v>5864</v>
      </c>
    </row>
    <row r="3396" customFormat="false" ht="12" hidden="false" customHeight="false" outlineLevel="0" collapsed="false">
      <c r="A3396" s="203" t="s">
        <v>5865</v>
      </c>
    </row>
    <row r="3397" customFormat="false" ht="12" hidden="false" customHeight="false" outlineLevel="0" collapsed="false">
      <c r="A3397" s="203" t="s">
        <v>5866</v>
      </c>
    </row>
    <row r="3398" customFormat="false" ht="12" hidden="false" customHeight="false" outlineLevel="0" collapsed="false">
      <c r="A3398" s="203" t="s">
        <v>5867</v>
      </c>
    </row>
    <row r="3399" customFormat="false" ht="12" hidden="false" customHeight="false" outlineLevel="0" collapsed="false">
      <c r="A3399" s="203" t="s">
        <v>5868</v>
      </c>
    </row>
    <row r="3400" customFormat="false" ht="12" hidden="false" customHeight="false" outlineLevel="0" collapsed="false">
      <c r="A3400" s="203" t="s">
        <v>5869</v>
      </c>
    </row>
    <row r="3401" customFormat="false" ht="12" hidden="false" customHeight="false" outlineLevel="0" collapsed="false">
      <c r="A3401" s="203" t="s">
        <v>5870</v>
      </c>
    </row>
    <row r="3402" customFormat="false" ht="12" hidden="false" customHeight="false" outlineLevel="0" collapsed="false">
      <c r="A3402" s="203" t="s">
        <v>5871</v>
      </c>
    </row>
    <row r="3403" customFormat="false" ht="12" hidden="false" customHeight="false" outlineLevel="0" collapsed="false">
      <c r="A3403" s="203" t="s">
        <v>5872</v>
      </c>
    </row>
    <row r="3404" customFormat="false" ht="12" hidden="false" customHeight="false" outlineLevel="0" collapsed="false">
      <c r="A3404" s="203" t="s">
        <v>5873</v>
      </c>
    </row>
    <row r="3405" customFormat="false" ht="12" hidden="false" customHeight="false" outlineLevel="0" collapsed="false">
      <c r="A3405" s="203" t="s">
        <v>5874</v>
      </c>
    </row>
    <row r="3406" customFormat="false" ht="12" hidden="false" customHeight="false" outlineLevel="0" collapsed="false">
      <c r="A3406" s="203" t="s">
        <v>5875</v>
      </c>
    </row>
    <row r="3407" customFormat="false" ht="12" hidden="false" customHeight="false" outlineLevel="0" collapsed="false">
      <c r="A3407" s="203" t="s">
        <v>5876</v>
      </c>
    </row>
    <row r="3408" customFormat="false" ht="12" hidden="false" customHeight="false" outlineLevel="0" collapsed="false">
      <c r="A3408" s="203" t="s">
        <v>5877</v>
      </c>
    </row>
    <row r="3409" customFormat="false" ht="12" hidden="false" customHeight="false" outlineLevel="0" collapsed="false">
      <c r="A3409" s="203" t="s">
        <v>5878</v>
      </c>
    </row>
    <row r="3410" customFormat="false" ht="12" hidden="false" customHeight="false" outlineLevel="0" collapsed="false">
      <c r="A3410" s="203" t="s">
        <v>5879</v>
      </c>
    </row>
    <row r="3411" customFormat="false" ht="12" hidden="false" customHeight="false" outlineLevel="0" collapsed="false">
      <c r="A3411" s="203" t="s">
        <v>5880</v>
      </c>
    </row>
    <row r="3412" customFormat="false" ht="12" hidden="false" customHeight="false" outlineLevel="0" collapsed="false">
      <c r="A3412" s="203" t="s">
        <v>5881</v>
      </c>
    </row>
    <row r="3413" customFormat="false" ht="12" hidden="false" customHeight="false" outlineLevel="0" collapsed="false">
      <c r="A3413" s="203" t="s">
        <v>5882</v>
      </c>
    </row>
    <row r="3414" customFormat="false" ht="12" hidden="false" customHeight="false" outlineLevel="0" collapsed="false">
      <c r="A3414" s="203" t="s">
        <v>5883</v>
      </c>
    </row>
    <row r="3415" customFormat="false" ht="12" hidden="false" customHeight="false" outlineLevel="0" collapsed="false">
      <c r="A3415" s="203" t="s">
        <v>5884</v>
      </c>
    </row>
    <row r="3416" customFormat="false" ht="12" hidden="false" customHeight="false" outlineLevel="0" collapsed="false">
      <c r="A3416" s="203" t="s">
        <v>5885</v>
      </c>
    </row>
    <row r="3417" customFormat="false" ht="12" hidden="false" customHeight="false" outlineLevel="0" collapsed="false">
      <c r="A3417" s="203" t="s">
        <v>5886</v>
      </c>
    </row>
    <row r="3418" customFormat="false" ht="12" hidden="false" customHeight="false" outlineLevel="0" collapsed="false">
      <c r="A3418" s="203" t="s">
        <v>5887</v>
      </c>
    </row>
    <row r="3419" customFormat="false" ht="12" hidden="false" customHeight="false" outlineLevel="0" collapsed="false">
      <c r="A3419" s="203" t="s">
        <v>5888</v>
      </c>
    </row>
    <row r="3420" customFormat="false" ht="12" hidden="false" customHeight="false" outlineLevel="0" collapsed="false">
      <c r="A3420" s="203" t="s">
        <v>5889</v>
      </c>
    </row>
    <row r="3421" customFormat="false" ht="12" hidden="false" customHeight="false" outlineLevel="0" collapsed="false">
      <c r="A3421" s="203" t="s">
        <v>5890</v>
      </c>
    </row>
    <row r="3422" customFormat="false" ht="12" hidden="false" customHeight="false" outlineLevel="0" collapsed="false">
      <c r="A3422" s="203" t="s">
        <v>5891</v>
      </c>
    </row>
    <row r="3423" customFormat="false" ht="12" hidden="false" customHeight="false" outlineLevel="0" collapsed="false">
      <c r="A3423" s="203" t="s">
        <v>5892</v>
      </c>
    </row>
    <row r="3424" customFormat="false" ht="12" hidden="false" customHeight="false" outlineLevel="0" collapsed="false">
      <c r="A3424" s="203" t="s">
        <v>5893</v>
      </c>
    </row>
    <row r="3425" customFormat="false" ht="12" hidden="false" customHeight="false" outlineLevel="0" collapsed="false">
      <c r="A3425" s="203" t="s">
        <v>5894</v>
      </c>
    </row>
    <row r="3426" customFormat="false" ht="12" hidden="false" customHeight="false" outlineLevel="0" collapsed="false">
      <c r="A3426" s="203" t="s">
        <v>5895</v>
      </c>
    </row>
    <row r="3427" customFormat="false" ht="12" hidden="false" customHeight="false" outlineLevel="0" collapsed="false">
      <c r="A3427" s="203" t="s">
        <v>5896</v>
      </c>
    </row>
    <row r="3428" customFormat="false" ht="12" hidden="false" customHeight="false" outlineLevel="0" collapsed="false">
      <c r="A3428" s="203" t="s">
        <v>5897</v>
      </c>
    </row>
    <row r="3429" customFormat="false" ht="12" hidden="false" customHeight="false" outlineLevel="0" collapsed="false">
      <c r="A3429" s="203" t="s">
        <v>5898</v>
      </c>
    </row>
    <row r="3430" customFormat="false" ht="12" hidden="false" customHeight="false" outlineLevel="0" collapsed="false">
      <c r="A3430" s="203" t="s">
        <v>5899</v>
      </c>
    </row>
    <row r="3431" customFormat="false" ht="12" hidden="false" customHeight="false" outlineLevel="0" collapsed="false">
      <c r="A3431" s="203" t="s">
        <v>5900</v>
      </c>
    </row>
    <row r="3432" customFormat="false" ht="12" hidden="false" customHeight="false" outlineLevel="0" collapsed="false">
      <c r="A3432" s="203" t="s">
        <v>5901</v>
      </c>
    </row>
    <row r="3433" customFormat="false" ht="12" hidden="false" customHeight="false" outlineLevel="0" collapsed="false">
      <c r="A3433" s="203" t="s">
        <v>5902</v>
      </c>
    </row>
    <row r="3434" customFormat="false" ht="12" hidden="false" customHeight="false" outlineLevel="0" collapsed="false">
      <c r="A3434" s="203" t="s">
        <v>5903</v>
      </c>
    </row>
    <row r="3435" customFormat="false" ht="12" hidden="false" customHeight="false" outlineLevel="0" collapsed="false">
      <c r="A3435" s="203" t="s">
        <v>5904</v>
      </c>
    </row>
    <row r="3436" customFormat="false" ht="12" hidden="false" customHeight="false" outlineLevel="0" collapsed="false">
      <c r="A3436" s="203" t="s">
        <v>5905</v>
      </c>
    </row>
    <row r="3437" customFormat="false" ht="12" hidden="false" customHeight="false" outlineLevel="0" collapsed="false">
      <c r="A3437" s="203" t="s">
        <v>5906</v>
      </c>
    </row>
    <row r="3438" customFormat="false" ht="12" hidden="false" customHeight="false" outlineLevel="0" collapsed="false">
      <c r="A3438" s="203" t="s">
        <v>5907</v>
      </c>
    </row>
    <row r="3439" customFormat="false" ht="12" hidden="false" customHeight="false" outlineLevel="0" collapsed="false">
      <c r="A3439" s="203" t="s">
        <v>5908</v>
      </c>
    </row>
    <row r="3440" customFormat="false" ht="12" hidden="false" customHeight="false" outlineLevel="0" collapsed="false">
      <c r="A3440" s="203" t="s">
        <v>5909</v>
      </c>
    </row>
    <row r="3441" customFormat="false" ht="12" hidden="false" customHeight="false" outlineLevel="0" collapsed="false">
      <c r="A3441" s="203" t="s">
        <v>5910</v>
      </c>
    </row>
    <row r="3442" customFormat="false" ht="12" hidden="false" customHeight="false" outlineLevel="0" collapsed="false">
      <c r="A3442" s="203" t="s">
        <v>5911</v>
      </c>
    </row>
    <row r="3443" customFormat="false" ht="12" hidden="false" customHeight="false" outlineLevel="0" collapsed="false">
      <c r="A3443" s="203" t="s">
        <v>5912</v>
      </c>
    </row>
    <row r="3444" customFormat="false" ht="12" hidden="false" customHeight="false" outlineLevel="0" collapsed="false">
      <c r="A3444" s="203" t="s">
        <v>5913</v>
      </c>
    </row>
    <row r="3445" customFormat="false" ht="12" hidden="false" customHeight="false" outlineLevel="0" collapsed="false">
      <c r="A3445" s="203" t="s">
        <v>5914</v>
      </c>
    </row>
    <row r="3446" customFormat="false" ht="12" hidden="false" customHeight="false" outlineLevel="0" collapsed="false">
      <c r="A3446" s="203" t="s">
        <v>5915</v>
      </c>
    </row>
    <row r="3447" customFormat="false" ht="12" hidden="false" customHeight="false" outlineLevel="0" collapsed="false">
      <c r="A3447" s="203" t="s">
        <v>5916</v>
      </c>
    </row>
    <row r="3448" customFormat="false" ht="12" hidden="false" customHeight="false" outlineLevel="0" collapsed="false">
      <c r="A3448" s="203" t="s">
        <v>5917</v>
      </c>
    </row>
    <row r="3449" customFormat="false" ht="12" hidden="false" customHeight="false" outlineLevel="0" collapsed="false">
      <c r="A3449" s="203" t="s">
        <v>5918</v>
      </c>
    </row>
    <row r="3450" customFormat="false" ht="12" hidden="false" customHeight="false" outlineLevel="0" collapsed="false">
      <c r="A3450" s="203" t="s">
        <v>5919</v>
      </c>
    </row>
    <row r="3451" customFormat="false" ht="12" hidden="false" customHeight="false" outlineLevel="0" collapsed="false">
      <c r="A3451" s="203" t="s">
        <v>5920</v>
      </c>
    </row>
    <row r="3452" customFormat="false" ht="12" hidden="false" customHeight="false" outlineLevel="0" collapsed="false">
      <c r="A3452" s="203" t="s">
        <v>5921</v>
      </c>
    </row>
    <row r="3453" customFormat="false" ht="12" hidden="false" customHeight="false" outlineLevel="0" collapsed="false">
      <c r="A3453" s="203" t="s">
        <v>5922</v>
      </c>
    </row>
    <row r="3454" customFormat="false" ht="12" hidden="false" customHeight="false" outlineLevel="0" collapsed="false">
      <c r="A3454" s="203" t="s">
        <v>5923</v>
      </c>
    </row>
    <row r="3455" customFormat="false" ht="12" hidden="false" customHeight="false" outlineLevel="0" collapsed="false">
      <c r="A3455" s="203" t="s">
        <v>5924</v>
      </c>
    </row>
    <row r="3456" customFormat="false" ht="12" hidden="false" customHeight="false" outlineLevel="0" collapsed="false">
      <c r="A3456" s="203" t="s">
        <v>5925</v>
      </c>
    </row>
    <row r="3457" customFormat="false" ht="12" hidden="false" customHeight="false" outlineLevel="0" collapsed="false">
      <c r="A3457" s="203" t="s">
        <v>5926</v>
      </c>
    </row>
    <row r="3458" customFormat="false" ht="12" hidden="false" customHeight="false" outlineLevel="0" collapsed="false">
      <c r="A3458" s="203" t="s">
        <v>5927</v>
      </c>
    </row>
    <row r="3459" customFormat="false" ht="12" hidden="false" customHeight="false" outlineLevel="0" collapsed="false">
      <c r="A3459" s="203" t="s">
        <v>5928</v>
      </c>
    </row>
    <row r="3460" customFormat="false" ht="12" hidden="false" customHeight="false" outlineLevel="0" collapsed="false">
      <c r="A3460" s="203" t="s">
        <v>5929</v>
      </c>
    </row>
    <row r="3461" customFormat="false" ht="12" hidden="false" customHeight="false" outlineLevel="0" collapsed="false">
      <c r="A3461" s="203" t="s">
        <v>5930</v>
      </c>
    </row>
    <row r="3462" customFormat="false" ht="12" hidden="false" customHeight="false" outlineLevel="0" collapsed="false">
      <c r="A3462" s="203" t="s">
        <v>5931</v>
      </c>
    </row>
    <row r="3463" customFormat="false" ht="12" hidden="false" customHeight="false" outlineLevel="0" collapsed="false">
      <c r="A3463" s="203" t="s">
        <v>5932</v>
      </c>
    </row>
    <row r="3464" customFormat="false" ht="12" hidden="false" customHeight="false" outlineLevel="0" collapsed="false">
      <c r="A3464" s="203" t="s">
        <v>5933</v>
      </c>
    </row>
    <row r="3465" customFormat="false" ht="12" hidden="false" customHeight="false" outlineLevel="0" collapsed="false">
      <c r="A3465" s="203" t="s">
        <v>5934</v>
      </c>
    </row>
    <row r="3466" customFormat="false" ht="12" hidden="false" customHeight="false" outlineLevel="0" collapsed="false">
      <c r="A3466" s="203" t="s">
        <v>5935</v>
      </c>
    </row>
    <row r="3467" customFormat="false" ht="12" hidden="false" customHeight="false" outlineLevel="0" collapsed="false">
      <c r="A3467" s="203" t="s">
        <v>5936</v>
      </c>
    </row>
    <row r="3468" customFormat="false" ht="12" hidden="false" customHeight="false" outlineLevel="0" collapsed="false">
      <c r="A3468" s="203" t="s">
        <v>5937</v>
      </c>
    </row>
    <row r="3469" customFormat="false" ht="12" hidden="false" customHeight="false" outlineLevel="0" collapsed="false">
      <c r="A3469" s="203" t="s">
        <v>5938</v>
      </c>
    </row>
    <row r="3470" customFormat="false" ht="12" hidden="false" customHeight="false" outlineLevel="0" collapsed="false">
      <c r="A3470" s="203" t="s">
        <v>5939</v>
      </c>
    </row>
    <row r="3471" customFormat="false" ht="12" hidden="false" customHeight="false" outlineLevel="0" collapsed="false">
      <c r="A3471" s="203" t="s">
        <v>5940</v>
      </c>
    </row>
    <row r="3472" customFormat="false" ht="12" hidden="false" customHeight="false" outlineLevel="0" collapsed="false">
      <c r="A3472" s="203" t="s">
        <v>5941</v>
      </c>
    </row>
    <row r="3473" customFormat="false" ht="12" hidden="false" customHeight="false" outlineLevel="0" collapsed="false">
      <c r="A3473" s="203" t="s">
        <v>5942</v>
      </c>
    </row>
    <row r="3474" customFormat="false" ht="12" hidden="false" customHeight="false" outlineLevel="0" collapsed="false">
      <c r="A3474" s="203" t="s">
        <v>5943</v>
      </c>
    </row>
    <row r="3475" customFormat="false" ht="12" hidden="false" customHeight="false" outlineLevel="0" collapsed="false">
      <c r="A3475" s="203" t="s">
        <v>5944</v>
      </c>
    </row>
    <row r="3476" customFormat="false" ht="12" hidden="false" customHeight="false" outlineLevel="0" collapsed="false">
      <c r="A3476" s="203" t="s">
        <v>5945</v>
      </c>
    </row>
    <row r="3477" customFormat="false" ht="12" hidden="false" customHeight="false" outlineLevel="0" collapsed="false">
      <c r="A3477" s="203" t="s">
        <v>5946</v>
      </c>
    </row>
    <row r="3478" customFormat="false" ht="12" hidden="false" customHeight="false" outlineLevel="0" collapsed="false">
      <c r="A3478" s="203" t="s">
        <v>5947</v>
      </c>
    </row>
    <row r="3479" customFormat="false" ht="12" hidden="false" customHeight="false" outlineLevel="0" collapsed="false">
      <c r="A3479" s="203" t="s">
        <v>5948</v>
      </c>
    </row>
    <row r="3480" customFormat="false" ht="12" hidden="false" customHeight="false" outlineLevel="0" collapsed="false">
      <c r="A3480" s="203" t="s">
        <v>5949</v>
      </c>
    </row>
    <row r="3481" customFormat="false" ht="12" hidden="false" customHeight="false" outlineLevel="0" collapsed="false">
      <c r="A3481" s="203" t="s">
        <v>5950</v>
      </c>
    </row>
    <row r="3482" customFormat="false" ht="12" hidden="false" customHeight="false" outlineLevel="0" collapsed="false">
      <c r="A3482" s="203" t="s">
        <v>5951</v>
      </c>
    </row>
    <row r="3483" customFormat="false" ht="12" hidden="false" customHeight="false" outlineLevel="0" collapsed="false">
      <c r="A3483" s="203" t="s">
        <v>5952</v>
      </c>
    </row>
    <row r="3484" customFormat="false" ht="12" hidden="false" customHeight="false" outlineLevel="0" collapsed="false">
      <c r="A3484" s="203" t="s">
        <v>5953</v>
      </c>
    </row>
    <row r="3485" customFormat="false" ht="12" hidden="false" customHeight="false" outlineLevel="0" collapsed="false">
      <c r="A3485" s="203" t="s">
        <v>5954</v>
      </c>
    </row>
    <row r="3486" customFormat="false" ht="12" hidden="false" customHeight="false" outlineLevel="0" collapsed="false">
      <c r="A3486" s="203" t="s">
        <v>5955</v>
      </c>
    </row>
    <row r="3487" customFormat="false" ht="12" hidden="false" customHeight="false" outlineLevel="0" collapsed="false">
      <c r="A3487" s="203" t="s">
        <v>5956</v>
      </c>
    </row>
    <row r="3488" customFormat="false" ht="12" hidden="false" customHeight="false" outlineLevel="0" collapsed="false">
      <c r="A3488" s="203" t="s">
        <v>5957</v>
      </c>
    </row>
    <row r="3489" customFormat="false" ht="12" hidden="false" customHeight="false" outlineLevel="0" collapsed="false">
      <c r="A3489" s="203" t="s">
        <v>5958</v>
      </c>
    </row>
    <row r="3490" customFormat="false" ht="12" hidden="false" customHeight="false" outlineLevel="0" collapsed="false">
      <c r="A3490" s="203" t="s">
        <v>5959</v>
      </c>
    </row>
    <row r="3491" customFormat="false" ht="12" hidden="false" customHeight="false" outlineLevel="0" collapsed="false">
      <c r="A3491" s="203" t="s">
        <v>5960</v>
      </c>
    </row>
    <row r="3492" customFormat="false" ht="12" hidden="false" customHeight="false" outlineLevel="0" collapsed="false">
      <c r="A3492" s="203" t="s">
        <v>5961</v>
      </c>
    </row>
    <row r="3493" customFormat="false" ht="12" hidden="false" customHeight="false" outlineLevel="0" collapsed="false">
      <c r="A3493" s="203" t="s">
        <v>5962</v>
      </c>
    </row>
    <row r="3494" customFormat="false" ht="12" hidden="false" customHeight="false" outlineLevel="0" collapsed="false">
      <c r="A3494" s="203" t="s">
        <v>5963</v>
      </c>
    </row>
    <row r="3495" customFormat="false" ht="12" hidden="false" customHeight="false" outlineLevel="0" collapsed="false">
      <c r="A3495" s="203" t="s">
        <v>5964</v>
      </c>
    </row>
    <row r="3496" customFormat="false" ht="12" hidden="false" customHeight="false" outlineLevel="0" collapsed="false">
      <c r="A3496" s="203" t="s">
        <v>5965</v>
      </c>
    </row>
    <row r="3497" customFormat="false" ht="12" hidden="false" customHeight="false" outlineLevel="0" collapsed="false">
      <c r="A3497" s="203" t="s">
        <v>5966</v>
      </c>
    </row>
    <row r="3498" customFormat="false" ht="12" hidden="false" customHeight="false" outlineLevel="0" collapsed="false">
      <c r="A3498" s="203" t="s">
        <v>5967</v>
      </c>
    </row>
    <row r="3499" customFormat="false" ht="12" hidden="false" customHeight="false" outlineLevel="0" collapsed="false">
      <c r="A3499" s="203" t="s">
        <v>5968</v>
      </c>
    </row>
    <row r="3500" customFormat="false" ht="12" hidden="false" customHeight="false" outlineLevel="0" collapsed="false">
      <c r="A3500" s="203" t="s">
        <v>5969</v>
      </c>
    </row>
    <row r="3501" customFormat="false" ht="12" hidden="false" customHeight="false" outlineLevel="0" collapsed="false">
      <c r="A3501" s="203" t="s">
        <v>5970</v>
      </c>
    </row>
    <row r="3502" customFormat="false" ht="12" hidden="false" customHeight="false" outlineLevel="0" collapsed="false">
      <c r="A3502" s="203" t="s">
        <v>5971</v>
      </c>
    </row>
    <row r="3503" customFormat="false" ht="12" hidden="false" customHeight="false" outlineLevel="0" collapsed="false">
      <c r="A3503" s="203" t="s">
        <v>5972</v>
      </c>
    </row>
    <row r="3504" customFormat="false" ht="12" hidden="false" customHeight="false" outlineLevel="0" collapsed="false">
      <c r="A3504" s="203" t="s">
        <v>5973</v>
      </c>
    </row>
    <row r="3505" customFormat="false" ht="12" hidden="false" customHeight="false" outlineLevel="0" collapsed="false">
      <c r="A3505" s="203" t="s">
        <v>5974</v>
      </c>
    </row>
    <row r="3506" customFormat="false" ht="12" hidden="false" customHeight="false" outlineLevel="0" collapsed="false">
      <c r="A3506" s="203" t="s">
        <v>5975</v>
      </c>
    </row>
    <row r="3507" customFormat="false" ht="12" hidden="false" customHeight="false" outlineLevel="0" collapsed="false">
      <c r="A3507" s="203" t="s">
        <v>5976</v>
      </c>
    </row>
    <row r="3508" customFormat="false" ht="12" hidden="false" customHeight="false" outlineLevel="0" collapsed="false">
      <c r="A3508" s="203" t="s">
        <v>5977</v>
      </c>
    </row>
    <row r="3509" customFormat="false" ht="12" hidden="false" customHeight="false" outlineLevel="0" collapsed="false">
      <c r="A3509" s="203" t="s">
        <v>5978</v>
      </c>
    </row>
    <row r="3510" customFormat="false" ht="12" hidden="false" customHeight="false" outlineLevel="0" collapsed="false">
      <c r="A3510" s="203" t="s">
        <v>5979</v>
      </c>
    </row>
    <row r="3511" customFormat="false" ht="12" hidden="false" customHeight="false" outlineLevel="0" collapsed="false">
      <c r="A3511" s="203" t="s">
        <v>5980</v>
      </c>
    </row>
    <row r="3512" customFormat="false" ht="12" hidden="false" customHeight="false" outlineLevel="0" collapsed="false">
      <c r="A3512" s="203" t="s">
        <v>5981</v>
      </c>
    </row>
    <row r="3513" customFormat="false" ht="12" hidden="false" customHeight="false" outlineLevel="0" collapsed="false">
      <c r="A3513" s="203" t="s">
        <v>5982</v>
      </c>
    </row>
    <row r="3514" customFormat="false" ht="12" hidden="false" customHeight="false" outlineLevel="0" collapsed="false">
      <c r="A3514" s="203" t="s">
        <v>5983</v>
      </c>
    </row>
    <row r="3515" customFormat="false" ht="12" hidden="false" customHeight="false" outlineLevel="0" collapsed="false">
      <c r="A3515" s="203" t="s">
        <v>5984</v>
      </c>
    </row>
    <row r="3516" customFormat="false" ht="12" hidden="false" customHeight="false" outlineLevel="0" collapsed="false">
      <c r="A3516" s="203" t="s">
        <v>5985</v>
      </c>
    </row>
    <row r="3517" customFormat="false" ht="12" hidden="false" customHeight="false" outlineLevel="0" collapsed="false">
      <c r="A3517" s="203" t="s">
        <v>5986</v>
      </c>
    </row>
    <row r="3518" customFormat="false" ht="12" hidden="false" customHeight="false" outlineLevel="0" collapsed="false">
      <c r="A3518" s="203" t="s">
        <v>5987</v>
      </c>
    </row>
    <row r="3519" customFormat="false" ht="12" hidden="false" customHeight="false" outlineLevel="0" collapsed="false">
      <c r="A3519" s="203" t="s">
        <v>5988</v>
      </c>
    </row>
    <row r="3520" customFormat="false" ht="12" hidden="false" customHeight="false" outlineLevel="0" collapsed="false">
      <c r="A3520" s="203" t="s">
        <v>5989</v>
      </c>
    </row>
    <row r="3521" customFormat="false" ht="12" hidden="false" customHeight="false" outlineLevel="0" collapsed="false">
      <c r="A3521" s="203" t="s">
        <v>5990</v>
      </c>
    </row>
    <row r="3522" customFormat="false" ht="12" hidden="false" customHeight="false" outlineLevel="0" collapsed="false">
      <c r="A3522" s="203" t="s">
        <v>5991</v>
      </c>
    </row>
    <row r="3523" customFormat="false" ht="12" hidden="false" customHeight="false" outlineLevel="0" collapsed="false">
      <c r="A3523" s="203" t="s">
        <v>5992</v>
      </c>
    </row>
    <row r="3524" customFormat="false" ht="12" hidden="false" customHeight="false" outlineLevel="0" collapsed="false">
      <c r="A3524" s="203" t="s">
        <v>5993</v>
      </c>
    </row>
    <row r="3525" customFormat="false" ht="12" hidden="false" customHeight="false" outlineLevel="0" collapsed="false">
      <c r="A3525" s="203" t="s">
        <v>5994</v>
      </c>
    </row>
    <row r="3526" customFormat="false" ht="12" hidden="false" customHeight="false" outlineLevel="0" collapsed="false">
      <c r="A3526" s="203" t="s">
        <v>5995</v>
      </c>
    </row>
    <row r="3527" customFormat="false" ht="12" hidden="false" customHeight="false" outlineLevel="0" collapsed="false">
      <c r="A3527" s="203" t="s">
        <v>5996</v>
      </c>
    </row>
    <row r="3528" customFormat="false" ht="12" hidden="false" customHeight="false" outlineLevel="0" collapsed="false">
      <c r="A3528" s="203" t="s">
        <v>5997</v>
      </c>
    </row>
    <row r="3529" customFormat="false" ht="12" hidden="false" customHeight="false" outlineLevel="0" collapsed="false">
      <c r="A3529" s="203" t="s">
        <v>5998</v>
      </c>
    </row>
    <row r="3530" customFormat="false" ht="12" hidden="false" customHeight="false" outlineLevel="0" collapsed="false">
      <c r="A3530" s="203" t="s">
        <v>5999</v>
      </c>
    </row>
    <row r="3531" customFormat="false" ht="12" hidden="false" customHeight="false" outlineLevel="0" collapsed="false">
      <c r="A3531" s="203" t="s">
        <v>6000</v>
      </c>
    </row>
    <row r="3532" customFormat="false" ht="12" hidden="false" customHeight="false" outlineLevel="0" collapsed="false">
      <c r="A3532" s="203" t="s">
        <v>6001</v>
      </c>
    </row>
    <row r="3533" customFormat="false" ht="12" hidden="false" customHeight="false" outlineLevel="0" collapsed="false">
      <c r="A3533" s="203" t="s">
        <v>6002</v>
      </c>
    </row>
    <row r="3534" customFormat="false" ht="12" hidden="false" customHeight="false" outlineLevel="0" collapsed="false">
      <c r="A3534" s="203" t="s">
        <v>6003</v>
      </c>
    </row>
    <row r="3535" customFormat="false" ht="12" hidden="false" customHeight="false" outlineLevel="0" collapsed="false">
      <c r="A3535" s="203" t="s">
        <v>6004</v>
      </c>
    </row>
    <row r="3536" customFormat="false" ht="12" hidden="false" customHeight="false" outlineLevel="0" collapsed="false">
      <c r="A3536" s="203" t="s">
        <v>6005</v>
      </c>
    </row>
    <row r="3537" customFormat="false" ht="12" hidden="false" customHeight="false" outlineLevel="0" collapsed="false">
      <c r="A3537" s="203" t="s">
        <v>6006</v>
      </c>
    </row>
    <row r="3538" customFormat="false" ht="12" hidden="false" customHeight="false" outlineLevel="0" collapsed="false">
      <c r="A3538" s="203" t="s">
        <v>6007</v>
      </c>
    </row>
    <row r="3539" customFormat="false" ht="12" hidden="false" customHeight="false" outlineLevel="0" collapsed="false">
      <c r="A3539" s="203" t="s">
        <v>6008</v>
      </c>
    </row>
    <row r="3540" customFormat="false" ht="12" hidden="false" customHeight="false" outlineLevel="0" collapsed="false">
      <c r="A3540" s="203" t="s">
        <v>6009</v>
      </c>
    </row>
    <row r="3541" customFormat="false" ht="12" hidden="false" customHeight="false" outlineLevel="0" collapsed="false">
      <c r="A3541" s="203" t="s">
        <v>6010</v>
      </c>
    </row>
    <row r="3542" customFormat="false" ht="12" hidden="false" customHeight="false" outlineLevel="0" collapsed="false">
      <c r="A3542" s="203" t="s">
        <v>6011</v>
      </c>
    </row>
    <row r="3543" customFormat="false" ht="12" hidden="false" customHeight="false" outlineLevel="0" collapsed="false">
      <c r="A3543" s="203" t="s">
        <v>6012</v>
      </c>
    </row>
    <row r="3544" customFormat="false" ht="12" hidden="false" customHeight="false" outlineLevel="0" collapsed="false">
      <c r="A3544" s="203" t="s">
        <v>6013</v>
      </c>
    </row>
    <row r="3545" customFormat="false" ht="12" hidden="false" customHeight="false" outlineLevel="0" collapsed="false">
      <c r="A3545" s="203" t="s">
        <v>6014</v>
      </c>
    </row>
    <row r="3546" customFormat="false" ht="12" hidden="false" customHeight="false" outlineLevel="0" collapsed="false">
      <c r="A3546" s="203" t="s">
        <v>6015</v>
      </c>
    </row>
    <row r="3547" customFormat="false" ht="12" hidden="false" customHeight="false" outlineLevel="0" collapsed="false">
      <c r="A3547" s="203" t="s">
        <v>6016</v>
      </c>
    </row>
    <row r="3548" customFormat="false" ht="12" hidden="false" customHeight="false" outlineLevel="0" collapsed="false">
      <c r="A3548" s="203" t="s">
        <v>6017</v>
      </c>
    </row>
    <row r="3549" customFormat="false" ht="12" hidden="false" customHeight="false" outlineLevel="0" collapsed="false">
      <c r="A3549" s="203" t="s">
        <v>6018</v>
      </c>
    </row>
    <row r="3550" customFormat="false" ht="12" hidden="false" customHeight="false" outlineLevel="0" collapsed="false">
      <c r="A3550" s="203" t="s">
        <v>6019</v>
      </c>
    </row>
    <row r="3551" customFormat="false" ht="12" hidden="false" customHeight="false" outlineLevel="0" collapsed="false">
      <c r="A3551" s="203" t="s">
        <v>6020</v>
      </c>
    </row>
    <row r="3552" customFormat="false" ht="12" hidden="false" customHeight="false" outlineLevel="0" collapsed="false">
      <c r="A3552" s="203" t="s">
        <v>6021</v>
      </c>
    </row>
    <row r="3553" customFormat="false" ht="12" hidden="false" customHeight="false" outlineLevel="0" collapsed="false">
      <c r="A3553" s="203" t="s">
        <v>6022</v>
      </c>
    </row>
    <row r="3554" customFormat="false" ht="12" hidden="false" customHeight="false" outlineLevel="0" collapsed="false">
      <c r="A3554" s="203" t="s">
        <v>6023</v>
      </c>
    </row>
    <row r="3555" customFormat="false" ht="12" hidden="false" customHeight="false" outlineLevel="0" collapsed="false">
      <c r="A3555" s="203" t="s">
        <v>6024</v>
      </c>
    </row>
    <row r="3556" customFormat="false" ht="12" hidden="false" customHeight="false" outlineLevel="0" collapsed="false">
      <c r="A3556" s="203" t="s">
        <v>6025</v>
      </c>
    </row>
    <row r="3557" customFormat="false" ht="12" hidden="false" customHeight="false" outlineLevel="0" collapsed="false">
      <c r="A3557" s="203" t="s">
        <v>6026</v>
      </c>
    </row>
    <row r="3558" customFormat="false" ht="12" hidden="false" customHeight="false" outlineLevel="0" collapsed="false">
      <c r="A3558" s="203" t="s">
        <v>6027</v>
      </c>
    </row>
    <row r="3559" customFormat="false" ht="12" hidden="false" customHeight="false" outlineLevel="0" collapsed="false">
      <c r="A3559" s="203" t="s">
        <v>6028</v>
      </c>
    </row>
    <row r="3560" customFormat="false" ht="12" hidden="false" customHeight="false" outlineLevel="0" collapsed="false">
      <c r="A3560" s="203" t="s">
        <v>6029</v>
      </c>
    </row>
    <row r="3561" customFormat="false" ht="12" hidden="false" customHeight="false" outlineLevel="0" collapsed="false">
      <c r="A3561" s="203" t="s">
        <v>6030</v>
      </c>
    </row>
    <row r="3562" customFormat="false" ht="12" hidden="false" customHeight="false" outlineLevel="0" collapsed="false">
      <c r="A3562" s="203" t="s">
        <v>6031</v>
      </c>
    </row>
    <row r="3563" customFormat="false" ht="12" hidden="false" customHeight="false" outlineLevel="0" collapsed="false">
      <c r="A3563" s="203" t="s">
        <v>6032</v>
      </c>
    </row>
    <row r="3564" customFormat="false" ht="12" hidden="false" customHeight="false" outlineLevel="0" collapsed="false">
      <c r="A3564" s="203" t="s">
        <v>6033</v>
      </c>
    </row>
    <row r="3565" customFormat="false" ht="12" hidden="false" customHeight="false" outlineLevel="0" collapsed="false">
      <c r="A3565" s="203" t="s">
        <v>6034</v>
      </c>
    </row>
    <row r="3566" customFormat="false" ht="12" hidden="false" customHeight="false" outlineLevel="0" collapsed="false">
      <c r="A3566" s="203" t="s">
        <v>6035</v>
      </c>
    </row>
    <row r="3567" customFormat="false" ht="12" hidden="false" customHeight="false" outlineLevel="0" collapsed="false">
      <c r="A3567" s="203" t="s">
        <v>6036</v>
      </c>
    </row>
    <row r="3568" customFormat="false" ht="12" hidden="false" customHeight="false" outlineLevel="0" collapsed="false">
      <c r="A3568" s="203" t="s">
        <v>6037</v>
      </c>
    </row>
    <row r="3569" customFormat="false" ht="12" hidden="false" customHeight="false" outlineLevel="0" collapsed="false">
      <c r="A3569" s="203" t="s">
        <v>6038</v>
      </c>
    </row>
    <row r="3570" customFormat="false" ht="12" hidden="false" customHeight="false" outlineLevel="0" collapsed="false">
      <c r="A3570" s="203" t="s">
        <v>6039</v>
      </c>
    </row>
    <row r="3571" customFormat="false" ht="12" hidden="false" customHeight="false" outlineLevel="0" collapsed="false">
      <c r="A3571" s="203" t="s">
        <v>6040</v>
      </c>
    </row>
    <row r="3572" customFormat="false" ht="12" hidden="false" customHeight="false" outlineLevel="0" collapsed="false">
      <c r="A3572" s="203" t="s">
        <v>6041</v>
      </c>
    </row>
    <row r="3573" customFormat="false" ht="12" hidden="false" customHeight="false" outlineLevel="0" collapsed="false">
      <c r="A3573" s="203" t="s">
        <v>6042</v>
      </c>
    </row>
    <row r="3574" customFormat="false" ht="12" hidden="false" customHeight="false" outlineLevel="0" collapsed="false">
      <c r="A3574" s="203" t="s">
        <v>6043</v>
      </c>
    </row>
    <row r="3575" customFormat="false" ht="12" hidden="false" customHeight="false" outlineLevel="0" collapsed="false">
      <c r="A3575" s="203" t="s">
        <v>6044</v>
      </c>
    </row>
    <row r="3576" customFormat="false" ht="12" hidden="false" customHeight="false" outlineLevel="0" collapsed="false">
      <c r="A3576" s="203" t="s">
        <v>6045</v>
      </c>
    </row>
    <row r="3577" customFormat="false" ht="12" hidden="false" customHeight="false" outlineLevel="0" collapsed="false">
      <c r="A3577" s="203" t="s">
        <v>6046</v>
      </c>
    </row>
    <row r="3578" customFormat="false" ht="12" hidden="false" customHeight="false" outlineLevel="0" collapsed="false">
      <c r="A3578" s="203" t="s">
        <v>6047</v>
      </c>
    </row>
    <row r="3579" customFormat="false" ht="12" hidden="false" customHeight="false" outlineLevel="0" collapsed="false">
      <c r="A3579" s="203" t="s">
        <v>6048</v>
      </c>
    </row>
    <row r="3580" customFormat="false" ht="12" hidden="false" customHeight="false" outlineLevel="0" collapsed="false">
      <c r="A3580" s="203" t="s">
        <v>6049</v>
      </c>
    </row>
    <row r="3581" customFormat="false" ht="12" hidden="false" customHeight="false" outlineLevel="0" collapsed="false">
      <c r="A3581" s="203" t="s">
        <v>6050</v>
      </c>
    </row>
    <row r="3582" customFormat="false" ht="12" hidden="false" customHeight="false" outlineLevel="0" collapsed="false">
      <c r="A3582" s="203" t="s">
        <v>6051</v>
      </c>
    </row>
    <row r="3583" customFormat="false" ht="12" hidden="false" customHeight="false" outlineLevel="0" collapsed="false">
      <c r="A3583" s="203" t="s">
        <v>6052</v>
      </c>
    </row>
    <row r="3584" customFormat="false" ht="12" hidden="false" customHeight="false" outlineLevel="0" collapsed="false">
      <c r="A3584" s="203" t="s">
        <v>6053</v>
      </c>
    </row>
    <row r="3585" customFormat="false" ht="12" hidden="false" customHeight="false" outlineLevel="0" collapsed="false">
      <c r="A3585" s="203" t="s">
        <v>6054</v>
      </c>
    </row>
    <row r="3586" customFormat="false" ht="12" hidden="false" customHeight="false" outlineLevel="0" collapsed="false">
      <c r="A3586" s="203" t="s">
        <v>6055</v>
      </c>
    </row>
    <row r="3587" customFormat="false" ht="12" hidden="false" customHeight="false" outlineLevel="0" collapsed="false">
      <c r="A3587" s="203" t="s">
        <v>6056</v>
      </c>
    </row>
    <row r="3588" customFormat="false" ht="12" hidden="false" customHeight="false" outlineLevel="0" collapsed="false">
      <c r="A3588" s="203" t="s">
        <v>6057</v>
      </c>
    </row>
    <row r="3589" customFormat="false" ht="12" hidden="false" customHeight="false" outlineLevel="0" collapsed="false">
      <c r="A3589" s="203" t="s">
        <v>6058</v>
      </c>
    </row>
    <row r="3590" customFormat="false" ht="12" hidden="false" customHeight="false" outlineLevel="0" collapsed="false">
      <c r="A3590" s="203" t="s">
        <v>6059</v>
      </c>
    </row>
    <row r="3591" customFormat="false" ht="12" hidden="false" customHeight="false" outlineLevel="0" collapsed="false">
      <c r="A3591" s="203" t="s">
        <v>6060</v>
      </c>
    </row>
    <row r="3592" customFormat="false" ht="12" hidden="false" customHeight="false" outlineLevel="0" collapsed="false">
      <c r="A3592" s="203" t="s">
        <v>6061</v>
      </c>
    </row>
    <row r="3593" customFormat="false" ht="12" hidden="false" customHeight="false" outlineLevel="0" collapsed="false">
      <c r="A3593" s="203" t="s">
        <v>6062</v>
      </c>
    </row>
    <row r="3594" customFormat="false" ht="12" hidden="false" customHeight="false" outlineLevel="0" collapsed="false">
      <c r="A3594" s="203" t="s">
        <v>6063</v>
      </c>
    </row>
    <row r="3595" customFormat="false" ht="12" hidden="false" customHeight="false" outlineLevel="0" collapsed="false">
      <c r="A3595" s="203" t="s">
        <v>6064</v>
      </c>
    </row>
    <row r="3596" customFormat="false" ht="12" hidden="false" customHeight="false" outlineLevel="0" collapsed="false">
      <c r="A3596" s="203" t="s">
        <v>6065</v>
      </c>
    </row>
    <row r="3597" customFormat="false" ht="12" hidden="false" customHeight="false" outlineLevel="0" collapsed="false">
      <c r="A3597" s="203" t="s">
        <v>6066</v>
      </c>
    </row>
    <row r="3598" customFormat="false" ht="12" hidden="false" customHeight="false" outlineLevel="0" collapsed="false">
      <c r="A3598" s="203" t="s">
        <v>6067</v>
      </c>
    </row>
    <row r="3599" customFormat="false" ht="12" hidden="false" customHeight="false" outlineLevel="0" collapsed="false">
      <c r="A3599" s="203" t="s">
        <v>6068</v>
      </c>
    </row>
    <row r="3600" customFormat="false" ht="12" hidden="false" customHeight="false" outlineLevel="0" collapsed="false">
      <c r="A3600" s="203" t="s">
        <v>6069</v>
      </c>
    </row>
    <row r="3601" customFormat="false" ht="12" hidden="false" customHeight="false" outlineLevel="0" collapsed="false">
      <c r="A3601" s="203" t="s">
        <v>6070</v>
      </c>
    </row>
    <row r="3602" customFormat="false" ht="12" hidden="false" customHeight="false" outlineLevel="0" collapsed="false">
      <c r="A3602" s="203" t="s">
        <v>6071</v>
      </c>
    </row>
    <row r="3603" customFormat="false" ht="12" hidden="false" customHeight="false" outlineLevel="0" collapsed="false">
      <c r="A3603" s="203" t="s">
        <v>6072</v>
      </c>
    </row>
    <row r="3604" customFormat="false" ht="12" hidden="false" customHeight="false" outlineLevel="0" collapsed="false">
      <c r="A3604" s="203" t="s">
        <v>6073</v>
      </c>
    </row>
    <row r="3605" customFormat="false" ht="12" hidden="false" customHeight="false" outlineLevel="0" collapsed="false">
      <c r="A3605" s="203" t="s">
        <v>6074</v>
      </c>
    </row>
    <row r="3606" customFormat="false" ht="12" hidden="false" customHeight="false" outlineLevel="0" collapsed="false">
      <c r="A3606" s="203" t="s">
        <v>6075</v>
      </c>
    </row>
    <row r="3607" customFormat="false" ht="12" hidden="false" customHeight="false" outlineLevel="0" collapsed="false">
      <c r="A3607" s="203" t="s">
        <v>6076</v>
      </c>
    </row>
    <row r="3608" customFormat="false" ht="12" hidden="false" customHeight="false" outlineLevel="0" collapsed="false">
      <c r="A3608" s="203" t="s">
        <v>6077</v>
      </c>
    </row>
    <row r="3609" customFormat="false" ht="12" hidden="false" customHeight="false" outlineLevel="0" collapsed="false">
      <c r="A3609" s="203" t="s">
        <v>6078</v>
      </c>
    </row>
    <row r="3610" customFormat="false" ht="12" hidden="false" customHeight="false" outlineLevel="0" collapsed="false">
      <c r="A3610" s="203" t="s">
        <v>6079</v>
      </c>
    </row>
    <row r="3611" customFormat="false" ht="12" hidden="false" customHeight="false" outlineLevel="0" collapsed="false">
      <c r="A3611" s="203" t="s">
        <v>6080</v>
      </c>
    </row>
    <row r="3612" customFormat="false" ht="12" hidden="false" customHeight="false" outlineLevel="0" collapsed="false">
      <c r="A3612" s="203" t="s">
        <v>6081</v>
      </c>
    </row>
    <row r="3613" customFormat="false" ht="12" hidden="false" customHeight="false" outlineLevel="0" collapsed="false">
      <c r="A3613" s="203" t="s">
        <v>6082</v>
      </c>
    </row>
    <row r="3614" customFormat="false" ht="12" hidden="false" customHeight="false" outlineLevel="0" collapsed="false">
      <c r="A3614" s="203" t="s">
        <v>6083</v>
      </c>
    </row>
    <row r="3615" customFormat="false" ht="12" hidden="false" customHeight="false" outlineLevel="0" collapsed="false">
      <c r="A3615" s="203" t="s">
        <v>6084</v>
      </c>
    </row>
    <row r="3616" customFormat="false" ht="12" hidden="false" customHeight="false" outlineLevel="0" collapsed="false">
      <c r="A3616" s="203" t="s">
        <v>6085</v>
      </c>
    </row>
    <row r="3617" customFormat="false" ht="12" hidden="false" customHeight="false" outlineLevel="0" collapsed="false">
      <c r="A3617" s="203" t="s">
        <v>6086</v>
      </c>
    </row>
    <row r="3618" customFormat="false" ht="12" hidden="false" customHeight="false" outlineLevel="0" collapsed="false">
      <c r="A3618" s="203" t="s">
        <v>6087</v>
      </c>
    </row>
    <row r="3619" customFormat="false" ht="12" hidden="false" customHeight="false" outlineLevel="0" collapsed="false">
      <c r="A3619" s="203" t="s">
        <v>6088</v>
      </c>
    </row>
    <row r="3620" customFormat="false" ht="12" hidden="false" customHeight="false" outlineLevel="0" collapsed="false">
      <c r="A3620" s="203" t="s">
        <v>6089</v>
      </c>
    </row>
    <row r="3621" customFormat="false" ht="12" hidden="false" customHeight="false" outlineLevel="0" collapsed="false">
      <c r="A3621" s="203" t="s">
        <v>6090</v>
      </c>
    </row>
    <row r="3622" customFormat="false" ht="12" hidden="false" customHeight="false" outlineLevel="0" collapsed="false">
      <c r="A3622" s="203" t="s">
        <v>6091</v>
      </c>
    </row>
    <row r="3623" customFormat="false" ht="12" hidden="false" customHeight="false" outlineLevel="0" collapsed="false">
      <c r="A3623" s="203" t="s">
        <v>6092</v>
      </c>
    </row>
    <row r="3624" customFormat="false" ht="12" hidden="false" customHeight="false" outlineLevel="0" collapsed="false">
      <c r="A3624" s="203" t="s">
        <v>6093</v>
      </c>
    </row>
    <row r="3625" customFormat="false" ht="12" hidden="false" customHeight="false" outlineLevel="0" collapsed="false">
      <c r="A3625" s="203" t="s">
        <v>6094</v>
      </c>
    </row>
    <row r="3626" customFormat="false" ht="12" hidden="false" customHeight="false" outlineLevel="0" collapsed="false">
      <c r="A3626" s="203" t="s">
        <v>6095</v>
      </c>
    </row>
    <row r="3627" customFormat="false" ht="12" hidden="false" customHeight="false" outlineLevel="0" collapsed="false">
      <c r="A3627" s="203" t="s">
        <v>6096</v>
      </c>
    </row>
    <row r="3628" customFormat="false" ht="12" hidden="false" customHeight="false" outlineLevel="0" collapsed="false">
      <c r="A3628" s="203" t="s">
        <v>6097</v>
      </c>
    </row>
    <row r="3629" customFormat="false" ht="12" hidden="false" customHeight="false" outlineLevel="0" collapsed="false">
      <c r="A3629" s="203" t="s">
        <v>6098</v>
      </c>
    </row>
    <row r="3630" customFormat="false" ht="12" hidden="false" customHeight="false" outlineLevel="0" collapsed="false">
      <c r="A3630" s="203" t="s">
        <v>6099</v>
      </c>
    </row>
    <row r="3631" customFormat="false" ht="12" hidden="false" customHeight="false" outlineLevel="0" collapsed="false">
      <c r="A3631" s="203" t="s">
        <v>6100</v>
      </c>
    </row>
    <row r="3632" customFormat="false" ht="12" hidden="false" customHeight="false" outlineLevel="0" collapsed="false">
      <c r="A3632" s="203" t="s">
        <v>6101</v>
      </c>
    </row>
    <row r="3633" customFormat="false" ht="12" hidden="false" customHeight="false" outlineLevel="0" collapsed="false">
      <c r="A3633" s="203" t="s">
        <v>6102</v>
      </c>
    </row>
    <row r="3634" customFormat="false" ht="12" hidden="false" customHeight="false" outlineLevel="0" collapsed="false">
      <c r="A3634" s="203" t="s">
        <v>6103</v>
      </c>
    </row>
    <row r="3635" customFormat="false" ht="12" hidden="false" customHeight="false" outlineLevel="0" collapsed="false">
      <c r="A3635" s="203" t="s">
        <v>6104</v>
      </c>
    </row>
    <row r="3636" customFormat="false" ht="12" hidden="false" customHeight="false" outlineLevel="0" collapsed="false">
      <c r="A3636" s="203" t="s">
        <v>6105</v>
      </c>
    </row>
    <row r="3637" customFormat="false" ht="12" hidden="false" customHeight="false" outlineLevel="0" collapsed="false">
      <c r="A3637" s="203" t="s">
        <v>6106</v>
      </c>
    </row>
    <row r="3638" customFormat="false" ht="12" hidden="false" customHeight="false" outlineLevel="0" collapsed="false">
      <c r="A3638" s="203" t="s">
        <v>6107</v>
      </c>
    </row>
    <row r="3639" customFormat="false" ht="12" hidden="false" customHeight="false" outlineLevel="0" collapsed="false">
      <c r="A3639" s="203" t="s">
        <v>6108</v>
      </c>
    </row>
    <row r="3640" customFormat="false" ht="12" hidden="false" customHeight="false" outlineLevel="0" collapsed="false">
      <c r="A3640" s="203" t="s">
        <v>6109</v>
      </c>
    </row>
    <row r="3641" customFormat="false" ht="12" hidden="false" customHeight="false" outlineLevel="0" collapsed="false">
      <c r="A3641" s="203" t="s">
        <v>6110</v>
      </c>
    </row>
    <row r="3642" customFormat="false" ht="12" hidden="false" customHeight="false" outlineLevel="0" collapsed="false">
      <c r="A3642" s="203" t="s">
        <v>6111</v>
      </c>
    </row>
    <row r="3643" customFormat="false" ht="12" hidden="false" customHeight="false" outlineLevel="0" collapsed="false">
      <c r="A3643" s="203" t="s">
        <v>6112</v>
      </c>
    </row>
    <row r="3644" customFormat="false" ht="12" hidden="false" customHeight="false" outlineLevel="0" collapsed="false">
      <c r="A3644" s="203" t="s">
        <v>6113</v>
      </c>
    </row>
    <row r="3645" customFormat="false" ht="12" hidden="false" customHeight="false" outlineLevel="0" collapsed="false">
      <c r="A3645" s="203" t="s">
        <v>6114</v>
      </c>
    </row>
    <row r="3646" customFormat="false" ht="12" hidden="false" customHeight="false" outlineLevel="0" collapsed="false">
      <c r="A3646" s="203" t="s">
        <v>6115</v>
      </c>
    </row>
    <row r="3647" customFormat="false" ht="12" hidden="false" customHeight="false" outlineLevel="0" collapsed="false">
      <c r="A3647" s="203" t="s">
        <v>6116</v>
      </c>
    </row>
    <row r="3648" customFormat="false" ht="12" hidden="false" customHeight="false" outlineLevel="0" collapsed="false">
      <c r="A3648" s="203" t="s">
        <v>6117</v>
      </c>
    </row>
    <row r="3649" customFormat="false" ht="12" hidden="false" customHeight="false" outlineLevel="0" collapsed="false">
      <c r="A3649" s="203" t="s">
        <v>6118</v>
      </c>
    </row>
    <row r="3650" customFormat="false" ht="12" hidden="false" customHeight="false" outlineLevel="0" collapsed="false">
      <c r="A3650" s="203" t="s">
        <v>6119</v>
      </c>
    </row>
    <row r="3651" customFormat="false" ht="12" hidden="false" customHeight="false" outlineLevel="0" collapsed="false">
      <c r="A3651" s="203" t="s">
        <v>6120</v>
      </c>
    </row>
    <row r="3652" customFormat="false" ht="12" hidden="false" customHeight="false" outlineLevel="0" collapsed="false">
      <c r="A3652" s="203" t="s">
        <v>6121</v>
      </c>
    </row>
    <row r="3653" customFormat="false" ht="12" hidden="false" customHeight="false" outlineLevel="0" collapsed="false">
      <c r="A3653" s="203" t="s">
        <v>6122</v>
      </c>
    </row>
    <row r="3654" customFormat="false" ht="12" hidden="false" customHeight="false" outlineLevel="0" collapsed="false">
      <c r="A3654" s="203" t="s">
        <v>6123</v>
      </c>
    </row>
    <row r="3655" customFormat="false" ht="12" hidden="false" customHeight="false" outlineLevel="0" collapsed="false">
      <c r="A3655" s="203" t="s">
        <v>6124</v>
      </c>
    </row>
    <row r="3656" customFormat="false" ht="12" hidden="false" customHeight="false" outlineLevel="0" collapsed="false">
      <c r="A3656" s="203" t="s">
        <v>6125</v>
      </c>
    </row>
    <row r="3657" customFormat="false" ht="12" hidden="false" customHeight="false" outlineLevel="0" collapsed="false">
      <c r="A3657" s="203" t="s">
        <v>6126</v>
      </c>
    </row>
    <row r="3658" customFormat="false" ht="12" hidden="false" customHeight="false" outlineLevel="0" collapsed="false">
      <c r="A3658" s="203" t="s">
        <v>6127</v>
      </c>
    </row>
    <row r="3659" customFormat="false" ht="12" hidden="false" customHeight="false" outlineLevel="0" collapsed="false">
      <c r="A3659" s="203" t="s">
        <v>6128</v>
      </c>
    </row>
    <row r="3660" customFormat="false" ht="12" hidden="false" customHeight="false" outlineLevel="0" collapsed="false">
      <c r="A3660" s="203" t="s">
        <v>6129</v>
      </c>
    </row>
    <row r="3661" customFormat="false" ht="12" hidden="false" customHeight="false" outlineLevel="0" collapsed="false">
      <c r="A3661" s="203" t="s">
        <v>6130</v>
      </c>
    </row>
    <row r="3662" customFormat="false" ht="12" hidden="false" customHeight="false" outlineLevel="0" collapsed="false">
      <c r="A3662" s="203" t="s">
        <v>6131</v>
      </c>
    </row>
    <row r="3663" customFormat="false" ht="12" hidden="false" customHeight="false" outlineLevel="0" collapsed="false">
      <c r="A3663" s="203" t="s">
        <v>6132</v>
      </c>
    </row>
    <row r="3664" customFormat="false" ht="12" hidden="false" customHeight="false" outlineLevel="0" collapsed="false">
      <c r="A3664" s="203" t="s">
        <v>6133</v>
      </c>
    </row>
    <row r="3665" customFormat="false" ht="12" hidden="false" customHeight="false" outlineLevel="0" collapsed="false">
      <c r="A3665" s="203" t="s">
        <v>6134</v>
      </c>
    </row>
    <row r="3666" customFormat="false" ht="12" hidden="false" customHeight="false" outlineLevel="0" collapsed="false">
      <c r="A3666" s="203" t="s">
        <v>6135</v>
      </c>
    </row>
    <row r="3667" customFormat="false" ht="12" hidden="false" customHeight="false" outlineLevel="0" collapsed="false">
      <c r="A3667" s="203" t="s">
        <v>6136</v>
      </c>
    </row>
    <row r="3668" customFormat="false" ht="12" hidden="false" customHeight="false" outlineLevel="0" collapsed="false">
      <c r="A3668" s="203" t="s">
        <v>6137</v>
      </c>
    </row>
    <row r="3669" customFormat="false" ht="12" hidden="false" customHeight="false" outlineLevel="0" collapsed="false">
      <c r="A3669" s="203" t="s">
        <v>6138</v>
      </c>
    </row>
    <row r="3670" customFormat="false" ht="12" hidden="false" customHeight="false" outlineLevel="0" collapsed="false">
      <c r="A3670" s="203" t="s">
        <v>6139</v>
      </c>
    </row>
    <row r="3671" customFormat="false" ht="12" hidden="false" customHeight="false" outlineLevel="0" collapsed="false">
      <c r="A3671" s="203" t="s">
        <v>6140</v>
      </c>
    </row>
    <row r="3672" customFormat="false" ht="12" hidden="false" customHeight="false" outlineLevel="0" collapsed="false">
      <c r="A3672" s="203" t="s">
        <v>6141</v>
      </c>
    </row>
    <row r="3673" customFormat="false" ht="12" hidden="false" customHeight="false" outlineLevel="0" collapsed="false">
      <c r="A3673" s="203" t="s">
        <v>6142</v>
      </c>
    </row>
    <row r="3674" customFormat="false" ht="12" hidden="false" customHeight="false" outlineLevel="0" collapsed="false">
      <c r="A3674" s="203" t="s">
        <v>6143</v>
      </c>
    </row>
    <row r="3675" customFormat="false" ht="12" hidden="false" customHeight="false" outlineLevel="0" collapsed="false">
      <c r="A3675" s="203" t="s">
        <v>6144</v>
      </c>
    </row>
    <row r="3676" customFormat="false" ht="12" hidden="false" customHeight="false" outlineLevel="0" collapsed="false">
      <c r="A3676" s="203" t="s">
        <v>6145</v>
      </c>
    </row>
    <row r="3677" customFormat="false" ht="12" hidden="false" customHeight="false" outlineLevel="0" collapsed="false">
      <c r="A3677" s="203" t="s">
        <v>6146</v>
      </c>
    </row>
    <row r="3678" customFormat="false" ht="12" hidden="false" customHeight="false" outlineLevel="0" collapsed="false">
      <c r="A3678" s="203" t="s">
        <v>6147</v>
      </c>
    </row>
    <row r="3679" customFormat="false" ht="12" hidden="false" customHeight="false" outlineLevel="0" collapsed="false">
      <c r="A3679" s="203" t="s">
        <v>6148</v>
      </c>
    </row>
    <row r="3680" customFormat="false" ht="12" hidden="false" customHeight="false" outlineLevel="0" collapsed="false">
      <c r="A3680" s="203" t="s">
        <v>6149</v>
      </c>
    </row>
    <row r="3681" customFormat="false" ht="12" hidden="false" customHeight="false" outlineLevel="0" collapsed="false">
      <c r="A3681" s="203" t="s">
        <v>6150</v>
      </c>
    </row>
    <row r="3682" customFormat="false" ht="12" hidden="false" customHeight="false" outlineLevel="0" collapsed="false">
      <c r="A3682" s="203" t="s">
        <v>6151</v>
      </c>
    </row>
    <row r="3683" customFormat="false" ht="12" hidden="false" customHeight="false" outlineLevel="0" collapsed="false">
      <c r="A3683" s="203" t="s">
        <v>6152</v>
      </c>
    </row>
    <row r="3684" customFormat="false" ht="12" hidden="false" customHeight="false" outlineLevel="0" collapsed="false">
      <c r="A3684" s="203" t="s">
        <v>6153</v>
      </c>
    </row>
    <row r="3685" customFormat="false" ht="12" hidden="false" customHeight="false" outlineLevel="0" collapsed="false">
      <c r="A3685" s="203" t="s">
        <v>6154</v>
      </c>
    </row>
    <row r="3686" customFormat="false" ht="12" hidden="false" customHeight="false" outlineLevel="0" collapsed="false">
      <c r="A3686" s="203" t="s">
        <v>6155</v>
      </c>
    </row>
    <row r="3687" customFormat="false" ht="12" hidden="false" customHeight="false" outlineLevel="0" collapsed="false">
      <c r="A3687" s="203" t="s">
        <v>6156</v>
      </c>
    </row>
    <row r="3688" customFormat="false" ht="12" hidden="false" customHeight="false" outlineLevel="0" collapsed="false">
      <c r="A3688" s="203" t="s">
        <v>6157</v>
      </c>
    </row>
    <row r="3689" customFormat="false" ht="12" hidden="false" customHeight="false" outlineLevel="0" collapsed="false">
      <c r="A3689" s="203" t="s">
        <v>6158</v>
      </c>
    </row>
    <row r="3690" customFormat="false" ht="12" hidden="false" customHeight="false" outlineLevel="0" collapsed="false">
      <c r="A3690" s="203" t="s">
        <v>6159</v>
      </c>
    </row>
    <row r="3691" customFormat="false" ht="12" hidden="false" customHeight="false" outlineLevel="0" collapsed="false">
      <c r="A3691" s="203" t="s">
        <v>6160</v>
      </c>
    </row>
    <row r="3692" customFormat="false" ht="12" hidden="false" customHeight="false" outlineLevel="0" collapsed="false">
      <c r="A3692" s="203" t="s">
        <v>6161</v>
      </c>
    </row>
    <row r="3693" customFormat="false" ht="12" hidden="false" customHeight="false" outlineLevel="0" collapsed="false">
      <c r="A3693" s="203" t="s">
        <v>6162</v>
      </c>
    </row>
    <row r="3694" customFormat="false" ht="12" hidden="false" customHeight="false" outlineLevel="0" collapsed="false">
      <c r="A3694" s="203" t="s">
        <v>6163</v>
      </c>
    </row>
    <row r="3695" customFormat="false" ht="12" hidden="false" customHeight="false" outlineLevel="0" collapsed="false">
      <c r="A3695" s="203" t="s">
        <v>6164</v>
      </c>
    </row>
    <row r="3696" customFormat="false" ht="12" hidden="false" customHeight="false" outlineLevel="0" collapsed="false">
      <c r="A3696" s="203" t="s">
        <v>6165</v>
      </c>
    </row>
    <row r="3697" customFormat="false" ht="12" hidden="false" customHeight="false" outlineLevel="0" collapsed="false">
      <c r="A3697" s="203" t="s">
        <v>6166</v>
      </c>
    </row>
    <row r="3698" customFormat="false" ht="12" hidden="false" customHeight="false" outlineLevel="0" collapsed="false">
      <c r="A3698" s="203" t="s">
        <v>6167</v>
      </c>
    </row>
    <row r="3699" customFormat="false" ht="12" hidden="false" customHeight="false" outlineLevel="0" collapsed="false">
      <c r="A3699" s="203" t="s">
        <v>6168</v>
      </c>
    </row>
    <row r="3700" customFormat="false" ht="12" hidden="false" customHeight="false" outlineLevel="0" collapsed="false">
      <c r="A3700" s="203" t="s">
        <v>6169</v>
      </c>
    </row>
    <row r="3701" customFormat="false" ht="12" hidden="false" customHeight="false" outlineLevel="0" collapsed="false">
      <c r="A3701" s="203" t="s">
        <v>6170</v>
      </c>
    </row>
    <row r="3702" customFormat="false" ht="12" hidden="false" customHeight="false" outlineLevel="0" collapsed="false">
      <c r="A3702" s="203" t="s">
        <v>6171</v>
      </c>
    </row>
    <row r="3703" customFormat="false" ht="12" hidden="false" customHeight="false" outlineLevel="0" collapsed="false">
      <c r="A3703" s="203" t="s">
        <v>6172</v>
      </c>
    </row>
    <row r="3704" customFormat="false" ht="12" hidden="false" customHeight="false" outlineLevel="0" collapsed="false">
      <c r="A3704" s="203" t="s">
        <v>6173</v>
      </c>
    </row>
    <row r="3705" customFormat="false" ht="12" hidden="false" customHeight="false" outlineLevel="0" collapsed="false">
      <c r="A3705" s="203" t="s">
        <v>6174</v>
      </c>
    </row>
    <row r="3706" customFormat="false" ht="12" hidden="false" customHeight="false" outlineLevel="0" collapsed="false">
      <c r="A3706" s="203" t="s">
        <v>6175</v>
      </c>
    </row>
    <row r="3707" customFormat="false" ht="12" hidden="false" customHeight="false" outlineLevel="0" collapsed="false">
      <c r="A3707" s="203" t="s">
        <v>6176</v>
      </c>
    </row>
    <row r="3708" customFormat="false" ht="12" hidden="false" customHeight="false" outlineLevel="0" collapsed="false">
      <c r="A3708" s="203" t="s">
        <v>6177</v>
      </c>
    </row>
    <row r="3709" customFormat="false" ht="12" hidden="false" customHeight="false" outlineLevel="0" collapsed="false">
      <c r="A3709" s="203" t="s">
        <v>6178</v>
      </c>
    </row>
    <row r="3710" customFormat="false" ht="12" hidden="false" customHeight="false" outlineLevel="0" collapsed="false">
      <c r="A3710" s="203" t="s">
        <v>6179</v>
      </c>
    </row>
    <row r="3711" customFormat="false" ht="12" hidden="false" customHeight="false" outlineLevel="0" collapsed="false">
      <c r="A3711" s="203" t="s">
        <v>6180</v>
      </c>
    </row>
    <row r="3712" customFormat="false" ht="12" hidden="false" customHeight="false" outlineLevel="0" collapsed="false">
      <c r="A3712" s="203" t="s">
        <v>6181</v>
      </c>
    </row>
    <row r="3713" customFormat="false" ht="12" hidden="false" customHeight="false" outlineLevel="0" collapsed="false">
      <c r="A3713" s="203" t="s">
        <v>6182</v>
      </c>
    </row>
    <row r="3714" customFormat="false" ht="12" hidden="false" customHeight="false" outlineLevel="0" collapsed="false">
      <c r="A3714" s="203" t="s">
        <v>6183</v>
      </c>
    </row>
    <row r="3715" customFormat="false" ht="12" hidden="false" customHeight="false" outlineLevel="0" collapsed="false">
      <c r="A3715" s="203" t="s">
        <v>6184</v>
      </c>
    </row>
    <row r="3716" customFormat="false" ht="12" hidden="false" customHeight="false" outlineLevel="0" collapsed="false">
      <c r="A3716" s="203" t="s">
        <v>6185</v>
      </c>
    </row>
    <row r="3717" customFormat="false" ht="12" hidden="false" customHeight="false" outlineLevel="0" collapsed="false">
      <c r="A3717" s="203" t="s">
        <v>6186</v>
      </c>
    </row>
    <row r="3718" customFormat="false" ht="12" hidden="false" customHeight="false" outlineLevel="0" collapsed="false">
      <c r="A3718" s="203" t="s">
        <v>6187</v>
      </c>
    </row>
    <row r="3719" customFormat="false" ht="12" hidden="false" customHeight="false" outlineLevel="0" collapsed="false">
      <c r="A3719" s="203" t="s">
        <v>6188</v>
      </c>
    </row>
    <row r="3720" customFormat="false" ht="12" hidden="false" customHeight="false" outlineLevel="0" collapsed="false">
      <c r="A3720" s="203" t="s">
        <v>6189</v>
      </c>
    </row>
    <row r="3721" customFormat="false" ht="12" hidden="false" customHeight="false" outlineLevel="0" collapsed="false">
      <c r="A3721" s="203" t="s">
        <v>6190</v>
      </c>
    </row>
    <row r="3722" customFormat="false" ht="12" hidden="false" customHeight="false" outlineLevel="0" collapsed="false">
      <c r="A3722" s="203" t="s">
        <v>6191</v>
      </c>
    </row>
    <row r="3723" customFormat="false" ht="12" hidden="false" customHeight="false" outlineLevel="0" collapsed="false">
      <c r="A3723" s="203" t="s">
        <v>6192</v>
      </c>
    </row>
    <row r="3724" customFormat="false" ht="12" hidden="false" customHeight="false" outlineLevel="0" collapsed="false">
      <c r="A3724" s="203" t="s">
        <v>6193</v>
      </c>
    </row>
    <row r="3725" customFormat="false" ht="12" hidden="false" customHeight="false" outlineLevel="0" collapsed="false">
      <c r="A3725" s="203" t="s">
        <v>6194</v>
      </c>
    </row>
    <row r="3726" customFormat="false" ht="12" hidden="false" customHeight="false" outlineLevel="0" collapsed="false">
      <c r="A3726" s="203" t="s">
        <v>6195</v>
      </c>
    </row>
    <row r="3727" customFormat="false" ht="12" hidden="false" customHeight="false" outlineLevel="0" collapsed="false">
      <c r="A3727" s="203" t="s">
        <v>6196</v>
      </c>
    </row>
    <row r="3728" customFormat="false" ht="12" hidden="false" customHeight="false" outlineLevel="0" collapsed="false">
      <c r="A3728" s="203" t="s">
        <v>6197</v>
      </c>
    </row>
    <row r="3729" customFormat="false" ht="12" hidden="false" customHeight="false" outlineLevel="0" collapsed="false">
      <c r="A3729" s="203" t="s">
        <v>6198</v>
      </c>
    </row>
    <row r="3730" customFormat="false" ht="12" hidden="false" customHeight="false" outlineLevel="0" collapsed="false">
      <c r="A3730" s="203" t="s">
        <v>6199</v>
      </c>
    </row>
    <row r="3731" customFormat="false" ht="12" hidden="false" customHeight="false" outlineLevel="0" collapsed="false">
      <c r="A3731" s="203" t="s">
        <v>6200</v>
      </c>
    </row>
    <row r="3732" customFormat="false" ht="12" hidden="false" customHeight="false" outlineLevel="0" collapsed="false">
      <c r="A3732" s="203" t="s">
        <v>6201</v>
      </c>
    </row>
    <row r="3733" customFormat="false" ht="12" hidden="false" customHeight="false" outlineLevel="0" collapsed="false">
      <c r="A3733" s="203" t="s">
        <v>6202</v>
      </c>
    </row>
    <row r="3734" customFormat="false" ht="12" hidden="false" customHeight="false" outlineLevel="0" collapsed="false">
      <c r="A3734" s="203" t="s">
        <v>6203</v>
      </c>
    </row>
    <row r="3735" customFormat="false" ht="12" hidden="false" customHeight="false" outlineLevel="0" collapsed="false">
      <c r="A3735" s="203" t="s">
        <v>6204</v>
      </c>
    </row>
    <row r="3736" customFormat="false" ht="12" hidden="false" customHeight="false" outlineLevel="0" collapsed="false">
      <c r="A3736" s="203" t="s">
        <v>6205</v>
      </c>
    </row>
    <row r="3737" customFormat="false" ht="12" hidden="false" customHeight="false" outlineLevel="0" collapsed="false">
      <c r="A3737" s="203" t="s">
        <v>6206</v>
      </c>
    </row>
    <row r="3738" customFormat="false" ht="12" hidden="false" customHeight="false" outlineLevel="0" collapsed="false">
      <c r="A3738" s="203" t="s">
        <v>6207</v>
      </c>
    </row>
    <row r="3739" customFormat="false" ht="12" hidden="false" customHeight="false" outlineLevel="0" collapsed="false">
      <c r="A3739" s="203" t="s">
        <v>6208</v>
      </c>
    </row>
    <row r="3740" customFormat="false" ht="12" hidden="false" customHeight="false" outlineLevel="0" collapsed="false">
      <c r="A3740" s="203" t="s">
        <v>6209</v>
      </c>
    </row>
    <row r="3741" customFormat="false" ht="12" hidden="false" customHeight="false" outlineLevel="0" collapsed="false">
      <c r="A3741" s="203" t="s">
        <v>6210</v>
      </c>
    </row>
    <row r="3742" customFormat="false" ht="12" hidden="false" customHeight="false" outlineLevel="0" collapsed="false">
      <c r="A3742" s="203" t="s">
        <v>6211</v>
      </c>
    </row>
    <row r="3743" customFormat="false" ht="12" hidden="false" customHeight="false" outlineLevel="0" collapsed="false">
      <c r="A3743" s="203" t="s">
        <v>6212</v>
      </c>
    </row>
    <row r="3744" customFormat="false" ht="12" hidden="false" customHeight="false" outlineLevel="0" collapsed="false">
      <c r="A3744" s="203" t="s">
        <v>6213</v>
      </c>
    </row>
    <row r="3745" customFormat="false" ht="12" hidden="false" customHeight="false" outlineLevel="0" collapsed="false">
      <c r="A3745" s="203" t="s">
        <v>6214</v>
      </c>
    </row>
    <row r="3746" customFormat="false" ht="12" hidden="false" customHeight="false" outlineLevel="0" collapsed="false">
      <c r="A3746" s="203" t="s">
        <v>6215</v>
      </c>
    </row>
    <row r="3747" customFormat="false" ht="12" hidden="false" customHeight="false" outlineLevel="0" collapsed="false">
      <c r="A3747" s="203" t="s">
        <v>6216</v>
      </c>
    </row>
    <row r="3748" customFormat="false" ht="12" hidden="false" customHeight="false" outlineLevel="0" collapsed="false">
      <c r="A3748" s="203" t="s">
        <v>6217</v>
      </c>
    </row>
    <row r="3749" customFormat="false" ht="12" hidden="false" customHeight="false" outlineLevel="0" collapsed="false">
      <c r="A3749" s="203" t="s">
        <v>6218</v>
      </c>
    </row>
    <row r="3750" customFormat="false" ht="12" hidden="false" customHeight="false" outlineLevel="0" collapsed="false">
      <c r="A3750" s="203" t="s">
        <v>6219</v>
      </c>
    </row>
    <row r="3751" customFormat="false" ht="12" hidden="false" customHeight="false" outlineLevel="0" collapsed="false">
      <c r="A3751" s="203" t="s">
        <v>6220</v>
      </c>
    </row>
    <row r="3752" customFormat="false" ht="12" hidden="false" customHeight="false" outlineLevel="0" collapsed="false">
      <c r="A3752" s="203" t="s">
        <v>6221</v>
      </c>
    </row>
    <row r="3753" customFormat="false" ht="12" hidden="false" customHeight="false" outlineLevel="0" collapsed="false">
      <c r="A3753" s="203" t="s">
        <v>6222</v>
      </c>
    </row>
    <row r="3754" customFormat="false" ht="12" hidden="false" customHeight="false" outlineLevel="0" collapsed="false">
      <c r="A3754" s="203" t="s">
        <v>6223</v>
      </c>
    </row>
    <row r="3755" customFormat="false" ht="12" hidden="false" customHeight="false" outlineLevel="0" collapsed="false">
      <c r="A3755" s="203" t="s">
        <v>6224</v>
      </c>
    </row>
    <row r="3756" customFormat="false" ht="12" hidden="false" customHeight="false" outlineLevel="0" collapsed="false">
      <c r="A3756" s="203" t="s">
        <v>6225</v>
      </c>
    </row>
    <row r="3757" customFormat="false" ht="12" hidden="false" customHeight="false" outlineLevel="0" collapsed="false">
      <c r="A3757" s="203" t="s">
        <v>6226</v>
      </c>
    </row>
    <row r="3758" customFormat="false" ht="12" hidden="false" customHeight="false" outlineLevel="0" collapsed="false">
      <c r="A3758" s="203" t="s">
        <v>6227</v>
      </c>
    </row>
    <row r="3759" customFormat="false" ht="12" hidden="false" customHeight="false" outlineLevel="0" collapsed="false">
      <c r="A3759" s="203" t="s">
        <v>6228</v>
      </c>
    </row>
    <row r="3760" customFormat="false" ht="12" hidden="false" customHeight="false" outlineLevel="0" collapsed="false">
      <c r="A3760" s="203" t="s">
        <v>6229</v>
      </c>
    </row>
    <row r="3761" customFormat="false" ht="12" hidden="false" customHeight="false" outlineLevel="0" collapsed="false">
      <c r="A3761" s="203" t="s">
        <v>6230</v>
      </c>
    </row>
    <row r="3762" customFormat="false" ht="12" hidden="false" customHeight="false" outlineLevel="0" collapsed="false">
      <c r="A3762" s="203" t="s">
        <v>6231</v>
      </c>
    </row>
    <row r="3763" customFormat="false" ht="12" hidden="false" customHeight="false" outlineLevel="0" collapsed="false">
      <c r="A3763" s="203" t="s">
        <v>6232</v>
      </c>
    </row>
    <row r="3764" customFormat="false" ht="12" hidden="false" customHeight="false" outlineLevel="0" collapsed="false">
      <c r="A3764" s="203" t="s">
        <v>6233</v>
      </c>
    </row>
    <row r="3765" customFormat="false" ht="12" hidden="false" customHeight="false" outlineLevel="0" collapsed="false">
      <c r="A3765" s="203" t="s">
        <v>6234</v>
      </c>
    </row>
    <row r="3766" customFormat="false" ht="12" hidden="false" customHeight="false" outlineLevel="0" collapsed="false">
      <c r="A3766" s="203" t="s">
        <v>6235</v>
      </c>
    </row>
    <row r="3767" customFormat="false" ht="12" hidden="false" customHeight="false" outlineLevel="0" collapsed="false">
      <c r="A3767" s="203" t="s">
        <v>6236</v>
      </c>
    </row>
    <row r="3768" customFormat="false" ht="12" hidden="false" customHeight="false" outlineLevel="0" collapsed="false">
      <c r="A3768" s="203" t="s">
        <v>6237</v>
      </c>
    </row>
    <row r="3769" customFormat="false" ht="12" hidden="false" customHeight="false" outlineLevel="0" collapsed="false">
      <c r="A3769" s="203" t="s">
        <v>6238</v>
      </c>
    </row>
    <row r="3770" customFormat="false" ht="12" hidden="false" customHeight="false" outlineLevel="0" collapsed="false">
      <c r="A3770" s="203" t="s">
        <v>6239</v>
      </c>
    </row>
    <row r="3771" customFormat="false" ht="12" hidden="false" customHeight="false" outlineLevel="0" collapsed="false">
      <c r="A3771" s="203" t="s">
        <v>6240</v>
      </c>
    </row>
    <row r="3772" customFormat="false" ht="12" hidden="false" customHeight="false" outlineLevel="0" collapsed="false">
      <c r="A3772" s="203" t="s">
        <v>6241</v>
      </c>
    </row>
    <row r="3773" customFormat="false" ht="12" hidden="false" customHeight="false" outlineLevel="0" collapsed="false">
      <c r="A3773" s="203" t="s">
        <v>6242</v>
      </c>
    </row>
    <row r="3774" customFormat="false" ht="12" hidden="false" customHeight="false" outlineLevel="0" collapsed="false">
      <c r="A3774" s="203" t="s">
        <v>6243</v>
      </c>
    </row>
    <row r="3775" customFormat="false" ht="12" hidden="false" customHeight="false" outlineLevel="0" collapsed="false">
      <c r="A3775" s="203" t="s">
        <v>6244</v>
      </c>
    </row>
    <row r="3776" customFormat="false" ht="12" hidden="false" customHeight="false" outlineLevel="0" collapsed="false">
      <c r="A3776" s="203" t="s">
        <v>6245</v>
      </c>
    </row>
    <row r="3777" customFormat="false" ht="12" hidden="false" customHeight="false" outlineLevel="0" collapsed="false">
      <c r="A3777" s="203" t="s">
        <v>6246</v>
      </c>
    </row>
    <row r="3778" customFormat="false" ht="12" hidden="false" customHeight="false" outlineLevel="0" collapsed="false">
      <c r="A3778" s="203" t="s">
        <v>6247</v>
      </c>
    </row>
    <row r="3779" customFormat="false" ht="12" hidden="false" customHeight="false" outlineLevel="0" collapsed="false">
      <c r="A3779" s="203" t="s">
        <v>6248</v>
      </c>
    </row>
    <row r="3780" customFormat="false" ht="12" hidden="false" customHeight="false" outlineLevel="0" collapsed="false">
      <c r="A3780" s="203" t="s">
        <v>6249</v>
      </c>
    </row>
    <row r="3781" customFormat="false" ht="12" hidden="false" customHeight="false" outlineLevel="0" collapsed="false">
      <c r="A3781" s="203" t="s">
        <v>6250</v>
      </c>
    </row>
    <row r="3782" customFormat="false" ht="12" hidden="false" customHeight="false" outlineLevel="0" collapsed="false">
      <c r="A3782" s="203" t="s">
        <v>6251</v>
      </c>
    </row>
    <row r="3783" customFormat="false" ht="12" hidden="false" customHeight="false" outlineLevel="0" collapsed="false">
      <c r="A3783" s="203" t="s">
        <v>6252</v>
      </c>
    </row>
    <row r="3784" customFormat="false" ht="12" hidden="false" customHeight="false" outlineLevel="0" collapsed="false">
      <c r="A3784" s="203" t="s">
        <v>6253</v>
      </c>
    </row>
    <row r="3785" customFormat="false" ht="12" hidden="false" customHeight="false" outlineLevel="0" collapsed="false">
      <c r="A3785" s="203" t="s">
        <v>6254</v>
      </c>
    </row>
    <row r="3786" customFormat="false" ht="12" hidden="false" customHeight="false" outlineLevel="0" collapsed="false">
      <c r="A3786" s="203" t="s">
        <v>6255</v>
      </c>
    </row>
    <row r="3787" customFormat="false" ht="12" hidden="false" customHeight="false" outlineLevel="0" collapsed="false">
      <c r="A3787" s="203" t="s">
        <v>6256</v>
      </c>
    </row>
    <row r="3788" customFormat="false" ht="12" hidden="false" customHeight="false" outlineLevel="0" collapsed="false">
      <c r="A3788" s="203" t="s">
        <v>6257</v>
      </c>
    </row>
    <row r="3789" customFormat="false" ht="12" hidden="false" customHeight="false" outlineLevel="0" collapsed="false">
      <c r="A3789" s="203" t="s">
        <v>6258</v>
      </c>
    </row>
    <row r="3790" customFormat="false" ht="12" hidden="false" customHeight="false" outlineLevel="0" collapsed="false">
      <c r="A3790" s="203" t="s">
        <v>6259</v>
      </c>
    </row>
    <row r="3791" customFormat="false" ht="12" hidden="false" customHeight="false" outlineLevel="0" collapsed="false">
      <c r="A3791" s="203" t="s">
        <v>6260</v>
      </c>
    </row>
    <row r="3792" customFormat="false" ht="12" hidden="false" customHeight="false" outlineLevel="0" collapsed="false">
      <c r="A3792" s="203" t="s">
        <v>6261</v>
      </c>
    </row>
    <row r="3793" customFormat="false" ht="12" hidden="false" customHeight="false" outlineLevel="0" collapsed="false">
      <c r="A3793" s="203" t="s">
        <v>6262</v>
      </c>
    </row>
    <row r="3794" customFormat="false" ht="12" hidden="false" customHeight="false" outlineLevel="0" collapsed="false">
      <c r="A3794" s="203" t="s">
        <v>6263</v>
      </c>
    </row>
    <row r="3795" customFormat="false" ht="12" hidden="false" customHeight="false" outlineLevel="0" collapsed="false">
      <c r="A3795" s="203" t="s">
        <v>6264</v>
      </c>
    </row>
    <row r="3796" customFormat="false" ht="12" hidden="false" customHeight="false" outlineLevel="0" collapsed="false">
      <c r="A3796" s="203" t="s">
        <v>6265</v>
      </c>
    </row>
    <row r="3797" customFormat="false" ht="12" hidden="false" customHeight="false" outlineLevel="0" collapsed="false">
      <c r="A3797" s="203" t="s">
        <v>6266</v>
      </c>
    </row>
    <row r="3798" customFormat="false" ht="12" hidden="false" customHeight="false" outlineLevel="0" collapsed="false">
      <c r="A3798" s="203" t="s">
        <v>6267</v>
      </c>
    </row>
    <row r="3799" customFormat="false" ht="12" hidden="false" customHeight="false" outlineLevel="0" collapsed="false">
      <c r="A3799" s="203" t="s">
        <v>6268</v>
      </c>
    </row>
    <row r="3800" customFormat="false" ht="12" hidden="false" customHeight="false" outlineLevel="0" collapsed="false">
      <c r="A3800" s="203" t="s">
        <v>6269</v>
      </c>
    </row>
    <row r="3801" customFormat="false" ht="12" hidden="false" customHeight="false" outlineLevel="0" collapsed="false">
      <c r="A3801" s="203" t="s">
        <v>6270</v>
      </c>
    </row>
    <row r="3802" customFormat="false" ht="12" hidden="false" customHeight="false" outlineLevel="0" collapsed="false">
      <c r="A3802" s="203" t="s">
        <v>6271</v>
      </c>
    </row>
    <row r="3803" customFormat="false" ht="12" hidden="false" customHeight="false" outlineLevel="0" collapsed="false">
      <c r="A3803" s="203" t="s">
        <v>6272</v>
      </c>
    </row>
    <row r="3804" customFormat="false" ht="12" hidden="false" customHeight="false" outlineLevel="0" collapsed="false">
      <c r="A3804" s="203" t="s">
        <v>6273</v>
      </c>
    </row>
    <row r="3805" customFormat="false" ht="12" hidden="false" customHeight="false" outlineLevel="0" collapsed="false">
      <c r="A3805" s="203" t="s">
        <v>6274</v>
      </c>
    </row>
    <row r="3806" customFormat="false" ht="12" hidden="false" customHeight="false" outlineLevel="0" collapsed="false">
      <c r="A3806" s="203" t="s">
        <v>6275</v>
      </c>
    </row>
    <row r="3807" customFormat="false" ht="12" hidden="false" customHeight="false" outlineLevel="0" collapsed="false">
      <c r="A3807" s="203" t="s">
        <v>6276</v>
      </c>
    </row>
    <row r="3808" customFormat="false" ht="12" hidden="false" customHeight="false" outlineLevel="0" collapsed="false">
      <c r="A3808" s="203" t="s">
        <v>6277</v>
      </c>
    </row>
    <row r="3809" customFormat="false" ht="12" hidden="false" customHeight="false" outlineLevel="0" collapsed="false">
      <c r="A3809" s="203" t="s">
        <v>6278</v>
      </c>
    </row>
    <row r="3810" customFormat="false" ht="12" hidden="false" customHeight="false" outlineLevel="0" collapsed="false">
      <c r="A3810" s="203" t="s">
        <v>6279</v>
      </c>
    </row>
    <row r="3811" customFormat="false" ht="12" hidden="false" customHeight="false" outlineLevel="0" collapsed="false">
      <c r="A3811" s="203" t="s">
        <v>6280</v>
      </c>
    </row>
    <row r="3812" customFormat="false" ht="12" hidden="false" customHeight="false" outlineLevel="0" collapsed="false">
      <c r="A3812" s="203" t="s">
        <v>6281</v>
      </c>
    </row>
    <row r="3813" customFormat="false" ht="12" hidden="false" customHeight="false" outlineLevel="0" collapsed="false">
      <c r="A3813" s="203" t="s">
        <v>6282</v>
      </c>
    </row>
    <row r="3814" customFormat="false" ht="12" hidden="false" customHeight="false" outlineLevel="0" collapsed="false">
      <c r="A3814" s="203" t="s">
        <v>6283</v>
      </c>
    </row>
    <row r="3815" customFormat="false" ht="12" hidden="false" customHeight="false" outlineLevel="0" collapsed="false">
      <c r="A3815" s="203" t="s">
        <v>6284</v>
      </c>
    </row>
    <row r="3816" customFormat="false" ht="12" hidden="false" customHeight="false" outlineLevel="0" collapsed="false">
      <c r="A3816" s="203" t="s">
        <v>6285</v>
      </c>
    </row>
    <row r="3817" customFormat="false" ht="12" hidden="false" customHeight="false" outlineLevel="0" collapsed="false">
      <c r="A3817" s="203" t="s">
        <v>6286</v>
      </c>
    </row>
    <row r="3818" customFormat="false" ht="12" hidden="false" customHeight="false" outlineLevel="0" collapsed="false">
      <c r="A3818" s="203" t="s">
        <v>6287</v>
      </c>
    </row>
    <row r="3819" customFormat="false" ht="12" hidden="false" customHeight="false" outlineLevel="0" collapsed="false">
      <c r="A3819" s="203" t="s">
        <v>6288</v>
      </c>
    </row>
    <row r="3820" customFormat="false" ht="12" hidden="false" customHeight="false" outlineLevel="0" collapsed="false">
      <c r="A3820" s="203" t="s">
        <v>6289</v>
      </c>
    </row>
    <row r="3821" customFormat="false" ht="12" hidden="false" customHeight="false" outlineLevel="0" collapsed="false">
      <c r="A3821" s="203" t="s">
        <v>6290</v>
      </c>
    </row>
    <row r="3822" customFormat="false" ht="12" hidden="false" customHeight="false" outlineLevel="0" collapsed="false">
      <c r="A3822" s="203" t="s">
        <v>6291</v>
      </c>
    </row>
    <row r="3823" customFormat="false" ht="12" hidden="false" customHeight="false" outlineLevel="0" collapsed="false">
      <c r="A3823" s="203" t="s">
        <v>6292</v>
      </c>
    </row>
    <row r="3824" customFormat="false" ht="12" hidden="false" customHeight="false" outlineLevel="0" collapsed="false">
      <c r="A3824" s="203" t="s">
        <v>6293</v>
      </c>
    </row>
    <row r="3825" customFormat="false" ht="12" hidden="false" customHeight="false" outlineLevel="0" collapsed="false">
      <c r="A3825" s="203" t="s">
        <v>6294</v>
      </c>
    </row>
    <row r="3826" customFormat="false" ht="12" hidden="false" customHeight="false" outlineLevel="0" collapsed="false">
      <c r="A3826" s="203" t="s">
        <v>6295</v>
      </c>
    </row>
    <row r="3827" customFormat="false" ht="12" hidden="false" customHeight="false" outlineLevel="0" collapsed="false">
      <c r="A3827" s="203" t="s">
        <v>6296</v>
      </c>
    </row>
    <row r="3828" customFormat="false" ht="12" hidden="false" customHeight="false" outlineLevel="0" collapsed="false">
      <c r="A3828" s="203" t="s">
        <v>6297</v>
      </c>
    </row>
    <row r="3829" customFormat="false" ht="12" hidden="false" customHeight="false" outlineLevel="0" collapsed="false">
      <c r="A3829" s="203" t="s">
        <v>6298</v>
      </c>
    </row>
    <row r="3830" customFormat="false" ht="12" hidden="false" customHeight="false" outlineLevel="0" collapsed="false">
      <c r="A3830" s="203" t="s">
        <v>6299</v>
      </c>
    </row>
    <row r="3831" customFormat="false" ht="12" hidden="false" customHeight="false" outlineLevel="0" collapsed="false">
      <c r="A3831" s="203" t="s">
        <v>6300</v>
      </c>
    </row>
    <row r="3832" customFormat="false" ht="12" hidden="false" customHeight="false" outlineLevel="0" collapsed="false">
      <c r="A3832" s="203" t="s">
        <v>6301</v>
      </c>
    </row>
    <row r="3833" customFormat="false" ht="12" hidden="false" customHeight="false" outlineLevel="0" collapsed="false">
      <c r="A3833" s="203" t="s">
        <v>6302</v>
      </c>
    </row>
    <row r="3834" customFormat="false" ht="12" hidden="false" customHeight="false" outlineLevel="0" collapsed="false">
      <c r="A3834" s="203" t="s">
        <v>6303</v>
      </c>
    </row>
    <row r="3835" customFormat="false" ht="12" hidden="false" customHeight="false" outlineLevel="0" collapsed="false">
      <c r="A3835" s="203" t="s">
        <v>6304</v>
      </c>
    </row>
    <row r="3836" customFormat="false" ht="12" hidden="false" customHeight="false" outlineLevel="0" collapsed="false">
      <c r="A3836" s="203" t="s">
        <v>6305</v>
      </c>
    </row>
    <row r="3837" customFormat="false" ht="12" hidden="false" customHeight="false" outlineLevel="0" collapsed="false">
      <c r="A3837" s="203" t="s">
        <v>6306</v>
      </c>
    </row>
    <row r="3838" customFormat="false" ht="12" hidden="false" customHeight="false" outlineLevel="0" collapsed="false">
      <c r="A3838" s="203" t="s">
        <v>6307</v>
      </c>
    </row>
    <row r="3839" customFormat="false" ht="12" hidden="false" customHeight="false" outlineLevel="0" collapsed="false">
      <c r="A3839" s="203" t="s">
        <v>6308</v>
      </c>
    </row>
    <row r="3840" customFormat="false" ht="12" hidden="false" customHeight="false" outlineLevel="0" collapsed="false">
      <c r="A3840" s="203" t="s">
        <v>6309</v>
      </c>
    </row>
    <row r="3841" customFormat="false" ht="12" hidden="false" customHeight="false" outlineLevel="0" collapsed="false">
      <c r="A3841" s="203" t="s">
        <v>6310</v>
      </c>
    </row>
    <row r="3842" customFormat="false" ht="12" hidden="false" customHeight="false" outlineLevel="0" collapsed="false">
      <c r="A3842" s="203" t="s">
        <v>6311</v>
      </c>
    </row>
    <row r="3843" customFormat="false" ht="12" hidden="false" customHeight="false" outlineLevel="0" collapsed="false">
      <c r="A3843" s="203" t="s">
        <v>6312</v>
      </c>
    </row>
    <row r="3844" customFormat="false" ht="12" hidden="false" customHeight="false" outlineLevel="0" collapsed="false">
      <c r="A3844" s="203" t="s">
        <v>6313</v>
      </c>
    </row>
    <row r="3845" customFormat="false" ht="12" hidden="false" customHeight="false" outlineLevel="0" collapsed="false">
      <c r="A3845" s="203" t="s">
        <v>6314</v>
      </c>
    </row>
    <row r="3846" customFormat="false" ht="12" hidden="false" customHeight="false" outlineLevel="0" collapsed="false">
      <c r="A3846" s="203" t="s">
        <v>6315</v>
      </c>
    </row>
    <row r="3847" customFormat="false" ht="12" hidden="false" customHeight="false" outlineLevel="0" collapsed="false">
      <c r="A3847" s="203" t="s">
        <v>6316</v>
      </c>
    </row>
    <row r="3848" customFormat="false" ht="12" hidden="false" customHeight="false" outlineLevel="0" collapsed="false">
      <c r="A3848" s="203" t="s">
        <v>6317</v>
      </c>
    </row>
    <row r="3849" customFormat="false" ht="12" hidden="false" customHeight="false" outlineLevel="0" collapsed="false">
      <c r="A3849" s="203" t="s">
        <v>6318</v>
      </c>
    </row>
    <row r="3850" customFormat="false" ht="12" hidden="false" customHeight="false" outlineLevel="0" collapsed="false">
      <c r="A3850" s="203" t="s">
        <v>6319</v>
      </c>
    </row>
    <row r="3851" customFormat="false" ht="12" hidden="false" customHeight="false" outlineLevel="0" collapsed="false">
      <c r="A3851" s="203" t="s">
        <v>6320</v>
      </c>
    </row>
    <row r="3852" customFormat="false" ht="12" hidden="false" customHeight="false" outlineLevel="0" collapsed="false">
      <c r="A3852" s="203" t="s">
        <v>6321</v>
      </c>
    </row>
    <row r="3853" customFormat="false" ht="12" hidden="false" customHeight="false" outlineLevel="0" collapsed="false">
      <c r="A3853" s="203" t="s">
        <v>6322</v>
      </c>
    </row>
    <row r="3854" customFormat="false" ht="12" hidden="false" customHeight="false" outlineLevel="0" collapsed="false">
      <c r="A3854" s="203" t="s">
        <v>6323</v>
      </c>
    </row>
    <row r="3855" customFormat="false" ht="12" hidden="false" customHeight="false" outlineLevel="0" collapsed="false">
      <c r="A3855" s="203" t="s">
        <v>6324</v>
      </c>
    </row>
    <row r="3856" customFormat="false" ht="12" hidden="false" customHeight="false" outlineLevel="0" collapsed="false">
      <c r="A3856" s="203" t="s">
        <v>6325</v>
      </c>
    </row>
    <row r="3857" customFormat="false" ht="12" hidden="false" customHeight="false" outlineLevel="0" collapsed="false">
      <c r="A3857" s="203" t="s">
        <v>6326</v>
      </c>
    </row>
    <row r="3858" customFormat="false" ht="12" hidden="false" customHeight="false" outlineLevel="0" collapsed="false">
      <c r="A3858" s="203" t="s">
        <v>6327</v>
      </c>
    </row>
    <row r="3859" customFormat="false" ht="12" hidden="false" customHeight="false" outlineLevel="0" collapsed="false">
      <c r="A3859" s="203" t="s">
        <v>6328</v>
      </c>
    </row>
    <row r="3860" customFormat="false" ht="12" hidden="false" customHeight="false" outlineLevel="0" collapsed="false">
      <c r="A3860" s="203" t="s">
        <v>6329</v>
      </c>
    </row>
    <row r="3861" customFormat="false" ht="12" hidden="false" customHeight="false" outlineLevel="0" collapsed="false">
      <c r="A3861" s="203" t="s">
        <v>6330</v>
      </c>
    </row>
    <row r="3862" customFormat="false" ht="12" hidden="false" customHeight="false" outlineLevel="0" collapsed="false">
      <c r="A3862" s="203" t="s">
        <v>6331</v>
      </c>
    </row>
    <row r="3863" customFormat="false" ht="12" hidden="false" customHeight="false" outlineLevel="0" collapsed="false">
      <c r="A3863" s="203" t="s">
        <v>6332</v>
      </c>
    </row>
    <row r="3864" customFormat="false" ht="12" hidden="false" customHeight="false" outlineLevel="0" collapsed="false">
      <c r="A3864" s="203" t="s">
        <v>6333</v>
      </c>
    </row>
    <row r="3865" customFormat="false" ht="12" hidden="false" customHeight="false" outlineLevel="0" collapsed="false">
      <c r="A3865" s="203" t="s">
        <v>6334</v>
      </c>
    </row>
    <row r="3866" customFormat="false" ht="12" hidden="false" customHeight="false" outlineLevel="0" collapsed="false">
      <c r="A3866" s="203" t="s">
        <v>6335</v>
      </c>
    </row>
    <row r="3867" customFormat="false" ht="12" hidden="false" customHeight="false" outlineLevel="0" collapsed="false">
      <c r="A3867" s="203" t="s">
        <v>6336</v>
      </c>
    </row>
    <row r="3868" customFormat="false" ht="12" hidden="false" customHeight="false" outlineLevel="0" collapsed="false">
      <c r="A3868" s="203" t="s">
        <v>6337</v>
      </c>
    </row>
    <row r="3869" customFormat="false" ht="12" hidden="false" customHeight="false" outlineLevel="0" collapsed="false">
      <c r="A3869" s="203" t="s">
        <v>6338</v>
      </c>
    </row>
    <row r="3870" customFormat="false" ht="12" hidden="false" customHeight="false" outlineLevel="0" collapsed="false">
      <c r="A3870" s="203" t="s">
        <v>6339</v>
      </c>
    </row>
    <row r="3871" customFormat="false" ht="12" hidden="false" customHeight="false" outlineLevel="0" collapsed="false">
      <c r="A3871" s="203" t="s">
        <v>6340</v>
      </c>
    </row>
    <row r="3872" customFormat="false" ht="12" hidden="false" customHeight="false" outlineLevel="0" collapsed="false">
      <c r="A3872" s="203" t="s">
        <v>6341</v>
      </c>
    </row>
    <row r="3873" customFormat="false" ht="12" hidden="false" customHeight="false" outlineLevel="0" collapsed="false">
      <c r="A3873" s="203" t="s">
        <v>6342</v>
      </c>
    </row>
    <row r="3874" customFormat="false" ht="12" hidden="false" customHeight="false" outlineLevel="0" collapsed="false">
      <c r="A3874" s="203" t="s">
        <v>6343</v>
      </c>
    </row>
    <row r="3875" customFormat="false" ht="12" hidden="false" customHeight="false" outlineLevel="0" collapsed="false">
      <c r="A3875" s="203" t="s">
        <v>6344</v>
      </c>
    </row>
    <row r="3876" customFormat="false" ht="12" hidden="false" customHeight="false" outlineLevel="0" collapsed="false">
      <c r="A3876" s="203" t="s">
        <v>6345</v>
      </c>
    </row>
    <row r="3877" customFormat="false" ht="12" hidden="false" customHeight="false" outlineLevel="0" collapsed="false">
      <c r="A3877" s="203" t="s">
        <v>6346</v>
      </c>
    </row>
    <row r="3878" customFormat="false" ht="12" hidden="false" customHeight="false" outlineLevel="0" collapsed="false">
      <c r="A3878" s="203" t="s">
        <v>6347</v>
      </c>
    </row>
    <row r="3879" customFormat="false" ht="12" hidden="false" customHeight="false" outlineLevel="0" collapsed="false">
      <c r="A3879" s="203" t="s">
        <v>6348</v>
      </c>
    </row>
    <row r="3880" customFormat="false" ht="12" hidden="false" customHeight="false" outlineLevel="0" collapsed="false">
      <c r="A3880" s="203" t="s">
        <v>6349</v>
      </c>
    </row>
    <row r="3881" customFormat="false" ht="12" hidden="false" customHeight="false" outlineLevel="0" collapsed="false">
      <c r="A3881" s="203" t="s">
        <v>6350</v>
      </c>
    </row>
    <row r="3882" customFormat="false" ht="12" hidden="false" customHeight="false" outlineLevel="0" collapsed="false">
      <c r="A3882" s="203" t="s">
        <v>6351</v>
      </c>
    </row>
    <row r="3883" customFormat="false" ht="12" hidden="false" customHeight="false" outlineLevel="0" collapsed="false">
      <c r="A3883" s="203" t="s">
        <v>6352</v>
      </c>
    </row>
    <row r="3884" customFormat="false" ht="12" hidden="false" customHeight="false" outlineLevel="0" collapsed="false">
      <c r="A3884" s="203" t="s">
        <v>6353</v>
      </c>
    </row>
    <row r="3885" customFormat="false" ht="12" hidden="false" customHeight="false" outlineLevel="0" collapsed="false">
      <c r="A3885" s="203" t="s">
        <v>6354</v>
      </c>
    </row>
    <row r="3886" customFormat="false" ht="12" hidden="false" customHeight="false" outlineLevel="0" collapsed="false">
      <c r="A3886" s="203" t="s">
        <v>6355</v>
      </c>
    </row>
    <row r="3887" customFormat="false" ht="12" hidden="false" customHeight="false" outlineLevel="0" collapsed="false">
      <c r="A3887" s="203" t="s">
        <v>6356</v>
      </c>
    </row>
    <row r="3888" customFormat="false" ht="12" hidden="false" customHeight="false" outlineLevel="0" collapsed="false">
      <c r="A3888" s="203" t="s">
        <v>6357</v>
      </c>
    </row>
    <row r="3889" customFormat="false" ht="12" hidden="false" customHeight="false" outlineLevel="0" collapsed="false">
      <c r="A3889" s="203" t="s">
        <v>6358</v>
      </c>
    </row>
    <row r="3890" customFormat="false" ht="12" hidden="false" customHeight="false" outlineLevel="0" collapsed="false">
      <c r="A3890" s="203" t="s">
        <v>6359</v>
      </c>
    </row>
    <row r="3891" customFormat="false" ht="12" hidden="false" customHeight="false" outlineLevel="0" collapsed="false">
      <c r="A3891" s="203" t="s">
        <v>6360</v>
      </c>
    </row>
    <row r="3892" customFormat="false" ht="12" hidden="false" customHeight="false" outlineLevel="0" collapsed="false">
      <c r="A3892" s="203" t="s">
        <v>6361</v>
      </c>
    </row>
    <row r="3893" customFormat="false" ht="12" hidden="false" customHeight="false" outlineLevel="0" collapsed="false">
      <c r="A3893" s="203" t="s">
        <v>6362</v>
      </c>
    </row>
    <row r="3894" customFormat="false" ht="12" hidden="false" customHeight="false" outlineLevel="0" collapsed="false">
      <c r="A3894" s="203" t="s">
        <v>6363</v>
      </c>
    </row>
    <row r="3895" customFormat="false" ht="12" hidden="false" customHeight="false" outlineLevel="0" collapsed="false">
      <c r="A3895" s="203" t="s">
        <v>6364</v>
      </c>
    </row>
    <row r="3896" customFormat="false" ht="12" hidden="false" customHeight="false" outlineLevel="0" collapsed="false">
      <c r="A3896" s="203" t="s">
        <v>6365</v>
      </c>
    </row>
    <row r="3897" customFormat="false" ht="12" hidden="false" customHeight="false" outlineLevel="0" collapsed="false">
      <c r="A3897" s="203" t="s">
        <v>6366</v>
      </c>
    </row>
    <row r="3898" customFormat="false" ht="12" hidden="false" customHeight="false" outlineLevel="0" collapsed="false">
      <c r="A3898" s="203" t="s">
        <v>6367</v>
      </c>
    </row>
    <row r="3899" customFormat="false" ht="12" hidden="false" customHeight="false" outlineLevel="0" collapsed="false">
      <c r="A3899" s="203" t="s">
        <v>6368</v>
      </c>
    </row>
    <row r="3900" customFormat="false" ht="12" hidden="false" customHeight="false" outlineLevel="0" collapsed="false">
      <c r="A3900" s="203" t="s">
        <v>6369</v>
      </c>
    </row>
    <row r="3901" customFormat="false" ht="12" hidden="false" customHeight="false" outlineLevel="0" collapsed="false">
      <c r="A3901" s="203" t="s">
        <v>6370</v>
      </c>
    </row>
    <row r="3902" customFormat="false" ht="12" hidden="false" customHeight="false" outlineLevel="0" collapsed="false">
      <c r="A3902" s="203" t="s">
        <v>6371</v>
      </c>
    </row>
    <row r="3903" customFormat="false" ht="12" hidden="false" customHeight="false" outlineLevel="0" collapsed="false">
      <c r="A3903" s="203" t="s">
        <v>6372</v>
      </c>
    </row>
    <row r="3904" customFormat="false" ht="12" hidden="false" customHeight="false" outlineLevel="0" collapsed="false">
      <c r="A3904" s="203" t="s">
        <v>6373</v>
      </c>
    </row>
    <row r="3905" customFormat="false" ht="12" hidden="false" customHeight="false" outlineLevel="0" collapsed="false">
      <c r="A3905" s="203" t="s">
        <v>6374</v>
      </c>
    </row>
    <row r="3906" customFormat="false" ht="12" hidden="false" customHeight="false" outlineLevel="0" collapsed="false">
      <c r="A3906" s="203" t="s">
        <v>6375</v>
      </c>
    </row>
    <row r="3907" customFormat="false" ht="12" hidden="false" customHeight="false" outlineLevel="0" collapsed="false">
      <c r="A3907" s="203" t="s">
        <v>6376</v>
      </c>
    </row>
    <row r="3908" customFormat="false" ht="12" hidden="false" customHeight="false" outlineLevel="0" collapsed="false">
      <c r="A3908" s="203" t="s">
        <v>6377</v>
      </c>
    </row>
    <row r="3909" customFormat="false" ht="12" hidden="false" customHeight="false" outlineLevel="0" collapsed="false">
      <c r="A3909" s="203" t="s">
        <v>6378</v>
      </c>
    </row>
    <row r="3910" customFormat="false" ht="12" hidden="false" customHeight="false" outlineLevel="0" collapsed="false">
      <c r="A3910" s="203" t="s">
        <v>6379</v>
      </c>
    </row>
    <row r="3911" customFormat="false" ht="12" hidden="false" customHeight="false" outlineLevel="0" collapsed="false">
      <c r="A3911" s="203" t="s">
        <v>6380</v>
      </c>
    </row>
    <row r="3912" customFormat="false" ht="12" hidden="false" customHeight="false" outlineLevel="0" collapsed="false">
      <c r="A3912" s="203" t="s">
        <v>6381</v>
      </c>
    </row>
    <row r="3913" customFormat="false" ht="12" hidden="false" customHeight="false" outlineLevel="0" collapsed="false">
      <c r="A3913" s="203" t="s">
        <v>6382</v>
      </c>
    </row>
    <row r="3914" customFormat="false" ht="12" hidden="false" customHeight="false" outlineLevel="0" collapsed="false">
      <c r="A3914" s="203" t="s">
        <v>6383</v>
      </c>
    </row>
    <row r="3915" customFormat="false" ht="12" hidden="false" customHeight="false" outlineLevel="0" collapsed="false">
      <c r="A3915" s="203" t="s">
        <v>6384</v>
      </c>
    </row>
    <row r="3916" customFormat="false" ht="12" hidden="false" customHeight="false" outlineLevel="0" collapsed="false">
      <c r="A3916" s="203" t="s">
        <v>6385</v>
      </c>
    </row>
    <row r="3917" customFormat="false" ht="12" hidden="false" customHeight="false" outlineLevel="0" collapsed="false">
      <c r="A3917" s="203" t="s">
        <v>6386</v>
      </c>
    </row>
    <row r="3918" customFormat="false" ht="12" hidden="false" customHeight="false" outlineLevel="0" collapsed="false">
      <c r="A3918" s="203" t="s">
        <v>6387</v>
      </c>
    </row>
    <row r="3919" customFormat="false" ht="12" hidden="false" customHeight="false" outlineLevel="0" collapsed="false">
      <c r="A3919" s="203" t="s">
        <v>6388</v>
      </c>
    </row>
    <row r="3920" customFormat="false" ht="12" hidden="false" customHeight="false" outlineLevel="0" collapsed="false">
      <c r="A3920" s="203" t="s">
        <v>6389</v>
      </c>
    </row>
    <row r="3921" customFormat="false" ht="12" hidden="false" customHeight="false" outlineLevel="0" collapsed="false">
      <c r="A3921" s="203" t="s">
        <v>6390</v>
      </c>
    </row>
    <row r="3922" customFormat="false" ht="12" hidden="false" customHeight="false" outlineLevel="0" collapsed="false">
      <c r="A3922" s="203" t="s">
        <v>6391</v>
      </c>
    </row>
    <row r="3923" customFormat="false" ht="12" hidden="false" customHeight="false" outlineLevel="0" collapsed="false">
      <c r="A3923" s="203" t="s">
        <v>6392</v>
      </c>
    </row>
    <row r="3924" customFormat="false" ht="12" hidden="false" customHeight="false" outlineLevel="0" collapsed="false">
      <c r="A3924" s="203" t="s">
        <v>6393</v>
      </c>
    </row>
    <row r="3925" customFormat="false" ht="12" hidden="false" customHeight="false" outlineLevel="0" collapsed="false">
      <c r="A3925" s="203" t="s">
        <v>6394</v>
      </c>
    </row>
    <row r="3926" customFormat="false" ht="12" hidden="false" customHeight="false" outlineLevel="0" collapsed="false">
      <c r="A3926" s="203" t="s">
        <v>6395</v>
      </c>
    </row>
    <row r="3927" customFormat="false" ht="12" hidden="false" customHeight="false" outlineLevel="0" collapsed="false">
      <c r="A3927" s="203" t="s">
        <v>6396</v>
      </c>
    </row>
    <row r="3928" customFormat="false" ht="12" hidden="false" customHeight="false" outlineLevel="0" collapsed="false">
      <c r="A3928" s="203" t="s">
        <v>6397</v>
      </c>
    </row>
    <row r="3929" customFormat="false" ht="12" hidden="false" customHeight="false" outlineLevel="0" collapsed="false">
      <c r="A3929" s="203" t="s">
        <v>6398</v>
      </c>
    </row>
    <row r="3930" customFormat="false" ht="12" hidden="false" customHeight="false" outlineLevel="0" collapsed="false">
      <c r="A3930" s="203" t="s">
        <v>6399</v>
      </c>
    </row>
    <row r="3931" customFormat="false" ht="12" hidden="false" customHeight="false" outlineLevel="0" collapsed="false">
      <c r="A3931" s="203" t="s">
        <v>6400</v>
      </c>
    </row>
    <row r="3932" customFormat="false" ht="12" hidden="false" customHeight="false" outlineLevel="0" collapsed="false">
      <c r="A3932" s="203" t="s">
        <v>6401</v>
      </c>
    </row>
    <row r="3933" customFormat="false" ht="12" hidden="false" customHeight="false" outlineLevel="0" collapsed="false">
      <c r="A3933" s="203" t="s">
        <v>6402</v>
      </c>
    </row>
    <row r="3934" customFormat="false" ht="12" hidden="false" customHeight="false" outlineLevel="0" collapsed="false">
      <c r="A3934" s="203" t="s">
        <v>6403</v>
      </c>
    </row>
    <row r="3935" customFormat="false" ht="12" hidden="false" customHeight="false" outlineLevel="0" collapsed="false">
      <c r="A3935" s="203" t="s">
        <v>6404</v>
      </c>
    </row>
    <row r="3936" customFormat="false" ht="12" hidden="false" customHeight="false" outlineLevel="0" collapsed="false">
      <c r="A3936" s="203" t="s">
        <v>6405</v>
      </c>
    </row>
    <row r="3937" customFormat="false" ht="12" hidden="false" customHeight="false" outlineLevel="0" collapsed="false">
      <c r="A3937" s="203" t="s">
        <v>6406</v>
      </c>
    </row>
    <row r="3938" customFormat="false" ht="12" hidden="false" customHeight="false" outlineLevel="0" collapsed="false">
      <c r="A3938" s="203" t="s">
        <v>6407</v>
      </c>
    </row>
    <row r="3939" customFormat="false" ht="12" hidden="false" customHeight="false" outlineLevel="0" collapsed="false">
      <c r="A3939" s="203" t="s">
        <v>6408</v>
      </c>
    </row>
    <row r="3940" customFormat="false" ht="12" hidden="false" customHeight="false" outlineLevel="0" collapsed="false">
      <c r="A3940" s="203" t="s">
        <v>6409</v>
      </c>
    </row>
    <row r="3941" customFormat="false" ht="12" hidden="false" customHeight="false" outlineLevel="0" collapsed="false">
      <c r="A3941" s="203" t="s">
        <v>6410</v>
      </c>
    </row>
    <row r="3942" customFormat="false" ht="12" hidden="false" customHeight="false" outlineLevel="0" collapsed="false">
      <c r="A3942" s="203" t="s">
        <v>6411</v>
      </c>
    </row>
    <row r="3943" customFormat="false" ht="12" hidden="false" customHeight="false" outlineLevel="0" collapsed="false">
      <c r="A3943" s="203" t="s">
        <v>6412</v>
      </c>
    </row>
    <row r="3944" customFormat="false" ht="12" hidden="false" customHeight="false" outlineLevel="0" collapsed="false">
      <c r="A3944" s="203" t="s">
        <v>6413</v>
      </c>
    </row>
    <row r="3945" customFormat="false" ht="12" hidden="false" customHeight="false" outlineLevel="0" collapsed="false">
      <c r="A3945" s="203" t="s">
        <v>6414</v>
      </c>
    </row>
    <row r="3946" customFormat="false" ht="12" hidden="false" customHeight="false" outlineLevel="0" collapsed="false">
      <c r="A3946" s="203" t="s">
        <v>6415</v>
      </c>
    </row>
    <row r="3947" customFormat="false" ht="12" hidden="false" customHeight="false" outlineLevel="0" collapsed="false">
      <c r="A3947" s="203" t="s">
        <v>6416</v>
      </c>
    </row>
    <row r="3948" customFormat="false" ht="12" hidden="false" customHeight="false" outlineLevel="0" collapsed="false">
      <c r="A3948" s="203" t="s">
        <v>6417</v>
      </c>
    </row>
    <row r="3949" customFormat="false" ht="12" hidden="false" customHeight="false" outlineLevel="0" collapsed="false">
      <c r="A3949" s="203" t="s">
        <v>6418</v>
      </c>
    </row>
    <row r="3950" customFormat="false" ht="12" hidden="false" customHeight="false" outlineLevel="0" collapsed="false">
      <c r="A3950" s="203" t="s">
        <v>6419</v>
      </c>
    </row>
    <row r="3951" customFormat="false" ht="12" hidden="false" customHeight="false" outlineLevel="0" collapsed="false">
      <c r="A3951" s="203" t="s">
        <v>6420</v>
      </c>
    </row>
    <row r="3952" customFormat="false" ht="12" hidden="false" customHeight="false" outlineLevel="0" collapsed="false">
      <c r="A3952" s="203" t="s">
        <v>6421</v>
      </c>
    </row>
    <row r="3953" customFormat="false" ht="12" hidden="false" customHeight="false" outlineLevel="0" collapsed="false">
      <c r="A3953" s="203" t="s">
        <v>6422</v>
      </c>
    </row>
    <row r="3954" customFormat="false" ht="12" hidden="false" customHeight="false" outlineLevel="0" collapsed="false">
      <c r="A3954" s="203" t="s">
        <v>6423</v>
      </c>
    </row>
    <row r="3955" customFormat="false" ht="12" hidden="false" customHeight="false" outlineLevel="0" collapsed="false">
      <c r="A3955" s="203" t="s">
        <v>6424</v>
      </c>
    </row>
    <row r="3956" customFormat="false" ht="12" hidden="false" customHeight="false" outlineLevel="0" collapsed="false">
      <c r="A3956" s="203" t="s">
        <v>6425</v>
      </c>
    </row>
    <row r="3957" customFormat="false" ht="12" hidden="false" customHeight="false" outlineLevel="0" collapsed="false">
      <c r="A3957" s="203" t="s">
        <v>6426</v>
      </c>
    </row>
    <row r="3958" customFormat="false" ht="12" hidden="false" customHeight="false" outlineLevel="0" collapsed="false">
      <c r="A3958" s="203" t="s">
        <v>6427</v>
      </c>
    </row>
    <row r="3959" customFormat="false" ht="12" hidden="false" customHeight="false" outlineLevel="0" collapsed="false">
      <c r="A3959" s="203" t="s">
        <v>6428</v>
      </c>
    </row>
    <row r="3960" customFormat="false" ht="12" hidden="false" customHeight="false" outlineLevel="0" collapsed="false">
      <c r="A3960" s="203" t="s">
        <v>6429</v>
      </c>
    </row>
    <row r="3961" customFormat="false" ht="12" hidden="false" customHeight="false" outlineLevel="0" collapsed="false">
      <c r="A3961" s="203" t="s">
        <v>6430</v>
      </c>
    </row>
    <row r="3962" customFormat="false" ht="12" hidden="false" customHeight="false" outlineLevel="0" collapsed="false">
      <c r="A3962" s="203" t="s">
        <v>6431</v>
      </c>
    </row>
    <row r="3963" customFormat="false" ht="12" hidden="false" customHeight="false" outlineLevel="0" collapsed="false">
      <c r="A3963" s="203" t="s">
        <v>6432</v>
      </c>
    </row>
    <row r="3964" customFormat="false" ht="12" hidden="false" customHeight="false" outlineLevel="0" collapsed="false">
      <c r="A3964" s="203" t="s">
        <v>6433</v>
      </c>
    </row>
    <row r="3965" customFormat="false" ht="12" hidden="false" customHeight="false" outlineLevel="0" collapsed="false">
      <c r="A3965" s="203" t="s">
        <v>6434</v>
      </c>
    </row>
    <row r="3966" customFormat="false" ht="12" hidden="false" customHeight="false" outlineLevel="0" collapsed="false">
      <c r="A3966" s="203" t="s">
        <v>6435</v>
      </c>
    </row>
    <row r="3967" customFormat="false" ht="12" hidden="false" customHeight="false" outlineLevel="0" collapsed="false">
      <c r="A3967" s="203" t="s">
        <v>6436</v>
      </c>
    </row>
    <row r="3968" customFormat="false" ht="12" hidden="false" customHeight="false" outlineLevel="0" collapsed="false">
      <c r="A3968" s="203" t="s">
        <v>6437</v>
      </c>
    </row>
    <row r="3969" customFormat="false" ht="12" hidden="false" customHeight="false" outlineLevel="0" collapsed="false">
      <c r="A3969" s="203" t="s">
        <v>6438</v>
      </c>
    </row>
    <row r="3970" customFormat="false" ht="12" hidden="false" customHeight="false" outlineLevel="0" collapsed="false">
      <c r="A3970" s="203" t="s">
        <v>6439</v>
      </c>
    </row>
    <row r="3971" customFormat="false" ht="12" hidden="false" customHeight="false" outlineLevel="0" collapsed="false">
      <c r="A3971" s="203" t="s">
        <v>6440</v>
      </c>
    </row>
    <row r="3972" customFormat="false" ht="12" hidden="false" customHeight="false" outlineLevel="0" collapsed="false">
      <c r="A3972" s="203" t="s">
        <v>6441</v>
      </c>
    </row>
    <row r="3973" customFormat="false" ht="12" hidden="false" customHeight="false" outlineLevel="0" collapsed="false">
      <c r="A3973" s="203" t="s">
        <v>6442</v>
      </c>
    </row>
    <row r="3974" customFormat="false" ht="12" hidden="false" customHeight="false" outlineLevel="0" collapsed="false">
      <c r="A3974" s="203" t="s">
        <v>6443</v>
      </c>
    </row>
    <row r="3975" customFormat="false" ht="12" hidden="false" customHeight="false" outlineLevel="0" collapsed="false">
      <c r="A3975" s="203" t="s">
        <v>6444</v>
      </c>
    </row>
    <row r="3976" customFormat="false" ht="12" hidden="false" customHeight="false" outlineLevel="0" collapsed="false">
      <c r="A3976" s="203" t="s">
        <v>6445</v>
      </c>
    </row>
    <row r="3977" customFormat="false" ht="12" hidden="false" customHeight="false" outlineLevel="0" collapsed="false">
      <c r="A3977" s="203" t="s">
        <v>6446</v>
      </c>
    </row>
    <row r="3978" customFormat="false" ht="12" hidden="false" customHeight="false" outlineLevel="0" collapsed="false">
      <c r="A3978" s="203" t="s">
        <v>6447</v>
      </c>
    </row>
    <row r="3979" customFormat="false" ht="12" hidden="false" customHeight="false" outlineLevel="0" collapsed="false">
      <c r="A3979" s="203" t="s">
        <v>6448</v>
      </c>
    </row>
    <row r="3980" customFormat="false" ht="12" hidden="false" customHeight="false" outlineLevel="0" collapsed="false">
      <c r="A3980" s="203" t="s">
        <v>6449</v>
      </c>
    </row>
    <row r="3981" customFormat="false" ht="12" hidden="false" customHeight="false" outlineLevel="0" collapsed="false">
      <c r="A3981" s="203" t="s">
        <v>6450</v>
      </c>
    </row>
    <row r="3982" customFormat="false" ht="12" hidden="false" customHeight="false" outlineLevel="0" collapsed="false">
      <c r="A3982" s="203" t="s">
        <v>6451</v>
      </c>
    </row>
    <row r="3983" customFormat="false" ht="12" hidden="false" customHeight="false" outlineLevel="0" collapsed="false">
      <c r="A3983" s="203" t="s">
        <v>6452</v>
      </c>
    </row>
    <row r="3984" customFormat="false" ht="12" hidden="false" customHeight="false" outlineLevel="0" collapsed="false">
      <c r="A3984" s="203" t="s">
        <v>6453</v>
      </c>
    </row>
    <row r="3985" customFormat="false" ht="12" hidden="false" customHeight="false" outlineLevel="0" collapsed="false">
      <c r="A3985" s="203" t="s">
        <v>6454</v>
      </c>
    </row>
    <row r="3986" customFormat="false" ht="12" hidden="false" customHeight="false" outlineLevel="0" collapsed="false">
      <c r="A3986" s="203" t="s">
        <v>6455</v>
      </c>
    </row>
    <row r="3987" customFormat="false" ht="12" hidden="false" customHeight="false" outlineLevel="0" collapsed="false">
      <c r="A3987" s="203" t="s">
        <v>6456</v>
      </c>
    </row>
    <row r="3988" customFormat="false" ht="12" hidden="false" customHeight="false" outlineLevel="0" collapsed="false">
      <c r="A3988" s="203" t="s">
        <v>6457</v>
      </c>
    </row>
    <row r="3989" customFormat="false" ht="12" hidden="false" customHeight="false" outlineLevel="0" collapsed="false">
      <c r="A3989" s="203" t="s">
        <v>6458</v>
      </c>
    </row>
    <row r="3990" customFormat="false" ht="12" hidden="false" customHeight="false" outlineLevel="0" collapsed="false">
      <c r="A3990" s="203" t="s">
        <v>6459</v>
      </c>
    </row>
    <row r="3991" customFormat="false" ht="12" hidden="false" customHeight="false" outlineLevel="0" collapsed="false">
      <c r="A3991" s="203" t="s">
        <v>6460</v>
      </c>
    </row>
    <row r="3992" customFormat="false" ht="12" hidden="false" customHeight="false" outlineLevel="0" collapsed="false">
      <c r="A3992" s="203" t="s">
        <v>6461</v>
      </c>
    </row>
    <row r="3993" customFormat="false" ht="12" hidden="false" customHeight="false" outlineLevel="0" collapsed="false">
      <c r="A3993" s="203" t="s">
        <v>6462</v>
      </c>
    </row>
    <row r="3994" customFormat="false" ht="12" hidden="false" customHeight="false" outlineLevel="0" collapsed="false">
      <c r="A3994" s="203" t="s">
        <v>6463</v>
      </c>
    </row>
    <row r="3995" customFormat="false" ht="12" hidden="false" customHeight="false" outlineLevel="0" collapsed="false">
      <c r="A3995" s="203" t="s">
        <v>6464</v>
      </c>
    </row>
    <row r="3996" customFormat="false" ht="12" hidden="false" customHeight="false" outlineLevel="0" collapsed="false">
      <c r="A3996" s="203" t="s">
        <v>6465</v>
      </c>
    </row>
    <row r="3997" customFormat="false" ht="12" hidden="false" customHeight="false" outlineLevel="0" collapsed="false">
      <c r="A3997" s="203" t="s">
        <v>6466</v>
      </c>
    </row>
    <row r="3998" customFormat="false" ht="12" hidden="false" customHeight="false" outlineLevel="0" collapsed="false">
      <c r="A3998" s="203" t="s">
        <v>6467</v>
      </c>
    </row>
    <row r="3999" customFormat="false" ht="12" hidden="false" customHeight="false" outlineLevel="0" collapsed="false">
      <c r="A3999" s="203" t="s">
        <v>6468</v>
      </c>
    </row>
    <row r="4000" customFormat="false" ht="12" hidden="false" customHeight="false" outlineLevel="0" collapsed="false">
      <c r="A4000" s="203" t="s">
        <v>6469</v>
      </c>
    </row>
    <row r="4001" customFormat="false" ht="12" hidden="false" customHeight="false" outlineLevel="0" collapsed="false">
      <c r="A4001" s="203" t="s">
        <v>6470</v>
      </c>
    </row>
    <row r="4002" customFormat="false" ht="12" hidden="false" customHeight="false" outlineLevel="0" collapsed="false">
      <c r="A4002" s="203" t="s">
        <v>6471</v>
      </c>
    </row>
    <row r="4003" customFormat="false" ht="12" hidden="false" customHeight="false" outlineLevel="0" collapsed="false">
      <c r="A4003" s="203" t="s">
        <v>6472</v>
      </c>
    </row>
    <row r="4004" customFormat="false" ht="12" hidden="false" customHeight="false" outlineLevel="0" collapsed="false">
      <c r="A4004" s="203" t="s">
        <v>6473</v>
      </c>
    </row>
    <row r="4005" customFormat="false" ht="12" hidden="false" customHeight="false" outlineLevel="0" collapsed="false">
      <c r="A4005" s="203" t="s">
        <v>6474</v>
      </c>
    </row>
    <row r="4006" customFormat="false" ht="12" hidden="false" customHeight="false" outlineLevel="0" collapsed="false">
      <c r="A4006" s="203" t="s">
        <v>6475</v>
      </c>
    </row>
    <row r="4007" customFormat="false" ht="12" hidden="false" customHeight="false" outlineLevel="0" collapsed="false">
      <c r="A4007" s="203" t="s">
        <v>6476</v>
      </c>
    </row>
    <row r="4008" customFormat="false" ht="12" hidden="false" customHeight="false" outlineLevel="0" collapsed="false">
      <c r="A4008" s="203" t="s">
        <v>6477</v>
      </c>
    </row>
    <row r="4009" customFormat="false" ht="12" hidden="false" customHeight="false" outlineLevel="0" collapsed="false">
      <c r="A4009" s="203" t="s">
        <v>6478</v>
      </c>
    </row>
    <row r="4010" customFormat="false" ht="12" hidden="false" customHeight="false" outlineLevel="0" collapsed="false">
      <c r="A4010" s="203" t="s">
        <v>6479</v>
      </c>
    </row>
    <row r="4011" customFormat="false" ht="12" hidden="false" customHeight="false" outlineLevel="0" collapsed="false">
      <c r="A4011" s="203" t="s">
        <v>6480</v>
      </c>
    </row>
    <row r="4012" customFormat="false" ht="12" hidden="false" customHeight="false" outlineLevel="0" collapsed="false">
      <c r="A4012" s="203" t="s">
        <v>6481</v>
      </c>
    </row>
    <row r="4013" customFormat="false" ht="12" hidden="false" customHeight="false" outlineLevel="0" collapsed="false">
      <c r="A4013" s="203" t="s">
        <v>6482</v>
      </c>
    </row>
    <row r="4014" customFormat="false" ht="12" hidden="false" customHeight="false" outlineLevel="0" collapsed="false">
      <c r="A4014" s="203" t="s">
        <v>6483</v>
      </c>
    </row>
    <row r="4015" customFormat="false" ht="12" hidden="false" customHeight="false" outlineLevel="0" collapsed="false">
      <c r="A4015" s="203" t="s">
        <v>6484</v>
      </c>
    </row>
    <row r="4016" customFormat="false" ht="12" hidden="false" customHeight="false" outlineLevel="0" collapsed="false">
      <c r="A4016" s="203" t="s">
        <v>6485</v>
      </c>
    </row>
    <row r="4017" customFormat="false" ht="12" hidden="false" customHeight="false" outlineLevel="0" collapsed="false">
      <c r="A4017" s="203" t="s">
        <v>6486</v>
      </c>
    </row>
    <row r="4018" customFormat="false" ht="12" hidden="false" customHeight="false" outlineLevel="0" collapsed="false">
      <c r="A4018" s="203" t="s">
        <v>6487</v>
      </c>
    </row>
    <row r="4019" customFormat="false" ht="12" hidden="false" customHeight="false" outlineLevel="0" collapsed="false">
      <c r="A4019" s="203" t="s">
        <v>6488</v>
      </c>
    </row>
    <row r="4020" customFormat="false" ht="12" hidden="false" customHeight="false" outlineLevel="0" collapsed="false">
      <c r="A4020" s="203" t="s">
        <v>6489</v>
      </c>
    </row>
    <row r="4021" customFormat="false" ht="12" hidden="false" customHeight="false" outlineLevel="0" collapsed="false">
      <c r="A4021" s="203" t="s">
        <v>6490</v>
      </c>
    </row>
    <row r="4022" customFormat="false" ht="12" hidden="false" customHeight="false" outlineLevel="0" collapsed="false">
      <c r="A4022" s="203" t="s">
        <v>6491</v>
      </c>
    </row>
    <row r="4023" customFormat="false" ht="12" hidden="false" customHeight="false" outlineLevel="0" collapsed="false">
      <c r="A4023" s="203" t="s">
        <v>6492</v>
      </c>
    </row>
    <row r="4024" customFormat="false" ht="12" hidden="false" customHeight="false" outlineLevel="0" collapsed="false">
      <c r="A4024" s="203" t="s">
        <v>6493</v>
      </c>
    </row>
    <row r="4025" customFormat="false" ht="12" hidden="false" customHeight="false" outlineLevel="0" collapsed="false">
      <c r="A4025" s="203" t="s">
        <v>6494</v>
      </c>
    </row>
    <row r="4026" customFormat="false" ht="12" hidden="false" customHeight="false" outlineLevel="0" collapsed="false">
      <c r="A4026" s="203" t="s">
        <v>6495</v>
      </c>
    </row>
    <row r="4027" customFormat="false" ht="12" hidden="false" customHeight="false" outlineLevel="0" collapsed="false">
      <c r="A4027" s="203" t="s">
        <v>6496</v>
      </c>
    </row>
    <row r="4028" customFormat="false" ht="12" hidden="false" customHeight="false" outlineLevel="0" collapsed="false">
      <c r="A4028" s="203" t="s">
        <v>6497</v>
      </c>
    </row>
    <row r="4029" customFormat="false" ht="12" hidden="false" customHeight="false" outlineLevel="0" collapsed="false">
      <c r="A4029" s="203" t="s">
        <v>6498</v>
      </c>
    </row>
    <row r="4030" customFormat="false" ht="12" hidden="false" customHeight="false" outlineLevel="0" collapsed="false">
      <c r="A4030" s="203" t="s">
        <v>6499</v>
      </c>
    </row>
    <row r="4031" customFormat="false" ht="12" hidden="false" customHeight="false" outlineLevel="0" collapsed="false">
      <c r="A4031" s="203" t="s">
        <v>6500</v>
      </c>
    </row>
    <row r="4032" customFormat="false" ht="12" hidden="false" customHeight="false" outlineLevel="0" collapsed="false">
      <c r="A4032" s="203" t="s">
        <v>6501</v>
      </c>
    </row>
    <row r="4033" customFormat="false" ht="12" hidden="false" customHeight="false" outlineLevel="0" collapsed="false">
      <c r="A4033" s="203" t="s">
        <v>6502</v>
      </c>
    </row>
    <row r="4034" customFormat="false" ht="12" hidden="false" customHeight="false" outlineLevel="0" collapsed="false">
      <c r="A4034" s="203" t="s">
        <v>6503</v>
      </c>
    </row>
    <row r="4035" customFormat="false" ht="12" hidden="false" customHeight="false" outlineLevel="0" collapsed="false">
      <c r="A4035" s="203" t="s">
        <v>6504</v>
      </c>
    </row>
    <row r="4036" customFormat="false" ht="12" hidden="false" customHeight="false" outlineLevel="0" collapsed="false">
      <c r="A4036" s="203" t="s">
        <v>6505</v>
      </c>
    </row>
    <row r="4037" customFormat="false" ht="12" hidden="false" customHeight="false" outlineLevel="0" collapsed="false">
      <c r="A4037" s="203" t="s">
        <v>6506</v>
      </c>
    </row>
    <row r="4038" customFormat="false" ht="12" hidden="false" customHeight="false" outlineLevel="0" collapsed="false">
      <c r="A4038" s="203" t="s">
        <v>6507</v>
      </c>
    </row>
    <row r="4039" customFormat="false" ht="12" hidden="false" customHeight="false" outlineLevel="0" collapsed="false">
      <c r="A4039" s="203" t="s">
        <v>6508</v>
      </c>
    </row>
    <row r="4040" customFormat="false" ht="12" hidden="false" customHeight="false" outlineLevel="0" collapsed="false">
      <c r="A4040" s="203" t="s">
        <v>6509</v>
      </c>
    </row>
    <row r="4041" customFormat="false" ht="12" hidden="false" customHeight="false" outlineLevel="0" collapsed="false">
      <c r="A4041" s="203" t="s">
        <v>6510</v>
      </c>
    </row>
    <row r="4042" customFormat="false" ht="12" hidden="false" customHeight="false" outlineLevel="0" collapsed="false">
      <c r="A4042" s="203" t="s">
        <v>6511</v>
      </c>
    </row>
    <row r="4043" customFormat="false" ht="12" hidden="false" customHeight="false" outlineLevel="0" collapsed="false">
      <c r="A4043" s="203" t="s">
        <v>6512</v>
      </c>
    </row>
    <row r="4044" customFormat="false" ht="12" hidden="false" customHeight="false" outlineLevel="0" collapsed="false">
      <c r="A4044" s="203" t="s">
        <v>6513</v>
      </c>
    </row>
    <row r="4045" customFormat="false" ht="12" hidden="false" customHeight="false" outlineLevel="0" collapsed="false">
      <c r="A4045" s="203" t="s">
        <v>6514</v>
      </c>
    </row>
    <row r="4046" customFormat="false" ht="12" hidden="false" customHeight="false" outlineLevel="0" collapsed="false">
      <c r="A4046" s="203" t="s">
        <v>6515</v>
      </c>
    </row>
    <row r="4047" customFormat="false" ht="12" hidden="false" customHeight="false" outlineLevel="0" collapsed="false">
      <c r="A4047" s="203" t="s">
        <v>6516</v>
      </c>
    </row>
    <row r="4048" customFormat="false" ht="12" hidden="false" customHeight="false" outlineLevel="0" collapsed="false">
      <c r="A4048" s="203" t="s">
        <v>6517</v>
      </c>
    </row>
    <row r="4049" customFormat="false" ht="12" hidden="false" customHeight="false" outlineLevel="0" collapsed="false">
      <c r="A4049" s="203" t="s">
        <v>6518</v>
      </c>
    </row>
    <row r="4050" customFormat="false" ht="12" hidden="false" customHeight="false" outlineLevel="0" collapsed="false">
      <c r="A4050" s="203" t="s">
        <v>6519</v>
      </c>
    </row>
    <row r="4051" customFormat="false" ht="12" hidden="false" customHeight="false" outlineLevel="0" collapsed="false">
      <c r="A4051" s="203" t="s">
        <v>6520</v>
      </c>
    </row>
    <row r="4052" customFormat="false" ht="12" hidden="false" customHeight="false" outlineLevel="0" collapsed="false">
      <c r="A4052" s="203" t="s">
        <v>6521</v>
      </c>
    </row>
    <row r="4053" customFormat="false" ht="12" hidden="false" customHeight="false" outlineLevel="0" collapsed="false">
      <c r="A4053" s="203" t="s">
        <v>6522</v>
      </c>
    </row>
    <row r="4054" customFormat="false" ht="12" hidden="false" customHeight="false" outlineLevel="0" collapsed="false">
      <c r="A4054" s="203" t="s">
        <v>6523</v>
      </c>
    </row>
    <row r="4055" customFormat="false" ht="12" hidden="false" customHeight="false" outlineLevel="0" collapsed="false">
      <c r="A4055" s="203" t="s">
        <v>6524</v>
      </c>
    </row>
    <row r="4056" customFormat="false" ht="12" hidden="false" customHeight="false" outlineLevel="0" collapsed="false">
      <c r="A4056" s="203" t="s">
        <v>6525</v>
      </c>
    </row>
    <row r="4057" customFormat="false" ht="12" hidden="false" customHeight="false" outlineLevel="0" collapsed="false">
      <c r="A4057" s="203" t="s">
        <v>6526</v>
      </c>
    </row>
    <row r="4058" customFormat="false" ht="12" hidden="false" customHeight="false" outlineLevel="0" collapsed="false">
      <c r="A4058" s="203" t="s">
        <v>6527</v>
      </c>
    </row>
    <row r="4059" customFormat="false" ht="12" hidden="false" customHeight="false" outlineLevel="0" collapsed="false">
      <c r="A4059" s="203" t="s">
        <v>6528</v>
      </c>
    </row>
    <row r="4060" customFormat="false" ht="12" hidden="false" customHeight="false" outlineLevel="0" collapsed="false">
      <c r="A4060" s="203" t="s">
        <v>6529</v>
      </c>
    </row>
    <row r="4061" customFormat="false" ht="12" hidden="false" customHeight="false" outlineLevel="0" collapsed="false">
      <c r="A4061" s="203" t="s">
        <v>6530</v>
      </c>
    </row>
    <row r="4062" customFormat="false" ht="12" hidden="false" customHeight="false" outlineLevel="0" collapsed="false">
      <c r="A4062" s="203" t="s">
        <v>6531</v>
      </c>
    </row>
    <row r="4063" customFormat="false" ht="12" hidden="false" customHeight="false" outlineLevel="0" collapsed="false">
      <c r="A4063" s="203" t="s">
        <v>6532</v>
      </c>
    </row>
    <row r="4064" customFormat="false" ht="12" hidden="false" customHeight="false" outlineLevel="0" collapsed="false">
      <c r="A4064" s="203" t="s">
        <v>6533</v>
      </c>
    </row>
    <row r="4065" customFormat="false" ht="12" hidden="false" customHeight="false" outlineLevel="0" collapsed="false">
      <c r="A4065" s="203" t="s">
        <v>6534</v>
      </c>
    </row>
    <row r="4066" customFormat="false" ht="12" hidden="false" customHeight="false" outlineLevel="0" collapsed="false">
      <c r="A4066" s="203" t="s">
        <v>6535</v>
      </c>
    </row>
    <row r="4067" customFormat="false" ht="12" hidden="false" customHeight="false" outlineLevel="0" collapsed="false">
      <c r="A4067" s="203" t="s">
        <v>6536</v>
      </c>
    </row>
    <row r="4068" customFormat="false" ht="12" hidden="false" customHeight="false" outlineLevel="0" collapsed="false">
      <c r="A4068" s="203" t="s">
        <v>6537</v>
      </c>
    </row>
    <row r="4069" customFormat="false" ht="12" hidden="false" customHeight="false" outlineLevel="0" collapsed="false">
      <c r="A4069" s="203" t="s">
        <v>6538</v>
      </c>
    </row>
    <row r="4070" customFormat="false" ht="12" hidden="false" customHeight="false" outlineLevel="0" collapsed="false">
      <c r="A4070" s="203" t="s">
        <v>6539</v>
      </c>
    </row>
    <row r="4071" customFormat="false" ht="12" hidden="false" customHeight="false" outlineLevel="0" collapsed="false">
      <c r="A4071" s="203" t="s">
        <v>6540</v>
      </c>
    </row>
    <row r="4072" customFormat="false" ht="12" hidden="false" customHeight="false" outlineLevel="0" collapsed="false">
      <c r="A4072" s="203" t="s">
        <v>6541</v>
      </c>
    </row>
    <row r="4073" customFormat="false" ht="12" hidden="false" customHeight="false" outlineLevel="0" collapsed="false">
      <c r="A4073" s="203" t="s">
        <v>6542</v>
      </c>
    </row>
    <row r="4074" customFormat="false" ht="12" hidden="false" customHeight="false" outlineLevel="0" collapsed="false">
      <c r="A4074" s="203" t="s">
        <v>6543</v>
      </c>
    </row>
    <row r="4075" customFormat="false" ht="12" hidden="false" customHeight="false" outlineLevel="0" collapsed="false">
      <c r="A4075" s="203" t="s">
        <v>6544</v>
      </c>
    </row>
    <row r="4076" customFormat="false" ht="12" hidden="false" customHeight="false" outlineLevel="0" collapsed="false">
      <c r="A4076" s="203" t="s">
        <v>6545</v>
      </c>
    </row>
    <row r="4077" customFormat="false" ht="12" hidden="false" customHeight="false" outlineLevel="0" collapsed="false">
      <c r="A4077" s="203" t="s">
        <v>6546</v>
      </c>
    </row>
    <row r="4078" customFormat="false" ht="12" hidden="false" customHeight="false" outlineLevel="0" collapsed="false">
      <c r="A4078" s="203" t="s">
        <v>6547</v>
      </c>
    </row>
    <row r="4079" customFormat="false" ht="12" hidden="false" customHeight="false" outlineLevel="0" collapsed="false">
      <c r="A4079" s="203" t="s">
        <v>6548</v>
      </c>
    </row>
    <row r="4080" customFormat="false" ht="12" hidden="false" customHeight="false" outlineLevel="0" collapsed="false">
      <c r="A4080" s="203" t="s">
        <v>6549</v>
      </c>
    </row>
    <row r="4081" customFormat="false" ht="12" hidden="false" customHeight="false" outlineLevel="0" collapsed="false">
      <c r="A4081" s="203" t="s">
        <v>6550</v>
      </c>
    </row>
    <row r="4082" customFormat="false" ht="12" hidden="false" customHeight="false" outlineLevel="0" collapsed="false">
      <c r="A4082" s="203" t="s">
        <v>6551</v>
      </c>
    </row>
    <row r="4083" customFormat="false" ht="12" hidden="false" customHeight="false" outlineLevel="0" collapsed="false">
      <c r="A4083" s="203" t="s">
        <v>6552</v>
      </c>
    </row>
    <row r="4084" customFormat="false" ht="12" hidden="false" customHeight="false" outlineLevel="0" collapsed="false">
      <c r="A4084" s="203" t="s">
        <v>6553</v>
      </c>
    </row>
    <row r="4085" customFormat="false" ht="12" hidden="false" customHeight="false" outlineLevel="0" collapsed="false">
      <c r="A4085" s="203" t="s">
        <v>6554</v>
      </c>
    </row>
    <row r="4086" customFormat="false" ht="12" hidden="false" customHeight="false" outlineLevel="0" collapsed="false">
      <c r="A4086" s="203" t="s">
        <v>6555</v>
      </c>
    </row>
    <row r="4087" customFormat="false" ht="12" hidden="false" customHeight="false" outlineLevel="0" collapsed="false">
      <c r="A4087" s="203" t="s">
        <v>6556</v>
      </c>
    </row>
    <row r="4088" customFormat="false" ht="12" hidden="false" customHeight="false" outlineLevel="0" collapsed="false">
      <c r="A4088" s="203" t="s">
        <v>6557</v>
      </c>
    </row>
    <row r="4089" customFormat="false" ht="12" hidden="false" customHeight="false" outlineLevel="0" collapsed="false">
      <c r="A4089" s="203" t="s">
        <v>6558</v>
      </c>
    </row>
    <row r="4090" customFormat="false" ht="12" hidden="false" customHeight="false" outlineLevel="0" collapsed="false">
      <c r="A4090" s="203" t="s">
        <v>6559</v>
      </c>
    </row>
    <row r="4091" customFormat="false" ht="12" hidden="false" customHeight="false" outlineLevel="0" collapsed="false">
      <c r="A4091" s="203" t="s">
        <v>6560</v>
      </c>
    </row>
    <row r="4092" customFormat="false" ht="12" hidden="false" customHeight="false" outlineLevel="0" collapsed="false">
      <c r="A4092" s="203" t="s">
        <v>6561</v>
      </c>
    </row>
    <row r="4093" customFormat="false" ht="12" hidden="false" customHeight="false" outlineLevel="0" collapsed="false">
      <c r="A4093" s="203" t="s">
        <v>6562</v>
      </c>
    </row>
    <row r="4094" customFormat="false" ht="12" hidden="false" customHeight="false" outlineLevel="0" collapsed="false">
      <c r="A4094" s="203" t="s">
        <v>6563</v>
      </c>
    </row>
    <row r="4095" customFormat="false" ht="12" hidden="false" customHeight="false" outlineLevel="0" collapsed="false">
      <c r="A4095" s="203" t="s">
        <v>6564</v>
      </c>
    </row>
    <row r="4096" customFormat="false" ht="12" hidden="false" customHeight="false" outlineLevel="0" collapsed="false">
      <c r="A4096" s="203" t="s">
        <v>6565</v>
      </c>
    </row>
    <row r="4097" customFormat="false" ht="12" hidden="false" customHeight="false" outlineLevel="0" collapsed="false">
      <c r="A4097" s="203" t="s">
        <v>6566</v>
      </c>
    </row>
    <row r="4098" customFormat="false" ht="12" hidden="false" customHeight="false" outlineLevel="0" collapsed="false">
      <c r="A4098" s="203" t="s">
        <v>6567</v>
      </c>
    </row>
    <row r="4099" customFormat="false" ht="12" hidden="false" customHeight="false" outlineLevel="0" collapsed="false">
      <c r="A4099" s="203" t="s">
        <v>6568</v>
      </c>
    </row>
    <row r="4100" customFormat="false" ht="12" hidden="false" customHeight="false" outlineLevel="0" collapsed="false">
      <c r="A4100" s="203" t="s">
        <v>6569</v>
      </c>
    </row>
    <row r="4101" customFormat="false" ht="12" hidden="false" customHeight="false" outlineLevel="0" collapsed="false">
      <c r="A4101" s="203" t="s">
        <v>6570</v>
      </c>
    </row>
    <row r="4102" customFormat="false" ht="12" hidden="false" customHeight="false" outlineLevel="0" collapsed="false">
      <c r="A4102" s="203" t="s">
        <v>6571</v>
      </c>
    </row>
    <row r="4103" customFormat="false" ht="12" hidden="false" customHeight="false" outlineLevel="0" collapsed="false">
      <c r="A4103" s="203" t="s">
        <v>6572</v>
      </c>
    </row>
    <row r="4104" customFormat="false" ht="12" hidden="false" customHeight="false" outlineLevel="0" collapsed="false">
      <c r="A4104" s="203" t="s">
        <v>6573</v>
      </c>
    </row>
    <row r="4105" customFormat="false" ht="12" hidden="false" customHeight="false" outlineLevel="0" collapsed="false">
      <c r="A4105" s="203" t="s">
        <v>6574</v>
      </c>
    </row>
    <row r="4106" customFormat="false" ht="12" hidden="false" customHeight="false" outlineLevel="0" collapsed="false">
      <c r="A4106" s="203" t="s">
        <v>6575</v>
      </c>
    </row>
    <row r="4107" customFormat="false" ht="12" hidden="false" customHeight="false" outlineLevel="0" collapsed="false">
      <c r="A4107" s="203" t="s">
        <v>6576</v>
      </c>
    </row>
    <row r="4108" customFormat="false" ht="12" hidden="false" customHeight="false" outlineLevel="0" collapsed="false">
      <c r="A4108" s="203" t="s">
        <v>6577</v>
      </c>
    </row>
    <row r="4109" customFormat="false" ht="12" hidden="false" customHeight="false" outlineLevel="0" collapsed="false">
      <c r="A4109" s="203" t="s">
        <v>6578</v>
      </c>
    </row>
    <row r="4110" customFormat="false" ht="12" hidden="false" customHeight="false" outlineLevel="0" collapsed="false">
      <c r="A4110" s="203" t="s">
        <v>6579</v>
      </c>
    </row>
    <row r="4111" customFormat="false" ht="12" hidden="false" customHeight="false" outlineLevel="0" collapsed="false">
      <c r="A4111" s="203" t="s">
        <v>6580</v>
      </c>
    </row>
    <row r="4112" customFormat="false" ht="12" hidden="false" customHeight="false" outlineLevel="0" collapsed="false">
      <c r="A4112" s="203" t="s">
        <v>6581</v>
      </c>
    </row>
    <row r="4113" customFormat="false" ht="12" hidden="false" customHeight="false" outlineLevel="0" collapsed="false">
      <c r="A4113" s="203" t="s">
        <v>6582</v>
      </c>
    </row>
    <row r="4114" customFormat="false" ht="12" hidden="false" customHeight="false" outlineLevel="0" collapsed="false">
      <c r="A4114" s="203" t="s">
        <v>6583</v>
      </c>
    </row>
    <row r="4115" customFormat="false" ht="12" hidden="false" customHeight="false" outlineLevel="0" collapsed="false">
      <c r="A4115" s="203" t="s">
        <v>6584</v>
      </c>
    </row>
    <row r="4116" customFormat="false" ht="12" hidden="false" customHeight="false" outlineLevel="0" collapsed="false">
      <c r="A4116" s="203" t="s">
        <v>6585</v>
      </c>
    </row>
    <row r="4117" customFormat="false" ht="12" hidden="false" customHeight="false" outlineLevel="0" collapsed="false">
      <c r="A4117" s="203" t="s">
        <v>6586</v>
      </c>
    </row>
    <row r="4118" customFormat="false" ht="12" hidden="false" customHeight="false" outlineLevel="0" collapsed="false">
      <c r="A4118" s="203" t="s">
        <v>6587</v>
      </c>
    </row>
    <row r="4119" customFormat="false" ht="12" hidden="false" customHeight="false" outlineLevel="0" collapsed="false">
      <c r="A4119" s="203" t="s">
        <v>6588</v>
      </c>
    </row>
    <row r="4120" customFormat="false" ht="12" hidden="false" customHeight="false" outlineLevel="0" collapsed="false">
      <c r="A4120" s="203" t="s">
        <v>6589</v>
      </c>
    </row>
    <row r="4121" customFormat="false" ht="12" hidden="false" customHeight="false" outlineLevel="0" collapsed="false">
      <c r="A4121" s="203" t="s">
        <v>6590</v>
      </c>
    </row>
    <row r="4122" customFormat="false" ht="12" hidden="false" customHeight="false" outlineLevel="0" collapsed="false">
      <c r="A4122" s="203" t="s">
        <v>6591</v>
      </c>
    </row>
    <row r="4123" customFormat="false" ht="12" hidden="false" customHeight="false" outlineLevel="0" collapsed="false">
      <c r="A4123" s="203" t="s">
        <v>6592</v>
      </c>
    </row>
    <row r="4124" customFormat="false" ht="12" hidden="false" customHeight="false" outlineLevel="0" collapsed="false">
      <c r="A4124" s="203" t="s">
        <v>6593</v>
      </c>
    </row>
    <row r="4125" customFormat="false" ht="12" hidden="false" customHeight="false" outlineLevel="0" collapsed="false">
      <c r="A4125" s="203" t="s">
        <v>6594</v>
      </c>
    </row>
    <row r="4126" customFormat="false" ht="12" hidden="false" customHeight="false" outlineLevel="0" collapsed="false">
      <c r="A4126" s="203" t="s">
        <v>6595</v>
      </c>
    </row>
    <row r="4127" customFormat="false" ht="12" hidden="false" customHeight="false" outlineLevel="0" collapsed="false">
      <c r="A4127" s="203" t="s">
        <v>6596</v>
      </c>
    </row>
    <row r="4128" customFormat="false" ht="12" hidden="false" customHeight="false" outlineLevel="0" collapsed="false">
      <c r="A4128" s="203" t="s">
        <v>6597</v>
      </c>
    </row>
    <row r="4129" customFormat="false" ht="12" hidden="false" customHeight="false" outlineLevel="0" collapsed="false">
      <c r="A4129" s="203" t="s">
        <v>6598</v>
      </c>
    </row>
    <row r="4130" customFormat="false" ht="12" hidden="false" customHeight="false" outlineLevel="0" collapsed="false">
      <c r="A4130" s="203" t="s">
        <v>6599</v>
      </c>
    </row>
    <row r="4131" customFormat="false" ht="12" hidden="false" customHeight="false" outlineLevel="0" collapsed="false">
      <c r="A4131" s="203" t="s">
        <v>6600</v>
      </c>
    </row>
    <row r="4132" customFormat="false" ht="12" hidden="false" customHeight="false" outlineLevel="0" collapsed="false">
      <c r="A4132" s="203" t="s">
        <v>6601</v>
      </c>
    </row>
    <row r="4133" customFormat="false" ht="12" hidden="false" customHeight="false" outlineLevel="0" collapsed="false">
      <c r="A4133" s="203" t="s">
        <v>6602</v>
      </c>
    </row>
    <row r="4134" customFormat="false" ht="12" hidden="false" customHeight="false" outlineLevel="0" collapsed="false">
      <c r="A4134" s="203" t="s">
        <v>6603</v>
      </c>
    </row>
    <row r="4135" customFormat="false" ht="12" hidden="false" customHeight="false" outlineLevel="0" collapsed="false">
      <c r="A4135" s="203" t="s">
        <v>6604</v>
      </c>
    </row>
    <row r="4136" customFormat="false" ht="12" hidden="false" customHeight="false" outlineLevel="0" collapsed="false">
      <c r="A4136" s="203" t="s">
        <v>6605</v>
      </c>
    </row>
    <row r="4137" customFormat="false" ht="12" hidden="false" customHeight="false" outlineLevel="0" collapsed="false">
      <c r="A4137" s="203" t="s">
        <v>6606</v>
      </c>
    </row>
    <row r="4138" customFormat="false" ht="12" hidden="false" customHeight="false" outlineLevel="0" collapsed="false">
      <c r="A4138" s="203" t="s">
        <v>6607</v>
      </c>
    </row>
    <row r="4139" customFormat="false" ht="12" hidden="false" customHeight="false" outlineLevel="0" collapsed="false">
      <c r="A4139" s="203" t="s">
        <v>6608</v>
      </c>
    </row>
    <row r="4140" customFormat="false" ht="12" hidden="false" customHeight="false" outlineLevel="0" collapsed="false">
      <c r="A4140" s="203" t="s">
        <v>6609</v>
      </c>
    </row>
    <row r="4141" customFormat="false" ht="12" hidden="false" customHeight="false" outlineLevel="0" collapsed="false">
      <c r="A4141" s="203" t="s">
        <v>6610</v>
      </c>
    </row>
    <row r="4142" customFormat="false" ht="12" hidden="false" customHeight="false" outlineLevel="0" collapsed="false">
      <c r="A4142" s="203" t="s">
        <v>6611</v>
      </c>
    </row>
    <row r="4143" customFormat="false" ht="12" hidden="false" customHeight="false" outlineLevel="0" collapsed="false">
      <c r="A4143" s="203" t="s">
        <v>6612</v>
      </c>
    </row>
    <row r="4144" customFormat="false" ht="12" hidden="false" customHeight="false" outlineLevel="0" collapsed="false">
      <c r="A4144" s="203" t="s">
        <v>6613</v>
      </c>
    </row>
    <row r="4145" customFormat="false" ht="12" hidden="false" customHeight="false" outlineLevel="0" collapsed="false">
      <c r="A4145" s="203" t="s">
        <v>6614</v>
      </c>
    </row>
    <row r="4146" customFormat="false" ht="12" hidden="false" customHeight="false" outlineLevel="0" collapsed="false">
      <c r="A4146" s="203" t="s">
        <v>6615</v>
      </c>
    </row>
    <row r="4147" customFormat="false" ht="12" hidden="false" customHeight="false" outlineLevel="0" collapsed="false">
      <c r="A4147" s="203" t="s">
        <v>6616</v>
      </c>
    </row>
    <row r="4148" customFormat="false" ht="12" hidden="false" customHeight="false" outlineLevel="0" collapsed="false">
      <c r="A4148" s="203" t="s">
        <v>6617</v>
      </c>
    </row>
    <row r="4149" customFormat="false" ht="12" hidden="false" customHeight="false" outlineLevel="0" collapsed="false">
      <c r="A4149" s="203" t="s">
        <v>6618</v>
      </c>
    </row>
    <row r="4150" customFormat="false" ht="12" hidden="false" customHeight="false" outlineLevel="0" collapsed="false">
      <c r="A4150" s="203" t="s">
        <v>6619</v>
      </c>
    </row>
    <row r="4151" customFormat="false" ht="12" hidden="false" customHeight="false" outlineLevel="0" collapsed="false">
      <c r="A4151" s="203" t="s">
        <v>6620</v>
      </c>
    </row>
    <row r="4152" customFormat="false" ht="12" hidden="false" customHeight="false" outlineLevel="0" collapsed="false">
      <c r="A4152" s="203" t="s">
        <v>6621</v>
      </c>
    </row>
    <row r="4153" customFormat="false" ht="12" hidden="false" customHeight="false" outlineLevel="0" collapsed="false">
      <c r="A4153" s="203" t="s">
        <v>6622</v>
      </c>
    </row>
    <row r="4154" customFormat="false" ht="12" hidden="false" customHeight="false" outlineLevel="0" collapsed="false">
      <c r="A4154" s="203" t="s">
        <v>6623</v>
      </c>
    </row>
    <row r="4155" customFormat="false" ht="12" hidden="false" customHeight="false" outlineLevel="0" collapsed="false">
      <c r="A4155" s="203" t="s">
        <v>6624</v>
      </c>
    </row>
    <row r="4156" customFormat="false" ht="12" hidden="false" customHeight="false" outlineLevel="0" collapsed="false">
      <c r="A4156" s="203" t="s">
        <v>6625</v>
      </c>
    </row>
    <row r="4157" customFormat="false" ht="12" hidden="false" customHeight="false" outlineLevel="0" collapsed="false">
      <c r="A4157" s="203" t="s">
        <v>6626</v>
      </c>
    </row>
    <row r="4158" customFormat="false" ht="12" hidden="false" customHeight="false" outlineLevel="0" collapsed="false">
      <c r="A4158" s="203" t="s">
        <v>6627</v>
      </c>
    </row>
    <row r="4159" customFormat="false" ht="12" hidden="false" customHeight="false" outlineLevel="0" collapsed="false">
      <c r="A4159" s="203" t="s">
        <v>6628</v>
      </c>
    </row>
    <row r="4160" customFormat="false" ht="12" hidden="false" customHeight="false" outlineLevel="0" collapsed="false">
      <c r="A4160" s="203" t="s">
        <v>6629</v>
      </c>
    </row>
    <row r="4161" customFormat="false" ht="12" hidden="false" customHeight="false" outlineLevel="0" collapsed="false">
      <c r="A4161" s="203" t="s">
        <v>6630</v>
      </c>
    </row>
    <row r="4162" customFormat="false" ht="12" hidden="false" customHeight="false" outlineLevel="0" collapsed="false">
      <c r="A4162" s="203" t="s">
        <v>6631</v>
      </c>
    </row>
    <row r="4163" customFormat="false" ht="12" hidden="false" customHeight="false" outlineLevel="0" collapsed="false">
      <c r="A4163" s="203" t="s">
        <v>6632</v>
      </c>
    </row>
    <row r="4164" customFormat="false" ht="12" hidden="false" customHeight="false" outlineLevel="0" collapsed="false">
      <c r="A4164" s="203" t="s">
        <v>6633</v>
      </c>
    </row>
    <row r="4165" customFormat="false" ht="12" hidden="false" customHeight="false" outlineLevel="0" collapsed="false">
      <c r="A4165" s="203" t="s">
        <v>6634</v>
      </c>
    </row>
    <row r="4166" customFormat="false" ht="12" hidden="false" customHeight="false" outlineLevel="0" collapsed="false">
      <c r="A4166" s="203" t="s">
        <v>6635</v>
      </c>
    </row>
    <row r="4167" customFormat="false" ht="12" hidden="false" customHeight="false" outlineLevel="0" collapsed="false">
      <c r="A4167" s="203" t="s">
        <v>6636</v>
      </c>
    </row>
    <row r="4168" customFormat="false" ht="12" hidden="false" customHeight="false" outlineLevel="0" collapsed="false">
      <c r="A4168" s="203" t="s">
        <v>6637</v>
      </c>
    </row>
    <row r="4169" customFormat="false" ht="12" hidden="false" customHeight="false" outlineLevel="0" collapsed="false">
      <c r="A4169" s="203" t="s">
        <v>6638</v>
      </c>
    </row>
    <row r="4170" customFormat="false" ht="12" hidden="false" customHeight="false" outlineLevel="0" collapsed="false">
      <c r="A4170" s="203" t="s">
        <v>6639</v>
      </c>
    </row>
    <row r="4171" customFormat="false" ht="12" hidden="false" customHeight="false" outlineLevel="0" collapsed="false">
      <c r="A4171" s="203" t="s">
        <v>6640</v>
      </c>
    </row>
    <row r="4172" customFormat="false" ht="12" hidden="false" customHeight="false" outlineLevel="0" collapsed="false">
      <c r="A4172" s="203" t="s">
        <v>6641</v>
      </c>
    </row>
    <row r="4173" customFormat="false" ht="12" hidden="false" customHeight="false" outlineLevel="0" collapsed="false">
      <c r="A4173" s="203" t="s">
        <v>6642</v>
      </c>
    </row>
    <row r="4174" customFormat="false" ht="12" hidden="false" customHeight="false" outlineLevel="0" collapsed="false">
      <c r="A4174" s="203" t="s">
        <v>6643</v>
      </c>
    </row>
    <row r="4175" customFormat="false" ht="12" hidden="false" customHeight="false" outlineLevel="0" collapsed="false">
      <c r="A4175" s="203" t="s">
        <v>6644</v>
      </c>
    </row>
    <row r="4176" customFormat="false" ht="12" hidden="false" customHeight="false" outlineLevel="0" collapsed="false">
      <c r="A4176" s="203" t="s">
        <v>6645</v>
      </c>
    </row>
    <row r="4177" customFormat="false" ht="12" hidden="false" customHeight="false" outlineLevel="0" collapsed="false">
      <c r="A4177" s="203" t="s">
        <v>6646</v>
      </c>
    </row>
    <row r="4178" customFormat="false" ht="12" hidden="false" customHeight="false" outlineLevel="0" collapsed="false">
      <c r="A4178" s="203" t="s">
        <v>6647</v>
      </c>
    </row>
    <row r="4179" customFormat="false" ht="12" hidden="false" customHeight="false" outlineLevel="0" collapsed="false">
      <c r="A4179" s="203" t="s">
        <v>6648</v>
      </c>
    </row>
    <row r="4180" customFormat="false" ht="12" hidden="false" customHeight="false" outlineLevel="0" collapsed="false">
      <c r="A4180" s="203" t="s">
        <v>6649</v>
      </c>
    </row>
    <row r="4181" customFormat="false" ht="12" hidden="false" customHeight="false" outlineLevel="0" collapsed="false">
      <c r="A4181" s="203" t="s">
        <v>6650</v>
      </c>
    </row>
    <row r="4182" customFormat="false" ht="12" hidden="false" customHeight="false" outlineLevel="0" collapsed="false">
      <c r="A4182" s="203" t="s">
        <v>6651</v>
      </c>
    </row>
    <row r="4183" customFormat="false" ht="12" hidden="false" customHeight="false" outlineLevel="0" collapsed="false">
      <c r="A4183" s="203" t="s">
        <v>6652</v>
      </c>
    </row>
    <row r="4184" customFormat="false" ht="12" hidden="false" customHeight="false" outlineLevel="0" collapsed="false">
      <c r="A4184" s="203" t="s">
        <v>6653</v>
      </c>
    </row>
    <row r="4185" customFormat="false" ht="12" hidden="false" customHeight="false" outlineLevel="0" collapsed="false">
      <c r="A4185" s="203" t="s">
        <v>6654</v>
      </c>
    </row>
    <row r="4186" customFormat="false" ht="12" hidden="false" customHeight="false" outlineLevel="0" collapsed="false">
      <c r="A4186" s="203" t="s">
        <v>6655</v>
      </c>
    </row>
    <row r="4187" customFormat="false" ht="12" hidden="false" customHeight="false" outlineLevel="0" collapsed="false">
      <c r="A4187" s="203" t="s">
        <v>6656</v>
      </c>
    </row>
    <row r="4188" customFormat="false" ht="12" hidden="false" customHeight="false" outlineLevel="0" collapsed="false">
      <c r="A4188" s="203" t="s">
        <v>6657</v>
      </c>
    </row>
    <row r="4189" customFormat="false" ht="12" hidden="false" customHeight="false" outlineLevel="0" collapsed="false">
      <c r="A4189" s="203" t="s">
        <v>6658</v>
      </c>
    </row>
    <row r="4190" customFormat="false" ht="12" hidden="false" customHeight="false" outlineLevel="0" collapsed="false">
      <c r="A4190" s="203" t="s">
        <v>6659</v>
      </c>
    </row>
    <row r="4191" customFormat="false" ht="12" hidden="false" customHeight="false" outlineLevel="0" collapsed="false">
      <c r="A4191" s="203" t="s">
        <v>6660</v>
      </c>
    </row>
    <row r="4192" customFormat="false" ht="12" hidden="false" customHeight="false" outlineLevel="0" collapsed="false">
      <c r="A4192" s="203" t="s">
        <v>6661</v>
      </c>
    </row>
    <row r="4193" customFormat="false" ht="12" hidden="false" customHeight="false" outlineLevel="0" collapsed="false">
      <c r="A4193" s="203" t="s">
        <v>6662</v>
      </c>
    </row>
    <row r="4194" customFormat="false" ht="12" hidden="false" customHeight="false" outlineLevel="0" collapsed="false">
      <c r="A4194" s="203" t="s">
        <v>6663</v>
      </c>
    </row>
    <row r="4195" customFormat="false" ht="12" hidden="false" customHeight="false" outlineLevel="0" collapsed="false">
      <c r="A4195" s="203" t="s">
        <v>6664</v>
      </c>
    </row>
    <row r="4196" customFormat="false" ht="12" hidden="false" customHeight="false" outlineLevel="0" collapsed="false">
      <c r="A4196" s="203" t="s">
        <v>6665</v>
      </c>
    </row>
    <row r="4197" customFormat="false" ht="12" hidden="false" customHeight="false" outlineLevel="0" collapsed="false">
      <c r="A4197" s="203" t="s">
        <v>6666</v>
      </c>
    </row>
    <row r="4198" customFormat="false" ht="12" hidden="false" customHeight="false" outlineLevel="0" collapsed="false">
      <c r="A4198" s="203" t="s">
        <v>6667</v>
      </c>
    </row>
    <row r="4199" customFormat="false" ht="12" hidden="false" customHeight="false" outlineLevel="0" collapsed="false">
      <c r="A4199" s="203" t="s">
        <v>6668</v>
      </c>
    </row>
    <row r="4200" customFormat="false" ht="12" hidden="false" customHeight="false" outlineLevel="0" collapsed="false">
      <c r="A4200" s="203" t="s">
        <v>6669</v>
      </c>
    </row>
    <row r="4201" customFormat="false" ht="12" hidden="false" customHeight="false" outlineLevel="0" collapsed="false">
      <c r="A4201" s="203" t="s">
        <v>6670</v>
      </c>
    </row>
    <row r="4202" customFormat="false" ht="12" hidden="false" customHeight="false" outlineLevel="0" collapsed="false">
      <c r="A4202" s="203" t="s">
        <v>6671</v>
      </c>
    </row>
    <row r="4203" customFormat="false" ht="12" hidden="false" customHeight="false" outlineLevel="0" collapsed="false">
      <c r="A4203" s="203" t="s">
        <v>6672</v>
      </c>
    </row>
    <row r="4204" customFormat="false" ht="12" hidden="false" customHeight="false" outlineLevel="0" collapsed="false">
      <c r="A4204" s="203" t="s">
        <v>6673</v>
      </c>
    </row>
    <row r="4205" customFormat="false" ht="12" hidden="false" customHeight="false" outlineLevel="0" collapsed="false">
      <c r="A4205" s="203" t="s">
        <v>6674</v>
      </c>
    </row>
    <row r="4206" customFormat="false" ht="12" hidden="false" customHeight="false" outlineLevel="0" collapsed="false">
      <c r="A4206" s="203" t="s">
        <v>6675</v>
      </c>
    </row>
    <row r="4207" customFormat="false" ht="12" hidden="false" customHeight="false" outlineLevel="0" collapsed="false">
      <c r="A4207" s="203" t="s">
        <v>6676</v>
      </c>
    </row>
    <row r="4208" customFormat="false" ht="12" hidden="false" customHeight="false" outlineLevel="0" collapsed="false">
      <c r="A4208" s="203" t="s">
        <v>6677</v>
      </c>
    </row>
    <row r="4209" customFormat="false" ht="12" hidden="false" customHeight="false" outlineLevel="0" collapsed="false">
      <c r="A4209" s="203" t="s">
        <v>6678</v>
      </c>
    </row>
    <row r="4210" customFormat="false" ht="12" hidden="false" customHeight="false" outlineLevel="0" collapsed="false">
      <c r="A4210" s="203" t="s">
        <v>6679</v>
      </c>
    </row>
    <row r="4211" customFormat="false" ht="12" hidden="false" customHeight="false" outlineLevel="0" collapsed="false">
      <c r="A4211" s="203" t="s">
        <v>6680</v>
      </c>
    </row>
    <row r="4212" customFormat="false" ht="12" hidden="false" customHeight="false" outlineLevel="0" collapsed="false">
      <c r="A4212" s="203" t="s">
        <v>6681</v>
      </c>
    </row>
    <row r="4213" customFormat="false" ht="12" hidden="false" customHeight="false" outlineLevel="0" collapsed="false">
      <c r="A4213" s="203" t="s">
        <v>6682</v>
      </c>
    </row>
    <row r="4214" customFormat="false" ht="12" hidden="false" customHeight="false" outlineLevel="0" collapsed="false">
      <c r="A4214" s="203" t="s">
        <v>6683</v>
      </c>
    </row>
    <row r="4215" customFormat="false" ht="12" hidden="false" customHeight="false" outlineLevel="0" collapsed="false">
      <c r="A4215" s="203" t="s">
        <v>6684</v>
      </c>
    </row>
    <row r="4216" customFormat="false" ht="12" hidden="false" customHeight="false" outlineLevel="0" collapsed="false">
      <c r="A4216" s="203" t="s">
        <v>6685</v>
      </c>
    </row>
    <row r="4217" customFormat="false" ht="12" hidden="false" customHeight="false" outlineLevel="0" collapsed="false">
      <c r="A4217" s="203" t="s">
        <v>6686</v>
      </c>
    </row>
    <row r="4218" customFormat="false" ht="12" hidden="false" customHeight="false" outlineLevel="0" collapsed="false">
      <c r="A4218" s="203" t="s">
        <v>6687</v>
      </c>
    </row>
    <row r="4219" customFormat="false" ht="12" hidden="false" customHeight="false" outlineLevel="0" collapsed="false">
      <c r="A4219" s="203" t="s">
        <v>6688</v>
      </c>
    </row>
    <row r="4220" customFormat="false" ht="12" hidden="false" customHeight="false" outlineLevel="0" collapsed="false">
      <c r="A4220" s="203" t="s">
        <v>6689</v>
      </c>
    </row>
    <row r="4221" customFormat="false" ht="12" hidden="false" customHeight="false" outlineLevel="0" collapsed="false">
      <c r="A4221" s="203" t="s">
        <v>6690</v>
      </c>
    </row>
    <row r="4222" customFormat="false" ht="12" hidden="false" customHeight="false" outlineLevel="0" collapsed="false">
      <c r="A4222" s="203" t="s">
        <v>6691</v>
      </c>
    </row>
    <row r="4223" customFormat="false" ht="12" hidden="false" customHeight="false" outlineLevel="0" collapsed="false">
      <c r="A4223" s="203" t="s">
        <v>6692</v>
      </c>
    </row>
    <row r="4224" customFormat="false" ht="12" hidden="false" customHeight="false" outlineLevel="0" collapsed="false">
      <c r="A4224" s="203" t="s">
        <v>6693</v>
      </c>
    </row>
    <row r="4225" customFormat="false" ht="12" hidden="false" customHeight="false" outlineLevel="0" collapsed="false">
      <c r="A4225" s="203" t="s">
        <v>6694</v>
      </c>
    </row>
    <row r="4226" customFormat="false" ht="12" hidden="false" customHeight="false" outlineLevel="0" collapsed="false">
      <c r="A4226" s="203" t="s">
        <v>6695</v>
      </c>
    </row>
    <row r="4227" customFormat="false" ht="12" hidden="false" customHeight="false" outlineLevel="0" collapsed="false">
      <c r="A4227" s="203" t="s">
        <v>6696</v>
      </c>
    </row>
    <row r="4228" customFormat="false" ht="12" hidden="false" customHeight="false" outlineLevel="0" collapsed="false">
      <c r="A4228" s="203" t="s">
        <v>6697</v>
      </c>
    </row>
    <row r="4229" customFormat="false" ht="12" hidden="false" customHeight="false" outlineLevel="0" collapsed="false">
      <c r="A4229" s="203" t="s">
        <v>6698</v>
      </c>
    </row>
    <row r="4230" customFormat="false" ht="12" hidden="false" customHeight="false" outlineLevel="0" collapsed="false">
      <c r="A4230" s="203" t="s">
        <v>6699</v>
      </c>
    </row>
    <row r="4231" customFormat="false" ht="12" hidden="false" customHeight="false" outlineLevel="0" collapsed="false">
      <c r="A4231" s="203" t="s">
        <v>6700</v>
      </c>
    </row>
    <row r="4232" customFormat="false" ht="12" hidden="false" customHeight="false" outlineLevel="0" collapsed="false">
      <c r="A4232" s="203" t="s">
        <v>6701</v>
      </c>
    </row>
    <row r="4233" customFormat="false" ht="12" hidden="false" customHeight="false" outlineLevel="0" collapsed="false">
      <c r="A4233" s="203" t="s">
        <v>6702</v>
      </c>
    </row>
    <row r="4234" customFormat="false" ht="12" hidden="false" customHeight="false" outlineLevel="0" collapsed="false">
      <c r="A4234" s="203" t="s">
        <v>6703</v>
      </c>
    </row>
    <row r="4235" customFormat="false" ht="12" hidden="false" customHeight="false" outlineLevel="0" collapsed="false">
      <c r="A4235" s="203" t="s">
        <v>6704</v>
      </c>
    </row>
    <row r="4236" customFormat="false" ht="12" hidden="false" customHeight="false" outlineLevel="0" collapsed="false">
      <c r="A4236" s="203" t="s">
        <v>6705</v>
      </c>
    </row>
    <row r="4237" customFormat="false" ht="12" hidden="false" customHeight="false" outlineLevel="0" collapsed="false">
      <c r="A4237" s="203" t="s">
        <v>6706</v>
      </c>
    </row>
    <row r="4238" customFormat="false" ht="12" hidden="false" customHeight="false" outlineLevel="0" collapsed="false">
      <c r="A4238" s="203" t="s">
        <v>6707</v>
      </c>
    </row>
    <row r="4239" customFormat="false" ht="12" hidden="false" customHeight="false" outlineLevel="0" collapsed="false">
      <c r="A4239" s="203" t="s">
        <v>6708</v>
      </c>
    </row>
    <row r="4240" customFormat="false" ht="12" hidden="false" customHeight="false" outlineLevel="0" collapsed="false">
      <c r="A4240" s="203" t="s">
        <v>6709</v>
      </c>
    </row>
    <row r="4241" customFormat="false" ht="12" hidden="false" customHeight="false" outlineLevel="0" collapsed="false">
      <c r="A4241" s="203" t="s">
        <v>6710</v>
      </c>
    </row>
    <row r="4242" customFormat="false" ht="12" hidden="false" customHeight="false" outlineLevel="0" collapsed="false">
      <c r="A4242" s="203" t="s">
        <v>6711</v>
      </c>
    </row>
    <row r="4243" customFormat="false" ht="12" hidden="false" customHeight="false" outlineLevel="0" collapsed="false">
      <c r="A4243" s="203" t="s">
        <v>6712</v>
      </c>
    </row>
    <row r="4244" customFormat="false" ht="12" hidden="false" customHeight="false" outlineLevel="0" collapsed="false">
      <c r="A4244" s="203" t="s">
        <v>6713</v>
      </c>
    </row>
    <row r="4245" customFormat="false" ht="12" hidden="false" customHeight="false" outlineLevel="0" collapsed="false">
      <c r="A4245" s="203" t="s">
        <v>6714</v>
      </c>
    </row>
    <row r="4246" customFormat="false" ht="12" hidden="false" customHeight="false" outlineLevel="0" collapsed="false">
      <c r="A4246" s="203" t="s">
        <v>6715</v>
      </c>
    </row>
    <row r="4247" customFormat="false" ht="12" hidden="false" customHeight="false" outlineLevel="0" collapsed="false">
      <c r="A4247" s="203" t="s">
        <v>6716</v>
      </c>
    </row>
    <row r="4248" customFormat="false" ht="12" hidden="false" customHeight="false" outlineLevel="0" collapsed="false">
      <c r="A4248" s="203" t="s">
        <v>6717</v>
      </c>
    </row>
    <row r="4249" customFormat="false" ht="12" hidden="false" customHeight="false" outlineLevel="0" collapsed="false">
      <c r="A4249" s="203" t="s">
        <v>6718</v>
      </c>
    </row>
    <row r="4250" customFormat="false" ht="12" hidden="false" customHeight="false" outlineLevel="0" collapsed="false">
      <c r="A4250" s="203" t="s">
        <v>6719</v>
      </c>
    </row>
    <row r="4251" customFormat="false" ht="12" hidden="false" customHeight="false" outlineLevel="0" collapsed="false">
      <c r="A4251" s="203" t="s">
        <v>6720</v>
      </c>
    </row>
    <row r="4252" customFormat="false" ht="12" hidden="false" customHeight="false" outlineLevel="0" collapsed="false">
      <c r="A4252" s="203" t="s">
        <v>6721</v>
      </c>
    </row>
    <row r="4253" customFormat="false" ht="12" hidden="false" customHeight="false" outlineLevel="0" collapsed="false">
      <c r="A4253" s="203" t="s">
        <v>6722</v>
      </c>
    </row>
    <row r="4254" customFormat="false" ht="12" hidden="false" customHeight="false" outlineLevel="0" collapsed="false">
      <c r="A4254" s="203" t="s">
        <v>6723</v>
      </c>
    </row>
    <row r="4255" customFormat="false" ht="12" hidden="false" customHeight="false" outlineLevel="0" collapsed="false">
      <c r="A4255" s="203" t="s">
        <v>6724</v>
      </c>
    </row>
    <row r="4256" customFormat="false" ht="12" hidden="false" customHeight="false" outlineLevel="0" collapsed="false">
      <c r="A4256" s="203" t="s">
        <v>6725</v>
      </c>
    </row>
    <row r="4257" customFormat="false" ht="12" hidden="false" customHeight="false" outlineLevel="0" collapsed="false">
      <c r="A4257" s="203" t="s">
        <v>6726</v>
      </c>
    </row>
    <row r="4258" customFormat="false" ht="12" hidden="false" customHeight="false" outlineLevel="0" collapsed="false">
      <c r="A4258" s="203" t="s">
        <v>6727</v>
      </c>
    </row>
    <row r="4259" customFormat="false" ht="12" hidden="false" customHeight="false" outlineLevel="0" collapsed="false">
      <c r="A4259" s="203" t="s">
        <v>6728</v>
      </c>
    </row>
    <row r="4260" customFormat="false" ht="12" hidden="false" customHeight="false" outlineLevel="0" collapsed="false">
      <c r="A4260" s="203" t="s">
        <v>6729</v>
      </c>
    </row>
    <row r="4261" customFormat="false" ht="12" hidden="false" customHeight="false" outlineLevel="0" collapsed="false">
      <c r="A4261" s="203" t="s">
        <v>6730</v>
      </c>
    </row>
    <row r="4262" customFormat="false" ht="12" hidden="false" customHeight="false" outlineLevel="0" collapsed="false">
      <c r="A4262" s="203" t="s">
        <v>6731</v>
      </c>
    </row>
    <row r="4263" customFormat="false" ht="12" hidden="false" customHeight="false" outlineLevel="0" collapsed="false">
      <c r="A4263" s="203" t="s">
        <v>6732</v>
      </c>
    </row>
    <row r="4264" customFormat="false" ht="12" hidden="false" customHeight="false" outlineLevel="0" collapsed="false">
      <c r="A4264" s="203" t="s">
        <v>6733</v>
      </c>
    </row>
    <row r="4265" customFormat="false" ht="12" hidden="false" customHeight="false" outlineLevel="0" collapsed="false">
      <c r="A4265" s="203" t="s">
        <v>6734</v>
      </c>
    </row>
    <row r="4266" customFormat="false" ht="12" hidden="false" customHeight="false" outlineLevel="0" collapsed="false">
      <c r="A4266" s="203" t="s">
        <v>6735</v>
      </c>
    </row>
    <row r="4267" customFormat="false" ht="12" hidden="false" customHeight="false" outlineLevel="0" collapsed="false">
      <c r="A4267" s="203" t="s">
        <v>6736</v>
      </c>
    </row>
    <row r="4268" customFormat="false" ht="12" hidden="false" customHeight="false" outlineLevel="0" collapsed="false">
      <c r="A4268" s="203" t="s">
        <v>6737</v>
      </c>
    </row>
    <row r="4269" customFormat="false" ht="12" hidden="false" customHeight="false" outlineLevel="0" collapsed="false">
      <c r="A4269" s="203" t="s">
        <v>6738</v>
      </c>
    </row>
    <row r="4270" customFormat="false" ht="12" hidden="false" customHeight="false" outlineLevel="0" collapsed="false">
      <c r="A4270" s="203" t="s">
        <v>6739</v>
      </c>
    </row>
    <row r="4271" customFormat="false" ht="12" hidden="false" customHeight="false" outlineLevel="0" collapsed="false">
      <c r="A4271" s="203" t="s">
        <v>6740</v>
      </c>
    </row>
    <row r="4272" customFormat="false" ht="12" hidden="false" customHeight="false" outlineLevel="0" collapsed="false">
      <c r="A4272" s="203" t="s">
        <v>6741</v>
      </c>
    </row>
    <row r="4273" customFormat="false" ht="12" hidden="false" customHeight="false" outlineLevel="0" collapsed="false">
      <c r="A4273" s="203" t="s">
        <v>6742</v>
      </c>
    </row>
    <row r="4274" customFormat="false" ht="12" hidden="false" customHeight="false" outlineLevel="0" collapsed="false">
      <c r="A4274" s="203" t="s">
        <v>6743</v>
      </c>
    </row>
    <row r="4275" customFormat="false" ht="12" hidden="false" customHeight="false" outlineLevel="0" collapsed="false">
      <c r="A4275" s="203" t="s">
        <v>6744</v>
      </c>
    </row>
    <row r="4276" customFormat="false" ht="12" hidden="false" customHeight="false" outlineLevel="0" collapsed="false">
      <c r="A4276" s="203" t="s">
        <v>6745</v>
      </c>
    </row>
    <row r="4277" customFormat="false" ht="12" hidden="false" customHeight="false" outlineLevel="0" collapsed="false">
      <c r="A4277" s="203" t="s">
        <v>6746</v>
      </c>
    </row>
    <row r="4278" customFormat="false" ht="12" hidden="false" customHeight="false" outlineLevel="0" collapsed="false">
      <c r="A4278" s="203" t="s">
        <v>6747</v>
      </c>
    </row>
    <row r="4279" customFormat="false" ht="12" hidden="false" customHeight="false" outlineLevel="0" collapsed="false">
      <c r="A4279" s="203" t="s">
        <v>6748</v>
      </c>
    </row>
    <row r="4280" customFormat="false" ht="12" hidden="false" customHeight="false" outlineLevel="0" collapsed="false">
      <c r="A4280" s="203" t="s">
        <v>6749</v>
      </c>
    </row>
    <row r="4281" customFormat="false" ht="12" hidden="false" customHeight="false" outlineLevel="0" collapsed="false">
      <c r="A4281" s="203" t="s">
        <v>6750</v>
      </c>
    </row>
    <row r="4282" customFormat="false" ht="12" hidden="false" customHeight="false" outlineLevel="0" collapsed="false">
      <c r="A4282" s="203" t="s">
        <v>6751</v>
      </c>
    </row>
    <row r="4283" customFormat="false" ht="12" hidden="false" customHeight="false" outlineLevel="0" collapsed="false">
      <c r="A4283" s="203" t="s">
        <v>6752</v>
      </c>
    </row>
    <row r="4284" customFormat="false" ht="12" hidden="false" customHeight="false" outlineLevel="0" collapsed="false">
      <c r="A4284" s="203" t="s">
        <v>6753</v>
      </c>
    </row>
    <row r="4285" customFormat="false" ht="12" hidden="false" customHeight="false" outlineLevel="0" collapsed="false">
      <c r="A4285" s="203" t="s">
        <v>6754</v>
      </c>
    </row>
    <row r="4286" customFormat="false" ht="12" hidden="false" customHeight="false" outlineLevel="0" collapsed="false">
      <c r="A4286" s="203" t="s">
        <v>6755</v>
      </c>
    </row>
    <row r="4287" customFormat="false" ht="12" hidden="false" customHeight="false" outlineLevel="0" collapsed="false">
      <c r="A4287" s="203" t="s">
        <v>6756</v>
      </c>
    </row>
    <row r="4288" customFormat="false" ht="12" hidden="false" customHeight="false" outlineLevel="0" collapsed="false">
      <c r="A4288" s="203" t="s">
        <v>6757</v>
      </c>
    </row>
    <row r="4289" customFormat="false" ht="12" hidden="false" customHeight="false" outlineLevel="0" collapsed="false">
      <c r="A4289" s="203" t="s">
        <v>6758</v>
      </c>
    </row>
    <row r="4290" customFormat="false" ht="12" hidden="false" customHeight="false" outlineLevel="0" collapsed="false">
      <c r="A4290" s="203" t="s">
        <v>6759</v>
      </c>
    </row>
    <row r="4291" customFormat="false" ht="12" hidden="false" customHeight="false" outlineLevel="0" collapsed="false">
      <c r="A4291" s="203" t="s">
        <v>6760</v>
      </c>
    </row>
    <row r="4292" customFormat="false" ht="12" hidden="false" customHeight="false" outlineLevel="0" collapsed="false">
      <c r="A4292" s="203" t="s">
        <v>6761</v>
      </c>
    </row>
    <row r="4293" customFormat="false" ht="12" hidden="false" customHeight="false" outlineLevel="0" collapsed="false">
      <c r="A4293" s="203" t="s">
        <v>6762</v>
      </c>
    </row>
    <row r="4294" customFormat="false" ht="12" hidden="false" customHeight="false" outlineLevel="0" collapsed="false">
      <c r="A4294" s="203" t="s">
        <v>6763</v>
      </c>
    </row>
    <row r="4295" customFormat="false" ht="12" hidden="false" customHeight="false" outlineLevel="0" collapsed="false">
      <c r="A4295" s="203" t="s">
        <v>6764</v>
      </c>
    </row>
    <row r="4296" customFormat="false" ht="12" hidden="false" customHeight="false" outlineLevel="0" collapsed="false">
      <c r="A4296" s="203" t="s">
        <v>6765</v>
      </c>
    </row>
    <row r="4297" customFormat="false" ht="12" hidden="false" customHeight="false" outlineLevel="0" collapsed="false">
      <c r="A4297" s="203" t="s">
        <v>6766</v>
      </c>
    </row>
    <row r="4298" customFormat="false" ht="12" hidden="false" customHeight="false" outlineLevel="0" collapsed="false">
      <c r="A4298" s="203" t="s">
        <v>6767</v>
      </c>
    </row>
    <row r="4299" customFormat="false" ht="12" hidden="false" customHeight="false" outlineLevel="0" collapsed="false">
      <c r="A4299" s="203" t="s">
        <v>6768</v>
      </c>
    </row>
    <row r="4300" customFormat="false" ht="12" hidden="false" customHeight="false" outlineLevel="0" collapsed="false">
      <c r="A4300" s="203" t="s">
        <v>6769</v>
      </c>
    </row>
    <row r="4301" customFormat="false" ht="12" hidden="false" customHeight="false" outlineLevel="0" collapsed="false">
      <c r="A4301" s="203" t="s">
        <v>6770</v>
      </c>
    </row>
    <row r="4302" customFormat="false" ht="12" hidden="false" customHeight="false" outlineLevel="0" collapsed="false">
      <c r="A4302" s="203" t="s">
        <v>6771</v>
      </c>
    </row>
    <row r="4303" customFormat="false" ht="12" hidden="false" customHeight="false" outlineLevel="0" collapsed="false">
      <c r="A4303" s="203" t="s">
        <v>6772</v>
      </c>
    </row>
    <row r="4304" customFormat="false" ht="12" hidden="false" customHeight="false" outlineLevel="0" collapsed="false">
      <c r="A4304" s="203" t="s">
        <v>6773</v>
      </c>
    </row>
    <row r="4305" customFormat="false" ht="12" hidden="false" customHeight="false" outlineLevel="0" collapsed="false">
      <c r="A4305" s="203" t="s">
        <v>6774</v>
      </c>
    </row>
    <row r="4306" customFormat="false" ht="12" hidden="false" customHeight="false" outlineLevel="0" collapsed="false">
      <c r="A4306" s="203" t="s">
        <v>6775</v>
      </c>
    </row>
    <row r="4307" customFormat="false" ht="12" hidden="false" customHeight="false" outlineLevel="0" collapsed="false">
      <c r="A4307" s="203" t="s">
        <v>6776</v>
      </c>
    </row>
    <row r="4308" customFormat="false" ht="12" hidden="false" customHeight="false" outlineLevel="0" collapsed="false">
      <c r="A4308" s="203" t="s">
        <v>6777</v>
      </c>
    </row>
    <row r="4309" customFormat="false" ht="12" hidden="false" customHeight="false" outlineLevel="0" collapsed="false">
      <c r="A4309" s="203" t="s">
        <v>6778</v>
      </c>
    </row>
    <row r="4310" customFormat="false" ht="12" hidden="false" customHeight="false" outlineLevel="0" collapsed="false">
      <c r="A4310" s="203" t="s">
        <v>6779</v>
      </c>
    </row>
    <row r="4311" customFormat="false" ht="12" hidden="false" customHeight="false" outlineLevel="0" collapsed="false">
      <c r="A4311" s="203" t="s">
        <v>6780</v>
      </c>
    </row>
    <row r="4312" customFormat="false" ht="12" hidden="false" customHeight="false" outlineLevel="0" collapsed="false">
      <c r="A4312" s="203" t="s">
        <v>6781</v>
      </c>
    </row>
    <row r="4313" customFormat="false" ht="12" hidden="false" customHeight="false" outlineLevel="0" collapsed="false">
      <c r="A4313" s="203" t="s">
        <v>6782</v>
      </c>
    </row>
    <row r="4314" customFormat="false" ht="12" hidden="false" customHeight="false" outlineLevel="0" collapsed="false">
      <c r="A4314" s="203" t="s">
        <v>6783</v>
      </c>
    </row>
    <row r="4315" customFormat="false" ht="12" hidden="false" customHeight="false" outlineLevel="0" collapsed="false">
      <c r="A4315" s="203" t="s">
        <v>6784</v>
      </c>
    </row>
    <row r="4316" customFormat="false" ht="12" hidden="false" customHeight="false" outlineLevel="0" collapsed="false">
      <c r="A4316" s="203" t="s">
        <v>6785</v>
      </c>
    </row>
    <row r="4317" customFormat="false" ht="12" hidden="false" customHeight="false" outlineLevel="0" collapsed="false">
      <c r="A4317" s="203" t="s">
        <v>6786</v>
      </c>
    </row>
    <row r="4318" customFormat="false" ht="12" hidden="false" customHeight="false" outlineLevel="0" collapsed="false">
      <c r="A4318" s="203" t="s">
        <v>6787</v>
      </c>
    </row>
    <row r="4319" customFormat="false" ht="12" hidden="false" customHeight="false" outlineLevel="0" collapsed="false">
      <c r="A4319" s="203" t="s">
        <v>6788</v>
      </c>
    </row>
    <row r="4320" customFormat="false" ht="12" hidden="false" customHeight="false" outlineLevel="0" collapsed="false">
      <c r="A4320" s="203" t="s">
        <v>6789</v>
      </c>
    </row>
    <row r="4321" customFormat="false" ht="12" hidden="false" customHeight="false" outlineLevel="0" collapsed="false">
      <c r="A4321" s="203" t="s">
        <v>6790</v>
      </c>
    </row>
    <row r="4322" customFormat="false" ht="12" hidden="false" customHeight="false" outlineLevel="0" collapsed="false">
      <c r="A4322" s="203" t="s">
        <v>6791</v>
      </c>
    </row>
    <row r="4323" customFormat="false" ht="12" hidden="false" customHeight="false" outlineLevel="0" collapsed="false">
      <c r="A4323" s="203" t="s">
        <v>6792</v>
      </c>
    </row>
    <row r="4324" customFormat="false" ht="12" hidden="false" customHeight="false" outlineLevel="0" collapsed="false">
      <c r="A4324" s="203" t="s">
        <v>6793</v>
      </c>
    </row>
    <row r="4325" customFormat="false" ht="12" hidden="false" customHeight="false" outlineLevel="0" collapsed="false">
      <c r="A4325" s="203" t="s">
        <v>6794</v>
      </c>
    </row>
    <row r="4326" customFormat="false" ht="12" hidden="false" customHeight="false" outlineLevel="0" collapsed="false">
      <c r="A4326" s="203" t="s">
        <v>6795</v>
      </c>
    </row>
    <row r="4327" customFormat="false" ht="12" hidden="false" customHeight="false" outlineLevel="0" collapsed="false">
      <c r="A4327" s="203" t="s">
        <v>6796</v>
      </c>
    </row>
    <row r="4328" customFormat="false" ht="12" hidden="false" customHeight="false" outlineLevel="0" collapsed="false">
      <c r="A4328" s="203" t="s">
        <v>6797</v>
      </c>
    </row>
    <row r="4329" customFormat="false" ht="12" hidden="false" customHeight="false" outlineLevel="0" collapsed="false">
      <c r="A4329" s="203" t="s">
        <v>6798</v>
      </c>
    </row>
    <row r="4330" customFormat="false" ht="12" hidden="false" customHeight="false" outlineLevel="0" collapsed="false">
      <c r="A4330" s="203" t="s">
        <v>6799</v>
      </c>
    </row>
    <row r="4331" customFormat="false" ht="12" hidden="false" customHeight="false" outlineLevel="0" collapsed="false">
      <c r="A4331" s="203" t="s">
        <v>6800</v>
      </c>
    </row>
    <row r="4332" customFormat="false" ht="12" hidden="false" customHeight="false" outlineLevel="0" collapsed="false">
      <c r="A4332" s="203" t="s">
        <v>6801</v>
      </c>
    </row>
    <row r="4333" customFormat="false" ht="12" hidden="false" customHeight="false" outlineLevel="0" collapsed="false">
      <c r="A4333" s="203" t="s">
        <v>6802</v>
      </c>
    </row>
    <row r="4334" customFormat="false" ht="12" hidden="false" customHeight="false" outlineLevel="0" collapsed="false">
      <c r="A4334" s="203" t="s">
        <v>6803</v>
      </c>
    </row>
    <row r="4335" customFormat="false" ht="12" hidden="false" customHeight="false" outlineLevel="0" collapsed="false">
      <c r="A4335" s="203" t="s">
        <v>6804</v>
      </c>
    </row>
    <row r="4336" customFormat="false" ht="12" hidden="false" customHeight="false" outlineLevel="0" collapsed="false">
      <c r="A4336" s="203" t="s">
        <v>6805</v>
      </c>
    </row>
    <row r="4337" customFormat="false" ht="12" hidden="false" customHeight="false" outlineLevel="0" collapsed="false">
      <c r="A4337" s="203" t="s">
        <v>6806</v>
      </c>
    </row>
    <row r="4338" customFormat="false" ht="12" hidden="false" customHeight="false" outlineLevel="0" collapsed="false">
      <c r="A4338" s="203" t="s">
        <v>6807</v>
      </c>
    </row>
    <row r="4339" customFormat="false" ht="12" hidden="false" customHeight="false" outlineLevel="0" collapsed="false">
      <c r="A4339" s="203" t="s">
        <v>6808</v>
      </c>
    </row>
    <row r="4340" customFormat="false" ht="12" hidden="false" customHeight="false" outlineLevel="0" collapsed="false">
      <c r="A4340" s="203" t="s">
        <v>6809</v>
      </c>
    </row>
    <row r="4341" customFormat="false" ht="12" hidden="false" customHeight="false" outlineLevel="0" collapsed="false">
      <c r="A4341" s="203" t="s">
        <v>6810</v>
      </c>
    </row>
    <row r="4342" customFormat="false" ht="12" hidden="false" customHeight="false" outlineLevel="0" collapsed="false">
      <c r="A4342" s="203" t="s">
        <v>6811</v>
      </c>
    </row>
    <row r="4343" customFormat="false" ht="12" hidden="false" customHeight="false" outlineLevel="0" collapsed="false">
      <c r="A4343" s="203" t="s">
        <v>6812</v>
      </c>
    </row>
    <row r="4344" customFormat="false" ht="12" hidden="false" customHeight="false" outlineLevel="0" collapsed="false">
      <c r="A4344" s="203" t="s">
        <v>6813</v>
      </c>
    </row>
    <row r="4345" customFormat="false" ht="12" hidden="false" customHeight="false" outlineLevel="0" collapsed="false">
      <c r="A4345" s="203" t="s">
        <v>6814</v>
      </c>
    </row>
    <row r="4346" customFormat="false" ht="12" hidden="false" customHeight="false" outlineLevel="0" collapsed="false">
      <c r="A4346" s="203" t="s">
        <v>6815</v>
      </c>
    </row>
    <row r="4347" customFormat="false" ht="12" hidden="false" customHeight="false" outlineLevel="0" collapsed="false">
      <c r="A4347" s="203" t="s">
        <v>6816</v>
      </c>
    </row>
    <row r="4348" customFormat="false" ht="12" hidden="false" customHeight="false" outlineLevel="0" collapsed="false">
      <c r="A4348" s="203" t="s">
        <v>6817</v>
      </c>
    </row>
    <row r="4349" customFormat="false" ht="12" hidden="false" customHeight="false" outlineLevel="0" collapsed="false">
      <c r="A4349" s="203" t="s">
        <v>6818</v>
      </c>
    </row>
    <row r="4350" customFormat="false" ht="12" hidden="false" customHeight="false" outlineLevel="0" collapsed="false">
      <c r="A4350" s="203" t="s">
        <v>6819</v>
      </c>
    </row>
    <row r="4351" customFormat="false" ht="12" hidden="false" customHeight="false" outlineLevel="0" collapsed="false">
      <c r="A4351" s="203" t="s">
        <v>6820</v>
      </c>
    </row>
    <row r="4352" customFormat="false" ht="12" hidden="false" customHeight="false" outlineLevel="0" collapsed="false">
      <c r="A4352" s="203" t="s">
        <v>6821</v>
      </c>
    </row>
    <row r="4353" customFormat="false" ht="12" hidden="false" customHeight="false" outlineLevel="0" collapsed="false">
      <c r="A4353" s="203" t="s">
        <v>6822</v>
      </c>
    </row>
    <row r="4354" customFormat="false" ht="12" hidden="false" customHeight="false" outlineLevel="0" collapsed="false">
      <c r="A4354" s="203" t="s">
        <v>6823</v>
      </c>
    </row>
    <row r="4355" customFormat="false" ht="12" hidden="false" customHeight="false" outlineLevel="0" collapsed="false">
      <c r="A4355" s="203" t="s">
        <v>6824</v>
      </c>
    </row>
    <row r="4356" customFormat="false" ht="12" hidden="false" customHeight="false" outlineLevel="0" collapsed="false">
      <c r="A4356" s="203" t="s">
        <v>6825</v>
      </c>
    </row>
    <row r="4357" customFormat="false" ht="12" hidden="false" customHeight="false" outlineLevel="0" collapsed="false">
      <c r="A4357" s="203" t="s">
        <v>6826</v>
      </c>
    </row>
    <row r="4358" customFormat="false" ht="12" hidden="false" customHeight="false" outlineLevel="0" collapsed="false">
      <c r="A4358" s="203" t="s">
        <v>6827</v>
      </c>
    </row>
    <row r="4359" customFormat="false" ht="12" hidden="false" customHeight="false" outlineLevel="0" collapsed="false">
      <c r="A4359" s="203" t="s">
        <v>6828</v>
      </c>
    </row>
    <row r="4360" customFormat="false" ht="12" hidden="false" customHeight="false" outlineLevel="0" collapsed="false">
      <c r="A4360" s="203" t="s">
        <v>6829</v>
      </c>
    </row>
    <row r="4361" customFormat="false" ht="12" hidden="false" customHeight="false" outlineLevel="0" collapsed="false">
      <c r="A4361" s="203" t="s">
        <v>6830</v>
      </c>
    </row>
    <row r="4362" customFormat="false" ht="12" hidden="false" customHeight="false" outlineLevel="0" collapsed="false">
      <c r="A4362" s="203" t="s">
        <v>6831</v>
      </c>
    </row>
    <row r="4363" customFormat="false" ht="12" hidden="false" customHeight="false" outlineLevel="0" collapsed="false">
      <c r="A4363" s="203" t="s">
        <v>6832</v>
      </c>
    </row>
    <row r="4364" customFormat="false" ht="12" hidden="false" customHeight="false" outlineLevel="0" collapsed="false">
      <c r="A4364" s="203" t="s">
        <v>6833</v>
      </c>
    </row>
    <row r="4365" customFormat="false" ht="12" hidden="false" customHeight="false" outlineLevel="0" collapsed="false">
      <c r="A4365" s="203" t="s">
        <v>6834</v>
      </c>
    </row>
    <row r="4366" customFormat="false" ht="12" hidden="false" customHeight="false" outlineLevel="0" collapsed="false">
      <c r="A4366" s="203" t="s">
        <v>6835</v>
      </c>
    </row>
    <row r="4367" customFormat="false" ht="12" hidden="false" customHeight="false" outlineLevel="0" collapsed="false">
      <c r="A4367" s="203" t="s">
        <v>6836</v>
      </c>
    </row>
    <row r="4368" customFormat="false" ht="12" hidden="false" customHeight="false" outlineLevel="0" collapsed="false">
      <c r="A4368" s="203" t="s">
        <v>6837</v>
      </c>
    </row>
    <row r="4369" customFormat="false" ht="12" hidden="false" customHeight="false" outlineLevel="0" collapsed="false">
      <c r="A4369" s="203" t="s">
        <v>6838</v>
      </c>
    </row>
    <row r="4370" customFormat="false" ht="12" hidden="false" customHeight="false" outlineLevel="0" collapsed="false">
      <c r="A4370" s="203" t="s">
        <v>6839</v>
      </c>
    </row>
    <row r="4371" customFormat="false" ht="12" hidden="false" customHeight="false" outlineLevel="0" collapsed="false">
      <c r="A4371" s="203" t="s">
        <v>6840</v>
      </c>
    </row>
    <row r="4372" customFormat="false" ht="12" hidden="false" customHeight="false" outlineLevel="0" collapsed="false">
      <c r="A4372" s="203" t="s">
        <v>6841</v>
      </c>
    </row>
    <row r="4373" customFormat="false" ht="12" hidden="false" customHeight="false" outlineLevel="0" collapsed="false">
      <c r="A4373" s="203" t="s">
        <v>6842</v>
      </c>
    </row>
    <row r="4374" customFormat="false" ht="12" hidden="false" customHeight="false" outlineLevel="0" collapsed="false">
      <c r="A4374" s="203" t="s">
        <v>6843</v>
      </c>
    </row>
    <row r="4375" customFormat="false" ht="12" hidden="false" customHeight="false" outlineLevel="0" collapsed="false">
      <c r="A4375" s="203" t="s">
        <v>6844</v>
      </c>
    </row>
    <row r="4376" customFormat="false" ht="12" hidden="false" customHeight="false" outlineLevel="0" collapsed="false">
      <c r="A4376" s="203" t="s">
        <v>6845</v>
      </c>
    </row>
    <row r="4377" customFormat="false" ht="12" hidden="false" customHeight="false" outlineLevel="0" collapsed="false">
      <c r="A4377" s="203" t="s">
        <v>6846</v>
      </c>
    </row>
    <row r="4378" customFormat="false" ht="12" hidden="false" customHeight="false" outlineLevel="0" collapsed="false">
      <c r="A4378" s="203" t="s">
        <v>6847</v>
      </c>
    </row>
    <row r="4379" customFormat="false" ht="12" hidden="false" customHeight="false" outlineLevel="0" collapsed="false">
      <c r="A4379" s="203" t="s">
        <v>6848</v>
      </c>
    </row>
    <row r="4380" customFormat="false" ht="12" hidden="false" customHeight="false" outlineLevel="0" collapsed="false">
      <c r="A4380" s="203" t="s">
        <v>6849</v>
      </c>
    </row>
    <row r="4381" customFormat="false" ht="12" hidden="false" customHeight="false" outlineLevel="0" collapsed="false">
      <c r="A4381" s="203" t="s">
        <v>6850</v>
      </c>
    </row>
    <row r="4382" customFormat="false" ht="12" hidden="false" customHeight="false" outlineLevel="0" collapsed="false">
      <c r="A4382" s="203" t="s">
        <v>6851</v>
      </c>
    </row>
    <row r="4383" customFormat="false" ht="12" hidden="false" customHeight="false" outlineLevel="0" collapsed="false">
      <c r="A4383" s="203" t="s">
        <v>6852</v>
      </c>
    </row>
    <row r="4384" customFormat="false" ht="12" hidden="false" customHeight="false" outlineLevel="0" collapsed="false">
      <c r="A4384" s="203" t="s">
        <v>6853</v>
      </c>
    </row>
    <row r="4385" customFormat="false" ht="12" hidden="false" customHeight="false" outlineLevel="0" collapsed="false">
      <c r="A4385" s="203" t="s">
        <v>6854</v>
      </c>
    </row>
    <row r="4386" customFormat="false" ht="12" hidden="false" customHeight="false" outlineLevel="0" collapsed="false">
      <c r="A4386" s="203" t="s">
        <v>6855</v>
      </c>
    </row>
    <row r="4387" customFormat="false" ht="12" hidden="false" customHeight="false" outlineLevel="0" collapsed="false">
      <c r="A4387" s="203" t="s">
        <v>6856</v>
      </c>
    </row>
    <row r="4388" customFormat="false" ht="12" hidden="false" customHeight="false" outlineLevel="0" collapsed="false">
      <c r="A4388" s="203" t="s">
        <v>6857</v>
      </c>
    </row>
    <row r="4389" customFormat="false" ht="12" hidden="false" customHeight="false" outlineLevel="0" collapsed="false">
      <c r="A4389" s="203" t="s">
        <v>6858</v>
      </c>
    </row>
    <row r="4390" customFormat="false" ht="12" hidden="false" customHeight="false" outlineLevel="0" collapsed="false">
      <c r="A4390" s="203" t="s">
        <v>6859</v>
      </c>
    </row>
    <row r="4391" customFormat="false" ht="12" hidden="false" customHeight="false" outlineLevel="0" collapsed="false">
      <c r="A4391" s="203" t="s">
        <v>6860</v>
      </c>
    </row>
    <row r="4392" customFormat="false" ht="12" hidden="false" customHeight="false" outlineLevel="0" collapsed="false">
      <c r="A4392" s="203" t="s">
        <v>6861</v>
      </c>
    </row>
    <row r="4393" customFormat="false" ht="12" hidden="false" customHeight="false" outlineLevel="0" collapsed="false">
      <c r="A4393" s="203" t="s">
        <v>6862</v>
      </c>
    </row>
    <row r="4394" customFormat="false" ht="12" hidden="false" customHeight="false" outlineLevel="0" collapsed="false">
      <c r="A4394" s="203" t="s">
        <v>6863</v>
      </c>
    </row>
    <row r="4395" customFormat="false" ht="12" hidden="false" customHeight="false" outlineLevel="0" collapsed="false">
      <c r="A4395" s="203" t="s">
        <v>6864</v>
      </c>
    </row>
    <row r="4396" customFormat="false" ht="12" hidden="false" customHeight="false" outlineLevel="0" collapsed="false">
      <c r="A4396" s="203" t="s">
        <v>6865</v>
      </c>
    </row>
    <row r="4397" customFormat="false" ht="12" hidden="false" customHeight="false" outlineLevel="0" collapsed="false">
      <c r="A4397" s="203" t="s">
        <v>6866</v>
      </c>
    </row>
    <row r="4398" customFormat="false" ht="12" hidden="false" customHeight="false" outlineLevel="0" collapsed="false">
      <c r="A4398" s="203" t="s">
        <v>6867</v>
      </c>
    </row>
    <row r="4399" customFormat="false" ht="12" hidden="false" customHeight="false" outlineLevel="0" collapsed="false">
      <c r="A4399" s="203" t="s">
        <v>6868</v>
      </c>
    </row>
    <row r="4400" customFormat="false" ht="12" hidden="false" customHeight="false" outlineLevel="0" collapsed="false">
      <c r="A4400" s="203" t="s">
        <v>6869</v>
      </c>
    </row>
    <row r="4401" customFormat="false" ht="12" hidden="false" customHeight="false" outlineLevel="0" collapsed="false">
      <c r="A4401" s="203" t="s">
        <v>6870</v>
      </c>
    </row>
    <row r="4402" customFormat="false" ht="12" hidden="false" customHeight="false" outlineLevel="0" collapsed="false">
      <c r="A4402" s="203" t="s">
        <v>6871</v>
      </c>
    </row>
    <row r="4403" customFormat="false" ht="12" hidden="false" customHeight="false" outlineLevel="0" collapsed="false">
      <c r="A4403" s="203" t="s">
        <v>6872</v>
      </c>
    </row>
    <row r="4404" customFormat="false" ht="12" hidden="false" customHeight="false" outlineLevel="0" collapsed="false">
      <c r="A4404" s="203" t="s">
        <v>6873</v>
      </c>
    </row>
    <row r="4405" customFormat="false" ht="12" hidden="false" customHeight="false" outlineLevel="0" collapsed="false">
      <c r="A4405" s="203" t="s">
        <v>6874</v>
      </c>
    </row>
    <row r="4406" customFormat="false" ht="12" hidden="false" customHeight="false" outlineLevel="0" collapsed="false">
      <c r="A4406" s="203" t="s">
        <v>6875</v>
      </c>
    </row>
    <row r="4407" customFormat="false" ht="12" hidden="false" customHeight="false" outlineLevel="0" collapsed="false">
      <c r="A4407" s="203" t="s">
        <v>6876</v>
      </c>
    </row>
    <row r="4408" customFormat="false" ht="12" hidden="false" customHeight="false" outlineLevel="0" collapsed="false">
      <c r="A4408" s="203" t="s">
        <v>6877</v>
      </c>
    </row>
    <row r="4409" customFormat="false" ht="12" hidden="false" customHeight="false" outlineLevel="0" collapsed="false">
      <c r="A4409" s="203" t="s">
        <v>6878</v>
      </c>
    </row>
    <row r="4410" customFormat="false" ht="12" hidden="false" customHeight="false" outlineLevel="0" collapsed="false">
      <c r="A4410" s="203" t="s">
        <v>6879</v>
      </c>
    </row>
    <row r="4411" customFormat="false" ht="12" hidden="false" customHeight="false" outlineLevel="0" collapsed="false">
      <c r="A4411" s="203" t="s">
        <v>6880</v>
      </c>
    </row>
    <row r="4412" customFormat="false" ht="12" hidden="false" customHeight="false" outlineLevel="0" collapsed="false">
      <c r="A4412" s="203" t="s">
        <v>6881</v>
      </c>
    </row>
    <row r="4413" customFormat="false" ht="12" hidden="false" customHeight="false" outlineLevel="0" collapsed="false">
      <c r="A4413" s="203" t="s">
        <v>6882</v>
      </c>
    </row>
    <row r="4414" customFormat="false" ht="12" hidden="false" customHeight="false" outlineLevel="0" collapsed="false">
      <c r="A4414" s="203" t="s">
        <v>6883</v>
      </c>
    </row>
    <row r="4415" customFormat="false" ht="12" hidden="false" customHeight="false" outlineLevel="0" collapsed="false">
      <c r="A4415" s="203" t="s">
        <v>6884</v>
      </c>
    </row>
    <row r="4416" customFormat="false" ht="12" hidden="false" customHeight="false" outlineLevel="0" collapsed="false">
      <c r="A4416" s="203" t="s">
        <v>6885</v>
      </c>
    </row>
    <row r="4417" customFormat="false" ht="12" hidden="false" customHeight="false" outlineLevel="0" collapsed="false">
      <c r="A4417" s="203" t="s">
        <v>6886</v>
      </c>
    </row>
    <row r="4418" customFormat="false" ht="12" hidden="false" customHeight="false" outlineLevel="0" collapsed="false">
      <c r="A4418" s="203" t="s">
        <v>6887</v>
      </c>
    </row>
    <row r="4419" customFormat="false" ht="12" hidden="false" customHeight="false" outlineLevel="0" collapsed="false">
      <c r="A4419" s="203" t="s">
        <v>6888</v>
      </c>
    </row>
    <row r="4420" customFormat="false" ht="12" hidden="false" customHeight="false" outlineLevel="0" collapsed="false">
      <c r="A4420" s="203" t="s">
        <v>6889</v>
      </c>
    </row>
    <row r="4421" customFormat="false" ht="12" hidden="false" customHeight="false" outlineLevel="0" collapsed="false">
      <c r="A4421" s="203" t="s">
        <v>6890</v>
      </c>
    </row>
    <row r="4422" customFormat="false" ht="12" hidden="false" customHeight="false" outlineLevel="0" collapsed="false">
      <c r="A4422" s="203" t="s">
        <v>6891</v>
      </c>
    </row>
    <row r="4423" customFormat="false" ht="12" hidden="false" customHeight="false" outlineLevel="0" collapsed="false">
      <c r="A4423" s="203" t="s">
        <v>6892</v>
      </c>
    </row>
    <row r="4424" customFormat="false" ht="12" hidden="false" customHeight="false" outlineLevel="0" collapsed="false">
      <c r="A4424" s="203" t="s">
        <v>6893</v>
      </c>
    </row>
    <row r="4425" customFormat="false" ht="12" hidden="false" customHeight="false" outlineLevel="0" collapsed="false">
      <c r="A4425" s="203" t="s">
        <v>6894</v>
      </c>
    </row>
    <row r="4426" customFormat="false" ht="12" hidden="false" customHeight="false" outlineLevel="0" collapsed="false">
      <c r="A4426" s="203" t="s">
        <v>6895</v>
      </c>
    </row>
    <row r="4427" customFormat="false" ht="12" hidden="false" customHeight="false" outlineLevel="0" collapsed="false">
      <c r="A4427" s="203" t="s">
        <v>6896</v>
      </c>
    </row>
    <row r="4428" customFormat="false" ht="12" hidden="false" customHeight="false" outlineLevel="0" collapsed="false">
      <c r="A4428" s="203" t="s">
        <v>6897</v>
      </c>
    </row>
    <row r="4429" customFormat="false" ht="12" hidden="false" customHeight="false" outlineLevel="0" collapsed="false">
      <c r="A4429" s="203" t="s">
        <v>6898</v>
      </c>
    </row>
    <row r="4430" customFormat="false" ht="12" hidden="false" customHeight="false" outlineLevel="0" collapsed="false">
      <c r="A4430" s="203" t="s">
        <v>6899</v>
      </c>
    </row>
    <row r="4431" customFormat="false" ht="12" hidden="false" customHeight="false" outlineLevel="0" collapsed="false">
      <c r="A4431" s="203" t="s">
        <v>6900</v>
      </c>
    </row>
    <row r="4432" customFormat="false" ht="12" hidden="false" customHeight="false" outlineLevel="0" collapsed="false">
      <c r="A4432" s="203" t="s">
        <v>6901</v>
      </c>
    </row>
    <row r="4433" customFormat="false" ht="12" hidden="false" customHeight="false" outlineLevel="0" collapsed="false">
      <c r="A4433" s="203" t="s">
        <v>6902</v>
      </c>
    </row>
    <row r="4434" customFormat="false" ht="12" hidden="false" customHeight="false" outlineLevel="0" collapsed="false">
      <c r="A4434" s="203" t="s">
        <v>6903</v>
      </c>
    </row>
    <row r="4435" customFormat="false" ht="12" hidden="false" customHeight="false" outlineLevel="0" collapsed="false">
      <c r="A4435" s="203" t="s">
        <v>6904</v>
      </c>
    </row>
    <row r="4436" customFormat="false" ht="12" hidden="false" customHeight="false" outlineLevel="0" collapsed="false">
      <c r="A4436" s="203" t="s">
        <v>6905</v>
      </c>
    </row>
    <row r="4437" customFormat="false" ht="12" hidden="false" customHeight="false" outlineLevel="0" collapsed="false">
      <c r="A4437" s="203" t="s">
        <v>6906</v>
      </c>
    </row>
    <row r="4438" customFormat="false" ht="12" hidden="false" customHeight="false" outlineLevel="0" collapsed="false">
      <c r="A4438" s="203" t="s">
        <v>6907</v>
      </c>
    </row>
    <row r="4439" customFormat="false" ht="12" hidden="false" customHeight="false" outlineLevel="0" collapsed="false">
      <c r="A4439" s="203" t="s">
        <v>6908</v>
      </c>
    </row>
    <row r="4440" customFormat="false" ht="12" hidden="false" customHeight="false" outlineLevel="0" collapsed="false">
      <c r="A4440" s="203" t="s">
        <v>6909</v>
      </c>
    </row>
    <row r="4441" customFormat="false" ht="12" hidden="false" customHeight="false" outlineLevel="0" collapsed="false">
      <c r="A4441" s="203" t="s">
        <v>6910</v>
      </c>
    </row>
    <row r="4442" customFormat="false" ht="12" hidden="false" customHeight="false" outlineLevel="0" collapsed="false">
      <c r="A4442" s="203" t="s">
        <v>6911</v>
      </c>
    </row>
    <row r="4443" customFormat="false" ht="12" hidden="false" customHeight="false" outlineLevel="0" collapsed="false">
      <c r="A4443" s="203" t="s">
        <v>6912</v>
      </c>
    </row>
    <row r="4444" customFormat="false" ht="12" hidden="false" customHeight="false" outlineLevel="0" collapsed="false">
      <c r="A4444" s="203" t="s">
        <v>6913</v>
      </c>
    </row>
    <row r="4445" customFormat="false" ht="12" hidden="false" customHeight="false" outlineLevel="0" collapsed="false">
      <c r="A4445" s="203" t="s">
        <v>6914</v>
      </c>
    </row>
    <row r="4446" customFormat="false" ht="12" hidden="false" customHeight="false" outlineLevel="0" collapsed="false">
      <c r="A4446" s="203" t="s">
        <v>6915</v>
      </c>
    </row>
    <row r="4447" customFormat="false" ht="12" hidden="false" customHeight="false" outlineLevel="0" collapsed="false">
      <c r="A4447" s="203" t="s">
        <v>6916</v>
      </c>
    </row>
    <row r="4448" customFormat="false" ht="12" hidden="false" customHeight="false" outlineLevel="0" collapsed="false">
      <c r="A4448" s="203" t="s">
        <v>6917</v>
      </c>
    </row>
    <row r="4449" customFormat="false" ht="12" hidden="false" customHeight="false" outlineLevel="0" collapsed="false">
      <c r="A4449" s="203" t="s">
        <v>6918</v>
      </c>
    </row>
    <row r="4450" customFormat="false" ht="12" hidden="false" customHeight="false" outlineLevel="0" collapsed="false">
      <c r="A4450" s="203" t="s">
        <v>6919</v>
      </c>
    </row>
    <row r="4451" customFormat="false" ht="12" hidden="false" customHeight="false" outlineLevel="0" collapsed="false">
      <c r="A4451" s="203" t="s">
        <v>6920</v>
      </c>
    </row>
    <row r="4452" customFormat="false" ht="12" hidden="false" customHeight="false" outlineLevel="0" collapsed="false">
      <c r="A4452" s="203" t="s">
        <v>6921</v>
      </c>
    </row>
    <row r="4453" customFormat="false" ht="12" hidden="false" customHeight="false" outlineLevel="0" collapsed="false">
      <c r="A4453" s="203" t="s">
        <v>6922</v>
      </c>
    </row>
    <row r="4454" customFormat="false" ht="12" hidden="false" customHeight="false" outlineLevel="0" collapsed="false">
      <c r="A4454" s="203" t="s">
        <v>6923</v>
      </c>
    </row>
    <row r="4455" customFormat="false" ht="12" hidden="false" customHeight="false" outlineLevel="0" collapsed="false">
      <c r="A4455" s="203" t="s">
        <v>6924</v>
      </c>
    </row>
    <row r="4456" customFormat="false" ht="12" hidden="false" customHeight="false" outlineLevel="0" collapsed="false">
      <c r="A4456" s="203" t="s">
        <v>6925</v>
      </c>
    </row>
    <row r="4457" customFormat="false" ht="12" hidden="false" customHeight="false" outlineLevel="0" collapsed="false">
      <c r="A4457" s="203" t="s">
        <v>6926</v>
      </c>
    </row>
    <row r="4458" customFormat="false" ht="12" hidden="false" customHeight="false" outlineLevel="0" collapsed="false">
      <c r="A4458" s="203" t="s">
        <v>6927</v>
      </c>
    </row>
    <row r="4459" customFormat="false" ht="12" hidden="false" customHeight="false" outlineLevel="0" collapsed="false">
      <c r="A4459" s="203" t="s">
        <v>6928</v>
      </c>
    </row>
    <row r="4460" customFormat="false" ht="12" hidden="false" customHeight="false" outlineLevel="0" collapsed="false">
      <c r="A4460" s="203" t="s">
        <v>6929</v>
      </c>
    </row>
    <row r="4461" customFormat="false" ht="12" hidden="false" customHeight="false" outlineLevel="0" collapsed="false">
      <c r="A4461" s="203" t="s">
        <v>6930</v>
      </c>
    </row>
    <row r="4462" customFormat="false" ht="12" hidden="false" customHeight="false" outlineLevel="0" collapsed="false">
      <c r="A4462" s="203" t="s">
        <v>6931</v>
      </c>
    </row>
    <row r="4463" customFormat="false" ht="12" hidden="false" customHeight="false" outlineLevel="0" collapsed="false">
      <c r="A4463" s="203" t="s">
        <v>6932</v>
      </c>
    </row>
    <row r="4464" customFormat="false" ht="12" hidden="false" customHeight="false" outlineLevel="0" collapsed="false">
      <c r="A4464" s="203" t="s">
        <v>6933</v>
      </c>
    </row>
    <row r="4465" customFormat="false" ht="12" hidden="false" customHeight="false" outlineLevel="0" collapsed="false">
      <c r="A4465" s="203" t="s">
        <v>6934</v>
      </c>
    </row>
    <row r="4466" customFormat="false" ht="12" hidden="false" customHeight="false" outlineLevel="0" collapsed="false">
      <c r="A4466" s="203" t="s">
        <v>6935</v>
      </c>
    </row>
    <row r="4467" customFormat="false" ht="12" hidden="false" customHeight="false" outlineLevel="0" collapsed="false">
      <c r="A4467" s="203" t="s">
        <v>6936</v>
      </c>
    </row>
    <row r="4468" customFormat="false" ht="12" hidden="false" customHeight="false" outlineLevel="0" collapsed="false">
      <c r="A4468" s="203" t="s">
        <v>6937</v>
      </c>
    </row>
    <row r="4469" customFormat="false" ht="12" hidden="false" customHeight="false" outlineLevel="0" collapsed="false">
      <c r="A4469" s="203" t="s">
        <v>6938</v>
      </c>
    </row>
    <row r="4470" customFormat="false" ht="12" hidden="false" customHeight="false" outlineLevel="0" collapsed="false">
      <c r="A4470" s="203" t="s">
        <v>6939</v>
      </c>
    </row>
    <row r="4471" customFormat="false" ht="12" hidden="false" customHeight="false" outlineLevel="0" collapsed="false">
      <c r="A4471" s="203" t="s">
        <v>6940</v>
      </c>
    </row>
    <row r="4472" customFormat="false" ht="12" hidden="false" customHeight="false" outlineLevel="0" collapsed="false">
      <c r="A4472" s="203" t="s">
        <v>6941</v>
      </c>
    </row>
    <row r="4473" customFormat="false" ht="12" hidden="false" customHeight="false" outlineLevel="0" collapsed="false">
      <c r="A4473" s="203" t="s">
        <v>6942</v>
      </c>
    </row>
    <row r="4474" customFormat="false" ht="12" hidden="false" customHeight="false" outlineLevel="0" collapsed="false">
      <c r="A4474" s="203" t="s">
        <v>6943</v>
      </c>
    </row>
    <row r="4475" customFormat="false" ht="12" hidden="false" customHeight="false" outlineLevel="0" collapsed="false">
      <c r="A4475" s="203" t="s">
        <v>6944</v>
      </c>
    </row>
    <row r="4476" customFormat="false" ht="12" hidden="false" customHeight="false" outlineLevel="0" collapsed="false">
      <c r="A4476" s="203" t="s">
        <v>6945</v>
      </c>
    </row>
    <row r="4477" customFormat="false" ht="12" hidden="false" customHeight="false" outlineLevel="0" collapsed="false">
      <c r="A4477" s="203" t="s">
        <v>6946</v>
      </c>
    </row>
    <row r="4478" customFormat="false" ht="12" hidden="false" customHeight="false" outlineLevel="0" collapsed="false">
      <c r="A4478" s="203" t="s">
        <v>6947</v>
      </c>
    </row>
    <row r="4479" customFormat="false" ht="12" hidden="false" customHeight="false" outlineLevel="0" collapsed="false">
      <c r="A4479" s="203" t="s">
        <v>6948</v>
      </c>
    </row>
    <row r="4480" customFormat="false" ht="12" hidden="false" customHeight="false" outlineLevel="0" collapsed="false">
      <c r="A4480" s="203" t="s">
        <v>6949</v>
      </c>
    </row>
    <row r="4481" customFormat="false" ht="12" hidden="false" customHeight="false" outlineLevel="0" collapsed="false">
      <c r="A4481" s="203" t="s">
        <v>6950</v>
      </c>
    </row>
    <row r="4482" customFormat="false" ht="12" hidden="false" customHeight="false" outlineLevel="0" collapsed="false">
      <c r="A4482" s="203" t="s">
        <v>6951</v>
      </c>
    </row>
    <row r="4483" customFormat="false" ht="12" hidden="false" customHeight="false" outlineLevel="0" collapsed="false">
      <c r="A4483" s="203" t="s">
        <v>6952</v>
      </c>
    </row>
    <row r="4484" customFormat="false" ht="12" hidden="false" customHeight="false" outlineLevel="0" collapsed="false">
      <c r="A4484" s="203" t="s">
        <v>6953</v>
      </c>
    </row>
    <row r="4485" customFormat="false" ht="12" hidden="false" customHeight="false" outlineLevel="0" collapsed="false">
      <c r="A4485" s="203" t="s">
        <v>6954</v>
      </c>
    </row>
    <row r="4486" customFormat="false" ht="12" hidden="false" customHeight="false" outlineLevel="0" collapsed="false">
      <c r="A4486" s="203" t="s">
        <v>6955</v>
      </c>
    </row>
    <row r="4487" customFormat="false" ht="12" hidden="false" customHeight="false" outlineLevel="0" collapsed="false">
      <c r="A4487" s="203" t="s">
        <v>6956</v>
      </c>
    </row>
    <row r="4488" customFormat="false" ht="12" hidden="false" customHeight="false" outlineLevel="0" collapsed="false">
      <c r="A4488" s="203" t="s">
        <v>6957</v>
      </c>
    </row>
    <row r="4489" customFormat="false" ht="12" hidden="false" customHeight="false" outlineLevel="0" collapsed="false">
      <c r="A4489" s="203" t="s">
        <v>6958</v>
      </c>
    </row>
    <row r="4490" customFormat="false" ht="12" hidden="false" customHeight="false" outlineLevel="0" collapsed="false">
      <c r="A4490" s="203" t="s">
        <v>6959</v>
      </c>
    </row>
    <row r="4491" customFormat="false" ht="12" hidden="false" customHeight="false" outlineLevel="0" collapsed="false">
      <c r="A4491" s="203" t="s">
        <v>6960</v>
      </c>
    </row>
    <row r="4492" customFormat="false" ht="12" hidden="false" customHeight="false" outlineLevel="0" collapsed="false">
      <c r="A4492" s="203" t="s">
        <v>6961</v>
      </c>
    </row>
    <row r="4493" customFormat="false" ht="12" hidden="false" customHeight="false" outlineLevel="0" collapsed="false">
      <c r="A4493" s="203" t="s">
        <v>6962</v>
      </c>
    </row>
    <row r="4494" customFormat="false" ht="12" hidden="false" customHeight="false" outlineLevel="0" collapsed="false">
      <c r="A4494" s="203" t="s">
        <v>6963</v>
      </c>
    </row>
    <row r="4495" customFormat="false" ht="12" hidden="false" customHeight="false" outlineLevel="0" collapsed="false">
      <c r="A4495" s="203" t="s">
        <v>6964</v>
      </c>
    </row>
    <row r="4496" customFormat="false" ht="12" hidden="false" customHeight="false" outlineLevel="0" collapsed="false">
      <c r="A4496" s="203" t="s">
        <v>6965</v>
      </c>
    </row>
    <row r="4497" customFormat="false" ht="12" hidden="false" customHeight="false" outlineLevel="0" collapsed="false">
      <c r="A4497" s="203" t="s">
        <v>6966</v>
      </c>
    </row>
    <row r="4498" customFormat="false" ht="12" hidden="false" customHeight="false" outlineLevel="0" collapsed="false">
      <c r="A4498" s="203" t="s">
        <v>6967</v>
      </c>
    </row>
    <row r="4499" customFormat="false" ht="12" hidden="false" customHeight="false" outlineLevel="0" collapsed="false">
      <c r="A4499" s="203" t="s">
        <v>6968</v>
      </c>
    </row>
    <row r="4500" customFormat="false" ht="12" hidden="false" customHeight="false" outlineLevel="0" collapsed="false">
      <c r="A4500" s="203" t="s">
        <v>6969</v>
      </c>
    </row>
    <row r="4501" customFormat="false" ht="12" hidden="false" customHeight="false" outlineLevel="0" collapsed="false">
      <c r="A4501" s="203" t="s">
        <v>6970</v>
      </c>
    </row>
    <row r="4502" customFormat="false" ht="12" hidden="false" customHeight="false" outlineLevel="0" collapsed="false">
      <c r="A4502" s="203" t="s">
        <v>6971</v>
      </c>
    </row>
    <row r="4503" customFormat="false" ht="12" hidden="false" customHeight="false" outlineLevel="0" collapsed="false">
      <c r="A4503" s="203" t="s">
        <v>6972</v>
      </c>
    </row>
    <row r="4504" customFormat="false" ht="12" hidden="false" customHeight="false" outlineLevel="0" collapsed="false">
      <c r="A4504" s="203" t="s">
        <v>6973</v>
      </c>
    </row>
    <row r="4505" customFormat="false" ht="12" hidden="false" customHeight="false" outlineLevel="0" collapsed="false">
      <c r="A4505" s="203" t="s">
        <v>6974</v>
      </c>
    </row>
    <row r="4506" customFormat="false" ht="12" hidden="false" customHeight="false" outlineLevel="0" collapsed="false">
      <c r="A4506" s="203" t="s">
        <v>6975</v>
      </c>
    </row>
    <row r="4507" customFormat="false" ht="12" hidden="false" customHeight="false" outlineLevel="0" collapsed="false">
      <c r="A4507" s="203" t="s">
        <v>6976</v>
      </c>
    </row>
    <row r="4508" customFormat="false" ht="12" hidden="false" customHeight="false" outlineLevel="0" collapsed="false">
      <c r="A4508" s="203" t="s">
        <v>6977</v>
      </c>
    </row>
    <row r="4509" customFormat="false" ht="12" hidden="false" customHeight="false" outlineLevel="0" collapsed="false">
      <c r="A4509" s="203" t="s">
        <v>6978</v>
      </c>
    </row>
    <row r="4510" customFormat="false" ht="12" hidden="false" customHeight="false" outlineLevel="0" collapsed="false">
      <c r="A4510" s="203" t="s">
        <v>6979</v>
      </c>
    </row>
    <row r="4511" customFormat="false" ht="12" hidden="false" customHeight="false" outlineLevel="0" collapsed="false">
      <c r="A4511" s="203" t="s">
        <v>6980</v>
      </c>
    </row>
    <row r="4512" customFormat="false" ht="12" hidden="false" customHeight="false" outlineLevel="0" collapsed="false">
      <c r="A4512" s="203" t="s">
        <v>6981</v>
      </c>
    </row>
    <row r="4513" customFormat="false" ht="12" hidden="false" customHeight="false" outlineLevel="0" collapsed="false">
      <c r="A4513" s="203" t="s">
        <v>6982</v>
      </c>
    </row>
    <row r="4514" customFormat="false" ht="12" hidden="false" customHeight="false" outlineLevel="0" collapsed="false">
      <c r="A4514" s="203" t="s">
        <v>6983</v>
      </c>
    </row>
    <row r="4515" customFormat="false" ht="12" hidden="false" customHeight="false" outlineLevel="0" collapsed="false">
      <c r="A4515" s="203" t="s">
        <v>6984</v>
      </c>
    </row>
    <row r="4516" customFormat="false" ht="12" hidden="false" customHeight="false" outlineLevel="0" collapsed="false">
      <c r="A4516" s="203" t="s">
        <v>6985</v>
      </c>
    </row>
    <row r="4517" customFormat="false" ht="12" hidden="false" customHeight="false" outlineLevel="0" collapsed="false">
      <c r="A4517" s="203" t="s">
        <v>6986</v>
      </c>
    </row>
    <row r="4518" customFormat="false" ht="12" hidden="false" customHeight="false" outlineLevel="0" collapsed="false">
      <c r="A4518" s="203" t="s">
        <v>6987</v>
      </c>
    </row>
    <row r="4519" customFormat="false" ht="12" hidden="false" customHeight="false" outlineLevel="0" collapsed="false">
      <c r="A4519" s="203" t="s">
        <v>6988</v>
      </c>
    </row>
    <row r="4520" customFormat="false" ht="12" hidden="false" customHeight="false" outlineLevel="0" collapsed="false">
      <c r="A4520" s="203" t="s">
        <v>6989</v>
      </c>
    </row>
    <row r="4521" customFormat="false" ht="12" hidden="false" customHeight="false" outlineLevel="0" collapsed="false">
      <c r="A4521" s="203" t="s">
        <v>6990</v>
      </c>
    </row>
    <row r="4522" customFormat="false" ht="12" hidden="false" customHeight="false" outlineLevel="0" collapsed="false">
      <c r="A4522" s="203" t="s">
        <v>6991</v>
      </c>
    </row>
    <row r="4523" customFormat="false" ht="12" hidden="false" customHeight="false" outlineLevel="0" collapsed="false">
      <c r="A4523" s="203" t="s">
        <v>6992</v>
      </c>
    </row>
    <row r="4524" customFormat="false" ht="12" hidden="false" customHeight="false" outlineLevel="0" collapsed="false">
      <c r="A4524" s="203" t="s">
        <v>6993</v>
      </c>
    </row>
    <row r="4525" customFormat="false" ht="12" hidden="false" customHeight="false" outlineLevel="0" collapsed="false">
      <c r="A4525" s="203" t="s">
        <v>6994</v>
      </c>
    </row>
    <row r="4526" customFormat="false" ht="12" hidden="false" customHeight="false" outlineLevel="0" collapsed="false">
      <c r="A4526" s="203" t="s">
        <v>6995</v>
      </c>
    </row>
    <row r="4527" customFormat="false" ht="12" hidden="false" customHeight="false" outlineLevel="0" collapsed="false">
      <c r="A4527" s="203" t="s">
        <v>6996</v>
      </c>
    </row>
    <row r="4528" customFormat="false" ht="12" hidden="false" customHeight="false" outlineLevel="0" collapsed="false">
      <c r="A4528" s="203" t="s">
        <v>6997</v>
      </c>
    </row>
    <row r="4529" customFormat="false" ht="12" hidden="false" customHeight="false" outlineLevel="0" collapsed="false">
      <c r="A4529" s="203" t="s">
        <v>6998</v>
      </c>
    </row>
    <row r="4530" customFormat="false" ht="12" hidden="false" customHeight="false" outlineLevel="0" collapsed="false">
      <c r="A4530" s="203" t="s">
        <v>6999</v>
      </c>
    </row>
    <row r="4531" customFormat="false" ht="12" hidden="false" customHeight="false" outlineLevel="0" collapsed="false">
      <c r="A4531" s="203" t="s">
        <v>7000</v>
      </c>
    </row>
    <row r="4532" customFormat="false" ht="12" hidden="false" customHeight="false" outlineLevel="0" collapsed="false">
      <c r="A4532" s="203" t="s">
        <v>7001</v>
      </c>
    </row>
    <row r="4533" customFormat="false" ht="12" hidden="false" customHeight="false" outlineLevel="0" collapsed="false">
      <c r="A4533" s="203" t="s">
        <v>7002</v>
      </c>
    </row>
    <row r="4534" customFormat="false" ht="12" hidden="false" customHeight="false" outlineLevel="0" collapsed="false">
      <c r="A4534" s="203" t="s">
        <v>7003</v>
      </c>
    </row>
    <row r="4535" customFormat="false" ht="12" hidden="false" customHeight="false" outlineLevel="0" collapsed="false">
      <c r="A4535" s="203" t="s">
        <v>7004</v>
      </c>
    </row>
    <row r="4536" customFormat="false" ht="12" hidden="false" customHeight="false" outlineLevel="0" collapsed="false">
      <c r="A4536" s="203" t="s">
        <v>7005</v>
      </c>
    </row>
    <row r="4537" customFormat="false" ht="12" hidden="false" customHeight="false" outlineLevel="0" collapsed="false">
      <c r="A4537" s="203" t="s">
        <v>7006</v>
      </c>
    </row>
    <row r="4538" customFormat="false" ht="12" hidden="false" customHeight="false" outlineLevel="0" collapsed="false">
      <c r="A4538" s="203" t="s">
        <v>7007</v>
      </c>
    </row>
    <row r="4539" customFormat="false" ht="12" hidden="false" customHeight="false" outlineLevel="0" collapsed="false">
      <c r="A4539" s="203" t="s">
        <v>7008</v>
      </c>
    </row>
    <row r="4540" customFormat="false" ht="12" hidden="false" customHeight="false" outlineLevel="0" collapsed="false">
      <c r="A4540" s="203" t="s">
        <v>7009</v>
      </c>
    </row>
    <row r="4541" customFormat="false" ht="12" hidden="false" customHeight="false" outlineLevel="0" collapsed="false">
      <c r="A4541" s="203" t="s">
        <v>7010</v>
      </c>
    </row>
    <row r="4542" customFormat="false" ht="12" hidden="false" customHeight="false" outlineLevel="0" collapsed="false">
      <c r="A4542" s="203" t="s">
        <v>7011</v>
      </c>
    </row>
    <row r="4543" customFormat="false" ht="12" hidden="false" customHeight="false" outlineLevel="0" collapsed="false">
      <c r="A4543" s="203" t="s">
        <v>7012</v>
      </c>
    </row>
    <row r="4544" customFormat="false" ht="12" hidden="false" customHeight="false" outlineLevel="0" collapsed="false">
      <c r="A4544" s="203" t="s">
        <v>7013</v>
      </c>
    </row>
    <row r="4545" customFormat="false" ht="12" hidden="false" customHeight="false" outlineLevel="0" collapsed="false">
      <c r="A4545" s="203" t="s">
        <v>7014</v>
      </c>
    </row>
    <row r="4546" customFormat="false" ht="12" hidden="false" customHeight="false" outlineLevel="0" collapsed="false">
      <c r="A4546" s="203" t="s">
        <v>7015</v>
      </c>
    </row>
    <row r="4547" customFormat="false" ht="12" hidden="false" customHeight="false" outlineLevel="0" collapsed="false">
      <c r="A4547" s="203" t="s">
        <v>7016</v>
      </c>
    </row>
    <row r="4548" customFormat="false" ht="12" hidden="false" customHeight="false" outlineLevel="0" collapsed="false">
      <c r="A4548" s="203" t="s">
        <v>7017</v>
      </c>
    </row>
    <row r="4549" customFormat="false" ht="12" hidden="false" customHeight="false" outlineLevel="0" collapsed="false">
      <c r="A4549" s="203" t="s">
        <v>7018</v>
      </c>
    </row>
    <row r="4550" customFormat="false" ht="12" hidden="false" customHeight="false" outlineLevel="0" collapsed="false">
      <c r="A4550" s="203" t="s">
        <v>7019</v>
      </c>
    </row>
    <row r="4551" customFormat="false" ht="12" hidden="false" customHeight="false" outlineLevel="0" collapsed="false">
      <c r="A4551" s="203" t="s">
        <v>7020</v>
      </c>
    </row>
    <row r="4552" customFormat="false" ht="12" hidden="false" customHeight="false" outlineLevel="0" collapsed="false">
      <c r="A4552" s="203" t="s">
        <v>7021</v>
      </c>
    </row>
    <row r="4553" customFormat="false" ht="12" hidden="false" customHeight="false" outlineLevel="0" collapsed="false">
      <c r="A4553" s="203" t="s">
        <v>7022</v>
      </c>
    </row>
    <row r="4554" customFormat="false" ht="12" hidden="false" customHeight="false" outlineLevel="0" collapsed="false">
      <c r="A4554" s="203" t="s">
        <v>7023</v>
      </c>
    </row>
    <row r="4555" customFormat="false" ht="12" hidden="false" customHeight="false" outlineLevel="0" collapsed="false">
      <c r="A4555" s="203" t="s">
        <v>7024</v>
      </c>
    </row>
    <row r="4556" customFormat="false" ht="12" hidden="false" customHeight="false" outlineLevel="0" collapsed="false">
      <c r="A4556" s="203" t="s">
        <v>7025</v>
      </c>
    </row>
    <row r="4557" customFormat="false" ht="12" hidden="false" customHeight="false" outlineLevel="0" collapsed="false">
      <c r="A4557" s="203" t="s">
        <v>7026</v>
      </c>
    </row>
    <row r="4558" customFormat="false" ht="12" hidden="false" customHeight="false" outlineLevel="0" collapsed="false">
      <c r="A4558" s="203" t="s">
        <v>7027</v>
      </c>
    </row>
    <row r="4559" customFormat="false" ht="12" hidden="false" customHeight="false" outlineLevel="0" collapsed="false">
      <c r="A4559" s="203" t="s">
        <v>7028</v>
      </c>
    </row>
    <row r="4560" customFormat="false" ht="12" hidden="false" customHeight="false" outlineLevel="0" collapsed="false">
      <c r="A4560" s="203" t="s">
        <v>7029</v>
      </c>
    </row>
    <row r="4561" customFormat="false" ht="12" hidden="false" customHeight="false" outlineLevel="0" collapsed="false">
      <c r="A4561" s="203" t="s">
        <v>7030</v>
      </c>
    </row>
    <row r="4562" customFormat="false" ht="12" hidden="false" customHeight="false" outlineLevel="0" collapsed="false">
      <c r="A4562" s="203" t="s">
        <v>7031</v>
      </c>
    </row>
    <row r="4563" customFormat="false" ht="12" hidden="false" customHeight="false" outlineLevel="0" collapsed="false">
      <c r="A4563" s="203" t="s">
        <v>7032</v>
      </c>
    </row>
    <row r="4564" customFormat="false" ht="12" hidden="false" customHeight="false" outlineLevel="0" collapsed="false">
      <c r="A4564" s="203" t="s">
        <v>7033</v>
      </c>
    </row>
    <row r="4565" customFormat="false" ht="12" hidden="false" customHeight="false" outlineLevel="0" collapsed="false">
      <c r="A4565" s="203" t="s">
        <v>7034</v>
      </c>
    </row>
    <row r="4566" customFormat="false" ht="12" hidden="false" customHeight="false" outlineLevel="0" collapsed="false">
      <c r="A4566" s="203" t="s">
        <v>7035</v>
      </c>
    </row>
    <row r="4567" customFormat="false" ht="12" hidden="false" customHeight="false" outlineLevel="0" collapsed="false">
      <c r="A4567" s="203" t="s">
        <v>7036</v>
      </c>
    </row>
    <row r="4568" customFormat="false" ht="12" hidden="false" customHeight="false" outlineLevel="0" collapsed="false">
      <c r="A4568" s="203" t="s">
        <v>7037</v>
      </c>
    </row>
    <row r="4569" customFormat="false" ht="12" hidden="false" customHeight="false" outlineLevel="0" collapsed="false">
      <c r="A4569" s="203" t="s">
        <v>7038</v>
      </c>
    </row>
    <row r="4570" customFormat="false" ht="12" hidden="false" customHeight="false" outlineLevel="0" collapsed="false">
      <c r="A4570" s="203" t="s">
        <v>7039</v>
      </c>
    </row>
    <row r="4571" customFormat="false" ht="12" hidden="false" customHeight="false" outlineLevel="0" collapsed="false">
      <c r="A4571" s="203" t="s">
        <v>7040</v>
      </c>
    </row>
    <row r="4572" customFormat="false" ht="12" hidden="false" customHeight="false" outlineLevel="0" collapsed="false">
      <c r="A4572" s="203" t="s">
        <v>7041</v>
      </c>
    </row>
    <row r="4573" customFormat="false" ht="12" hidden="false" customHeight="false" outlineLevel="0" collapsed="false">
      <c r="A4573" s="203" t="s">
        <v>7042</v>
      </c>
    </row>
    <row r="4574" customFormat="false" ht="12" hidden="false" customHeight="false" outlineLevel="0" collapsed="false">
      <c r="A4574" s="203" t="s">
        <v>7043</v>
      </c>
    </row>
    <row r="4575" customFormat="false" ht="12" hidden="false" customHeight="false" outlineLevel="0" collapsed="false">
      <c r="A4575" s="203" t="s">
        <v>7044</v>
      </c>
    </row>
    <row r="4576" customFormat="false" ht="12" hidden="false" customHeight="false" outlineLevel="0" collapsed="false">
      <c r="A4576" s="203" t="s">
        <v>7045</v>
      </c>
    </row>
    <row r="4577" customFormat="false" ht="12" hidden="false" customHeight="false" outlineLevel="0" collapsed="false">
      <c r="A4577" s="203" t="s">
        <v>7046</v>
      </c>
    </row>
    <row r="4578" customFormat="false" ht="12" hidden="false" customHeight="false" outlineLevel="0" collapsed="false">
      <c r="A4578" s="203" t="s">
        <v>7047</v>
      </c>
    </row>
    <row r="4579" customFormat="false" ht="12" hidden="false" customHeight="false" outlineLevel="0" collapsed="false">
      <c r="A4579" s="203" t="s">
        <v>7048</v>
      </c>
    </row>
    <row r="4580" customFormat="false" ht="12" hidden="false" customHeight="false" outlineLevel="0" collapsed="false">
      <c r="A4580" s="203" t="s">
        <v>7049</v>
      </c>
    </row>
    <row r="4581" customFormat="false" ht="12" hidden="false" customHeight="false" outlineLevel="0" collapsed="false">
      <c r="A4581" s="203" t="s">
        <v>7050</v>
      </c>
    </row>
    <row r="4582" customFormat="false" ht="12" hidden="false" customHeight="false" outlineLevel="0" collapsed="false">
      <c r="A4582" s="203" t="s">
        <v>7051</v>
      </c>
    </row>
    <row r="4583" customFormat="false" ht="12" hidden="false" customHeight="false" outlineLevel="0" collapsed="false">
      <c r="A4583" s="203" t="s">
        <v>7052</v>
      </c>
    </row>
    <row r="4584" customFormat="false" ht="12" hidden="false" customHeight="false" outlineLevel="0" collapsed="false">
      <c r="A4584" s="203" t="s">
        <v>7053</v>
      </c>
    </row>
    <row r="4585" customFormat="false" ht="12" hidden="false" customHeight="false" outlineLevel="0" collapsed="false">
      <c r="A4585" s="203" t="s">
        <v>7054</v>
      </c>
    </row>
    <row r="4586" customFormat="false" ht="12" hidden="false" customHeight="false" outlineLevel="0" collapsed="false">
      <c r="A4586" s="203" t="s">
        <v>7055</v>
      </c>
    </row>
    <row r="4587" customFormat="false" ht="12" hidden="false" customHeight="false" outlineLevel="0" collapsed="false">
      <c r="A4587" s="203" t="s">
        <v>7056</v>
      </c>
    </row>
    <row r="4588" customFormat="false" ht="12" hidden="false" customHeight="false" outlineLevel="0" collapsed="false">
      <c r="A4588" s="203" t="s">
        <v>7057</v>
      </c>
    </row>
    <row r="4589" customFormat="false" ht="12" hidden="false" customHeight="false" outlineLevel="0" collapsed="false">
      <c r="A4589" s="203" t="s">
        <v>7058</v>
      </c>
    </row>
    <row r="4590" customFormat="false" ht="12" hidden="false" customHeight="false" outlineLevel="0" collapsed="false">
      <c r="A4590" s="203" t="s">
        <v>7059</v>
      </c>
    </row>
    <row r="4591" customFormat="false" ht="12" hidden="false" customHeight="false" outlineLevel="0" collapsed="false">
      <c r="A4591" s="203" t="s">
        <v>7060</v>
      </c>
    </row>
    <row r="4592" customFormat="false" ht="12" hidden="false" customHeight="false" outlineLevel="0" collapsed="false">
      <c r="A4592" s="203" t="s">
        <v>7061</v>
      </c>
    </row>
    <row r="4593" customFormat="false" ht="12" hidden="false" customHeight="false" outlineLevel="0" collapsed="false">
      <c r="A4593" s="203" t="s">
        <v>7062</v>
      </c>
    </row>
    <row r="4594" customFormat="false" ht="12" hidden="false" customHeight="false" outlineLevel="0" collapsed="false">
      <c r="A4594" s="203" t="s">
        <v>7063</v>
      </c>
    </row>
    <row r="4595" customFormat="false" ht="12" hidden="false" customHeight="false" outlineLevel="0" collapsed="false">
      <c r="A4595" s="203" t="s">
        <v>7064</v>
      </c>
    </row>
    <row r="4596" customFormat="false" ht="12" hidden="false" customHeight="false" outlineLevel="0" collapsed="false">
      <c r="A4596" s="203" t="s">
        <v>7065</v>
      </c>
    </row>
    <row r="4597" customFormat="false" ht="12" hidden="false" customHeight="false" outlineLevel="0" collapsed="false">
      <c r="A4597" s="203" t="s">
        <v>7066</v>
      </c>
    </row>
    <row r="4598" customFormat="false" ht="12" hidden="false" customHeight="false" outlineLevel="0" collapsed="false">
      <c r="A4598" s="203" t="s">
        <v>7067</v>
      </c>
    </row>
    <row r="4599" customFormat="false" ht="12" hidden="false" customHeight="false" outlineLevel="0" collapsed="false">
      <c r="A4599" s="203" t="s">
        <v>7068</v>
      </c>
    </row>
    <row r="4600" customFormat="false" ht="12" hidden="false" customHeight="false" outlineLevel="0" collapsed="false">
      <c r="A4600" s="203" t="s">
        <v>7069</v>
      </c>
    </row>
    <row r="4601" customFormat="false" ht="12" hidden="false" customHeight="false" outlineLevel="0" collapsed="false">
      <c r="A4601" s="203" t="s">
        <v>7070</v>
      </c>
    </row>
    <row r="4602" customFormat="false" ht="12" hidden="false" customHeight="false" outlineLevel="0" collapsed="false">
      <c r="A4602" s="203" t="s">
        <v>7071</v>
      </c>
    </row>
    <row r="4603" customFormat="false" ht="12" hidden="false" customHeight="false" outlineLevel="0" collapsed="false">
      <c r="A4603" s="203" t="s">
        <v>7072</v>
      </c>
    </row>
    <row r="4604" customFormat="false" ht="12" hidden="false" customHeight="false" outlineLevel="0" collapsed="false">
      <c r="A4604" s="203" t="s">
        <v>7073</v>
      </c>
    </row>
    <row r="4605" customFormat="false" ht="12" hidden="false" customHeight="false" outlineLevel="0" collapsed="false">
      <c r="A4605" s="203" t="s">
        <v>7074</v>
      </c>
    </row>
    <row r="4606" customFormat="false" ht="12" hidden="false" customHeight="false" outlineLevel="0" collapsed="false">
      <c r="A4606" s="203" t="s">
        <v>7075</v>
      </c>
    </row>
    <row r="4607" customFormat="false" ht="12" hidden="false" customHeight="false" outlineLevel="0" collapsed="false">
      <c r="A4607" s="203" t="s">
        <v>7076</v>
      </c>
    </row>
    <row r="4608" customFormat="false" ht="12" hidden="false" customHeight="false" outlineLevel="0" collapsed="false">
      <c r="A4608" s="203" t="s">
        <v>7077</v>
      </c>
    </row>
    <row r="4609" customFormat="false" ht="12" hidden="false" customHeight="false" outlineLevel="0" collapsed="false">
      <c r="A4609" s="203" t="s">
        <v>7078</v>
      </c>
    </row>
    <row r="4610" customFormat="false" ht="12" hidden="false" customHeight="false" outlineLevel="0" collapsed="false">
      <c r="A4610" s="203" t="s">
        <v>7079</v>
      </c>
    </row>
    <row r="4611" customFormat="false" ht="12" hidden="false" customHeight="false" outlineLevel="0" collapsed="false">
      <c r="A4611" s="203" t="s">
        <v>7080</v>
      </c>
    </row>
    <row r="4612" customFormat="false" ht="12" hidden="false" customHeight="false" outlineLevel="0" collapsed="false">
      <c r="A4612" s="203" t="s">
        <v>7081</v>
      </c>
    </row>
    <row r="4613" customFormat="false" ht="12" hidden="false" customHeight="false" outlineLevel="0" collapsed="false">
      <c r="A4613" s="203" t="s">
        <v>7082</v>
      </c>
    </row>
    <row r="4614" customFormat="false" ht="12" hidden="false" customHeight="false" outlineLevel="0" collapsed="false">
      <c r="A4614" s="203" t="s">
        <v>7083</v>
      </c>
    </row>
    <row r="4615" customFormat="false" ht="12" hidden="false" customHeight="false" outlineLevel="0" collapsed="false">
      <c r="A4615" s="203" t="s">
        <v>7084</v>
      </c>
    </row>
    <row r="4616" customFormat="false" ht="12" hidden="false" customHeight="false" outlineLevel="0" collapsed="false">
      <c r="A4616" s="203" t="s">
        <v>7085</v>
      </c>
    </row>
    <row r="4617" customFormat="false" ht="12" hidden="false" customHeight="false" outlineLevel="0" collapsed="false">
      <c r="A4617" s="203" t="s">
        <v>7086</v>
      </c>
    </row>
    <row r="4618" customFormat="false" ht="12" hidden="false" customHeight="false" outlineLevel="0" collapsed="false">
      <c r="A4618" s="203" t="s">
        <v>7087</v>
      </c>
    </row>
    <row r="4619" customFormat="false" ht="12" hidden="false" customHeight="false" outlineLevel="0" collapsed="false">
      <c r="A4619" s="203" t="s">
        <v>7088</v>
      </c>
    </row>
    <row r="4620" customFormat="false" ht="12" hidden="false" customHeight="false" outlineLevel="0" collapsed="false">
      <c r="A4620" s="203" t="s">
        <v>7089</v>
      </c>
    </row>
    <row r="4621" customFormat="false" ht="12" hidden="false" customHeight="false" outlineLevel="0" collapsed="false">
      <c r="A4621" s="203" t="s">
        <v>7090</v>
      </c>
    </row>
    <row r="4622" customFormat="false" ht="12" hidden="false" customHeight="false" outlineLevel="0" collapsed="false">
      <c r="A4622" s="203" t="s">
        <v>7091</v>
      </c>
    </row>
    <row r="4623" customFormat="false" ht="12" hidden="false" customHeight="false" outlineLevel="0" collapsed="false">
      <c r="A4623" s="203" t="s">
        <v>7092</v>
      </c>
    </row>
    <row r="4624" customFormat="false" ht="12" hidden="false" customHeight="false" outlineLevel="0" collapsed="false">
      <c r="A4624" s="203" t="s">
        <v>7093</v>
      </c>
    </row>
    <row r="4625" customFormat="false" ht="12" hidden="false" customHeight="false" outlineLevel="0" collapsed="false">
      <c r="A4625" s="203" t="s">
        <v>7094</v>
      </c>
    </row>
    <row r="4626" customFormat="false" ht="12" hidden="false" customHeight="false" outlineLevel="0" collapsed="false">
      <c r="A4626" s="203" t="s">
        <v>7095</v>
      </c>
    </row>
    <row r="4627" customFormat="false" ht="12" hidden="false" customHeight="false" outlineLevel="0" collapsed="false">
      <c r="A4627" s="203" t="s">
        <v>7096</v>
      </c>
    </row>
    <row r="4628" customFormat="false" ht="12" hidden="false" customHeight="false" outlineLevel="0" collapsed="false">
      <c r="A4628" s="203" t="s">
        <v>7097</v>
      </c>
    </row>
    <row r="4629" customFormat="false" ht="12" hidden="false" customHeight="false" outlineLevel="0" collapsed="false">
      <c r="A4629" s="203" t="s">
        <v>7098</v>
      </c>
    </row>
    <row r="4630" customFormat="false" ht="12" hidden="false" customHeight="false" outlineLevel="0" collapsed="false">
      <c r="A4630" s="203" t="s">
        <v>7099</v>
      </c>
    </row>
    <row r="4631" customFormat="false" ht="12" hidden="false" customHeight="false" outlineLevel="0" collapsed="false">
      <c r="A4631" s="203" t="s">
        <v>7100</v>
      </c>
    </row>
    <row r="4632" customFormat="false" ht="12" hidden="false" customHeight="false" outlineLevel="0" collapsed="false">
      <c r="A4632" s="203" t="s">
        <v>7101</v>
      </c>
    </row>
    <row r="4633" customFormat="false" ht="12" hidden="false" customHeight="false" outlineLevel="0" collapsed="false">
      <c r="A4633" s="203" t="s">
        <v>7102</v>
      </c>
    </row>
    <row r="4634" customFormat="false" ht="12" hidden="false" customHeight="false" outlineLevel="0" collapsed="false">
      <c r="A4634" s="203" t="s">
        <v>7103</v>
      </c>
    </row>
    <row r="4635" customFormat="false" ht="12" hidden="false" customHeight="false" outlineLevel="0" collapsed="false">
      <c r="A4635" s="203" t="s">
        <v>7104</v>
      </c>
    </row>
    <row r="4636" customFormat="false" ht="12" hidden="false" customHeight="false" outlineLevel="0" collapsed="false">
      <c r="A4636" s="203" t="s">
        <v>7105</v>
      </c>
    </row>
    <row r="4637" customFormat="false" ht="12" hidden="false" customHeight="false" outlineLevel="0" collapsed="false">
      <c r="A4637" s="203" t="s">
        <v>7106</v>
      </c>
    </row>
    <row r="4638" customFormat="false" ht="12" hidden="false" customHeight="false" outlineLevel="0" collapsed="false">
      <c r="A4638" s="203" t="s">
        <v>7107</v>
      </c>
    </row>
    <row r="4639" customFormat="false" ht="12" hidden="false" customHeight="false" outlineLevel="0" collapsed="false">
      <c r="A4639" s="203" t="s">
        <v>7108</v>
      </c>
    </row>
    <row r="4640" customFormat="false" ht="12" hidden="false" customHeight="false" outlineLevel="0" collapsed="false">
      <c r="A4640" s="203" t="s">
        <v>7109</v>
      </c>
    </row>
    <row r="4641" customFormat="false" ht="12" hidden="false" customHeight="false" outlineLevel="0" collapsed="false">
      <c r="A4641" s="203" t="s">
        <v>7110</v>
      </c>
    </row>
    <row r="4642" customFormat="false" ht="12" hidden="false" customHeight="false" outlineLevel="0" collapsed="false">
      <c r="A4642" s="203" t="s">
        <v>7111</v>
      </c>
    </row>
    <row r="4643" customFormat="false" ht="12" hidden="false" customHeight="false" outlineLevel="0" collapsed="false">
      <c r="A4643" s="203" t="s">
        <v>7112</v>
      </c>
    </row>
    <row r="4644" customFormat="false" ht="12" hidden="false" customHeight="false" outlineLevel="0" collapsed="false">
      <c r="A4644" s="203" t="s">
        <v>7113</v>
      </c>
    </row>
    <row r="4645" customFormat="false" ht="12" hidden="false" customHeight="false" outlineLevel="0" collapsed="false">
      <c r="A4645" s="203" t="s">
        <v>7114</v>
      </c>
    </row>
    <row r="4646" customFormat="false" ht="12" hidden="false" customHeight="false" outlineLevel="0" collapsed="false">
      <c r="A4646" s="203" t="s">
        <v>7115</v>
      </c>
    </row>
    <row r="4647" customFormat="false" ht="12" hidden="false" customHeight="false" outlineLevel="0" collapsed="false">
      <c r="A4647" s="203" t="s">
        <v>7116</v>
      </c>
    </row>
    <row r="4648" customFormat="false" ht="12" hidden="false" customHeight="false" outlineLevel="0" collapsed="false">
      <c r="A4648" s="203" t="s">
        <v>7117</v>
      </c>
    </row>
    <row r="4649" customFormat="false" ht="12" hidden="false" customHeight="false" outlineLevel="0" collapsed="false">
      <c r="A4649" s="203" t="s">
        <v>7118</v>
      </c>
    </row>
    <row r="4650" customFormat="false" ht="12" hidden="false" customHeight="false" outlineLevel="0" collapsed="false">
      <c r="A4650" s="203" t="s">
        <v>7119</v>
      </c>
    </row>
    <row r="4651" customFormat="false" ht="12" hidden="false" customHeight="false" outlineLevel="0" collapsed="false">
      <c r="A4651" s="203" t="s">
        <v>7120</v>
      </c>
    </row>
    <row r="4652" customFormat="false" ht="12" hidden="false" customHeight="false" outlineLevel="0" collapsed="false">
      <c r="A4652" s="203" t="s">
        <v>7121</v>
      </c>
    </row>
    <row r="4653" customFormat="false" ht="12" hidden="false" customHeight="false" outlineLevel="0" collapsed="false">
      <c r="A4653" s="203" t="s">
        <v>7122</v>
      </c>
    </row>
    <row r="4654" customFormat="false" ht="12" hidden="false" customHeight="false" outlineLevel="0" collapsed="false">
      <c r="A4654" s="203" t="s">
        <v>7123</v>
      </c>
    </row>
    <row r="4655" customFormat="false" ht="12" hidden="false" customHeight="false" outlineLevel="0" collapsed="false">
      <c r="A4655" s="203" t="s">
        <v>7124</v>
      </c>
    </row>
    <row r="4656" customFormat="false" ht="12" hidden="false" customHeight="false" outlineLevel="0" collapsed="false">
      <c r="A4656" s="203" t="s">
        <v>7125</v>
      </c>
    </row>
    <row r="4657" customFormat="false" ht="12" hidden="false" customHeight="false" outlineLevel="0" collapsed="false">
      <c r="A4657" s="203" t="s">
        <v>7126</v>
      </c>
    </row>
    <row r="4658" customFormat="false" ht="12" hidden="false" customHeight="false" outlineLevel="0" collapsed="false">
      <c r="A4658" s="203" t="s">
        <v>7127</v>
      </c>
    </row>
    <row r="4659" customFormat="false" ht="12" hidden="false" customHeight="false" outlineLevel="0" collapsed="false">
      <c r="A4659" s="203" t="s">
        <v>7128</v>
      </c>
    </row>
    <row r="4660" customFormat="false" ht="12" hidden="false" customHeight="false" outlineLevel="0" collapsed="false">
      <c r="A4660" s="203" t="s">
        <v>7129</v>
      </c>
    </row>
    <row r="4661" customFormat="false" ht="12" hidden="false" customHeight="false" outlineLevel="0" collapsed="false">
      <c r="A4661" s="203" t="s">
        <v>7130</v>
      </c>
    </row>
    <row r="4662" customFormat="false" ht="12" hidden="false" customHeight="false" outlineLevel="0" collapsed="false">
      <c r="A4662" s="203" t="s">
        <v>7131</v>
      </c>
    </row>
    <row r="4663" customFormat="false" ht="12" hidden="false" customHeight="false" outlineLevel="0" collapsed="false">
      <c r="A4663" s="203" t="s">
        <v>7132</v>
      </c>
    </row>
    <row r="4664" customFormat="false" ht="12" hidden="false" customHeight="false" outlineLevel="0" collapsed="false">
      <c r="A4664" s="203" t="s">
        <v>7133</v>
      </c>
    </row>
    <row r="4665" customFormat="false" ht="12" hidden="false" customHeight="false" outlineLevel="0" collapsed="false">
      <c r="A4665" s="203" t="s">
        <v>7134</v>
      </c>
    </row>
    <row r="4666" customFormat="false" ht="12" hidden="false" customHeight="false" outlineLevel="0" collapsed="false">
      <c r="A4666" s="203" t="s">
        <v>7135</v>
      </c>
    </row>
    <row r="4667" customFormat="false" ht="12" hidden="false" customHeight="false" outlineLevel="0" collapsed="false">
      <c r="A4667" s="203" t="s">
        <v>7136</v>
      </c>
    </row>
    <row r="4668" customFormat="false" ht="12" hidden="false" customHeight="false" outlineLevel="0" collapsed="false">
      <c r="A4668" s="203" t="s">
        <v>7137</v>
      </c>
    </row>
    <row r="4669" customFormat="false" ht="12" hidden="false" customHeight="false" outlineLevel="0" collapsed="false">
      <c r="A4669" s="203" t="s">
        <v>7138</v>
      </c>
    </row>
    <row r="4670" customFormat="false" ht="12" hidden="false" customHeight="false" outlineLevel="0" collapsed="false">
      <c r="A4670" s="203" t="s">
        <v>7139</v>
      </c>
    </row>
    <row r="4671" customFormat="false" ht="12" hidden="false" customHeight="false" outlineLevel="0" collapsed="false">
      <c r="A4671" s="203" t="s">
        <v>7140</v>
      </c>
    </row>
    <row r="4672" customFormat="false" ht="12" hidden="false" customHeight="false" outlineLevel="0" collapsed="false">
      <c r="A4672" s="203" t="s">
        <v>7141</v>
      </c>
    </row>
    <row r="4673" customFormat="false" ht="12" hidden="false" customHeight="false" outlineLevel="0" collapsed="false">
      <c r="A4673" s="203" t="s">
        <v>7142</v>
      </c>
    </row>
    <row r="4674" customFormat="false" ht="12" hidden="false" customHeight="false" outlineLevel="0" collapsed="false">
      <c r="A4674" s="203" t="s">
        <v>7143</v>
      </c>
    </row>
    <row r="4675" customFormat="false" ht="12" hidden="false" customHeight="false" outlineLevel="0" collapsed="false">
      <c r="A4675" s="203" t="s">
        <v>7144</v>
      </c>
    </row>
    <row r="4676" customFormat="false" ht="12" hidden="false" customHeight="false" outlineLevel="0" collapsed="false">
      <c r="A4676" s="203" t="s">
        <v>7145</v>
      </c>
    </row>
    <row r="4677" customFormat="false" ht="12" hidden="false" customHeight="false" outlineLevel="0" collapsed="false">
      <c r="A4677" s="203" t="s">
        <v>7146</v>
      </c>
    </row>
    <row r="4678" customFormat="false" ht="12" hidden="false" customHeight="false" outlineLevel="0" collapsed="false">
      <c r="A4678" s="203" t="s">
        <v>7147</v>
      </c>
    </row>
    <row r="4679" customFormat="false" ht="12" hidden="false" customHeight="false" outlineLevel="0" collapsed="false">
      <c r="A4679" s="203" t="s">
        <v>7148</v>
      </c>
    </row>
    <row r="4680" customFormat="false" ht="12" hidden="false" customHeight="false" outlineLevel="0" collapsed="false">
      <c r="A4680" s="203" t="s">
        <v>7149</v>
      </c>
    </row>
    <row r="4681" customFormat="false" ht="12" hidden="false" customHeight="false" outlineLevel="0" collapsed="false">
      <c r="A4681" s="203" t="s">
        <v>7150</v>
      </c>
    </row>
    <row r="4682" customFormat="false" ht="12" hidden="false" customHeight="false" outlineLevel="0" collapsed="false">
      <c r="A4682" s="203" t="s">
        <v>7151</v>
      </c>
    </row>
    <row r="4683" customFormat="false" ht="12" hidden="false" customHeight="false" outlineLevel="0" collapsed="false">
      <c r="A4683" s="203" t="s">
        <v>7152</v>
      </c>
    </row>
    <row r="4684" customFormat="false" ht="12" hidden="false" customHeight="false" outlineLevel="0" collapsed="false">
      <c r="A4684" s="203" t="s">
        <v>7153</v>
      </c>
    </row>
    <row r="4685" customFormat="false" ht="12" hidden="false" customHeight="false" outlineLevel="0" collapsed="false">
      <c r="A4685" s="203" t="s">
        <v>7154</v>
      </c>
    </row>
    <row r="4686" customFormat="false" ht="12" hidden="false" customHeight="false" outlineLevel="0" collapsed="false">
      <c r="A4686" s="203" t="s">
        <v>7155</v>
      </c>
    </row>
    <row r="4687" customFormat="false" ht="12" hidden="false" customHeight="false" outlineLevel="0" collapsed="false">
      <c r="A4687" s="203" t="s">
        <v>7156</v>
      </c>
    </row>
    <row r="4688" customFormat="false" ht="12" hidden="false" customHeight="false" outlineLevel="0" collapsed="false">
      <c r="A4688" s="203" t="s">
        <v>7157</v>
      </c>
    </row>
    <row r="4689" customFormat="false" ht="12" hidden="false" customHeight="false" outlineLevel="0" collapsed="false">
      <c r="A4689" s="203" t="s">
        <v>7158</v>
      </c>
    </row>
    <row r="4690" customFormat="false" ht="12" hidden="false" customHeight="false" outlineLevel="0" collapsed="false">
      <c r="A4690" s="203" t="s">
        <v>7159</v>
      </c>
    </row>
    <row r="4691" customFormat="false" ht="12" hidden="false" customHeight="false" outlineLevel="0" collapsed="false">
      <c r="A4691" s="203" t="s">
        <v>7160</v>
      </c>
    </row>
    <row r="4692" customFormat="false" ht="12" hidden="false" customHeight="false" outlineLevel="0" collapsed="false">
      <c r="A4692" s="203" t="s">
        <v>7161</v>
      </c>
    </row>
    <row r="4693" customFormat="false" ht="12" hidden="false" customHeight="false" outlineLevel="0" collapsed="false">
      <c r="A4693" s="203" t="s">
        <v>7162</v>
      </c>
    </row>
    <row r="4694" customFormat="false" ht="12" hidden="false" customHeight="false" outlineLevel="0" collapsed="false">
      <c r="A4694" s="203" t="s">
        <v>7163</v>
      </c>
    </row>
    <row r="4695" customFormat="false" ht="12" hidden="false" customHeight="false" outlineLevel="0" collapsed="false">
      <c r="A4695" s="203" t="s">
        <v>7164</v>
      </c>
    </row>
    <row r="4696" customFormat="false" ht="12" hidden="false" customHeight="false" outlineLevel="0" collapsed="false">
      <c r="A4696" s="203" t="s">
        <v>7165</v>
      </c>
    </row>
    <row r="4697" customFormat="false" ht="12" hidden="false" customHeight="false" outlineLevel="0" collapsed="false">
      <c r="A4697" s="203" t="s">
        <v>7166</v>
      </c>
    </row>
    <row r="4698" customFormat="false" ht="12" hidden="false" customHeight="false" outlineLevel="0" collapsed="false">
      <c r="A4698" s="203" t="s">
        <v>7167</v>
      </c>
    </row>
    <row r="4699" customFormat="false" ht="12" hidden="false" customHeight="false" outlineLevel="0" collapsed="false">
      <c r="A4699" s="203" t="s">
        <v>7168</v>
      </c>
    </row>
    <row r="4700" customFormat="false" ht="12" hidden="false" customHeight="false" outlineLevel="0" collapsed="false">
      <c r="A4700" s="203" t="s">
        <v>7169</v>
      </c>
    </row>
    <row r="4701" customFormat="false" ht="12" hidden="false" customHeight="false" outlineLevel="0" collapsed="false">
      <c r="A4701" s="203" t="s">
        <v>7170</v>
      </c>
    </row>
    <row r="4702" customFormat="false" ht="12" hidden="false" customHeight="false" outlineLevel="0" collapsed="false">
      <c r="A4702" s="203" t="s">
        <v>7171</v>
      </c>
    </row>
    <row r="4703" customFormat="false" ht="12" hidden="false" customHeight="false" outlineLevel="0" collapsed="false">
      <c r="A4703" s="203" t="s">
        <v>7172</v>
      </c>
    </row>
    <row r="4704" customFormat="false" ht="12" hidden="false" customHeight="false" outlineLevel="0" collapsed="false">
      <c r="A4704" s="203" t="s">
        <v>7173</v>
      </c>
    </row>
    <row r="4705" customFormat="false" ht="12" hidden="false" customHeight="false" outlineLevel="0" collapsed="false">
      <c r="A4705" s="203" t="s">
        <v>7174</v>
      </c>
    </row>
    <row r="4706" customFormat="false" ht="12" hidden="false" customHeight="false" outlineLevel="0" collapsed="false">
      <c r="A4706" s="203" t="s">
        <v>7175</v>
      </c>
    </row>
    <row r="4707" customFormat="false" ht="12" hidden="false" customHeight="false" outlineLevel="0" collapsed="false">
      <c r="A4707" s="203" t="s">
        <v>7176</v>
      </c>
    </row>
    <row r="4708" customFormat="false" ht="12" hidden="false" customHeight="false" outlineLevel="0" collapsed="false">
      <c r="A4708" s="203" t="s">
        <v>7177</v>
      </c>
    </row>
    <row r="4709" customFormat="false" ht="12" hidden="false" customHeight="false" outlineLevel="0" collapsed="false">
      <c r="A4709" s="203" t="s">
        <v>7178</v>
      </c>
    </row>
    <row r="4710" customFormat="false" ht="12" hidden="false" customHeight="false" outlineLevel="0" collapsed="false">
      <c r="A4710" s="203" t="s">
        <v>7179</v>
      </c>
    </row>
    <row r="4711" customFormat="false" ht="12" hidden="false" customHeight="false" outlineLevel="0" collapsed="false">
      <c r="A4711" s="203" t="s">
        <v>7180</v>
      </c>
    </row>
    <row r="4712" customFormat="false" ht="12" hidden="false" customHeight="false" outlineLevel="0" collapsed="false">
      <c r="A4712" s="203" t="s">
        <v>7181</v>
      </c>
    </row>
    <row r="4713" customFormat="false" ht="12" hidden="false" customHeight="false" outlineLevel="0" collapsed="false">
      <c r="A4713" s="203" t="s">
        <v>7182</v>
      </c>
    </row>
    <row r="4714" customFormat="false" ht="12" hidden="false" customHeight="false" outlineLevel="0" collapsed="false">
      <c r="A4714" s="203" t="s">
        <v>7183</v>
      </c>
    </row>
    <row r="4715" customFormat="false" ht="12" hidden="false" customHeight="false" outlineLevel="0" collapsed="false">
      <c r="A4715" s="203" t="s">
        <v>7184</v>
      </c>
    </row>
    <row r="4716" customFormat="false" ht="12" hidden="false" customHeight="false" outlineLevel="0" collapsed="false">
      <c r="A4716" s="203" t="s">
        <v>7185</v>
      </c>
    </row>
    <row r="4717" customFormat="false" ht="12" hidden="false" customHeight="false" outlineLevel="0" collapsed="false">
      <c r="A4717" s="203" t="s">
        <v>7186</v>
      </c>
    </row>
    <row r="4718" customFormat="false" ht="12" hidden="false" customHeight="false" outlineLevel="0" collapsed="false">
      <c r="A4718" s="203" t="s">
        <v>7187</v>
      </c>
    </row>
    <row r="4719" customFormat="false" ht="12" hidden="false" customHeight="false" outlineLevel="0" collapsed="false">
      <c r="A4719" s="203" t="s">
        <v>7188</v>
      </c>
    </row>
    <row r="4720" customFormat="false" ht="12" hidden="false" customHeight="false" outlineLevel="0" collapsed="false">
      <c r="A4720" s="203" t="s">
        <v>7189</v>
      </c>
    </row>
    <row r="4721" customFormat="false" ht="12" hidden="false" customHeight="false" outlineLevel="0" collapsed="false">
      <c r="A4721" s="203" t="s">
        <v>7190</v>
      </c>
    </row>
    <row r="4722" customFormat="false" ht="12" hidden="false" customHeight="false" outlineLevel="0" collapsed="false">
      <c r="A4722" s="203" t="s">
        <v>7191</v>
      </c>
    </row>
    <row r="4723" customFormat="false" ht="12" hidden="false" customHeight="false" outlineLevel="0" collapsed="false">
      <c r="A4723" s="203" t="s">
        <v>7192</v>
      </c>
    </row>
    <row r="4724" customFormat="false" ht="12" hidden="false" customHeight="false" outlineLevel="0" collapsed="false">
      <c r="A4724" s="203" t="s">
        <v>7193</v>
      </c>
    </row>
    <row r="4725" customFormat="false" ht="12" hidden="false" customHeight="false" outlineLevel="0" collapsed="false">
      <c r="A4725" s="203" t="s">
        <v>7194</v>
      </c>
    </row>
    <row r="4726" customFormat="false" ht="12" hidden="false" customHeight="false" outlineLevel="0" collapsed="false">
      <c r="A4726" s="203" t="s">
        <v>7195</v>
      </c>
    </row>
    <row r="4727" customFormat="false" ht="12" hidden="false" customHeight="false" outlineLevel="0" collapsed="false">
      <c r="A4727" s="203" t="s">
        <v>7196</v>
      </c>
    </row>
    <row r="4728" customFormat="false" ht="12" hidden="false" customHeight="false" outlineLevel="0" collapsed="false">
      <c r="A4728" s="203" t="s">
        <v>7197</v>
      </c>
    </row>
    <row r="4729" customFormat="false" ht="12" hidden="false" customHeight="false" outlineLevel="0" collapsed="false">
      <c r="A4729" s="203" t="s">
        <v>7198</v>
      </c>
    </row>
    <row r="4730" customFormat="false" ht="12" hidden="false" customHeight="false" outlineLevel="0" collapsed="false">
      <c r="A4730" s="203" t="s">
        <v>7199</v>
      </c>
    </row>
    <row r="4731" customFormat="false" ht="12" hidden="false" customHeight="false" outlineLevel="0" collapsed="false">
      <c r="A4731" s="203" t="s">
        <v>7200</v>
      </c>
    </row>
    <row r="4732" customFormat="false" ht="12" hidden="false" customHeight="false" outlineLevel="0" collapsed="false">
      <c r="A4732" s="203" t="s">
        <v>7201</v>
      </c>
    </row>
    <row r="4733" customFormat="false" ht="12" hidden="false" customHeight="false" outlineLevel="0" collapsed="false">
      <c r="A4733" s="203" t="s">
        <v>7202</v>
      </c>
    </row>
    <row r="4734" customFormat="false" ht="12" hidden="false" customHeight="false" outlineLevel="0" collapsed="false">
      <c r="A4734" s="203" t="s">
        <v>7203</v>
      </c>
    </row>
    <row r="4735" customFormat="false" ht="12" hidden="false" customHeight="false" outlineLevel="0" collapsed="false">
      <c r="A4735" s="203" t="s">
        <v>7204</v>
      </c>
    </row>
    <row r="4736" customFormat="false" ht="12" hidden="false" customHeight="false" outlineLevel="0" collapsed="false">
      <c r="A4736" s="203" t="s">
        <v>7205</v>
      </c>
    </row>
    <row r="4737" customFormat="false" ht="12" hidden="false" customHeight="false" outlineLevel="0" collapsed="false">
      <c r="A4737" s="203" t="s">
        <v>7206</v>
      </c>
    </row>
    <row r="4738" customFormat="false" ht="12" hidden="false" customHeight="false" outlineLevel="0" collapsed="false">
      <c r="A4738" s="203" t="s">
        <v>7207</v>
      </c>
    </row>
    <row r="4739" customFormat="false" ht="12" hidden="false" customHeight="false" outlineLevel="0" collapsed="false">
      <c r="A4739" s="203" t="s">
        <v>7208</v>
      </c>
    </row>
    <row r="4740" customFormat="false" ht="12" hidden="false" customHeight="false" outlineLevel="0" collapsed="false">
      <c r="A4740" s="203" t="s">
        <v>7209</v>
      </c>
    </row>
    <row r="4741" customFormat="false" ht="12" hidden="false" customHeight="false" outlineLevel="0" collapsed="false">
      <c r="A4741" s="203" t="s">
        <v>7210</v>
      </c>
    </row>
    <row r="4742" customFormat="false" ht="12" hidden="false" customHeight="false" outlineLevel="0" collapsed="false">
      <c r="A4742" s="203" t="s">
        <v>7211</v>
      </c>
    </row>
    <row r="4743" customFormat="false" ht="12" hidden="false" customHeight="false" outlineLevel="0" collapsed="false">
      <c r="A4743" s="203" t="s">
        <v>7212</v>
      </c>
    </row>
    <row r="4744" customFormat="false" ht="12" hidden="false" customHeight="false" outlineLevel="0" collapsed="false">
      <c r="A4744" s="203" t="s">
        <v>7213</v>
      </c>
    </row>
    <row r="4745" customFormat="false" ht="12" hidden="false" customHeight="false" outlineLevel="0" collapsed="false">
      <c r="A4745" s="203" t="s">
        <v>7214</v>
      </c>
    </row>
    <row r="4746" customFormat="false" ht="12" hidden="false" customHeight="false" outlineLevel="0" collapsed="false">
      <c r="A4746" s="203" t="s">
        <v>7215</v>
      </c>
    </row>
    <row r="4747" customFormat="false" ht="12" hidden="false" customHeight="false" outlineLevel="0" collapsed="false">
      <c r="A4747" s="203" t="s">
        <v>7216</v>
      </c>
    </row>
    <row r="4748" customFormat="false" ht="12" hidden="false" customHeight="false" outlineLevel="0" collapsed="false">
      <c r="A4748" s="203" t="s">
        <v>7217</v>
      </c>
    </row>
    <row r="4749" customFormat="false" ht="12" hidden="false" customHeight="false" outlineLevel="0" collapsed="false">
      <c r="A4749" s="203" t="s">
        <v>7218</v>
      </c>
    </row>
    <row r="4750" customFormat="false" ht="12" hidden="false" customHeight="false" outlineLevel="0" collapsed="false">
      <c r="A4750" s="203" t="s">
        <v>7219</v>
      </c>
    </row>
    <row r="4751" customFormat="false" ht="12" hidden="false" customHeight="false" outlineLevel="0" collapsed="false">
      <c r="A4751" s="203" t="s">
        <v>7220</v>
      </c>
    </row>
    <row r="4752" customFormat="false" ht="12" hidden="false" customHeight="false" outlineLevel="0" collapsed="false">
      <c r="A4752" s="203" t="s">
        <v>7221</v>
      </c>
    </row>
    <row r="4753" customFormat="false" ht="12" hidden="false" customHeight="false" outlineLevel="0" collapsed="false">
      <c r="A4753" s="203" t="s">
        <v>7222</v>
      </c>
    </row>
    <row r="4754" customFormat="false" ht="12" hidden="false" customHeight="false" outlineLevel="0" collapsed="false">
      <c r="A4754" s="203" t="s">
        <v>7223</v>
      </c>
    </row>
    <row r="4755" customFormat="false" ht="12" hidden="false" customHeight="false" outlineLevel="0" collapsed="false">
      <c r="A4755" s="203" t="s">
        <v>7224</v>
      </c>
    </row>
    <row r="4756" customFormat="false" ht="12" hidden="false" customHeight="false" outlineLevel="0" collapsed="false">
      <c r="A4756" s="203" t="s">
        <v>7225</v>
      </c>
    </row>
    <row r="4757" customFormat="false" ht="12" hidden="false" customHeight="false" outlineLevel="0" collapsed="false">
      <c r="A4757" s="203" t="s">
        <v>7226</v>
      </c>
    </row>
    <row r="4758" customFormat="false" ht="12" hidden="false" customHeight="false" outlineLevel="0" collapsed="false">
      <c r="A4758" s="203" t="s">
        <v>7227</v>
      </c>
    </row>
    <row r="4759" customFormat="false" ht="12" hidden="false" customHeight="false" outlineLevel="0" collapsed="false">
      <c r="A4759" s="203" t="s">
        <v>7228</v>
      </c>
    </row>
    <row r="4760" customFormat="false" ht="12" hidden="false" customHeight="false" outlineLevel="0" collapsed="false">
      <c r="A4760" s="203" t="s">
        <v>7229</v>
      </c>
    </row>
    <row r="4761" customFormat="false" ht="12" hidden="false" customHeight="false" outlineLevel="0" collapsed="false">
      <c r="A4761" s="203" t="s">
        <v>7230</v>
      </c>
    </row>
    <row r="4762" customFormat="false" ht="12" hidden="false" customHeight="false" outlineLevel="0" collapsed="false">
      <c r="A4762" s="203" t="s">
        <v>7231</v>
      </c>
    </row>
    <row r="4763" customFormat="false" ht="12" hidden="false" customHeight="false" outlineLevel="0" collapsed="false">
      <c r="A4763" s="203" t="s">
        <v>7232</v>
      </c>
    </row>
    <row r="4764" customFormat="false" ht="12" hidden="false" customHeight="false" outlineLevel="0" collapsed="false">
      <c r="A4764" s="203" t="s">
        <v>7233</v>
      </c>
    </row>
    <row r="4765" customFormat="false" ht="12" hidden="false" customHeight="false" outlineLevel="0" collapsed="false">
      <c r="A4765" s="203" t="s">
        <v>7234</v>
      </c>
    </row>
    <row r="4766" customFormat="false" ht="12" hidden="false" customHeight="false" outlineLevel="0" collapsed="false">
      <c r="A4766" s="203" t="s">
        <v>7235</v>
      </c>
    </row>
    <row r="4767" customFormat="false" ht="12" hidden="false" customHeight="false" outlineLevel="0" collapsed="false">
      <c r="A4767" s="203" t="s">
        <v>7236</v>
      </c>
    </row>
    <row r="4768" customFormat="false" ht="12" hidden="false" customHeight="false" outlineLevel="0" collapsed="false">
      <c r="A4768" s="203" t="s">
        <v>7237</v>
      </c>
    </row>
    <row r="4769" customFormat="false" ht="12" hidden="false" customHeight="false" outlineLevel="0" collapsed="false">
      <c r="A4769" s="203" t="s">
        <v>7238</v>
      </c>
    </row>
    <row r="4770" customFormat="false" ht="12" hidden="false" customHeight="false" outlineLevel="0" collapsed="false">
      <c r="A4770" s="203" t="s">
        <v>7239</v>
      </c>
    </row>
    <row r="4771" customFormat="false" ht="12" hidden="false" customHeight="false" outlineLevel="0" collapsed="false">
      <c r="A4771" s="203" t="s">
        <v>7240</v>
      </c>
    </row>
    <row r="4772" customFormat="false" ht="12" hidden="false" customHeight="false" outlineLevel="0" collapsed="false">
      <c r="A4772" s="203" t="s">
        <v>7241</v>
      </c>
    </row>
    <row r="4773" customFormat="false" ht="12" hidden="false" customHeight="false" outlineLevel="0" collapsed="false">
      <c r="A4773" s="203" t="s">
        <v>7242</v>
      </c>
    </row>
    <row r="4774" customFormat="false" ht="12" hidden="false" customHeight="false" outlineLevel="0" collapsed="false">
      <c r="A4774" s="203" t="s">
        <v>7243</v>
      </c>
    </row>
    <row r="4775" customFormat="false" ht="12" hidden="false" customHeight="false" outlineLevel="0" collapsed="false">
      <c r="A4775" s="203" t="s">
        <v>7244</v>
      </c>
    </row>
    <row r="4776" customFormat="false" ht="12" hidden="false" customHeight="false" outlineLevel="0" collapsed="false">
      <c r="A4776" s="203" t="s">
        <v>7245</v>
      </c>
    </row>
    <row r="4777" customFormat="false" ht="12" hidden="false" customHeight="false" outlineLevel="0" collapsed="false">
      <c r="A4777" s="203" t="s">
        <v>7246</v>
      </c>
    </row>
    <row r="4778" customFormat="false" ht="12" hidden="false" customHeight="false" outlineLevel="0" collapsed="false">
      <c r="A4778" s="203" t="s">
        <v>7247</v>
      </c>
    </row>
    <row r="4779" customFormat="false" ht="12" hidden="false" customHeight="false" outlineLevel="0" collapsed="false">
      <c r="A4779" s="203" t="s">
        <v>7248</v>
      </c>
    </row>
    <row r="4780" customFormat="false" ht="12" hidden="false" customHeight="false" outlineLevel="0" collapsed="false">
      <c r="A4780" s="203" t="s">
        <v>7249</v>
      </c>
    </row>
    <row r="4781" customFormat="false" ht="12" hidden="false" customHeight="false" outlineLevel="0" collapsed="false">
      <c r="A4781" s="203" t="s">
        <v>7250</v>
      </c>
    </row>
    <row r="4782" customFormat="false" ht="12" hidden="false" customHeight="false" outlineLevel="0" collapsed="false">
      <c r="A4782" s="203" t="s">
        <v>7251</v>
      </c>
    </row>
    <row r="4783" customFormat="false" ht="12" hidden="false" customHeight="false" outlineLevel="0" collapsed="false">
      <c r="A4783" s="203" t="s">
        <v>7252</v>
      </c>
    </row>
    <row r="4784" customFormat="false" ht="12" hidden="false" customHeight="false" outlineLevel="0" collapsed="false">
      <c r="A4784" s="203" t="s">
        <v>7253</v>
      </c>
    </row>
    <row r="4785" customFormat="false" ht="12" hidden="false" customHeight="false" outlineLevel="0" collapsed="false">
      <c r="A4785" s="203" t="s">
        <v>7254</v>
      </c>
    </row>
    <row r="4786" customFormat="false" ht="12" hidden="false" customHeight="false" outlineLevel="0" collapsed="false">
      <c r="A4786" s="203" t="s">
        <v>7255</v>
      </c>
    </row>
    <row r="4787" customFormat="false" ht="12" hidden="false" customHeight="false" outlineLevel="0" collapsed="false">
      <c r="A4787" s="203" t="s">
        <v>7256</v>
      </c>
    </row>
    <row r="4788" customFormat="false" ht="12" hidden="false" customHeight="false" outlineLevel="0" collapsed="false">
      <c r="A4788" s="203" t="s">
        <v>7257</v>
      </c>
    </row>
    <row r="4789" customFormat="false" ht="12" hidden="false" customHeight="false" outlineLevel="0" collapsed="false">
      <c r="A4789" s="203" t="s">
        <v>7258</v>
      </c>
    </row>
    <row r="4790" customFormat="false" ht="12" hidden="false" customHeight="false" outlineLevel="0" collapsed="false">
      <c r="A4790" s="203" t="s">
        <v>7259</v>
      </c>
    </row>
    <row r="4791" customFormat="false" ht="12" hidden="false" customHeight="false" outlineLevel="0" collapsed="false">
      <c r="A4791" s="203" t="s">
        <v>7260</v>
      </c>
    </row>
    <row r="4792" customFormat="false" ht="12" hidden="false" customHeight="false" outlineLevel="0" collapsed="false">
      <c r="A4792" s="203" t="s">
        <v>7261</v>
      </c>
    </row>
    <row r="4793" customFormat="false" ht="12" hidden="false" customHeight="false" outlineLevel="0" collapsed="false">
      <c r="A4793" s="203" t="s">
        <v>7262</v>
      </c>
    </row>
    <row r="4794" customFormat="false" ht="12" hidden="false" customHeight="false" outlineLevel="0" collapsed="false">
      <c r="A4794" s="203" t="s">
        <v>7263</v>
      </c>
    </row>
    <row r="4795" customFormat="false" ht="12" hidden="false" customHeight="false" outlineLevel="0" collapsed="false">
      <c r="A4795" s="203" t="s">
        <v>7264</v>
      </c>
    </row>
    <row r="4796" customFormat="false" ht="12" hidden="false" customHeight="false" outlineLevel="0" collapsed="false">
      <c r="A4796" s="203" t="s">
        <v>7265</v>
      </c>
    </row>
    <row r="4797" customFormat="false" ht="12" hidden="false" customHeight="false" outlineLevel="0" collapsed="false">
      <c r="A4797" s="203" t="s">
        <v>7266</v>
      </c>
    </row>
    <row r="4798" customFormat="false" ht="12" hidden="false" customHeight="false" outlineLevel="0" collapsed="false">
      <c r="A4798" s="203" t="s">
        <v>7267</v>
      </c>
    </row>
    <row r="4799" customFormat="false" ht="12" hidden="false" customHeight="false" outlineLevel="0" collapsed="false">
      <c r="A4799" s="203" t="s">
        <v>7268</v>
      </c>
    </row>
    <row r="4800" customFormat="false" ht="12" hidden="false" customHeight="false" outlineLevel="0" collapsed="false">
      <c r="A4800" s="203" t="s">
        <v>7269</v>
      </c>
    </row>
    <row r="4801" customFormat="false" ht="12" hidden="false" customHeight="false" outlineLevel="0" collapsed="false">
      <c r="A4801" s="203" t="s">
        <v>7270</v>
      </c>
    </row>
    <row r="4802" customFormat="false" ht="12" hidden="false" customHeight="false" outlineLevel="0" collapsed="false">
      <c r="A4802" s="203" t="s">
        <v>7271</v>
      </c>
    </row>
    <row r="4803" customFormat="false" ht="12" hidden="false" customHeight="false" outlineLevel="0" collapsed="false">
      <c r="A4803" s="203" t="s">
        <v>7272</v>
      </c>
    </row>
    <row r="4804" customFormat="false" ht="12" hidden="false" customHeight="false" outlineLevel="0" collapsed="false">
      <c r="A4804" s="203" t="s">
        <v>7273</v>
      </c>
    </row>
    <row r="4805" customFormat="false" ht="12" hidden="false" customHeight="false" outlineLevel="0" collapsed="false">
      <c r="A4805" s="203" t="s">
        <v>7274</v>
      </c>
    </row>
    <row r="4806" customFormat="false" ht="12" hidden="false" customHeight="false" outlineLevel="0" collapsed="false">
      <c r="A4806" s="203" t="s">
        <v>7275</v>
      </c>
    </row>
    <row r="4807" customFormat="false" ht="12" hidden="false" customHeight="false" outlineLevel="0" collapsed="false">
      <c r="A4807" s="203" t="s">
        <v>7276</v>
      </c>
    </row>
    <row r="4808" customFormat="false" ht="12" hidden="false" customHeight="false" outlineLevel="0" collapsed="false">
      <c r="A4808" s="203" t="s">
        <v>7277</v>
      </c>
    </row>
    <row r="4809" customFormat="false" ht="12" hidden="false" customHeight="false" outlineLevel="0" collapsed="false">
      <c r="A4809" s="203" t="s">
        <v>7278</v>
      </c>
    </row>
    <row r="4810" customFormat="false" ht="12" hidden="false" customHeight="false" outlineLevel="0" collapsed="false">
      <c r="A4810" s="203" t="s">
        <v>7279</v>
      </c>
    </row>
    <row r="4811" customFormat="false" ht="12" hidden="false" customHeight="false" outlineLevel="0" collapsed="false">
      <c r="A4811" s="203" t="s">
        <v>7280</v>
      </c>
    </row>
    <row r="4812" customFormat="false" ht="12" hidden="false" customHeight="false" outlineLevel="0" collapsed="false">
      <c r="A4812" s="203" t="s">
        <v>7281</v>
      </c>
    </row>
    <row r="4813" customFormat="false" ht="12" hidden="false" customHeight="false" outlineLevel="0" collapsed="false">
      <c r="A4813" s="203" t="s">
        <v>7282</v>
      </c>
    </row>
    <row r="4814" customFormat="false" ht="12" hidden="false" customHeight="false" outlineLevel="0" collapsed="false">
      <c r="A4814" s="203" t="s">
        <v>7283</v>
      </c>
    </row>
    <row r="4815" customFormat="false" ht="12" hidden="false" customHeight="false" outlineLevel="0" collapsed="false">
      <c r="A4815" s="203" t="s">
        <v>7284</v>
      </c>
    </row>
    <row r="4816" customFormat="false" ht="12" hidden="false" customHeight="false" outlineLevel="0" collapsed="false">
      <c r="A4816" s="203" t="s">
        <v>7285</v>
      </c>
    </row>
    <row r="4817" customFormat="false" ht="12" hidden="false" customHeight="false" outlineLevel="0" collapsed="false">
      <c r="A4817" s="203" t="s">
        <v>7286</v>
      </c>
    </row>
    <row r="4818" customFormat="false" ht="12" hidden="false" customHeight="false" outlineLevel="0" collapsed="false">
      <c r="A4818" s="203" t="s">
        <v>7287</v>
      </c>
    </row>
    <row r="4819" customFormat="false" ht="12" hidden="false" customHeight="false" outlineLevel="0" collapsed="false">
      <c r="A4819" s="203" t="s">
        <v>7288</v>
      </c>
    </row>
    <row r="4820" customFormat="false" ht="12" hidden="false" customHeight="false" outlineLevel="0" collapsed="false">
      <c r="A4820" s="203" t="s">
        <v>7289</v>
      </c>
    </row>
    <row r="4821" customFormat="false" ht="12" hidden="false" customHeight="false" outlineLevel="0" collapsed="false">
      <c r="A4821" s="203" t="s">
        <v>7290</v>
      </c>
    </row>
    <row r="4822" customFormat="false" ht="12" hidden="false" customHeight="false" outlineLevel="0" collapsed="false">
      <c r="A4822" s="203" t="s">
        <v>7291</v>
      </c>
    </row>
    <row r="4823" customFormat="false" ht="12" hidden="false" customHeight="false" outlineLevel="0" collapsed="false">
      <c r="A4823" s="203" t="s">
        <v>7292</v>
      </c>
    </row>
    <row r="4824" customFormat="false" ht="12" hidden="false" customHeight="false" outlineLevel="0" collapsed="false">
      <c r="A4824" s="203" t="s">
        <v>7293</v>
      </c>
    </row>
    <row r="4825" customFormat="false" ht="12" hidden="false" customHeight="false" outlineLevel="0" collapsed="false">
      <c r="A4825" s="203" t="s">
        <v>7294</v>
      </c>
    </row>
    <row r="4826" customFormat="false" ht="12" hidden="false" customHeight="false" outlineLevel="0" collapsed="false">
      <c r="A4826" s="203" t="s">
        <v>7295</v>
      </c>
    </row>
    <row r="4827" customFormat="false" ht="12" hidden="false" customHeight="false" outlineLevel="0" collapsed="false">
      <c r="A4827" s="203" t="s">
        <v>7296</v>
      </c>
    </row>
    <row r="4828" customFormat="false" ht="12" hidden="false" customHeight="false" outlineLevel="0" collapsed="false">
      <c r="A4828" s="203" t="s">
        <v>7297</v>
      </c>
    </row>
    <row r="4829" customFormat="false" ht="12" hidden="false" customHeight="false" outlineLevel="0" collapsed="false">
      <c r="A4829" s="203" t="s">
        <v>7298</v>
      </c>
    </row>
    <row r="4830" customFormat="false" ht="12" hidden="false" customHeight="false" outlineLevel="0" collapsed="false">
      <c r="A4830" s="203" t="s">
        <v>7299</v>
      </c>
    </row>
    <row r="4831" customFormat="false" ht="12" hidden="false" customHeight="false" outlineLevel="0" collapsed="false">
      <c r="A4831" s="203" t="s">
        <v>7300</v>
      </c>
    </row>
    <row r="4832" customFormat="false" ht="12" hidden="false" customHeight="false" outlineLevel="0" collapsed="false">
      <c r="A4832" s="203" t="s">
        <v>7301</v>
      </c>
    </row>
    <row r="4833" customFormat="false" ht="12" hidden="false" customHeight="false" outlineLevel="0" collapsed="false">
      <c r="A4833" s="203" t="s">
        <v>7302</v>
      </c>
    </row>
    <row r="4834" customFormat="false" ht="12" hidden="false" customHeight="false" outlineLevel="0" collapsed="false">
      <c r="A4834" s="203" t="s">
        <v>7303</v>
      </c>
    </row>
    <row r="4835" customFormat="false" ht="12" hidden="false" customHeight="false" outlineLevel="0" collapsed="false">
      <c r="A4835" s="203" t="s">
        <v>7304</v>
      </c>
    </row>
    <row r="4836" customFormat="false" ht="12" hidden="false" customHeight="false" outlineLevel="0" collapsed="false">
      <c r="A4836" s="203" t="s">
        <v>7305</v>
      </c>
    </row>
    <row r="4837" customFormat="false" ht="12" hidden="false" customHeight="false" outlineLevel="0" collapsed="false">
      <c r="A4837" s="203" t="s">
        <v>7306</v>
      </c>
    </row>
    <row r="4838" customFormat="false" ht="12" hidden="false" customHeight="false" outlineLevel="0" collapsed="false">
      <c r="A4838" s="203" t="s">
        <v>7307</v>
      </c>
    </row>
    <row r="4839" customFormat="false" ht="12" hidden="false" customHeight="false" outlineLevel="0" collapsed="false">
      <c r="A4839" s="203" t="s">
        <v>7308</v>
      </c>
    </row>
    <row r="4840" customFormat="false" ht="12" hidden="false" customHeight="false" outlineLevel="0" collapsed="false">
      <c r="A4840" s="203" t="s">
        <v>7309</v>
      </c>
    </row>
    <row r="4841" customFormat="false" ht="12" hidden="false" customHeight="false" outlineLevel="0" collapsed="false">
      <c r="A4841" s="203" t="s">
        <v>7310</v>
      </c>
    </row>
    <row r="4842" customFormat="false" ht="12" hidden="false" customHeight="false" outlineLevel="0" collapsed="false">
      <c r="A4842" s="203" t="s">
        <v>7311</v>
      </c>
    </row>
    <row r="4843" customFormat="false" ht="12" hidden="false" customHeight="false" outlineLevel="0" collapsed="false">
      <c r="A4843" s="203" t="s">
        <v>7312</v>
      </c>
    </row>
    <row r="4844" customFormat="false" ht="12" hidden="false" customHeight="false" outlineLevel="0" collapsed="false">
      <c r="A4844" s="203" t="s">
        <v>7313</v>
      </c>
    </row>
    <row r="4845" customFormat="false" ht="12" hidden="false" customHeight="false" outlineLevel="0" collapsed="false">
      <c r="A4845" s="203" t="s">
        <v>7314</v>
      </c>
    </row>
    <row r="4846" customFormat="false" ht="12" hidden="false" customHeight="false" outlineLevel="0" collapsed="false">
      <c r="A4846" s="203" t="s">
        <v>7315</v>
      </c>
    </row>
    <row r="4847" customFormat="false" ht="12" hidden="false" customHeight="false" outlineLevel="0" collapsed="false">
      <c r="A4847" s="203" t="s">
        <v>7316</v>
      </c>
    </row>
    <row r="4848" customFormat="false" ht="12" hidden="false" customHeight="false" outlineLevel="0" collapsed="false">
      <c r="A4848" s="203" t="s">
        <v>7317</v>
      </c>
    </row>
    <row r="4849" customFormat="false" ht="12" hidden="false" customHeight="false" outlineLevel="0" collapsed="false">
      <c r="A4849" s="203" t="s">
        <v>7318</v>
      </c>
    </row>
    <row r="4850" customFormat="false" ht="12" hidden="false" customHeight="false" outlineLevel="0" collapsed="false">
      <c r="A4850" s="203" t="s">
        <v>7319</v>
      </c>
    </row>
    <row r="4851" customFormat="false" ht="12" hidden="false" customHeight="false" outlineLevel="0" collapsed="false">
      <c r="A4851" s="203" t="s">
        <v>7320</v>
      </c>
    </row>
    <row r="4852" customFormat="false" ht="12" hidden="false" customHeight="false" outlineLevel="0" collapsed="false">
      <c r="A4852" s="203" t="s">
        <v>7321</v>
      </c>
    </row>
    <row r="4853" customFormat="false" ht="12" hidden="false" customHeight="false" outlineLevel="0" collapsed="false">
      <c r="A4853" s="203" t="s">
        <v>7322</v>
      </c>
    </row>
    <row r="4854" customFormat="false" ht="12" hidden="false" customHeight="false" outlineLevel="0" collapsed="false">
      <c r="A4854" s="203" t="s">
        <v>7323</v>
      </c>
    </row>
    <row r="4855" customFormat="false" ht="12" hidden="false" customHeight="false" outlineLevel="0" collapsed="false">
      <c r="A4855" s="203" t="s">
        <v>7324</v>
      </c>
    </row>
    <row r="4856" customFormat="false" ht="12" hidden="false" customHeight="false" outlineLevel="0" collapsed="false">
      <c r="A4856" s="203" t="s">
        <v>7325</v>
      </c>
    </row>
    <row r="4857" customFormat="false" ht="12" hidden="false" customHeight="false" outlineLevel="0" collapsed="false">
      <c r="A4857" s="203" t="s">
        <v>7326</v>
      </c>
    </row>
    <row r="4858" customFormat="false" ht="12" hidden="false" customHeight="false" outlineLevel="0" collapsed="false">
      <c r="A4858" s="203" t="s">
        <v>7327</v>
      </c>
    </row>
    <row r="4859" customFormat="false" ht="12" hidden="false" customHeight="false" outlineLevel="0" collapsed="false">
      <c r="A4859" s="203" t="s">
        <v>7328</v>
      </c>
    </row>
    <row r="4860" customFormat="false" ht="12" hidden="false" customHeight="false" outlineLevel="0" collapsed="false">
      <c r="A4860" s="203" t="s">
        <v>7329</v>
      </c>
    </row>
    <row r="4861" customFormat="false" ht="12" hidden="false" customHeight="false" outlineLevel="0" collapsed="false">
      <c r="A4861" s="203" t="s">
        <v>7330</v>
      </c>
    </row>
    <row r="4862" customFormat="false" ht="12" hidden="false" customHeight="false" outlineLevel="0" collapsed="false">
      <c r="A4862" s="203" t="s">
        <v>7331</v>
      </c>
    </row>
    <row r="4863" customFormat="false" ht="12" hidden="false" customHeight="false" outlineLevel="0" collapsed="false">
      <c r="A4863" s="203" t="s">
        <v>7332</v>
      </c>
    </row>
    <row r="4864" customFormat="false" ht="12" hidden="false" customHeight="false" outlineLevel="0" collapsed="false">
      <c r="A4864" s="203" t="s">
        <v>7333</v>
      </c>
    </row>
    <row r="4865" customFormat="false" ht="12" hidden="false" customHeight="false" outlineLevel="0" collapsed="false">
      <c r="A4865" s="203" t="s">
        <v>7334</v>
      </c>
    </row>
    <row r="4866" customFormat="false" ht="12" hidden="false" customHeight="false" outlineLevel="0" collapsed="false">
      <c r="A4866" s="203" t="s">
        <v>7335</v>
      </c>
    </row>
    <row r="4867" customFormat="false" ht="12" hidden="false" customHeight="false" outlineLevel="0" collapsed="false">
      <c r="A4867" s="203" t="s">
        <v>7336</v>
      </c>
    </row>
    <row r="4868" customFormat="false" ht="12" hidden="false" customHeight="false" outlineLevel="0" collapsed="false">
      <c r="A4868" s="203" t="s">
        <v>7337</v>
      </c>
    </row>
    <row r="4869" customFormat="false" ht="12" hidden="false" customHeight="false" outlineLevel="0" collapsed="false">
      <c r="A4869" s="203" t="s">
        <v>7338</v>
      </c>
    </row>
    <row r="4870" customFormat="false" ht="12" hidden="false" customHeight="false" outlineLevel="0" collapsed="false">
      <c r="A4870" s="203" t="s">
        <v>7339</v>
      </c>
    </row>
    <row r="4871" customFormat="false" ht="12" hidden="false" customHeight="false" outlineLevel="0" collapsed="false">
      <c r="A4871" s="203" t="s">
        <v>7340</v>
      </c>
    </row>
    <row r="4872" customFormat="false" ht="12" hidden="false" customHeight="false" outlineLevel="0" collapsed="false">
      <c r="A4872" s="203" t="s">
        <v>7341</v>
      </c>
    </row>
    <row r="4873" customFormat="false" ht="12" hidden="false" customHeight="false" outlineLevel="0" collapsed="false">
      <c r="A4873" s="203" t="s">
        <v>7342</v>
      </c>
    </row>
    <row r="4874" customFormat="false" ht="12" hidden="false" customHeight="false" outlineLevel="0" collapsed="false">
      <c r="A4874" s="203" t="s">
        <v>7343</v>
      </c>
    </row>
    <row r="4875" customFormat="false" ht="12" hidden="false" customHeight="false" outlineLevel="0" collapsed="false">
      <c r="A4875" s="203" t="s">
        <v>7344</v>
      </c>
    </row>
    <row r="4876" customFormat="false" ht="12" hidden="false" customHeight="false" outlineLevel="0" collapsed="false">
      <c r="A4876" s="203" t="s">
        <v>7345</v>
      </c>
    </row>
    <row r="4877" customFormat="false" ht="12" hidden="false" customHeight="false" outlineLevel="0" collapsed="false">
      <c r="A4877" s="203" t="s">
        <v>7346</v>
      </c>
    </row>
    <row r="4878" customFormat="false" ht="12" hidden="false" customHeight="false" outlineLevel="0" collapsed="false">
      <c r="A4878" s="203" t="s">
        <v>7347</v>
      </c>
    </row>
    <row r="4879" customFormat="false" ht="12" hidden="false" customHeight="false" outlineLevel="0" collapsed="false">
      <c r="A4879" s="203" t="s">
        <v>7348</v>
      </c>
    </row>
    <row r="4880" customFormat="false" ht="12" hidden="false" customHeight="false" outlineLevel="0" collapsed="false">
      <c r="A4880" s="203" t="s">
        <v>7349</v>
      </c>
    </row>
    <row r="4881" customFormat="false" ht="12" hidden="false" customHeight="false" outlineLevel="0" collapsed="false">
      <c r="A4881" s="203" t="s">
        <v>7350</v>
      </c>
    </row>
    <row r="4882" customFormat="false" ht="12" hidden="false" customHeight="false" outlineLevel="0" collapsed="false">
      <c r="A4882" s="203" t="s">
        <v>7351</v>
      </c>
    </row>
    <row r="4883" customFormat="false" ht="12" hidden="false" customHeight="false" outlineLevel="0" collapsed="false">
      <c r="A4883" s="203" t="s">
        <v>7352</v>
      </c>
    </row>
    <row r="4884" customFormat="false" ht="12" hidden="false" customHeight="false" outlineLevel="0" collapsed="false">
      <c r="A4884" s="203" t="s">
        <v>7353</v>
      </c>
    </row>
    <row r="4885" customFormat="false" ht="12" hidden="false" customHeight="false" outlineLevel="0" collapsed="false">
      <c r="A4885" s="203" t="s">
        <v>7354</v>
      </c>
    </row>
    <row r="4886" customFormat="false" ht="12" hidden="false" customHeight="false" outlineLevel="0" collapsed="false">
      <c r="A4886" s="203" t="s">
        <v>7355</v>
      </c>
    </row>
    <row r="4887" customFormat="false" ht="12" hidden="false" customHeight="false" outlineLevel="0" collapsed="false">
      <c r="A4887" s="203" t="s">
        <v>7356</v>
      </c>
    </row>
    <row r="4888" customFormat="false" ht="12" hidden="false" customHeight="false" outlineLevel="0" collapsed="false">
      <c r="A4888" s="203" t="s">
        <v>7357</v>
      </c>
    </row>
    <row r="4889" customFormat="false" ht="12" hidden="false" customHeight="false" outlineLevel="0" collapsed="false">
      <c r="A4889" s="203" t="s">
        <v>7358</v>
      </c>
    </row>
    <row r="4890" customFormat="false" ht="12" hidden="false" customHeight="false" outlineLevel="0" collapsed="false">
      <c r="A4890" s="203" t="s">
        <v>7359</v>
      </c>
    </row>
    <row r="4891" customFormat="false" ht="12" hidden="false" customHeight="false" outlineLevel="0" collapsed="false">
      <c r="A4891" s="203" t="s">
        <v>7360</v>
      </c>
    </row>
    <row r="4892" customFormat="false" ht="12" hidden="false" customHeight="false" outlineLevel="0" collapsed="false">
      <c r="A4892" s="203" t="s">
        <v>7361</v>
      </c>
    </row>
    <row r="4893" customFormat="false" ht="12" hidden="false" customHeight="false" outlineLevel="0" collapsed="false">
      <c r="A4893" s="203" t="s">
        <v>7362</v>
      </c>
    </row>
    <row r="4894" customFormat="false" ht="12" hidden="false" customHeight="false" outlineLevel="0" collapsed="false">
      <c r="A4894" s="203" t="s">
        <v>7363</v>
      </c>
    </row>
    <row r="4895" customFormat="false" ht="12" hidden="false" customHeight="false" outlineLevel="0" collapsed="false">
      <c r="A4895" s="203" t="s">
        <v>7364</v>
      </c>
    </row>
    <row r="4896" customFormat="false" ht="12" hidden="false" customHeight="false" outlineLevel="0" collapsed="false">
      <c r="A4896" s="203" t="s">
        <v>7365</v>
      </c>
    </row>
    <row r="4897" customFormat="false" ht="12" hidden="false" customHeight="false" outlineLevel="0" collapsed="false">
      <c r="A4897" s="203" t="s">
        <v>7366</v>
      </c>
    </row>
    <row r="4898" customFormat="false" ht="12" hidden="false" customHeight="false" outlineLevel="0" collapsed="false">
      <c r="A4898" s="203" t="s">
        <v>7367</v>
      </c>
    </row>
    <row r="4899" customFormat="false" ht="12" hidden="false" customHeight="false" outlineLevel="0" collapsed="false">
      <c r="A4899" s="203" t="s">
        <v>7368</v>
      </c>
    </row>
    <row r="4900" customFormat="false" ht="12" hidden="false" customHeight="false" outlineLevel="0" collapsed="false">
      <c r="A4900" s="203" t="s">
        <v>7369</v>
      </c>
    </row>
    <row r="4901" customFormat="false" ht="12" hidden="false" customHeight="false" outlineLevel="0" collapsed="false">
      <c r="A4901" s="203" t="s">
        <v>7370</v>
      </c>
    </row>
    <row r="4902" customFormat="false" ht="12" hidden="false" customHeight="false" outlineLevel="0" collapsed="false">
      <c r="A4902" s="203" t="s">
        <v>7371</v>
      </c>
    </row>
    <row r="4903" customFormat="false" ht="12" hidden="false" customHeight="false" outlineLevel="0" collapsed="false">
      <c r="A4903" s="203" t="s">
        <v>7372</v>
      </c>
    </row>
    <row r="4904" customFormat="false" ht="12" hidden="false" customHeight="false" outlineLevel="0" collapsed="false">
      <c r="A4904" s="203" t="s">
        <v>7373</v>
      </c>
    </row>
    <row r="4905" customFormat="false" ht="12" hidden="false" customHeight="false" outlineLevel="0" collapsed="false">
      <c r="A4905" s="203" t="s">
        <v>7374</v>
      </c>
    </row>
    <row r="4906" customFormat="false" ht="12" hidden="false" customHeight="false" outlineLevel="0" collapsed="false">
      <c r="A4906" s="203" t="s">
        <v>7375</v>
      </c>
    </row>
    <row r="4907" customFormat="false" ht="12" hidden="false" customHeight="false" outlineLevel="0" collapsed="false">
      <c r="A4907" s="203" t="s">
        <v>7376</v>
      </c>
    </row>
    <row r="4908" customFormat="false" ht="12" hidden="false" customHeight="false" outlineLevel="0" collapsed="false">
      <c r="A4908" s="203" t="s">
        <v>7377</v>
      </c>
    </row>
    <row r="4909" customFormat="false" ht="12" hidden="false" customHeight="false" outlineLevel="0" collapsed="false">
      <c r="A4909" s="203" t="s">
        <v>7378</v>
      </c>
    </row>
    <row r="4910" customFormat="false" ht="12" hidden="false" customHeight="false" outlineLevel="0" collapsed="false">
      <c r="A4910" s="203" t="s">
        <v>7379</v>
      </c>
    </row>
    <row r="4911" customFormat="false" ht="12" hidden="false" customHeight="false" outlineLevel="0" collapsed="false">
      <c r="A4911" s="203" t="s">
        <v>7380</v>
      </c>
    </row>
    <row r="4912" customFormat="false" ht="12" hidden="false" customHeight="false" outlineLevel="0" collapsed="false">
      <c r="A4912" s="203" t="s">
        <v>7381</v>
      </c>
    </row>
    <row r="4913" customFormat="false" ht="12" hidden="false" customHeight="false" outlineLevel="0" collapsed="false">
      <c r="A4913" s="203" t="s">
        <v>7382</v>
      </c>
    </row>
    <row r="4914" customFormat="false" ht="12" hidden="false" customHeight="false" outlineLevel="0" collapsed="false">
      <c r="A4914" s="203" t="s">
        <v>7383</v>
      </c>
    </row>
    <row r="4915" customFormat="false" ht="12" hidden="false" customHeight="false" outlineLevel="0" collapsed="false">
      <c r="A4915" s="203" t="s">
        <v>7384</v>
      </c>
    </row>
    <row r="4916" customFormat="false" ht="12" hidden="false" customHeight="false" outlineLevel="0" collapsed="false">
      <c r="A4916" s="203" t="s">
        <v>7385</v>
      </c>
    </row>
    <row r="4917" customFormat="false" ht="12" hidden="false" customHeight="false" outlineLevel="0" collapsed="false">
      <c r="A4917" s="203" t="s">
        <v>7386</v>
      </c>
    </row>
    <row r="4918" customFormat="false" ht="12" hidden="false" customHeight="false" outlineLevel="0" collapsed="false">
      <c r="A4918" s="203" t="s">
        <v>7387</v>
      </c>
    </row>
    <row r="4919" customFormat="false" ht="12" hidden="false" customHeight="false" outlineLevel="0" collapsed="false">
      <c r="A4919" s="203" t="s">
        <v>7388</v>
      </c>
    </row>
    <row r="4920" customFormat="false" ht="12" hidden="false" customHeight="false" outlineLevel="0" collapsed="false">
      <c r="A4920" s="203" t="s">
        <v>7389</v>
      </c>
    </row>
    <row r="4921" customFormat="false" ht="12" hidden="false" customHeight="false" outlineLevel="0" collapsed="false">
      <c r="A4921" s="203" t="s">
        <v>7390</v>
      </c>
    </row>
    <row r="4922" customFormat="false" ht="12" hidden="false" customHeight="false" outlineLevel="0" collapsed="false">
      <c r="A4922" s="203" t="s">
        <v>7391</v>
      </c>
    </row>
    <row r="4923" customFormat="false" ht="12" hidden="false" customHeight="false" outlineLevel="0" collapsed="false">
      <c r="A4923" s="203" t="s">
        <v>7392</v>
      </c>
    </row>
    <row r="4924" customFormat="false" ht="12" hidden="false" customHeight="false" outlineLevel="0" collapsed="false">
      <c r="A4924" s="203" t="s">
        <v>7393</v>
      </c>
    </row>
    <row r="4925" customFormat="false" ht="12" hidden="false" customHeight="false" outlineLevel="0" collapsed="false">
      <c r="A4925" s="203" t="s">
        <v>7394</v>
      </c>
    </row>
    <row r="4926" customFormat="false" ht="12" hidden="false" customHeight="false" outlineLevel="0" collapsed="false">
      <c r="A4926" s="203" t="s">
        <v>7395</v>
      </c>
    </row>
    <row r="4927" customFormat="false" ht="12" hidden="false" customHeight="false" outlineLevel="0" collapsed="false">
      <c r="A4927" s="203" t="s">
        <v>7396</v>
      </c>
    </row>
    <row r="4928" customFormat="false" ht="12" hidden="false" customHeight="false" outlineLevel="0" collapsed="false">
      <c r="A4928" s="203" t="s">
        <v>7397</v>
      </c>
    </row>
    <row r="4929" customFormat="false" ht="12" hidden="false" customHeight="false" outlineLevel="0" collapsed="false">
      <c r="A4929" s="203" t="s">
        <v>7398</v>
      </c>
    </row>
    <row r="4930" customFormat="false" ht="12" hidden="false" customHeight="false" outlineLevel="0" collapsed="false">
      <c r="A4930" s="203" t="s">
        <v>7399</v>
      </c>
    </row>
    <row r="4931" customFormat="false" ht="12" hidden="false" customHeight="false" outlineLevel="0" collapsed="false">
      <c r="A4931" s="203" t="s">
        <v>7400</v>
      </c>
    </row>
    <row r="4932" customFormat="false" ht="12" hidden="false" customHeight="false" outlineLevel="0" collapsed="false">
      <c r="A4932" s="203" t="s">
        <v>7401</v>
      </c>
    </row>
    <row r="4933" customFormat="false" ht="12" hidden="false" customHeight="false" outlineLevel="0" collapsed="false">
      <c r="A4933" s="203" t="s">
        <v>7402</v>
      </c>
    </row>
    <row r="4934" customFormat="false" ht="12" hidden="false" customHeight="false" outlineLevel="0" collapsed="false">
      <c r="A4934" s="203" t="s">
        <v>7403</v>
      </c>
    </row>
    <row r="4935" customFormat="false" ht="12" hidden="false" customHeight="false" outlineLevel="0" collapsed="false">
      <c r="A4935" s="203" t="s">
        <v>7404</v>
      </c>
    </row>
    <row r="4936" customFormat="false" ht="12" hidden="false" customHeight="false" outlineLevel="0" collapsed="false">
      <c r="A4936" s="203" t="s">
        <v>7405</v>
      </c>
    </row>
    <row r="4937" customFormat="false" ht="12" hidden="false" customHeight="false" outlineLevel="0" collapsed="false">
      <c r="A4937" s="203" t="s">
        <v>7406</v>
      </c>
    </row>
    <row r="4938" customFormat="false" ht="12" hidden="false" customHeight="false" outlineLevel="0" collapsed="false">
      <c r="A4938" s="203" t="s">
        <v>7407</v>
      </c>
    </row>
    <row r="4939" customFormat="false" ht="12" hidden="false" customHeight="false" outlineLevel="0" collapsed="false">
      <c r="A4939" s="203" t="s">
        <v>7408</v>
      </c>
    </row>
    <row r="4940" customFormat="false" ht="12" hidden="false" customHeight="false" outlineLevel="0" collapsed="false">
      <c r="A4940" s="203" t="s">
        <v>7409</v>
      </c>
    </row>
    <row r="4941" customFormat="false" ht="12" hidden="false" customHeight="false" outlineLevel="0" collapsed="false">
      <c r="A4941" s="203" t="s">
        <v>7410</v>
      </c>
    </row>
    <row r="4942" customFormat="false" ht="12" hidden="false" customHeight="false" outlineLevel="0" collapsed="false">
      <c r="A4942" s="203" t="s">
        <v>7411</v>
      </c>
    </row>
    <row r="4943" customFormat="false" ht="12" hidden="false" customHeight="false" outlineLevel="0" collapsed="false">
      <c r="A4943" s="203" t="s">
        <v>7412</v>
      </c>
    </row>
    <row r="4944" customFormat="false" ht="12" hidden="false" customHeight="false" outlineLevel="0" collapsed="false">
      <c r="A4944" s="203" t="s">
        <v>7413</v>
      </c>
    </row>
    <row r="4945" customFormat="false" ht="12" hidden="false" customHeight="false" outlineLevel="0" collapsed="false">
      <c r="A4945" s="203" t="s">
        <v>7414</v>
      </c>
    </row>
    <row r="4946" customFormat="false" ht="12" hidden="false" customHeight="false" outlineLevel="0" collapsed="false">
      <c r="A4946" s="203" t="s">
        <v>7415</v>
      </c>
    </row>
    <row r="4947" customFormat="false" ht="12" hidden="false" customHeight="false" outlineLevel="0" collapsed="false">
      <c r="A4947" s="203" t="s">
        <v>7416</v>
      </c>
    </row>
    <row r="4948" customFormat="false" ht="12" hidden="false" customHeight="false" outlineLevel="0" collapsed="false">
      <c r="A4948" s="203" t="s">
        <v>7417</v>
      </c>
    </row>
    <row r="4949" customFormat="false" ht="12" hidden="false" customHeight="false" outlineLevel="0" collapsed="false">
      <c r="A4949" s="203" t="s">
        <v>7418</v>
      </c>
    </row>
    <row r="4950" customFormat="false" ht="12" hidden="false" customHeight="false" outlineLevel="0" collapsed="false">
      <c r="A4950" s="203" t="s">
        <v>7419</v>
      </c>
    </row>
    <row r="4951" customFormat="false" ht="12" hidden="false" customHeight="false" outlineLevel="0" collapsed="false">
      <c r="A4951" s="203" t="s">
        <v>7420</v>
      </c>
    </row>
    <row r="4952" customFormat="false" ht="12" hidden="false" customHeight="false" outlineLevel="0" collapsed="false">
      <c r="A4952" s="203" t="s">
        <v>7421</v>
      </c>
    </row>
    <row r="4953" customFormat="false" ht="12" hidden="false" customHeight="false" outlineLevel="0" collapsed="false">
      <c r="A4953" s="203" t="s">
        <v>7422</v>
      </c>
    </row>
    <row r="4954" customFormat="false" ht="12" hidden="false" customHeight="false" outlineLevel="0" collapsed="false">
      <c r="A4954" s="203" t="s">
        <v>7423</v>
      </c>
    </row>
    <row r="4955" customFormat="false" ht="12" hidden="false" customHeight="false" outlineLevel="0" collapsed="false">
      <c r="A4955" s="203" t="s">
        <v>7424</v>
      </c>
    </row>
    <row r="4956" customFormat="false" ht="12" hidden="false" customHeight="false" outlineLevel="0" collapsed="false">
      <c r="A4956" s="203" t="s">
        <v>7425</v>
      </c>
    </row>
    <row r="4957" customFormat="false" ht="12" hidden="false" customHeight="false" outlineLevel="0" collapsed="false">
      <c r="A4957" s="203" t="s">
        <v>7426</v>
      </c>
    </row>
    <row r="4958" customFormat="false" ht="12" hidden="false" customHeight="false" outlineLevel="0" collapsed="false">
      <c r="A4958" s="203" t="s">
        <v>7427</v>
      </c>
    </row>
    <row r="4959" customFormat="false" ht="12" hidden="false" customHeight="false" outlineLevel="0" collapsed="false">
      <c r="A4959" s="203" t="s">
        <v>7428</v>
      </c>
    </row>
    <row r="4960" customFormat="false" ht="12" hidden="false" customHeight="false" outlineLevel="0" collapsed="false">
      <c r="A4960" s="203" t="s">
        <v>7429</v>
      </c>
    </row>
    <row r="4961" customFormat="false" ht="12" hidden="false" customHeight="false" outlineLevel="0" collapsed="false">
      <c r="A4961" s="203" t="s">
        <v>7430</v>
      </c>
    </row>
    <row r="4962" customFormat="false" ht="12" hidden="false" customHeight="false" outlineLevel="0" collapsed="false">
      <c r="A4962" s="203" t="s">
        <v>7431</v>
      </c>
    </row>
    <row r="4963" customFormat="false" ht="12" hidden="false" customHeight="false" outlineLevel="0" collapsed="false">
      <c r="A4963" s="203" t="s">
        <v>7432</v>
      </c>
    </row>
    <row r="4964" customFormat="false" ht="12" hidden="false" customHeight="false" outlineLevel="0" collapsed="false">
      <c r="A4964" s="203" t="s">
        <v>7433</v>
      </c>
    </row>
    <row r="4965" customFormat="false" ht="12" hidden="false" customHeight="false" outlineLevel="0" collapsed="false">
      <c r="A4965" s="203" t="s">
        <v>7434</v>
      </c>
    </row>
    <row r="4966" customFormat="false" ht="12" hidden="false" customHeight="false" outlineLevel="0" collapsed="false">
      <c r="A4966" s="203" t="s">
        <v>7435</v>
      </c>
    </row>
    <row r="4967" customFormat="false" ht="12" hidden="false" customHeight="false" outlineLevel="0" collapsed="false">
      <c r="A4967" s="203" t="s">
        <v>7436</v>
      </c>
    </row>
    <row r="4968" customFormat="false" ht="12" hidden="false" customHeight="false" outlineLevel="0" collapsed="false">
      <c r="A4968" s="203" t="s">
        <v>7437</v>
      </c>
    </row>
    <row r="4969" customFormat="false" ht="12" hidden="false" customHeight="false" outlineLevel="0" collapsed="false">
      <c r="A4969" s="203" t="s">
        <v>7438</v>
      </c>
    </row>
    <row r="4970" customFormat="false" ht="12" hidden="false" customHeight="false" outlineLevel="0" collapsed="false">
      <c r="A4970" s="203" t="s">
        <v>7439</v>
      </c>
    </row>
    <row r="4971" customFormat="false" ht="12" hidden="false" customHeight="false" outlineLevel="0" collapsed="false">
      <c r="A4971" s="203" t="s">
        <v>7440</v>
      </c>
    </row>
    <row r="4972" customFormat="false" ht="12" hidden="false" customHeight="false" outlineLevel="0" collapsed="false">
      <c r="A4972" s="203" t="s">
        <v>7441</v>
      </c>
    </row>
    <row r="4973" customFormat="false" ht="12" hidden="false" customHeight="false" outlineLevel="0" collapsed="false">
      <c r="A4973" s="203" t="s">
        <v>7442</v>
      </c>
    </row>
    <row r="4974" customFormat="false" ht="12" hidden="false" customHeight="false" outlineLevel="0" collapsed="false">
      <c r="A4974" s="203" t="s">
        <v>7443</v>
      </c>
    </row>
    <row r="4975" customFormat="false" ht="12" hidden="false" customHeight="false" outlineLevel="0" collapsed="false">
      <c r="A4975" s="203" t="s">
        <v>7444</v>
      </c>
    </row>
    <row r="4976" customFormat="false" ht="12" hidden="false" customHeight="false" outlineLevel="0" collapsed="false">
      <c r="A4976" s="203" t="s">
        <v>7445</v>
      </c>
    </row>
    <row r="4977" customFormat="false" ht="12" hidden="false" customHeight="false" outlineLevel="0" collapsed="false">
      <c r="A4977" s="203" t="s">
        <v>7446</v>
      </c>
    </row>
    <row r="4978" customFormat="false" ht="12" hidden="false" customHeight="false" outlineLevel="0" collapsed="false">
      <c r="A4978" s="203" t="s">
        <v>7447</v>
      </c>
    </row>
    <row r="4979" customFormat="false" ht="12" hidden="false" customHeight="false" outlineLevel="0" collapsed="false">
      <c r="A4979" s="203" t="s">
        <v>7448</v>
      </c>
    </row>
    <row r="4980" customFormat="false" ht="12" hidden="false" customHeight="false" outlineLevel="0" collapsed="false">
      <c r="A4980" s="203" t="s">
        <v>7449</v>
      </c>
    </row>
    <row r="4981" customFormat="false" ht="12" hidden="false" customHeight="false" outlineLevel="0" collapsed="false">
      <c r="A4981" s="203" t="s">
        <v>7450</v>
      </c>
    </row>
    <row r="4982" customFormat="false" ht="12" hidden="false" customHeight="false" outlineLevel="0" collapsed="false">
      <c r="A4982" s="203" t="s">
        <v>7451</v>
      </c>
    </row>
    <row r="4983" customFormat="false" ht="12" hidden="false" customHeight="false" outlineLevel="0" collapsed="false">
      <c r="A4983" s="203" t="s">
        <v>7452</v>
      </c>
    </row>
    <row r="4984" customFormat="false" ht="12" hidden="false" customHeight="false" outlineLevel="0" collapsed="false">
      <c r="A4984" s="203" t="s">
        <v>7453</v>
      </c>
    </row>
    <row r="4985" customFormat="false" ht="12" hidden="false" customHeight="false" outlineLevel="0" collapsed="false">
      <c r="A4985" s="203" t="s">
        <v>7454</v>
      </c>
    </row>
    <row r="4986" customFormat="false" ht="12" hidden="false" customHeight="false" outlineLevel="0" collapsed="false">
      <c r="A4986" s="203" t="s">
        <v>7455</v>
      </c>
    </row>
    <row r="4987" customFormat="false" ht="12" hidden="false" customHeight="false" outlineLevel="0" collapsed="false">
      <c r="A4987" s="203" t="s">
        <v>7456</v>
      </c>
    </row>
    <row r="4988" customFormat="false" ht="12" hidden="false" customHeight="false" outlineLevel="0" collapsed="false">
      <c r="A4988" s="203" t="s">
        <v>7457</v>
      </c>
    </row>
    <row r="4989" customFormat="false" ht="12" hidden="false" customHeight="false" outlineLevel="0" collapsed="false">
      <c r="A4989" s="203" t="s">
        <v>7458</v>
      </c>
    </row>
    <row r="4990" customFormat="false" ht="12" hidden="false" customHeight="false" outlineLevel="0" collapsed="false">
      <c r="A4990" s="203" t="s">
        <v>7459</v>
      </c>
    </row>
    <row r="4991" customFormat="false" ht="12" hidden="false" customHeight="false" outlineLevel="0" collapsed="false">
      <c r="A4991" s="203" t="s">
        <v>7460</v>
      </c>
    </row>
    <row r="4992" customFormat="false" ht="12" hidden="false" customHeight="false" outlineLevel="0" collapsed="false">
      <c r="A4992" s="203" t="s">
        <v>7461</v>
      </c>
    </row>
    <row r="4993" customFormat="false" ht="12" hidden="false" customHeight="false" outlineLevel="0" collapsed="false">
      <c r="A4993" s="203" t="s">
        <v>7462</v>
      </c>
    </row>
    <row r="4994" customFormat="false" ht="12" hidden="false" customHeight="false" outlineLevel="0" collapsed="false">
      <c r="A4994" s="203" t="s">
        <v>7463</v>
      </c>
    </row>
    <row r="4995" customFormat="false" ht="12" hidden="false" customHeight="false" outlineLevel="0" collapsed="false">
      <c r="A4995" s="203" t="s">
        <v>7464</v>
      </c>
    </row>
    <row r="4996" customFormat="false" ht="12" hidden="false" customHeight="false" outlineLevel="0" collapsed="false">
      <c r="A4996" s="203" t="s">
        <v>7465</v>
      </c>
    </row>
    <row r="4997" customFormat="false" ht="12" hidden="false" customHeight="false" outlineLevel="0" collapsed="false">
      <c r="A4997" s="203" t="s">
        <v>7466</v>
      </c>
    </row>
    <row r="4998" customFormat="false" ht="12" hidden="false" customHeight="false" outlineLevel="0" collapsed="false">
      <c r="A4998" s="203" t="s">
        <v>7467</v>
      </c>
    </row>
    <row r="4999" customFormat="false" ht="12" hidden="false" customHeight="false" outlineLevel="0" collapsed="false">
      <c r="A4999" s="203" t="s">
        <v>7468</v>
      </c>
    </row>
    <row r="5000" customFormat="false" ht="12" hidden="false" customHeight="false" outlineLevel="0" collapsed="false">
      <c r="A5000" s="203" t="s">
        <v>7469</v>
      </c>
    </row>
    <row r="5001" customFormat="false" ht="12" hidden="false" customHeight="false" outlineLevel="0" collapsed="false">
      <c r="A5001" s="203" t="s">
        <v>7470</v>
      </c>
    </row>
    <row r="5002" customFormat="false" ht="12" hidden="false" customHeight="false" outlineLevel="0" collapsed="false">
      <c r="A5002" s="203" t="s">
        <v>7471</v>
      </c>
    </row>
    <row r="5003" customFormat="false" ht="12" hidden="false" customHeight="false" outlineLevel="0" collapsed="false">
      <c r="A5003" s="203" t="s">
        <v>7472</v>
      </c>
    </row>
    <row r="5004" customFormat="false" ht="12" hidden="false" customHeight="false" outlineLevel="0" collapsed="false">
      <c r="A5004" s="203" t="s">
        <v>7473</v>
      </c>
    </row>
    <row r="5005" customFormat="false" ht="12" hidden="false" customHeight="false" outlineLevel="0" collapsed="false">
      <c r="A5005" s="203" t="s">
        <v>7474</v>
      </c>
    </row>
    <row r="5006" customFormat="false" ht="12" hidden="false" customHeight="false" outlineLevel="0" collapsed="false">
      <c r="A5006" s="203" t="s">
        <v>7475</v>
      </c>
    </row>
    <row r="5007" customFormat="false" ht="12" hidden="false" customHeight="false" outlineLevel="0" collapsed="false">
      <c r="A5007" s="203" t="s">
        <v>7476</v>
      </c>
    </row>
    <row r="5008" customFormat="false" ht="12" hidden="false" customHeight="false" outlineLevel="0" collapsed="false">
      <c r="A5008" s="203" t="s">
        <v>7477</v>
      </c>
    </row>
    <row r="5009" customFormat="false" ht="12" hidden="false" customHeight="false" outlineLevel="0" collapsed="false">
      <c r="A5009" s="203" t="s">
        <v>7478</v>
      </c>
    </row>
    <row r="5010" customFormat="false" ht="12" hidden="false" customHeight="false" outlineLevel="0" collapsed="false">
      <c r="A5010" s="203" t="s">
        <v>7479</v>
      </c>
    </row>
    <row r="5011" customFormat="false" ht="12" hidden="false" customHeight="false" outlineLevel="0" collapsed="false">
      <c r="A5011" s="203" t="s">
        <v>7480</v>
      </c>
    </row>
    <row r="5012" customFormat="false" ht="12" hidden="false" customHeight="false" outlineLevel="0" collapsed="false">
      <c r="A5012" s="203" t="s">
        <v>7481</v>
      </c>
    </row>
    <row r="5013" customFormat="false" ht="12" hidden="false" customHeight="false" outlineLevel="0" collapsed="false">
      <c r="A5013" s="203" t="s">
        <v>7482</v>
      </c>
    </row>
    <row r="5014" customFormat="false" ht="12" hidden="false" customHeight="false" outlineLevel="0" collapsed="false">
      <c r="A5014" s="203" t="s">
        <v>7483</v>
      </c>
    </row>
    <row r="5015" customFormat="false" ht="12" hidden="false" customHeight="false" outlineLevel="0" collapsed="false">
      <c r="A5015" s="203" t="s">
        <v>7484</v>
      </c>
    </row>
    <row r="5016" customFormat="false" ht="12" hidden="false" customHeight="false" outlineLevel="0" collapsed="false">
      <c r="A5016" s="203" t="s">
        <v>7485</v>
      </c>
    </row>
    <row r="5017" customFormat="false" ht="12" hidden="false" customHeight="false" outlineLevel="0" collapsed="false">
      <c r="A5017" s="203" t="s">
        <v>7486</v>
      </c>
    </row>
    <row r="5018" customFormat="false" ht="12" hidden="false" customHeight="false" outlineLevel="0" collapsed="false">
      <c r="A5018" s="203" t="s">
        <v>7487</v>
      </c>
    </row>
    <row r="5019" customFormat="false" ht="12" hidden="false" customHeight="false" outlineLevel="0" collapsed="false">
      <c r="A5019" s="203" t="s">
        <v>7488</v>
      </c>
    </row>
    <row r="5020" customFormat="false" ht="12" hidden="false" customHeight="false" outlineLevel="0" collapsed="false">
      <c r="A5020" s="203" t="s">
        <v>7489</v>
      </c>
    </row>
    <row r="5021" customFormat="false" ht="12" hidden="false" customHeight="false" outlineLevel="0" collapsed="false">
      <c r="A5021" s="203" t="s">
        <v>7490</v>
      </c>
    </row>
    <row r="5022" customFormat="false" ht="12" hidden="false" customHeight="false" outlineLevel="0" collapsed="false">
      <c r="A5022" s="203" t="s">
        <v>7491</v>
      </c>
    </row>
    <row r="5023" customFormat="false" ht="12" hidden="false" customHeight="false" outlineLevel="0" collapsed="false">
      <c r="A5023" s="203" t="s">
        <v>7492</v>
      </c>
    </row>
    <row r="5024" customFormat="false" ht="12" hidden="false" customHeight="false" outlineLevel="0" collapsed="false">
      <c r="A5024" s="203" t="s">
        <v>7493</v>
      </c>
    </row>
    <row r="5025" customFormat="false" ht="12" hidden="false" customHeight="false" outlineLevel="0" collapsed="false">
      <c r="A5025" s="203" t="s">
        <v>7494</v>
      </c>
    </row>
    <row r="5026" customFormat="false" ht="12" hidden="false" customHeight="false" outlineLevel="0" collapsed="false">
      <c r="A5026" s="203" t="s">
        <v>7495</v>
      </c>
    </row>
    <row r="5027" customFormat="false" ht="12" hidden="false" customHeight="false" outlineLevel="0" collapsed="false">
      <c r="A5027" s="203" t="s">
        <v>7496</v>
      </c>
    </row>
    <row r="5028" customFormat="false" ht="12" hidden="false" customHeight="false" outlineLevel="0" collapsed="false">
      <c r="A5028" s="203" t="s">
        <v>7497</v>
      </c>
    </row>
    <row r="5029" customFormat="false" ht="12" hidden="false" customHeight="false" outlineLevel="0" collapsed="false">
      <c r="A5029" s="203" t="s">
        <v>7498</v>
      </c>
    </row>
    <row r="5030" customFormat="false" ht="12" hidden="false" customHeight="false" outlineLevel="0" collapsed="false">
      <c r="A5030" s="203" t="s">
        <v>7499</v>
      </c>
    </row>
    <row r="5031" customFormat="false" ht="12" hidden="false" customHeight="false" outlineLevel="0" collapsed="false">
      <c r="A5031" s="203" t="s">
        <v>7500</v>
      </c>
    </row>
    <row r="5032" customFormat="false" ht="12" hidden="false" customHeight="false" outlineLevel="0" collapsed="false">
      <c r="A5032" s="203" t="s">
        <v>7501</v>
      </c>
    </row>
    <row r="5033" customFormat="false" ht="12" hidden="false" customHeight="false" outlineLevel="0" collapsed="false">
      <c r="A5033" s="203" t="s">
        <v>7502</v>
      </c>
    </row>
    <row r="5034" customFormat="false" ht="12" hidden="false" customHeight="false" outlineLevel="0" collapsed="false">
      <c r="A5034" s="203" t="s">
        <v>7503</v>
      </c>
    </row>
    <row r="5035" customFormat="false" ht="12" hidden="false" customHeight="false" outlineLevel="0" collapsed="false">
      <c r="A5035" s="203" t="s">
        <v>7504</v>
      </c>
    </row>
    <row r="5036" customFormat="false" ht="12" hidden="false" customHeight="false" outlineLevel="0" collapsed="false">
      <c r="A5036" s="203" t="s">
        <v>7505</v>
      </c>
    </row>
    <row r="5037" customFormat="false" ht="12" hidden="false" customHeight="false" outlineLevel="0" collapsed="false">
      <c r="A5037" s="203" t="s">
        <v>7506</v>
      </c>
    </row>
    <row r="5038" customFormat="false" ht="12" hidden="false" customHeight="false" outlineLevel="0" collapsed="false">
      <c r="A5038" s="203" t="s">
        <v>7507</v>
      </c>
    </row>
    <row r="5039" customFormat="false" ht="12" hidden="false" customHeight="false" outlineLevel="0" collapsed="false">
      <c r="A5039" s="203" t="s">
        <v>7508</v>
      </c>
    </row>
    <row r="5040" customFormat="false" ht="12" hidden="false" customHeight="false" outlineLevel="0" collapsed="false">
      <c r="A5040" s="203" t="s">
        <v>7509</v>
      </c>
    </row>
    <row r="5041" customFormat="false" ht="12" hidden="false" customHeight="false" outlineLevel="0" collapsed="false">
      <c r="A5041" s="203" t="s">
        <v>7510</v>
      </c>
    </row>
    <row r="5042" customFormat="false" ht="12" hidden="false" customHeight="false" outlineLevel="0" collapsed="false">
      <c r="A5042" s="203" t="s">
        <v>7511</v>
      </c>
    </row>
    <row r="5043" customFormat="false" ht="12" hidden="false" customHeight="false" outlineLevel="0" collapsed="false">
      <c r="A5043" s="203" t="s">
        <v>7512</v>
      </c>
    </row>
    <row r="5044" customFormat="false" ht="12" hidden="false" customHeight="false" outlineLevel="0" collapsed="false">
      <c r="A5044" s="203" t="s">
        <v>7513</v>
      </c>
    </row>
    <row r="5045" customFormat="false" ht="12" hidden="false" customHeight="false" outlineLevel="0" collapsed="false">
      <c r="A5045" s="203" t="s">
        <v>7514</v>
      </c>
    </row>
    <row r="5046" customFormat="false" ht="12" hidden="false" customHeight="false" outlineLevel="0" collapsed="false">
      <c r="A5046" s="203" t="s">
        <v>7515</v>
      </c>
    </row>
    <row r="5047" customFormat="false" ht="12" hidden="false" customHeight="false" outlineLevel="0" collapsed="false">
      <c r="A5047" s="203" t="s">
        <v>7516</v>
      </c>
    </row>
    <row r="5048" customFormat="false" ht="12" hidden="false" customHeight="false" outlineLevel="0" collapsed="false">
      <c r="A5048" s="203" t="s">
        <v>7517</v>
      </c>
    </row>
    <row r="5049" customFormat="false" ht="12" hidden="false" customHeight="false" outlineLevel="0" collapsed="false">
      <c r="A5049" s="203" t="s">
        <v>7518</v>
      </c>
    </row>
    <row r="5050" customFormat="false" ht="12" hidden="false" customHeight="false" outlineLevel="0" collapsed="false">
      <c r="A5050" s="203" t="s">
        <v>7519</v>
      </c>
    </row>
    <row r="5051" customFormat="false" ht="12" hidden="false" customHeight="false" outlineLevel="0" collapsed="false">
      <c r="A5051" s="203" t="s">
        <v>7520</v>
      </c>
    </row>
    <row r="5052" customFormat="false" ht="12" hidden="false" customHeight="false" outlineLevel="0" collapsed="false">
      <c r="A5052" s="203" t="s">
        <v>7521</v>
      </c>
    </row>
    <row r="5053" customFormat="false" ht="12" hidden="false" customHeight="false" outlineLevel="0" collapsed="false">
      <c r="A5053" s="203" t="s">
        <v>7522</v>
      </c>
    </row>
    <row r="5054" customFormat="false" ht="12" hidden="false" customHeight="false" outlineLevel="0" collapsed="false">
      <c r="A5054" s="203" t="s">
        <v>7523</v>
      </c>
    </row>
    <row r="5055" customFormat="false" ht="12" hidden="false" customHeight="false" outlineLevel="0" collapsed="false">
      <c r="A5055" s="203" t="s">
        <v>7524</v>
      </c>
    </row>
    <row r="5056" customFormat="false" ht="12" hidden="false" customHeight="false" outlineLevel="0" collapsed="false">
      <c r="A5056" s="203" t="s">
        <v>7525</v>
      </c>
    </row>
    <row r="5057" customFormat="false" ht="12" hidden="false" customHeight="false" outlineLevel="0" collapsed="false">
      <c r="A5057" s="203" t="s">
        <v>7526</v>
      </c>
    </row>
    <row r="5058" customFormat="false" ht="12" hidden="false" customHeight="false" outlineLevel="0" collapsed="false">
      <c r="A5058" s="203" t="s">
        <v>7527</v>
      </c>
    </row>
    <row r="5059" customFormat="false" ht="12" hidden="false" customHeight="false" outlineLevel="0" collapsed="false">
      <c r="A5059" s="203" t="s">
        <v>7528</v>
      </c>
    </row>
    <row r="5060" customFormat="false" ht="12" hidden="false" customHeight="false" outlineLevel="0" collapsed="false">
      <c r="A5060" s="203" t="s">
        <v>7529</v>
      </c>
    </row>
    <row r="5061" customFormat="false" ht="12" hidden="false" customHeight="false" outlineLevel="0" collapsed="false">
      <c r="A5061" s="203" t="s">
        <v>7530</v>
      </c>
    </row>
    <row r="5062" customFormat="false" ht="12" hidden="false" customHeight="false" outlineLevel="0" collapsed="false">
      <c r="A5062" s="203" t="s">
        <v>7531</v>
      </c>
    </row>
    <row r="5063" customFormat="false" ht="12" hidden="false" customHeight="false" outlineLevel="0" collapsed="false">
      <c r="A5063" s="203" t="s">
        <v>7532</v>
      </c>
    </row>
    <row r="5064" customFormat="false" ht="12" hidden="false" customHeight="false" outlineLevel="0" collapsed="false">
      <c r="A5064" s="203" t="s">
        <v>7533</v>
      </c>
    </row>
    <row r="5065" customFormat="false" ht="12" hidden="false" customHeight="false" outlineLevel="0" collapsed="false">
      <c r="A5065" s="203" t="s">
        <v>7534</v>
      </c>
    </row>
    <row r="5066" customFormat="false" ht="12" hidden="false" customHeight="false" outlineLevel="0" collapsed="false">
      <c r="A5066" s="203" t="s">
        <v>7535</v>
      </c>
    </row>
    <row r="5067" customFormat="false" ht="12" hidden="false" customHeight="false" outlineLevel="0" collapsed="false">
      <c r="A5067" s="203" t="s">
        <v>7536</v>
      </c>
    </row>
    <row r="5068" customFormat="false" ht="12" hidden="false" customHeight="false" outlineLevel="0" collapsed="false">
      <c r="A5068" s="203" t="s">
        <v>7537</v>
      </c>
    </row>
    <row r="5069" customFormat="false" ht="12" hidden="false" customHeight="false" outlineLevel="0" collapsed="false">
      <c r="A5069" s="203" t="s">
        <v>7538</v>
      </c>
    </row>
    <row r="5070" customFormat="false" ht="12" hidden="false" customHeight="false" outlineLevel="0" collapsed="false">
      <c r="A5070" s="203" t="s">
        <v>7539</v>
      </c>
    </row>
    <row r="5071" customFormat="false" ht="12" hidden="false" customHeight="false" outlineLevel="0" collapsed="false">
      <c r="A5071" s="203" t="s">
        <v>7540</v>
      </c>
    </row>
    <row r="5072" customFormat="false" ht="12" hidden="false" customHeight="false" outlineLevel="0" collapsed="false">
      <c r="A5072" s="203" t="s">
        <v>7541</v>
      </c>
    </row>
    <row r="5073" customFormat="false" ht="12" hidden="false" customHeight="false" outlineLevel="0" collapsed="false">
      <c r="A5073" s="203" t="s">
        <v>7542</v>
      </c>
    </row>
    <row r="5074" customFormat="false" ht="12" hidden="false" customHeight="false" outlineLevel="0" collapsed="false">
      <c r="A5074" s="203" t="s">
        <v>7543</v>
      </c>
    </row>
    <row r="5075" customFormat="false" ht="12" hidden="false" customHeight="false" outlineLevel="0" collapsed="false">
      <c r="A5075" s="203" t="s">
        <v>7544</v>
      </c>
    </row>
    <row r="5076" customFormat="false" ht="12" hidden="false" customHeight="false" outlineLevel="0" collapsed="false">
      <c r="A5076" s="203" t="s">
        <v>7545</v>
      </c>
    </row>
    <row r="5077" customFormat="false" ht="12" hidden="false" customHeight="false" outlineLevel="0" collapsed="false">
      <c r="A5077" s="203" t="s">
        <v>7546</v>
      </c>
    </row>
    <row r="5078" customFormat="false" ht="12" hidden="false" customHeight="false" outlineLevel="0" collapsed="false">
      <c r="A5078" s="203" t="s">
        <v>7547</v>
      </c>
    </row>
    <row r="5079" customFormat="false" ht="12" hidden="false" customHeight="false" outlineLevel="0" collapsed="false">
      <c r="A5079" s="203" t="s">
        <v>7548</v>
      </c>
    </row>
    <row r="5080" customFormat="false" ht="12" hidden="false" customHeight="false" outlineLevel="0" collapsed="false">
      <c r="A5080" s="203" t="s">
        <v>7549</v>
      </c>
    </row>
    <row r="5081" customFormat="false" ht="12" hidden="false" customHeight="false" outlineLevel="0" collapsed="false">
      <c r="A5081" s="203" t="s">
        <v>7550</v>
      </c>
    </row>
    <row r="5082" customFormat="false" ht="12" hidden="false" customHeight="false" outlineLevel="0" collapsed="false">
      <c r="A5082" s="203" t="s">
        <v>7551</v>
      </c>
    </row>
    <row r="5083" customFormat="false" ht="12" hidden="false" customHeight="false" outlineLevel="0" collapsed="false">
      <c r="A5083" s="203" t="s">
        <v>7552</v>
      </c>
    </row>
    <row r="5084" customFormat="false" ht="12" hidden="false" customHeight="false" outlineLevel="0" collapsed="false">
      <c r="A5084" s="203" t="s">
        <v>7553</v>
      </c>
    </row>
    <row r="5085" customFormat="false" ht="12" hidden="false" customHeight="false" outlineLevel="0" collapsed="false">
      <c r="A5085" s="203" t="s">
        <v>7554</v>
      </c>
    </row>
    <row r="5086" customFormat="false" ht="12" hidden="false" customHeight="false" outlineLevel="0" collapsed="false">
      <c r="A5086" s="203" t="s">
        <v>7555</v>
      </c>
    </row>
    <row r="5087" customFormat="false" ht="12" hidden="false" customHeight="false" outlineLevel="0" collapsed="false">
      <c r="A5087" s="203" t="s">
        <v>7556</v>
      </c>
    </row>
    <row r="5088" customFormat="false" ht="12" hidden="false" customHeight="false" outlineLevel="0" collapsed="false">
      <c r="A5088" s="203" t="s">
        <v>7557</v>
      </c>
    </row>
    <row r="5089" customFormat="false" ht="12" hidden="false" customHeight="false" outlineLevel="0" collapsed="false">
      <c r="A5089" s="203" t="s">
        <v>7558</v>
      </c>
    </row>
    <row r="5090" customFormat="false" ht="12" hidden="false" customHeight="false" outlineLevel="0" collapsed="false">
      <c r="A5090" s="203" t="s">
        <v>7559</v>
      </c>
    </row>
    <row r="5091" customFormat="false" ht="12" hidden="false" customHeight="false" outlineLevel="0" collapsed="false">
      <c r="A5091" s="203" t="s">
        <v>7560</v>
      </c>
    </row>
    <row r="5092" customFormat="false" ht="12" hidden="false" customHeight="false" outlineLevel="0" collapsed="false">
      <c r="A5092" s="203" t="s">
        <v>7561</v>
      </c>
    </row>
    <row r="5093" customFormat="false" ht="12" hidden="false" customHeight="false" outlineLevel="0" collapsed="false">
      <c r="A5093" s="203" t="s">
        <v>7562</v>
      </c>
    </row>
    <row r="5094" customFormat="false" ht="12" hidden="false" customHeight="false" outlineLevel="0" collapsed="false">
      <c r="A5094" s="203" t="s">
        <v>7563</v>
      </c>
    </row>
    <row r="5095" customFormat="false" ht="12" hidden="false" customHeight="false" outlineLevel="0" collapsed="false">
      <c r="A5095" s="203" t="s">
        <v>7564</v>
      </c>
    </row>
    <row r="5096" customFormat="false" ht="12" hidden="false" customHeight="false" outlineLevel="0" collapsed="false">
      <c r="A5096" s="203" t="s">
        <v>7565</v>
      </c>
    </row>
    <row r="5097" customFormat="false" ht="12" hidden="false" customHeight="false" outlineLevel="0" collapsed="false">
      <c r="A5097" s="203" t="s">
        <v>7566</v>
      </c>
    </row>
    <row r="5098" customFormat="false" ht="12" hidden="false" customHeight="false" outlineLevel="0" collapsed="false">
      <c r="A5098" s="203" t="s">
        <v>7567</v>
      </c>
    </row>
    <row r="5099" customFormat="false" ht="12" hidden="false" customHeight="false" outlineLevel="0" collapsed="false">
      <c r="A5099" s="203" t="s">
        <v>7568</v>
      </c>
    </row>
    <row r="5100" customFormat="false" ht="12" hidden="false" customHeight="false" outlineLevel="0" collapsed="false">
      <c r="A5100" s="203" t="s">
        <v>7569</v>
      </c>
    </row>
    <row r="5101" customFormat="false" ht="12" hidden="false" customHeight="false" outlineLevel="0" collapsed="false">
      <c r="A5101" s="203" t="s">
        <v>7570</v>
      </c>
    </row>
    <row r="5102" customFormat="false" ht="12" hidden="false" customHeight="false" outlineLevel="0" collapsed="false">
      <c r="A5102" s="203" t="s">
        <v>7571</v>
      </c>
    </row>
    <row r="5103" customFormat="false" ht="12" hidden="false" customHeight="false" outlineLevel="0" collapsed="false">
      <c r="A5103" s="203" t="s">
        <v>7572</v>
      </c>
    </row>
    <row r="5104" customFormat="false" ht="12" hidden="false" customHeight="false" outlineLevel="0" collapsed="false">
      <c r="A5104" s="203" t="s">
        <v>7573</v>
      </c>
    </row>
    <row r="5105" customFormat="false" ht="12" hidden="false" customHeight="false" outlineLevel="0" collapsed="false">
      <c r="A5105" s="203" t="s">
        <v>7574</v>
      </c>
    </row>
    <row r="5106" customFormat="false" ht="12" hidden="false" customHeight="false" outlineLevel="0" collapsed="false">
      <c r="A5106" s="203" t="s">
        <v>7575</v>
      </c>
    </row>
    <row r="5107" customFormat="false" ht="12" hidden="false" customHeight="false" outlineLevel="0" collapsed="false">
      <c r="A5107" s="203" t="s">
        <v>7576</v>
      </c>
    </row>
    <row r="5108" customFormat="false" ht="12" hidden="false" customHeight="false" outlineLevel="0" collapsed="false">
      <c r="A5108" s="203" t="s">
        <v>7577</v>
      </c>
    </row>
    <row r="5109" customFormat="false" ht="12" hidden="false" customHeight="false" outlineLevel="0" collapsed="false">
      <c r="A5109" s="203" t="s">
        <v>7578</v>
      </c>
    </row>
    <row r="5110" customFormat="false" ht="12" hidden="false" customHeight="false" outlineLevel="0" collapsed="false">
      <c r="A5110" s="203" t="s">
        <v>7579</v>
      </c>
    </row>
    <row r="5111" customFormat="false" ht="12" hidden="false" customHeight="false" outlineLevel="0" collapsed="false">
      <c r="A5111" s="203" t="s">
        <v>7580</v>
      </c>
    </row>
    <row r="5112" customFormat="false" ht="12" hidden="false" customHeight="false" outlineLevel="0" collapsed="false">
      <c r="A5112" s="203" t="s">
        <v>7581</v>
      </c>
    </row>
    <row r="5113" customFormat="false" ht="12" hidden="false" customHeight="false" outlineLevel="0" collapsed="false">
      <c r="A5113" s="203" t="s">
        <v>7582</v>
      </c>
    </row>
    <row r="5114" customFormat="false" ht="12" hidden="false" customHeight="false" outlineLevel="0" collapsed="false">
      <c r="A5114" s="203" t="s">
        <v>7583</v>
      </c>
    </row>
    <row r="5115" customFormat="false" ht="12" hidden="false" customHeight="false" outlineLevel="0" collapsed="false">
      <c r="A5115" s="203" t="s">
        <v>7584</v>
      </c>
    </row>
    <row r="5116" customFormat="false" ht="12" hidden="false" customHeight="false" outlineLevel="0" collapsed="false">
      <c r="A5116" s="203" t="s">
        <v>7585</v>
      </c>
    </row>
    <row r="5117" customFormat="false" ht="12" hidden="false" customHeight="false" outlineLevel="0" collapsed="false">
      <c r="A5117" s="203" t="s">
        <v>7586</v>
      </c>
    </row>
    <row r="5118" customFormat="false" ht="12" hidden="false" customHeight="false" outlineLevel="0" collapsed="false">
      <c r="A5118" s="203" t="s">
        <v>7587</v>
      </c>
    </row>
    <row r="5119" customFormat="false" ht="12" hidden="false" customHeight="false" outlineLevel="0" collapsed="false">
      <c r="A5119" s="203" t="s">
        <v>7588</v>
      </c>
    </row>
    <row r="5120" customFormat="false" ht="12" hidden="false" customHeight="false" outlineLevel="0" collapsed="false">
      <c r="A5120" s="203" t="s">
        <v>7589</v>
      </c>
    </row>
    <row r="5121" customFormat="false" ht="12" hidden="false" customHeight="false" outlineLevel="0" collapsed="false">
      <c r="A5121" s="203" t="s">
        <v>7590</v>
      </c>
    </row>
    <row r="5122" customFormat="false" ht="12" hidden="false" customHeight="false" outlineLevel="0" collapsed="false">
      <c r="A5122" s="203" t="s">
        <v>7591</v>
      </c>
    </row>
    <row r="5123" customFormat="false" ht="12" hidden="false" customHeight="false" outlineLevel="0" collapsed="false">
      <c r="A5123" s="203" t="s">
        <v>7592</v>
      </c>
    </row>
    <row r="5124" customFormat="false" ht="12" hidden="false" customHeight="false" outlineLevel="0" collapsed="false">
      <c r="A5124" s="203" t="s">
        <v>7593</v>
      </c>
    </row>
    <row r="5125" customFormat="false" ht="12" hidden="false" customHeight="false" outlineLevel="0" collapsed="false">
      <c r="A5125" s="203" t="s">
        <v>7594</v>
      </c>
    </row>
    <row r="5126" customFormat="false" ht="12" hidden="false" customHeight="false" outlineLevel="0" collapsed="false">
      <c r="A5126" s="203" t="s">
        <v>7595</v>
      </c>
    </row>
    <row r="5127" customFormat="false" ht="12" hidden="false" customHeight="false" outlineLevel="0" collapsed="false">
      <c r="A5127" s="203" t="s">
        <v>7596</v>
      </c>
    </row>
    <row r="5128" customFormat="false" ht="12" hidden="false" customHeight="false" outlineLevel="0" collapsed="false">
      <c r="A5128" s="203" t="s">
        <v>7597</v>
      </c>
    </row>
    <row r="5129" customFormat="false" ht="12" hidden="false" customHeight="false" outlineLevel="0" collapsed="false">
      <c r="A5129" s="203" t="s">
        <v>7598</v>
      </c>
    </row>
    <row r="5130" customFormat="false" ht="12" hidden="false" customHeight="false" outlineLevel="0" collapsed="false">
      <c r="A5130" s="203" t="s">
        <v>7599</v>
      </c>
    </row>
    <row r="5131" customFormat="false" ht="12" hidden="false" customHeight="false" outlineLevel="0" collapsed="false">
      <c r="A5131" s="203" t="s">
        <v>7600</v>
      </c>
    </row>
    <row r="5132" customFormat="false" ht="12" hidden="false" customHeight="false" outlineLevel="0" collapsed="false">
      <c r="A5132" s="203" t="s">
        <v>7601</v>
      </c>
    </row>
    <row r="5133" customFormat="false" ht="12" hidden="false" customHeight="false" outlineLevel="0" collapsed="false">
      <c r="A5133" s="203" t="s">
        <v>7602</v>
      </c>
    </row>
    <row r="5134" customFormat="false" ht="12" hidden="false" customHeight="false" outlineLevel="0" collapsed="false">
      <c r="A5134" s="203" t="s">
        <v>7603</v>
      </c>
    </row>
    <row r="5135" customFormat="false" ht="12" hidden="false" customHeight="false" outlineLevel="0" collapsed="false">
      <c r="A5135" s="203" t="s">
        <v>7604</v>
      </c>
    </row>
    <row r="5136" customFormat="false" ht="12" hidden="false" customHeight="false" outlineLevel="0" collapsed="false">
      <c r="A5136" s="203" t="s">
        <v>7605</v>
      </c>
    </row>
    <row r="5137" customFormat="false" ht="12" hidden="false" customHeight="false" outlineLevel="0" collapsed="false">
      <c r="A5137" s="203" t="s">
        <v>7606</v>
      </c>
    </row>
    <row r="5138" customFormat="false" ht="12" hidden="false" customHeight="false" outlineLevel="0" collapsed="false">
      <c r="A5138" s="203" t="s">
        <v>7607</v>
      </c>
    </row>
    <row r="5139" customFormat="false" ht="12" hidden="false" customHeight="false" outlineLevel="0" collapsed="false">
      <c r="A5139" s="203" t="s">
        <v>7608</v>
      </c>
    </row>
    <row r="5140" customFormat="false" ht="12" hidden="false" customHeight="false" outlineLevel="0" collapsed="false">
      <c r="A5140" s="203" t="s">
        <v>7609</v>
      </c>
    </row>
    <row r="5141" customFormat="false" ht="12" hidden="false" customHeight="false" outlineLevel="0" collapsed="false">
      <c r="A5141" s="203" t="s">
        <v>7610</v>
      </c>
    </row>
    <row r="5142" customFormat="false" ht="12" hidden="false" customHeight="false" outlineLevel="0" collapsed="false">
      <c r="A5142" s="203" t="s">
        <v>7611</v>
      </c>
    </row>
    <row r="5143" customFormat="false" ht="12" hidden="false" customHeight="false" outlineLevel="0" collapsed="false">
      <c r="A5143" s="203" t="s">
        <v>7612</v>
      </c>
    </row>
    <row r="5144" customFormat="false" ht="12" hidden="false" customHeight="false" outlineLevel="0" collapsed="false">
      <c r="A5144" s="203" t="s">
        <v>7613</v>
      </c>
    </row>
    <row r="5145" customFormat="false" ht="12" hidden="false" customHeight="false" outlineLevel="0" collapsed="false">
      <c r="A5145" s="203" t="s">
        <v>7614</v>
      </c>
    </row>
    <row r="5146" customFormat="false" ht="12" hidden="false" customHeight="false" outlineLevel="0" collapsed="false">
      <c r="A5146" s="203" t="s">
        <v>7615</v>
      </c>
    </row>
    <row r="5147" customFormat="false" ht="12" hidden="false" customHeight="false" outlineLevel="0" collapsed="false">
      <c r="A5147" s="203" t="s">
        <v>7616</v>
      </c>
    </row>
    <row r="5148" customFormat="false" ht="12" hidden="false" customHeight="false" outlineLevel="0" collapsed="false">
      <c r="A5148" s="203" t="s">
        <v>7617</v>
      </c>
    </row>
    <row r="5149" customFormat="false" ht="12" hidden="false" customHeight="false" outlineLevel="0" collapsed="false">
      <c r="A5149" s="203" t="s">
        <v>7618</v>
      </c>
    </row>
    <row r="5150" customFormat="false" ht="12" hidden="false" customHeight="false" outlineLevel="0" collapsed="false">
      <c r="A5150" s="203" t="s">
        <v>7619</v>
      </c>
    </row>
    <row r="5151" customFormat="false" ht="12" hidden="false" customHeight="false" outlineLevel="0" collapsed="false">
      <c r="A5151" s="203" t="s">
        <v>7620</v>
      </c>
    </row>
    <row r="5152" customFormat="false" ht="12" hidden="false" customHeight="false" outlineLevel="0" collapsed="false">
      <c r="A5152" s="203" t="s">
        <v>7621</v>
      </c>
    </row>
    <row r="5153" customFormat="false" ht="12" hidden="false" customHeight="false" outlineLevel="0" collapsed="false">
      <c r="A5153" s="203" t="s">
        <v>7622</v>
      </c>
    </row>
    <row r="5154" customFormat="false" ht="12" hidden="false" customHeight="false" outlineLevel="0" collapsed="false">
      <c r="A5154" s="203" t="s">
        <v>7623</v>
      </c>
    </row>
    <row r="5155" customFormat="false" ht="12" hidden="false" customHeight="false" outlineLevel="0" collapsed="false">
      <c r="A5155" s="203" t="s">
        <v>7624</v>
      </c>
    </row>
    <row r="5156" customFormat="false" ht="12" hidden="false" customHeight="false" outlineLevel="0" collapsed="false">
      <c r="A5156" s="203" t="s">
        <v>7625</v>
      </c>
    </row>
    <row r="5157" customFormat="false" ht="12" hidden="false" customHeight="false" outlineLevel="0" collapsed="false">
      <c r="A5157" s="203" t="s">
        <v>7626</v>
      </c>
    </row>
    <row r="5158" customFormat="false" ht="12" hidden="false" customHeight="false" outlineLevel="0" collapsed="false">
      <c r="A5158" s="203" t="s">
        <v>7627</v>
      </c>
    </row>
    <row r="5159" customFormat="false" ht="12" hidden="false" customHeight="false" outlineLevel="0" collapsed="false">
      <c r="A5159" s="203" t="s">
        <v>7628</v>
      </c>
    </row>
    <row r="5160" customFormat="false" ht="12" hidden="false" customHeight="false" outlineLevel="0" collapsed="false">
      <c r="A5160" s="203" t="s">
        <v>7629</v>
      </c>
    </row>
    <row r="5161" customFormat="false" ht="12" hidden="false" customHeight="false" outlineLevel="0" collapsed="false">
      <c r="A5161" s="203" t="s">
        <v>7630</v>
      </c>
    </row>
    <row r="5162" customFormat="false" ht="12" hidden="false" customHeight="false" outlineLevel="0" collapsed="false">
      <c r="A5162" s="203" t="s">
        <v>7631</v>
      </c>
    </row>
    <row r="5163" customFormat="false" ht="12" hidden="false" customHeight="false" outlineLevel="0" collapsed="false">
      <c r="A5163" s="203" t="s">
        <v>7632</v>
      </c>
    </row>
    <row r="5164" customFormat="false" ht="12" hidden="false" customHeight="false" outlineLevel="0" collapsed="false">
      <c r="A5164" s="203" t="s">
        <v>7633</v>
      </c>
    </row>
    <row r="5165" customFormat="false" ht="12" hidden="false" customHeight="false" outlineLevel="0" collapsed="false">
      <c r="A5165" s="203" t="s">
        <v>7634</v>
      </c>
    </row>
    <row r="5166" customFormat="false" ht="12" hidden="false" customHeight="false" outlineLevel="0" collapsed="false">
      <c r="A5166" s="203" t="s">
        <v>7635</v>
      </c>
    </row>
    <row r="5167" customFormat="false" ht="12" hidden="false" customHeight="false" outlineLevel="0" collapsed="false">
      <c r="A5167" s="203" t="s">
        <v>7636</v>
      </c>
    </row>
    <row r="5168" customFormat="false" ht="12" hidden="false" customHeight="false" outlineLevel="0" collapsed="false">
      <c r="A5168" s="203" t="s">
        <v>7637</v>
      </c>
    </row>
    <row r="5169" customFormat="false" ht="12" hidden="false" customHeight="false" outlineLevel="0" collapsed="false">
      <c r="A5169" s="203" t="s">
        <v>7638</v>
      </c>
    </row>
    <row r="5170" customFormat="false" ht="12" hidden="false" customHeight="false" outlineLevel="0" collapsed="false">
      <c r="A5170" s="203" t="s">
        <v>7639</v>
      </c>
    </row>
    <row r="5171" customFormat="false" ht="12" hidden="false" customHeight="false" outlineLevel="0" collapsed="false">
      <c r="A5171" s="203" t="s">
        <v>7640</v>
      </c>
    </row>
    <row r="5172" customFormat="false" ht="12" hidden="false" customHeight="false" outlineLevel="0" collapsed="false">
      <c r="A5172" s="203" t="s">
        <v>7641</v>
      </c>
    </row>
    <row r="5173" customFormat="false" ht="12" hidden="false" customHeight="false" outlineLevel="0" collapsed="false">
      <c r="A5173" s="203" t="s">
        <v>7642</v>
      </c>
    </row>
    <row r="5174" customFormat="false" ht="12" hidden="false" customHeight="false" outlineLevel="0" collapsed="false">
      <c r="A5174" s="203" t="s">
        <v>7643</v>
      </c>
    </row>
    <row r="5175" customFormat="false" ht="12" hidden="false" customHeight="false" outlineLevel="0" collapsed="false">
      <c r="A5175" s="203" t="s">
        <v>7644</v>
      </c>
    </row>
    <row r="5176" customFormat="false" ht="12" hidden="false" customHeight="false" outlineLevel="0" collapsed="false">
      <c r="A5176" s="203" t="s">
        <v>7645</v>
      </c>
    </row>
    <row r="5177" customFormat="false" ht="12" hidden="false" customHeight="false" outlineLevel="0" collapsed="false">
      <c r="A5177" s="203" t="s">
        <v>7646</v>
      </c>
    </row>
    <row r="5178" customFormat="false" ht="12" hidden="false" customHeight="false" outlineLevel="0" collapsed="false">
      <c r="A5178" s="203" t="s">
        <v>7647</v>
      </c>
    </row>
    <row r="5179" customFormat="false" ht="12" hidden="false" customHeight="false" outlineLevel="0" collapsed="false">
      <c r="A5179" s="203" t="s">
        <v>7648</v>
      </c>
    </row>
    <row r="5180" customFormat="false" ht="12" hidden="false" customHeight="false" outlineLevel="0" collapsed="false">
      <c r="A5180" s="203" t="s">
        <v>7649</v>
      </c>
    </row>
    <row r="5181" customFormat="false" ht="12" hidden="false" customHeight="false" outlineLevel="0" collapsed="false">
      <c r="A5181" s="203" t="s">
        <v>7650</v>
      </c>
    </row>
    <row r="5182" customFormat="false" ht="12" hidden="false" customHeight="false" outlineLevel="0" collapsed="false">
      <c r="A5182" s="203" t="s">
        <v>7651</v>
      </c>
    </row>
    <row r="5183" customFormat="false" ht="12" hidden="false" customHeight="false" outlineLevel="0" collapsed="false">
      <c r="A5183" s="203" t="s">
        <v>7652</v>
      </c>
    </row>
    <row r="5184" customFormat="false" ht="12" hidden="false" customHeight="false" outlineLevel="0" collapsed="false">
      <c r="A5184" s="203" t="s">
        <v>7653</v>
      </c>
    </row>
    <row r="5185" customFormat="false" ht="12" hidden="false" customHeight="false" outlineLevel="0" collapsed="false">
      <c r="A5185" s="203" t="s">
        <v>7654</v>
      </c>
    </row>
    <row r="5186" customFormat="false" ht="12" hidden="false" customHeight="false" outlineLevel="0" collapsed="false">
      <c r="A5186" s="203" t="s">
        <v>7655</v>
      </c>
    </row>
    <row r="5187" customFormat="false" ht="12" hidden="false" customHeight="false" outlineLevel="0" collapsed="false">
      <c r="A5187" s="203" t="s">
        <v>7656</v>
      </c>
    </row>
    <row r="5188" customFormat="false" ht="12" hidden="false" customHeight="false" outlineLevel="0" collapsed="false">
      <c r="A5188" s="203" t="s">
        <v>7657</v>
      </c>
    </row>
    <row r="5189" customFormat="false" ht="12" hidden="false" customHeight="false" outlineLevel="0" collapsed="false">
      <c r="A5189" s="203" t="s">
        <v>7658</v>
      </c>
    </row>
    <row r="5190" customFormat="false" ht="12" hidden="false" customHeight="false" outlineLevel="0" collapsed="false">
      <c r="A5190" s="203" t="s">
        <v>7659</v>
      </c>
    </row>
    <row r="5191" customFormat="false" ht="12" hidden="false" customHeight="false" outlineLevel="0" collapsed="false">
      <c r="A5191" s="203" t="s">
        <v>7660</v>
      </c>
    </row>
    <row r="5192" customFormat="false" ht="12" hidden="false" customHeight="false" outlineLevel="0" collapsed="false">
      <c r="A5192" s="203" t="s">
        <v>7661</v>
      </c>
    </row>
    <row r="5193" customFormat="false" ht="12" hidden="false" customHeight="false" outlineLevel="0" collapsed="false">
      <c r="A5193" s="203" t="s">
        <v>7662</v>
      </c>
    </row>
    <row r="5194" customFormat="false" ht="12" hidden="false" customHeight="false" outlineLevel="0" collapsed="false">
      <c r="A5194" s="203" t="s">
        <v>7663</v>
      </c>
    </row>
    <row r="5195" customFormat="false" ht="12" hidden="false" customHeight="false" outlineLevel="0" collapsed="false">
      <c r="A5195" s="203" t="s">
        <v>7664</v>
      </c>
    </row>
    <row r="5196" customFormat="false" ht="12" hidden="false" customHeight="false" outlineLevel="0" collapsed="false">
      <c r="A5196" s="203" t="s">
        <v>7665</v>
      </c>
    </row>
    <row r="5197" customFormat="false" ht="12" hidden="false" customHeight="false" outlineLevel="0" collapsed="false">
      <c r="A5197" s="203" t="s">
        <v>7666</v>
      </c>
    </row>
    <row r="5198" customFormat="false" ht="12" hidden="false" customHeight="false" outlineLevel="0" collapsed="false">
      <c r="A5198" s="203" t="s">
        <v>7667</v>
      </c>
    </row>
    <row r="5199" customFormat="false" ht="12" hidden="false" customHeight="false" outlineLevel="0" collapsed="false">
      <c r="A5199" s="203" t="s">
        <v>7668</v>
      </c>
    </row>
    <row r="5200" customFormat="false" ht="12" hidden="false" customHeight="false" outlineLevel="0" collapsed="false">
      <c r="A5200" s="203" t="s">
        <v>7669</v>
      </c>
    </row>
    <row r="5201" customFormat="false" ht="12" hidden="false" customHeight="false" outlineLevel="0" collapsed="false">
      <c r="A5201" s="203" t="s">
        <v>7670</v>
      </c>
    </row>
    <row r="5202" customFormat="false" ht="12" hidden="false" customHeight="false" outlineLevel="0" collapsed="false">
      <c r="A5202" s="203" t="s">
        <v>7671</v>
      </c>
    </row>
    <row r="5203" customFormat="false" ht="12" hidden="false" customHeight="false" outlineLevel="0" collapsed="false">
      <c r="A5203" s="203" t="s">
        <v>7672</v>
      </c>
    </row>
    <row r="5204" customFormat="false" ht="12" hidden="false" customHeight="false" outlineLevel="0" collapsed="false">
      <c r="A5204" s="203" t="s">
        <v>7673</v>
      </c>
    </row>
    <row r="5205" customFormat="false" ht="12" hidden="false" customHeight="false" outlineLevel="0" collapsed="false">
      <c r="A5205" s="203" t="s">
        <v>7674</v>
      </c>
    </row>
    <row r="5206" customFormat="false" ht="12" hidden="false" customHeight="false" outlineLevel="0" collapsed="false">
      <c r="A5206" s="203" t="s">
        <v>7675</v>
      </c>
    </row>
    <row r="5207" customFormat="false" ht="12" hidden="false" customHeight="false" outlineLevel="0" collapsed="false">
      <c r="A5207" s="203" t="s">
        <v>7676</v>
      </c>
    </row>
    <row r="5208" customFormat="false" ht="12" hidden="false" customHeight="false" outlineLevel="0" collapsed="false">
      <c r="A5208" s="203" t="s">
        <v>7677</v>
      </c>
    </row>
    <row r="5209" customFormat="false" ht="12" hidden="false" customHeight="false" outlineLevel="0" collapsed="false">
      <c r="A5209" s="203" t="s">
        <v>7678</v>
      </c>
    </row>
    <row r="5210" customFormat="false" ht="12" hidden="false" customHeight="false" outlineLevel="0" collapsed="false">
      <c r="A5210" s="203" t="s">
        <v>7679</v>
      </c>
    </row>
    <row r="5211" customFormat="false" ht="12" hidden="false" customHeight="false" outlineLevel="0" collapsed="false">
      <c r="A5211" s="203" t="s">
        <v>7680</v>
      </c>
    </row>
    <row r="5212" customFormat="false" ht="12" hidden="false" customHeight="false" outlineLevel="0" collapsed="false">
      <c r="A5212" s="203" t="s">
        <v>7681</v>
      </c>
    </row>
    <row r="5213" customFormat="false" ht="12" hidden="false" customHeight="false" outlineLevel="0" collapsed="false">
      <c r="A5213" s="203" t="s">
        <v>7682</v>
      </c>
    </row>
    <row r="5214" customFormat="false" ht="12" hidden="false" customHeight="false" outlineLevel="0" collapsed="false">
      <c r="A5214" s="203" t="s">
        <v>7683</v>
      </c>
    </row>
    <row r="5215" customFormat="false" ht="12" hidden="false" customHeight="false" outlineLevel="0" collapsed="false">
      <c r="A5215" s="203" t="s">
        <v>7684</v>
      </c>
    </row>
    <row r="5216" customFormat="false" ht="12" hidden="false" customHeight="false" outlineLevel="0" collapsed="false">
      <c r="A5216" s="203" t="s">
        <v>7685</v>
      </c>
    </row>
    <row r="5217" customFormat="false" ht="12" hidden="false" customHeight="false" outlineLevel="0" collapsed="false">
      <c r="A5217" s="203" t="s">
        <v>7686</v>
      </c>
    </row>
    <row r="5218" customFormat="false" ht="12" hidden="false" customHeight="false" outlineLevel="0" collapsed="false">
      <c r="A5218" s="203" t="s">
        <v>7687</v>
      </c>
    </row>
    <row r="5219" customFormat="false" ht="12" hidden="false" customHeight="false" outlineLevel="0" collapsed="false">
      <c r="A5219" s="203" t="s">
        <v>7688</v>
      </c>
    </row>
    <row r="5220" customFormat="false" ht="12" hidden="false" customHeight="false" outlineLevel="0" collapsed="false">
      <c r="A5220" s="203" t="s">
        <v>7689</v>
      </c>
    </row>
    <row r="5221" customFormat="false" ht="12" hidden="false" customHeight="false" outlineLevel="0" collapsed="false">
      <c r="A5221" s="203" t="s">
        <v>7690</v>
      </c>
    </row>
    <row r="5222" customFormat="false" ht="12" hidden="false" customHeight="false" outlineLevel="0" collapsed="false">
      <c r="A5222" s="203" t="s">
        <v>7691</v>
      </c>
    </row>
    <row r="5223" customFormat="false" ht="12" hidden="false" customHeight="false" outlineLevel="0" collapsed="false">
      <c r="A5223" s="203" t="s">
        <v>7692</v>
      </c>
    </row>
    <row r="5224" customFormat="false" ht="12" hidden="false" customHeight="false" outlineLevel="0" collapsed="false">
      <c r="A5224" s="203" t="s">
        <v>7693</v>
      </c>
    </row>
    <row r="5225" customFormat="false" ht="12" hidden="false" customHeight="false" outlineLevel="0" collapsed="false">
      <c r="A5225" s="203" t="s">
        <v>7694</v>
      </c>
    </row>
    <row r="5226" customFormat="false" ht="12" hidden="false" customHeight="false" outlineLevel="0" collapsed="false">
      <c r="A5226" s="203" t="s">
        <v>7695</v>
      </c>
    </row>
    <row r="5227" customFormat="false" ht="12" hidden="false" customHeight="false" outlineLevel="0" collapsed="false">
      <c r="A5227" s="203" t="s">
        <v>7696</v>
      </c>
    </row>
    <row r="5228" customFormat="false" ht="12" hidden="false" customHeight="false" outlineLevel="0" collapsed="false">
      <c r="A5228" s="203" t="s">
        <v>7697</v>
      </c>
    </row>
    <row r="5229" customFormat="false" ht="12" hidden="false" customHeight="false" outlineLevel="0" collapsed="false">
      <c r="A5229" s="203" t="s">
        <v>7698</v>
      </c>
    </row>
    <row r="5230" customFormat="false" ht="12" hidden="false" customHeight="false" outlineLevel="0" collapsed="false">
      <c r="A5230" s="203" t="s">
        <v>7699</v>
      </c>
    </row>
    <row r="5231" customFormat="false" ht="12" hidden="false" customHeight="false" outlineLevel="0" collapsed="false">
      <c r="A5231" s="203" t="s">
        <v>7700</v>
      </c>
    </row>
    <row r="5232" customFormat="false" ht="12" hidden="false" customHeight="false" outlineLevel="0" collapsed="false">
      <c r="A5232" s="203" t="s">
        <v>7701</v>
      </c>
    </row>
    <row r="5233" customFormat="false" ht="12" hidden="false" customHeight="false" outlineLevel="0" collapsed="false">
      <c r="A5233" s="203" t="s">
        <v>7702</v>
      </c>
    </row>
    <row r="5234" customFormat="false" ht="12" hidden="false" customHeight="false" outlineLevel="0" collapsed="false">
      <c r="A5234" s="203" t="s">
        <v>7703</v>
      </c>
    </row>
    <row r="5235" customFormat="false" ht="12" hidden="false" customHeight="false" outlineLevel="0" collapsed="false">
      <c r="A5235" s="203" t="s">
        <v>7704</v>
      </c>
    </row>
    <row r="5236" customFormat="false" ht="12" hidden="false" customHeight="false" outlineLevel="0" collapsed="false">
      <c r="A5236" s="203" t="s">
        <v>7705</v>
      </c>
    </row>
    <row r="5237" customFormat="false" ht="12" hidden="false" customHeight="false" outlineLevel="0" collapsed="false">
      <c r="A5237" s="203" t="s">
        <v>7706</v>
      </c>
    </row>
    <row r="5238" customFormat="false" ht="12" hidden="false" customHeight="false" outlineLevel="0" collapsed="false">
      <c r="A5238" s="203" t="s">
        <v>7707</v>
      </c>
    </row>
    <row r="5239" customFormat="false" ht="12" hidden="false" customHeight="false" outlineLevel="0" collapsed="false">
      <c r="A5239" s="203" t="s">
        <v>7708</v>
      </c>
    </row>
    <row r="5240" customFormat="false" ht="12" hidden="false" customHeight="false" outlineLevel="0" collapsed="false">
      <c r="A5240" s="203" t="s">
        <v>7709</v>
      </c>
    </row>
    <row r="5241" customFormat="false" ht="12" hidden="false" customHeight="false" outlineLevel="0" collapsed="false">
      <c r="A5241" s="203" t="s">
        <v>7710</v>
      </c>
    </row>
    <row r="5242" customFormat="false" ht="12" hidden="false" customHeight="false" outlineLevel="0" collapsed="false">
      <c r="A5242" s="203" t="s">
        <v>7711</v>
      </c>
    </row>
    <row r="5243" customFormat="false" ht="12" hidden="false" customHeight="false" outlineLevel="0" collapsed="false">
      <c r="A5243" s="203" t="s">
        <v>7712</v>
      </c>
    </row>
    <row r="5244" customFormat="false" ht="12" hidden="false" customHeight="false" outlineLevel="0" collapsed="false">
      <c r="A5244" s="203" t="s">
        <v>7713</v>
      </c>
    </row>
    <row r="5245" customFormat="false" ht="12" hidden="false" customHeight="false" outlineLevel="0" collapsed="false">
      <c r="A5245" s="203" t="s">
        <v>7714</v>
      </c>
    </row>
    <row r="5246" customFormat="false" ht="12" hidden="false" customHeight="false" outlineLevel="0" collapsed="false">
      <c r="A5246" s="203" t="s">
        <v>7715</v>
      </c>
    </row>
    <row r="5247" customFormat="false" ht="12" hidden="false" customHeight="false" outlineLevel="0" collapsed="false">
      <c r="A5247" s="203" t="s">
        <v>7716</v>
      </c>
    </row>
    <row r="5248" customFormat="false" ht="12" hidden="false" customHeight="false" outlineLevel="0" collapsed="false">
      <c r="A5248" s="203" t="s">
        <v>7717</v>
      </c>
    </row>
    <row r="5249" customFormat="false" ht="12" hidden="false" customHeight="false" outlineLevel="0" collapsed="false">
      <c r="A5249" s="203" t="s">
        <v>7718</v>
      </c>
    </row>
    <row r="5250" customFormat="false" ht="12" hidden="false" customHeight="false" outlineLevel="0" collapsed="false">
      <c r="A5250" s="203" t="s">
        <v>7719</v>
      </c>
    </row>
    <row r="5251" customFormat="false" ht="12" hidden="false" customHeight="false" outlineLevel="0" collapsed="false">
      <c r="A5251" s="203" t="s">
        <v>7720</v>
      </c>
    </row>
    <row r="5252" customFormat="false" ht="12" hidden="false" customHeight="false" outlineLevel="0" collapsed="false">
      <c r="A5252" s="203" t="s">
        <v>7721</v>
      </c>
    </row>
    <row r="5253" customFormat="false" ht="12" hidden="false" customHeight="false" outlineLevel="0" collapsed="false">
      <c r="A5253" s="203" t="s">
        <v>7722</v>
      </c>
    </row>
    <row r="5254" customFormat="false" ht="12" hidden="false" customHeight="false" outlineLevel="0" collapsed="false">
      <c r="A5254" s="203" t="s">
        <v>7723</v>
      </c>
    </row>
    <row r="5255" customFormat="false" ht="12" hidden="false" customHeight="false" outlineLevel="0" collapsed="false">
      <c r="A5255" s="203" t="s">
        <v>7724</v>
      </c>
    </row>
    <row r="5256" customFormat="false" ht="12" hidden="false" customHeight="false" outlineLevel="0" collapsed="false">
      <c r="A5256" s="203" t="s">
        <v>7725</v>
      </c>
    </row>
    <row r="5257" customFormat="false" ht="12" hidden="false" customHeight="false" outlineLevel="0" collapsed="false">
      <c r="A5257" s="203" t="s">
        <v>7726</v>
      </c>
    </row>
    <row r="5258" customFormat="false" ht="12" hidden="false" customHeight="false" outlineLevel="0" collapsed="false">
      <c r="A5258" s="203" t="s">
        <v>7727</v>
      </c>
    </row>
    <row r="5259" customFormat="false" ht="12" hidden="false" customHeight="false" outlineLevel="0" collapsed="false">
      <c r="A5259" s="203" t="s">
        <v>7728</v>
      </c>
    </row>
    <row r="5260" customFormat="false" ht="12" hidden="false" customHeight="false" outlineLevel="0" collapsed="false">
      <c r="A5260" s="203" t="s">
        <v>7729</v>
      </c>
    </row>
    <row r="5261" customFormat="false" ht="12" hidden="false" customHeight="false" outlineLevel="0" collapsed="false">
      <c r="A5261" s="203" t="s">
        <v>7730</v>
      </c>
    </row>
    <row r="5262" customFormat="false" ht="12" hidden="false" customHeight="false" outlineLevel="0" collapsed="false">
      <c r="A5262" s="203" t="s">
        <v>7731</v>
      </c>
    </row>
    <row r="5263" customFormat="false" ht="12" hidden="false" customHeight="false" outlineLevel="0" collapsed="false">
      <c r="A5263" s="203" t="s">
        <v>7732</v>
      </c>
    </row>
    <row r="5264" customFormat="false" ht="12" hidden="false" customHeight="false" outlineLevel="0" collapsed="false">
      <c r="A5264" s="203" t="s">
        <v>7733</v>
      </c>
    </row>
    <row r="5265" customFormat="false" ht="12" hidden="false" customHeight="false" outlineLevel="0" collapsed="false">
      <c r="A5265" s="203" t="s">
        <v>7734</v>
      </c>
    </row>
    <row r="5266" customFormat="false" ht="12" hidden="false" customHeight="false" outlineLevel="0" collapsed="false">
      <c r="A5266" s="203" t="s">
        <v>7735</v>
      </c>
    </row>
    <row r="5267" customFormat="false" ht="12" hidden="false" customHeight="false" outlineLevel="0" collapsed="false">
      <c r="A5267" s="203" t="s">
        <v>7736</v>
      </c>
    </row>
    <row r="5268" customFormat="false" ht="12" hidden="false" customHeight="false" outlineLevel="0" collapsed="false">
      <c r="A5268" s="203" t="s">
        <v>7737</v>
      </c>
    </row>
    <row r="5269" customFormat="false" ht="12" hidden="false" customHeight="false" outlineLevel="0" collapsed="false">
      <c r="A5269" s="203" t="s">
        <v>7738</v>
      </c>
    </row>
    <row r="5270" customFormat="false" ht="12" hidden="false" customHeight="false" outlineLevel="0" collapsed="false">
      <c r="A5270" s="203" t="s">
        <v>7739</v>
      </c>
    </row>
    <row r="5271" customFormat="false" ht="12" hidden="false" customHeight="false" outlineLevel="0" collapsed="false">
      <c r="A5271" s="203" t="s">
        <v>7740</v>
      </c>
    </row>
    <row r="5272" customFormat="false" ht="12" hidden="false" customHeight="false" outlineLevel="0" collapsed="false">
      <c r="A5272" s="203" t="s">
        <v>7741</v>
      </c>
    </row>
    <row r="5273" customFormat="false" ht="12" hidden="false" customHeight="false" outlineLevel="0" collapsed="false">
      <c r="A5273" s="203" t="s">
        <v>7742</v>
      </c>
    </row>
    <row r="5274" customFormat="false" ht="12" hidden="false" customHeight="false" outlineLevel="0" collapsed="false">
      <c r="A5274" s="203" t="s">
        <v>7743</v>
      </c>
    </row>
    <row r="5275" customFormat="false" ht="12" hidden="false" customHeight="false" outlineLevel="0" collapsed="false">
      <c r="A5275" s="203" t="s">
        <v>7744</v>
      </c>
    </row>
    <row r="5276" customFormat="false" ht="12" hidden="false" customHeight="false" outlineLevel="0" collapsed="false">
      <c r="A5276" s="203" t="s">
        <v>7745</v>
      </c>
    </row>
    <row r="5277" customFormat="false" ht="12" hidden="false" customHeight="false" outlineLevel="0" collapsed="false">
      <c r="A5277" s="203" t="s">
        <v>7746</v>
      </c>
    </row>
    <row r="5278" customFormat="false" ht="12" hidden="false" customHeight="false" outlineLevel="0" collapsed="false">
      <c r="A5278" s="203" t="s">
        <v>7747</v>
      </c>
    </row>
    <row r="5279" customFormat="false" ht="12" hidden="false" customHeight="false" outlineLevel="0" collapsed="false">
      <c r="A5279" s="203" t="s">
        <v>7748</v>
      </c>
    </row>
    <row r="5280" customFormat="false" ht="12" hidden="false" customHeight="false" outlineLevel="0" collapsed="false">
      <c r="A5280" s="203" t="s">
        <v>7749</v>
      </c>
    </row>
    <row r="5281" customFormat="false" ht="12" hidden="false" customHeight="false" outlineLevel="0" collapsed="false">
      <c r="A5281" s="203" t="s">
        <v>7750</v>
      </c>
    </row>
    <row r="5282" customFormat="false" ht="12" hidden="false" customHeight="false" outlineLevel="0" collapsed="false">
      <c r="A5282" s="203" t="s">
        <v>7751</v>
      </c>
    </row>
    <row r="5283" customFormat="false" ht="12" hidden="false" customHeight="false" outlineLevel="0" collapsed="false">
      <c r="A5283" s="203" t="s">
        <v>7752</v>
      </c>
    </row>
    <row r="5284" customFormat="false" ht="12" hidden="false" customHeight="false" outlineLevel="0" collapsed="false">
      <c r="A5284" s="203" t="s">
        <v>7753</v>
      </c>
    </row>
    <row r="5285" customFormat="false" ht="12" hidden="false" customHeight="false" outlineLevel="0" collapsed="false">
      <c r="A5285" s="203" t="s">
        <v>7754</v>
      </c>
    </row>
    <row r="5286" customFormat="false" ht="12" hidden="false" customHeight="false" outlineLevel="0" collapsed="false">
      <c r="A5286" s="203" t="s">
        <v>7755</v>
      </c>
    </row>
    <row r="5287" customFormat="false" ht="12" hidden="false" customHeight="false" outlineLevel="0" collapsed="false">
      <c r="A5287" s="203" t="s">
        <v>7756</v>
      </c>
    </row>
    <row r="5288" customFormat="false" ht="12" hidden="false" customHeight="false" outlineLevel="0" collapsed="false">
      <c r="A5288" s="203" t="s">
        <v>7757</v>
      </c>
    </row>
    <row r="5289" customFormat="false" ht="12" hidden="false" customHeight="false" outlineLevel="0" collapsed="false">
      <c r="A5289" s="203" t="s">
        <v>7758</v>
      </c>
    </row>
    <row r="5290" customFormat="false" ht="12" hidden="false" customHeight="false" outlineLevel="0" collapsed="false">
      <c r="A5290" s="203" t="s">
        <v>7759</v>
      </c>
    </row>
    <row r="5291" customFormat="false" ht="12" hidden="false" customHeight="false" outlineLevel="0" collapsed="false">
      <c r="A5291" s="203" t="s">
        <v>7760</v>
      </c>
    </row>
    <row r="5292" customFormat="false" ht="12" hidden="false" customHeight="false" outlineLevel="0" collapsed="false">
      <c r="A5292" s="203" t="s">
        <v>7761</v>
      </c>
    </row>
    <row r="5293" customFormat="false" ht="12" hidden="false" customHeight="false" outlineLevel="0" collapsed="false">
      <c r="A5293" s="203" t="s">
        <v>7762</v>
      </c>
    </row>
    <row r="5294" customFormat="false" ht="12" hidden="false" customHeight="false" outlineLevel="0" collapsed="false">
      <c r="A5294" s="203" t="s">
        <v>7763</v>
      </c>
    </row>
    <row r="5295" customFormat="false" ht="12" hidden="false" customHeight="false" outlineLevel="0" collapsed="false">
      <c r="A5295" s="203" t="s">
        <v>7764</v>
      </c>
    </row>
    <row r="5296" customFormat="false" ht="12" hidden="false" customHeight="false" outlineLevel="0" collapsed="false">
      <c r="A5296" s="203" t="s">
        <v>7765</v>
      </c>
    </row>
    <row r="5297" customFormat="false" ht="12" hidden="false" customHeight="false" outlineLevel="0" collapsed="false">
      <c r="A5297" s="203" t="s">
        <v>7766</v>
      </c>
    </row>
    <row r="5298" customFormat="false" ht="12" hidden="false" customHeight="false" outlineLevel="0" collapsed="false">
      <c r="A5298" s="203" t="s">
        <v>7767</v>
      </c>
    </row>
    <row r="5299" customFormat="false" ht="12" hidden="false" customHeight="false" outlineLevel="0" collapsed="false">
      <c r="A5299" s="203" t="s">
        <v>7768</v>
      </c>
    </row>
    <row r="5300" customFormat="false" ht="12" hidden="false" customHeight="false" outlineLevel="0" collapsed="false">
      <c r="A5300" s="203" t="s">
        <v>7769</v>
      </c>
    </row>
    <row r="5301" customFormat="false" ht="12" hidden="false" customHeight="false" outlineLevel="0" collapsed="false">
      <c r="A5301" s="203" t="s">
        <v>7770</v>
      </c>
    </row>
    <row r="5302" customFormat="false" ht="12" hidden="false" customHeight="false" outlineLevel="0" collapsed="false">
      <c r="A5302" s="203" t="s">
        <v>7771</v>
      </c>
    </row>
    <row r="5303" customFormat="false" ht="12" hidden="false" customHeight="false" outlineLevel="0" collapsed="false">
      <c r="A5303" s="203" t="s">
        <v>7772</v>
      </c>
    </row>
    <row r="5304" customFormat="false" ht="12" hidden="false" customHeight="false" outlineLevel="0" collapsed="false">
      <c r="A5304" s="203" t="s">
        <v>7773</v>
      </c>
    </row>
    <row r="5305" customFormat="false" ht="12" hidden="false" customHeight="false" outlineLevel="0" collapsed="false">
      <c r="A5305" s="203" t="s">
        <v>7774</v>
      </c>
    </row>
    <row r="5306" customFormat="false" ht="12" hidden="false" customHeight="false" outlineLevel="0" collapsed="false">
      <c r="A5306" s="203" t="s">
        <v>7775</v>
      </c>
    </row>
    <row r="5307" customFormat="false" ht="12" hidden="false" customHeight="false" outlineLevel="0" collapsed="false">
      <c r="A5307" s="203" t="s">
        <v>7776</v>
      </c>
    </row>
    <row r="5308" customFormat="false" ht="12" hidden="false" customHeight="false" outlineLevel="0" collapsed="false">
      <c r="A5308" s="203" t="s">
        <v>7777</v>
      </c>
    </row>
    <row r="5309" customFormat="false" ht="12" hidden="false" customHeight="false" outlineLevel="0" collapsed="false">
      <c r="A5309" s="203" t="s">
        <v>7778</v>
      </c>
    </row>
    <row r="5310" customFormat="false" ht="12" hidden="false" customHeight="false" outlineLevel="0" collapsed="false">
      <c r="A5310" s="203" t="s">
        <v>7779</v>
      </c>
    </row>
    <row r="5311" customFormat="false" ht="12" hidden="false" customHeight="false" outlineLevel="0" collapsed="false">
      <c r="A5311" s="203" t="s">
        <v>7780</v>
      </c>
    </row>
    <row r="5312" customFormat="false" ht="12" hidden="false" customHeight="false" outlineLevel="0" collapsed="false">
      <c r="A5312" s="203" t="s">
        <v>7781</v>
      </c>
    </row>
    <row r="5313" customFormat="false" ht="12" hidden="false" customHeight="false" outlineLevel="0" collapsed="false">
      <c r="A5313" s="203" t="s">
        <v>7782</v>
      </c>
    </row>
    <row r="5314" customFormat="false" ht="12" hidden="false" customHeight="false" outlineLevel="0" collapsed="false">
      <c r="A5314" s="203" t="s">
        <v>7783</v>
      </c>
    </row>
    <row r="5315" customFormat="false" ht="12" hidden="false" customHeight="false" outlineLevel="0" collapsed="false">
      <c r="A5315" s="203" t="s">
        <v>7784</v>
      </c>
    </row>
    <row r="5316" customFormat="false" ht="12" hidden="false" customHeight="false" outlineLevel="0" collapsed="false">
      <c r="A5316" s="203" t="s">
        <v>7785</v>
      </c>
    </row>
    <row r="5317" customFormat="false" ht="12" hidden="false" customHeight="false" outlineLevel="0" collapsed="false">
      <c r="A5317" s="203" t="s">
        <v>7786</v>
      </c>
    </row>
    <row r="5318" customFormat="false" ht="12" hidden="false" customHeight="false" outlineLevel="0" collapsed="false">
      <c r="A5318" s="203" t="s">
        <v>7787</v>
      </c>
    </row>
    <row r="5319" customFormat="false" ht="12" hidden="false" customHeight="false" outlineLevel="0" collapsed="false">
      <c r="A5319" s="203" t="s">
        <v>7788</v>
      </c>
    </row>
    <row r="5320" customFormat="false" ht="12" hidden="false" customHeight="false" outlineLevel="0" collapsed="false">
      <c r="A5320" s="203" t="s">
        <v>7789</v>
      </c>
    </row>
    <row r="5321" customFormat="false" ht="12" hidden="false" customHeight="false" outlineLevel="0" collapsed="false">
      <c r="A5321" s="203" t="s">
        <v>7790</v>
      </c>
    </row>
    <row r="5322" customFormat="false" ht="12" hidden="false" customHeight="false" outlineLevel="0" collapsed="false">
      <c r="A5322" s="203" t="s">
        <v>7791</v>
      </c>
    </row>
    <row r="5323" customFormat="false" ht="12" hidden="false" customHeight="false" outlineLevel="0" collapsed="false">
      <c r="A5323" s="203" t="s">
        <v>7792</v>
      </c>
    </row>
    <row r="5324" customFormat="false" ht="12" hidden="false" customHeight="false" outlineLevel="0" collapsed="false">
      <c r="A5324" s="203" t="s">
        <v>7793</v>
      </c>
    </row>
    <row r="5325" customFormat="false" ht="12" hidden="false" customHeight="false" outlineLevel="0" collapsed="false">
      <c r="A5325" s="203" t="s">
        <v>7794</v>
      </c>
    </row>
    <row r="5326" customFormat="false" ht="12" hidden="false" customHeight="false" outlineLevel="0" collapsed="false">
      <c r="A5326" s="203" t="s">
        <v>7795</v>
      </c>
    </row>
    <row r="5327" customFormat="false" ht="12" hidden="false" customHeight="false" outlineLevel="0" collapsed="false">
      <c r="A5327" s="203" t="s">
        <v>7796</v>
      </c>
    </row>
    <row r="5328" customFormat="false" ht="12" hidden="false" customHeight="false" outlineLevel="0" collapsed="false">
      <c r="A5328" s="203" t="s">
        <v>7797</v>
      </c>
    </row>
    <row r="5329" customFormat="false" ht="12" hidden="false" customHeight="false" outlineLevel="0" collapsed="false">
      <c r="A5329" s="203" t="s">
        <v>7798</v>
      </c>
    </row>
    <row r="5330" customFormat="false" ht="12" hidden="false" customHeight="false" outlineLevel="0" collapsed="false">
      <c r="A5330" s="203" t="s">
        <v>7799</v>
      </c>
    </row>
    <row r="5331" customFormat="false" ht="12" hidden="false" customHeight="false" outlineLevel="0" collapsed="false">
      <c r="A5331" s="203" t="s">
        <v>7800</v>
      </c>
    </row>
    <row r="5332" customFormat="false" ht="12" hidden="false" customHeight="false" outlineLevel="0" collapsed="false">
      <c r="A5332" s="203" t="s">
        <v>7801</v>
      </c>
    </row>
    <row r="5333" customFormat="false" ht="12" hidden="false" customHeight="false" outlineLevel="0" collapsed="false">
      <c r="A5333" s="203" t="s">
        <v>7802</v>
      </c>
    </row>
    <row r="5334" customFormat="false" ht="12" hidden="false" customHeight="false" outlineLevel="0" collapsed="false">
      <c r="A5334" s="203" t="s">
        <v>7803</v>
      </c>
    </row>
    <row r="5335" customFormat="false" ht="12" hidden="false" customHeight="false" outlineLevel="0" collapsed="false">
      <c r="A5335" s="203" t="s">
        <v>7804</v>
      </c>
    </row>
    <row r="5336" customFormat="false" ht="12" hidden="false" customHeight="false" outlineLevel="0" collapsed="false">
      <c r="A5336" s="203" t="s">
        <v>7805</v>
      </c>
    </row>
    <row r="5337" customFormat="false" ht="12" hidden="false" customHeight="false" outlineLevel="0" collapsed="false">
      <c r="A5337" s="203" t="s">
        <v>7806</v>
      </c>
    </row>
    <row r="5338" customFormat="false" ht="12" hidden="false" customHeight="false" outlineLevel="0" collapsed="false">
      <c r="A5338" s="203" t="s">
        <v>7807</v>
      </c>
    </row>
    <row r="5339" customFormat="false" ht="12" hidden="false" customHeight="false" outlineLevel="0" collapsed="false">
      <c r="A5339" s="203" t="s">
        <v>7808</v>
      </c>
    </row>
    <row r="5340" customFormat="false" ht="12" hidden="false" customHeight="false" outlineLevel="0" collapsed="false">
      <c r="A5340" s="203" t="s">
        <v>7809</v>
      </c>
    </row>
    <row r="5341" customFormat="false" ht="12" hidden="false" customHeight="false" outlineLevel="0" collapsed="false">
      <c r="A5341" s="203" t="s">
        <v>7810</v>
      </c>
    </row>
    <row r="5342" customFormat="false" ht="12" hidden="false" customHeight="false" outlineLevel="0" collapsed="false">
      <c r="A5342" s="203" t="s">
        <v>7811</v>
      </c>
    </row>
    <row r="5343" customFormat="false" ht="12" hidden="false" customHeight="false" outlineLevel="0" collapsed="false">
      <c r="A5343" s="203" t="s">
        <v>7812</v>
      </c>
    </row>
    <row r="5344" customFormat="false" ht="12" hidden="false" customHeight="false" outlineLevel="0" collapsed="false">
      <c r="A5344" s="203" t="s">
        <v>7813</v>
      </c>
    </row>
    <row r="5345" customFormat="false" ht="12" hidden="false" customHeight="false" outlineLevel="0" collapsed="false">
      <c r="A5345" s="203" t="s">
        <v>7814</v>
      </c>
    </row>
    <row r="5346" customFormat="false" ht="12" hidden="false" customHeight="false" outlineLevel="0" collapsed="false">
      <c r="A5346" s="203" t="s">
        <v>7815</v>
      </c>
    </row>
    <row r="5347" customFormat="false" ht="12" hidden="false" customHeight="false" outlineLevel="0" collapsed="false">
      <c r="A5347" s="203" t="s">
        <v>7816</v>
      </c>
    </row>
    <row r="5348" customFormat="false" ht="12" hidden="false" customHeight="false" outlineLevel="0" collapsed="false">
      <c r="A5348" s="203" t="s">
        <v>7817</v>
      </c>
    </row>
    <row r="5349" customFormat="false" ht="12" hidden="false" customHeight="false" outlineLevel="0" collapsed="false">
      <c r="A5349" s="203" t="s">
        <v>7818</v>
      </c>
    </row>
    <row r="5350" customFormat="false" ht="12" hidden="false" customHeight="false" outlineLevel="0" collapsed="false">
      <c r="A5350" s="203" t="s">
        <v>7819</v>
      </c>
    </row>
    <row r="5351" customFormat="false" ht="12" hidden="false" customHeight="false" outlineLevel="0" collapsed="false">
      <c r="A5351" s="203" t="s">
        <v>7820</v>
      </c>
    </row>
    <row r="5352" customFormat="false" ht="12" hidden="false" customHeight="false" outlineLevel="0" collapsed="false">
      <c r="A5352" s="203" t="s">
        <v>7821</v>
      </c>
    </row>
    <row r="5353" customFormat="false" ht="12" hidden="false" customHeight="false" outlineLevel="0" collapsed="false">
      <c r="A5353" s="203" t="s">
        <v>7822</v>
      </c>
    </row>
    <row r="5354" customFormat="false" ht="12" hidden="false" customHeight="false" outlineLevel="0" collapsed="false">
      <c r="A5354" s="203" t="s">
        <v>7823</v>
      </c>
    </row>
    <row r="5355" customFormat="false" ht="12" hidden="false" customHeight="false" outlineLevel="0" collapsed="false">
      <c r="A5355" s="203" t="s">
        <v>7824</v>
      </c>
    </row>
    <row r="5356" customFormat="false" ht="12" hidden="false" customHeight="false" outlineLevel="0" collapsed="false">
      <c r="A5356" s="203" t="s">
        <v>7825</v>
      </c>
    </row>
    <row r="5357" customFormat="false" ht="12" hidden="false" customHeight="false" outlineLevel="0" collapsed="false">
      <c r="A5357" s="203" t="s">
        <v>7826</v>
      </c>
    </row>
    <row r="5358" customFormat="false" ht="12" hidden="false" customHeight="false" outlineLevel="0" collapsed="false">
      <c r="A5358" s="203" t="s">
        <v>7827</v>
      </c>
    </row>
    <row r="5359" customFormat="false" ht="12" hidden="false" customHeight="false" outlineLevel="0" collapsed="false">
      <c r="A5359" s="203" t="s">
        <v>7828</v>
      </c>
    </row>
    <row r="5360" customFormat="false" ht="12" hidden="false" customHeight="false" outlineLevel="0" collapsed="false">
      <c r="A5360" s="203" t="s">
        <v>7829</v>
      </c>
    </row>
    <row r="5361" customFormat="false" ht="12" hidden="false" customHeight="false" outlineLevel="0" collapsed="false">
      <c r="A5361" s="203" t="s">
        <v>7830</v>
      </c>
    </row>
    <row r="5362" customFormat="false" ht="12" hidden="false" customHeight="false" outlineLevel="0" collapsed="false">
      <c r="A5362" s="203" t="s">
        <v>7831</v>
      </c>
    </row>
    <row r="5363" customFormat="false" ht="12" hidden="false" customHeight="false" outlineLevel="0" collapsed="false">
      <c r="A5363" s="203" t="s">
        <v>7832</v>
      </c>
    </row>
    <row r="5364" customFormat="false" ht="12" hidden="false" customHeight="false" outlineLevel="0" collapsed="false">
      <c r="A5364" s="203" t="s">
        <v>7833</v>
      </c>
    </row>
    <row r="5365" customFormat="false" ht="12" hidden="false" customHeight="false" outlineLevel="0" collapsed="false">
      <c r="A5365" s="203" t="s">
        <v>7834</v>
      </c>
    </row>
    <row r="5366" customFormat="false" ht="12" hidden="false" customHeight="false" outlineLevel="0" collapsed="false">
      <c r="A5366" s="203" t="s">
        <v>7835</v>
      </c>
    </row>
    <row r="5367" customFormat="false" ht="12" hidden="false" customHeight="false" outlineLevel="0" collapsed="false">
      <c r="A5367" s="203" t="s">
        <v>7836</v>
      </c>
    </row>
    <row r="5368" customFormat="false" ht="12" hidden="false" customHeight="false" outlineLevel="0" collapsed="false">
      <c r="A5368" s="203" t="s">
        <v>7837</v>
      </c>
    </row>
    <row r="5369" customFormat="false" ht="12" hidden="false" customHeight="false" outlineLevel="0" collapsed="false">
      <c r="A5369" s="203" t="s">
        <v>7838</v>
      </c>
    </row>
    <row r="5370" customFormat="false" ht="12" hidden="false" customHeight="false" outlineLevel="0" collapsed="false">
      <c r="A5370" s="203" t="s">
        <v>7839</v>
      </c>
    </row>
    <row r="5371" customFormat="false" ht="12" hidden="false" customHeight="false" outlineLevel="0" collapsed="false">
      <c r="A5371" s="203" t="s">
        <v>7840</v>
      </c>
    </row>
    <row r="5372" customFormat="false" ht="12" hidden="false" customHeight="false" outlineLevel="0" collapsed="false">
      <c r="A5372" s="203" t="s">
        <v>7841</v>
      </c>
    </row>
    <row r="5373" customFormat="false" ht="12" hidden="false" customHeight="false" outlineLevel="0" collapsed="false">
      <c r="A5373" s="203" t="s">
        <v>7842</v>
      </c>
    </row>
    <row r="5374" customFormat="false" ht="12" hidden="false" customHeight="false" outlineLevel="0" collapsed="false">
      <c r="A5374" s="203" t="s">
        <v>7843</v>
      </c>
    </row>
    <row r="5375" customFormat="false" ht="12" hidden="false" customHeight="false" outlineLevel="0" collapsed="false">
      <c r="A5375" s="203" t="s">
        <v>7844</v>
      </c>
    </row>
    <row r="5376" customFormat="false" ht="12" hidden="false" customHeight="false" outlineLevel="0" collapsed="false">
      <c r="A5376" s="203" t="s">
        <v>7845</v>
      </c>
    </row>
    <row r="5377" customFormat="false" ht="12" hidden="false" customHeight="false" outlineLevel="0" collapsed="false">
      <c r="A5377" s="203" t="s">
        <v>7846</v>
      </c>
    </row>
    <row r="5378" customFormat="false" ht="12" hidden="false" customHeight="false" outlineLevel="0" collapsed="false">
      <c r="A5378" s="203" t="s">
        <v>7847</v>
      </c>
    </row>
    <row r="5379" customFormat="false" ht="12" hidden="false" customHeight="false" outlineLevel="0" collapsed="false">
      <c r="A5379" s="203" t="s">
        <v>7848</v>
      </c>
    </row>
    <row r="5380" customFormat="false" ht="12" hidden="false" customHeight="false" outlineLevel="0" collapsed="false">
      <c r="A5380" s="203" t="s">
        <v>7849</v>
      </c>
    </row>
    <row r="5381" customFormat="false" ht="12" hidden="false" customHeight="false" outlineLevel="0" collapsed="false">
      <c r="A5381" s="203" t="s">
        <v>7850</v>
      </c>
    </row>
    <row r="5382" customFormat="false" ht="12" hidden="false" customHeight="false" outlineLevel="0" collapsed="false">
      <c r="A5382" s="203" t="s">
        <v>7851</v>
      </c>
    </row>
    <row r="5383" customFormat="false" ht="12" hidden="false" customHeight="false" outlineLevel="0" collapsed="false">
      <c r="A5383" s="203" t="s">
        <v>7852</v>
      </c>
    </row>
    <row r="5384" customFormat="false" ht="12" hidden="false" customHeight="false" outlineLevel="0" collapsed="false">
      <c r="A5384" s="203" t="s">
        <v>7853</v>
      </c>
    </row>
    <row r="5385" customFormat="false" ht="12" hidden="false" customHeight="false" outlineLevel="0" collapsed="false">
      <c r="A5385" s="203" t="s">
        <v>7854</v>
      </c>
    </row>
    <row r="5386" customFormat="false" ht="12" hidden="false" customHeight="false" outlineLevel="0" collapsed="false">
      <c r="A5386" s="203" t="s">
        <v>7855</v>
      </c>
    </row>
    <row r="5387" customFormat="false" ht="12" hidden="false" customHeight="false" outlineLevel="0" collapsed="false">
      <c r="A5387" s="203" t="s">
        <v>7856</v>
      </c>
    </row>
    <row r="5388" customFormat="false" ht="12" hidden="false" customHeight="false" outlineLevel="0" collapsed="false">
      <c r="A5388" s="203" t="s">
        <v>7857</v>
      </c>
    </row>
    <row r="5389" customFormat="false" ht="12" hidden="false" customHeight="false" outlineLevel="0" collapsed="false">
      <c r="A5389" s="203" t="s">
        <v>7858</v>
      </c>
    </row>
    <row r="5390" customFormat="false" ht="12" hidden="false" customHeight="false" outlineLevel="0" collapsed="false">
      <c r="A5390" s="203" t="s">
        <v>7859</v>
      </c>
    </row>
    <row r="5391" customFormat="false" ht="12" hidden="false" customHeight="false" outlineLevel="0" collapsed="false">
      <c r="A5391" s="203" t="s">
        <v>7860</v>
      </c>
    </row>
    <row r="5392" customFormat="false" ht="12" hidden="false" customHeight="false" outlineLevel="0" collapsed="false">
      <c r="A5392" s="203" t="s">
        <v>7861</v>
      </c>
    </row>
    <row r="5393" customFormat="false" ht="12" hidden="false" customHeight="false" outlineLevel="0" collapsed="false">
      <c r="A5393" s="203" t="s">
        <v>7862</v>
      </c>
    </row>
    <row r="5394" customFormat="false" ht="12" hidden="false" customHeight="false" outlineLevel="0" collapsed="false">
      <c r="A5394" s="203" t="s">
        <v>7863</v>
      </c>
    </row>
    <row r="5395" customFormat="false" ht="12" hidden="false" customHeight="false" outlineLevel="0" collapsed="false">
      <c r="A5395" s="203" t="s">
        <v>7864</v>
      </c>
    </row>
    <row r="5396" customFormat="false" ht="12" hidden="false" customHeight="false" outlineLevel="0" collapsed="false">
      <c r="A5396" s="203" t="s">
        <v>7865</v>
      </c>
    </row>
    <row r="5397" customFormat="false" ht="12" hidden="false" customHeight="false" outlineLevel="0" collapsed="false">
      <c r="A5397" s="203" t="s">
        <v>7866</v>
      </c>
    </row>
    <row r="5398" customFormat="false" ht="12" hidden="false" customHeight="false" outlineLevel="0" collapsed="false">
      <c r="A5398" s="203" t="s">
        <v>7867</v>
      </c>
    </row>
    <row r="5399" customFormat="false" ht="12" hidden="false" customHeight="false" outlineLevel="0" collapsed="false">
      <c r="A5399" s="203" t="s">
        <v>7868</v>
      </c>
    </row>
    <row r="5400" customFormat="false" ht="12" hidden="false" customHeight="false" outlineLevel="0" collapsed="false">
      <c r="A5400" s="203" t="s">
        <v>7869</v>
      </c>
    </row>
    <row r="5401" customFormat="false" ht="12" hidden="false" customHeight="false" outlineLevel="0" collapsed="false">
      <c r="A5401" s="203" t="s">
        <v>7870</v>
      </c>
    </row>
    <row r="5402" customFormat="false" ht="12" hidden="false" customHeight="false" outlineLevel="0" collapsed="false">
      <c r="A5402" s="203" t="s">
        <v>7871</v>
      </c>
    </row>
    <row r="5403" customFormat="false" ht="12" hidden="false" customHeight="false" outlineLevel="0" collapsed="false">
      <c r="A5403" s="203" t="s">
        <v>7872</v>
      </c>
    </row>
    <row r="5404" customFormat="false" ht="12" hidden="false" customHeight="false" outlineLevel="0" collapsed="false">
      <c r="A5404" s="203" t="s">
        <v>7873</v>
      </c>
    </row>
    <row r="5405" customFormat="false" ht="12" hidden="false" customHeight="false" outlineLevel="0" collapsed="false">
      <c r="A5405" s="203" t="s">
        <v>7874</v>
      </c>
    </row>
    <row r="5406" customFormat="false" ht="12" hidden="false" customHeight="false" outlineLevel="0" collapsed="false">
      <c r="A5406" s="203" t="s">
        <v>7875</v>
      </c>
    </row>
    <row r="5407" customFormat="false" ht="12" hidden="false" customHeight="false" outlineLevel="0" collapsed="false">
      <c r="A5407" s="203" t="s">
        <v>7876</v>
      </c>
    </row>
    <row r="5408" customFormat="false" ht="12" hidden="false" customHeight="false" outlineLevel="0" collapsed="false">
      <c r="A5408" s="203" t="s">
        <v>7877</v>
      </c>
    </row>
    <row r="5409" customFormat="false" ht="12" hidden="false" customHeight="false" outlineLevel="0" collapsed="false">
      <c r="A5409" s="203" t="s">
        <v>7878</v>
      </c>
    </row>
    <row r="5410" customFormat="false" ht="12" hidden="false" customHeight="false" outlineLevel="0" collapsed="false">
      <c r="A5410" s="203" t="s">
        <v>7879</v>
      </c>
    </row>
    <row r="5411" customFormat="false" ht="12" hidden="false" customHeight="false" outlineLevel="0" collapsed="false">
      <c r="A5411" s="203" t="s">
        <v>7880</v>
      </c>
    </row>
    <row r="5412" customFormat="false" ht="12" hidden="false" customHeight="false" outlineLevel="0" collapsed="false">
      <c r="A5412" s="203" t="s">
        <v>7881</v>
      </c>
    </row>
    <row r="5413" customFormat="false" ht="12" hidden="false" customHeight="false" outlineLevel="0" collapsed="false">
      <c r="A5413" s="203" t="s">
        <v>7882</v>
      </c>
    </row>
    <row r="5414" customFormat="false" ht="12" hidden="false" customHeight="false" outlineLevel="0" collapsed="false">
      <c r="A5414" s="203" t="s">
        <v>7883</v>
      </c>
    </row>
    <row r="5415" customFormat="false" ht="12" hidden="false" customHeight="false" outlineLevel="0" collapsed="false">
      <c r="A5415" s="203" t="s">
        <v>7884</v>
      </c>
    </row>
    <row r="5416" customFormat="false" ht="12" hidden="false" customHeight="false" outlineLevel="0" collapsed="false">
      <c r="A5416" s="203" t="s">
        <v>7885</v>
      </c>
    </row>
    <row r="5417" customFormat="false" ht="12" hidden="false" customHeight="false" outlineLevel="0" collapsed="false">
      <c r="A5417" s="203" t="s">
        <v>7886</v>
      </c>
    </row>
    <row r="5418" customFormat="false" ht="12" hidden="false" customHeight="false" outlineLevel="0" collapsed="false">
      <c r="A5418" s="203" t="s">
        <v>7887</v>
      </c>
    </row>
    <row r="5419" customFormat="false" ht="12" hidden="false" customHeight="false" outlineLevel="0" collapsed="false">
      <c r="A5419" s="203" t="s">
        <v>7888</v>
      </c>
    </row>
    <row r="5420" customFormat="false" ht="12" hidden="false" customHeight="false" outlineLevel="0" collapsed="false">
      <c r="A5420" s="203" t="s">
        <v>7889</v>
      </c>
    </row>
    <row r="5421" customFormat="false" ht="12" hidden="false" customHeight="false" outlineLevel="0" collapsed="false">
      <c r="A5421" s="203" t="s">
        <v>7890</v>
      </c>
    </row>
    <row r="5422" customFormat="false" ht="12" hidden="false" customHeight="false" outlineLevel="0" collapsed="false">
      <c r="A5422" s="203" t="s">
        <v>7891</v>
      </c>
    </row>
    <row r="5423" customFormat="false" ht="12" hidden="false" customHeight="false" outlineLevel="0" collapsed="false">
      <c r="A5423" s="203" t="s">
        <v>7892</v>
      </c>
    </row>
    <row r="5424" customFormat="false" ht="12" hidden="false" customHeight="false" outlineLevel="0" collapsed="false">
      <c r="A5424" s="203" t="s">
        <v>7893</v>
      </c>
    </row>
    <row r="5425" customFormat="false" ht="12" hidden="false" customHeight="false" outlineLevel="0" collapsed="false">
      <c r="A5425" s="203" t="s">
        <v>7894</v>
      </c>
    </row>
    <row r="5426" customFormat="false" ht="12" hidden="false" customHeight="false" outlineLevel="0" collapsed="false">
      <c r="A5426" s="203" t="s">
        <v>7895</v>
      </c>
    </row>
    <row r="5427" customFormat="false" ht="12" hidden="false" customHeight="false" outlineLevel="0" collapsed="false">
      <c r="A5427" s="203" t="s">
        <v>7896</v>
      </c>
    </row>
    <row r="5428" customFormat="false" ht="12" hidden="false" customHeight="false" outlineLevel="0" collapsed="false">
      <c r="A5428" s="203" t="s">
        <v>7897</v>
      </c>
    </row>
    <row r="5429" customFormat="false" ht="12" hidden="false" customHeight="false" outlineLevel="0" collapsed="false">
      <c r="A5429" s="203" t="s">
        <v>7898</v>
      </c>
    </row>
    <row r="5430" customFormat="false" ht="12" hidden="false" customHeight="false" outlineLevel="0" collapsed="false">
      <c r="A5430" s="203" t="s">
        <v>7899</v>
      </c>
    </row>
    <row r="5431" customFormat="false" ht="12" hidden="false" customHeight="false" outlineLevel="0" collapsed="false">
      <c r="A5431" s="203" t="s">
        <v>7900</v>
      </c>
    </row>
    <row r="5432" customFormat="false" ht="12" hidden="false" customHeight="false" outlineLevel="0" collapsed="false">
      <c r="A5432" s="203" t="s">
        <v>7901</v>
      </c>
    </row>
    <row r="5433" customFormat="false" ht="12" hidden="false" customHeight="false" outlineLevel="0" collapsed="false">
      <c r="A5433" s="203" t="s">
        <v>7902</v>
      </c>
    </row>
    <row r="5434" customFormat="false" ht="12" hidden="false" customHeight="false" outlineLevel="0" collapsed="false">
      <c r="A5434" s="203" t="s">
        <v>7903</v>
      </c>
    </row>
    <row r="5435" customFormat="false" ht="12" hidden="false" customHeight="false" outlineLevel="0" collapsed="false">
      <c r="A5435" s="203" t="s">
        <v>7904</v>
      </c>
    </row>
    <row r="5436" customFormat="false" ht="12" hidden="false" customHeight="false" outlineLevel="0" collapsed="false">
      <c r="A5436" s="203" t="s">
        <v>7905</v>
      </c>
    </row>
    <row r="5437" customFormat="false" ht="12" hidden="false" customHeight="false" outlineLevel="0" collapsed="false">
      <c r="A5437" s="203" t="s">
        <v>7906</v>
      </c>
    </row>
    <row r="5438" customFormat="false" ht="12" hidden="false" customHeight="false" outlineLevel="0" collapsed="false">
      <c r="A5438" s="203" t="s">
        <v>7907</v>
      </c>
    </row>
    <row r="5439" customFormat="false" ht="12" hidden="false" customHeight="false" outlineLevel="0" collapsed="false">
      <c r="A5439" s="203" t="s">
        <v>7908</v>
      </c>
    </row>
    <row r="5440" customFormat="false" ht="12" hidden="false" customHeight="false" outlineLevel="0" collapsed="false">
      <c r="A5440" s="203" t="s">
        <v>7909</v>
      </c>
    </row>
    <row r="5441" customFormat="false" ht="12" hidden="false" customHeight="false" outlineLevel="0" collapsed="false">
      <c r="A5441" s="203" t="s">
        <v>7910</v>
      </c>
    </row>
    <row r="5442" customFormat="false" ht="12" hidden="false" customHeight="false" outlineLevel="0" collapsed="false">
      <c r="A5442" s="203" t="s">
        <v>7911</v>
      </c>
    </row>
    <row r="5443" customFormat="false" ht="12" hidden="false" customHeight="false" outlineLevel="0" collapsed="false">
      <c r="A5443" s="203" t="s">
        <v>7912</v>
      </c>
    </row>
    <row r="5444" customFormat="false" ht="12" hidden="false" customHeight="false" outlineLevel="0" collapsed="false">
      <c r="A5444" s="203" t="s">
        <v>7913</v>
      </c>
    </row>
    <row r="5445" customFormat="false" ht="12" hidden="false" customHeight="false" outlineLevel="0" collapsed="false">
      <c r="A5445" s="203" t="s">
        <v>7914</v>
      </c>
    </row>
    <row r="5446" customFormat="false" ht="12" hidden="false" customHeight="false" outlineLevel="0" collapsed="false">
      <c r="A5446" s="203" t="s">
        <v>7915</v>
      </c>
    </row>
    <row r="5447" customFormat="false" ht="12" hidden="false" customHeight="false" outlineLevel="0" collapsed="false">
      <c r="A5447" s="203" t="s">
        <v>7916</v>
      </c>
    </row>
    <row r="5448" customFormat="false" ht="12" hidden="false" customHeight="false" outlineLevel="0" collapsed="false">
      <c r="A5448" s="203" t="s">
        <v>7917</v>
      </c>
    </row>
    <row r="5449" customFormat="false" ht="12" hidden="false" customHeight="false" outlineLevel="0" collapsed="false">
      <c r="A5449" s="203" t="s">
        <v>7918</v>
      </c>
    </row>
    <row r="5450" customFormat="false" ht="12" hidden="false" customHeight="false" outlineLevel="0" collapsed="false">
      <c r="A5450" s="203" t="s">
        <v>7919</v>
      </c>
    </row>
    <row r="5451" customFormat="false" ht="12" hidden="false" customHeight="false" outlineLevel="0" collapsed="false">
      <c r="A5451" s="203" t="s">
        <v>7920</v>
      </c>
    </row>
    <row r="5452" customFormat="false" ht="12" hidden="false" customHeight="false" outlineLevel="0" collapsed="false">
      <c r="A5452" s="203" t="s">
        <v>7921</v>
      </c>
    </row>
    <row r="5453" customFormat="false" ht="12" hidden="false" customHeight="false" outlineLevel="0" collapsed="false">
      <c r="A5453" s="203" t="s">
        <v>7922</v>
      </c>
    </row>
    <row r="5454" customFormat="false" ht="12" hidden="false" customHeight="false" outlineLevel="0" collapsed="false">
      <c r="A5454" s="203" t="s">
        <v>7923</v>
      </c>
    </row>
    <row r="5455" customFormat="false" ht="12" hidden="false" customHeight="false" outlineLevel="0" collapsed="false">
      <c r="A5455" s="203" t="s">
        <v>7924</v>
      </c>
    </row>
    <row r="5456" customFormat="false" ht="12" hidden="false" customHeight="false" outlineLevel="0" collapsed="false">
      <c r="A5456" s="203" t="s">
        <v>7925</v>
      </c>
    </row>
    <row r="5457" customFormat="false" ht="12" hidden="false" customHeight="false" outlineLevel="0" collapsed="false">
      <c r="A5457" s="203" t="s">
        <v>7926</v>
      </c>
    </row>
    <row r="5458" customFormat="false" ht="12" hidden="false" customHeight="false" outlineLevel="0" collapsed="false">
      <c r="A5458" s="203" t="s">
        <v>7927</v>
      </c>
    </row>
    <row r="5459" customFormat="false" ht="12" hidden="false" customHeight="false" outlineLevel="0" collapsed="false">
      <c r="A5459" s="203" t="s">
        <v>7928</v>
      </c>
    </row>
    <row r="5460" customFormat="false" ht="12" hidden="false" customHeight="false" outlineLevel="0" collapsed="false">
      <c r="A5460" s="203" t="s">
        <v>7929</v>
      </c>
    </row>
    <row r="5461" customFormat="false" ht="12" hidden="false" customHeight="false" outlineLevel="0" collapsed="false">
      <c r="A5461" s="203" t="s">
        <v>7930</v>
      </c>
    </row>
    <row r="5462" customFormat="false" ht="12" hidden="false" customHeight="false" outlineLevel="0" collapsed="false">
      <c r="A5462" s="203" t="s">
        <v>7931</v>
      </c>
    </row>
    <row r="5463" customFormat="false" ht="12" hidden="false" customHeight="false" outlineLevel="0" collapsed="false">
      <c r="A5463" s="203" t="s">
        <v>7932</v>
      </c>
    </row>
    <row r="5464" customFormat="false" ht="12" hidden="false" customHeight="false" outlineLevel="0" collapsed="false">
      <c r="A5464" s="203" t="s">
        <v>7933</v>
      </c>
    </row>
    <row r="5465" customFormat="false" ht="12" hidden="false" customHeight="false" outlineLevel="0" collapsed="false">
      <c r="A5465" s="203" t="s">
        <v>7934</v>
      </c>
    </row>
    <row r="5466" customFormat="false" ht="12" hidden="false" customHeight="false" outlineLevel="0" collapsed="false">
      <c r="A5466" s="203" t="s">
        <v>7935</v>
      </c>
    </row>
    <row r="5467" customFormat="false" ht="12" hidden="false" customHeight="false" outlineLevel="0" collapsed="false">
      <c r="A5467" s="203" t="s">
        <v>7936</v>
      </c>
    </row>
    <row r="5468" customFormat="false" ht="12" hidden="false" customHeight="false" outlineLevel="0" collapsed="false">
      <c r="A5468" s="203" t="s">
        <v>7937</v>
      </c>
    </row>
    <row r="5469" customFormat="false" ht="12" hidden="false" customHeight="false" outlineLevel="0" collapsed="false">
      <c r="A5469" s="203" t="s">
        <v>7938</v>
      </c>
    </row>
    <row r="5470" customFormat="false" ht="12" hidden="false" customHeight="false" outlineLevel="0" collapsed="false">
      <c r="A5470" s="203" t="s">
        <v>7939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89"/>
  <sheetViews>
    <sheetView showFormulas="false" showGridLines="true" showRowColHeaders="true" showZeros="true" rightToLeft="false" tabSelected="false" showOutlineSymbols="true" defaultGridColor="true" view="normal" topLeftCell="A1" colorId="64" zoomScale="121" zoomScaleNormal="121" zoomScalePageLayoutView="100" workbookViewId="0">
      <selection pane="topLeft" activeCell="D11" activeCellId="0" sqref="D11"/>
    </sheetView>
  </sheetViews>
  <sheetFormatPr defaultColWidth="11.43359375" defaultRowHeight="12" customHeight="true" zeroHeight="false" outlineLevelRow="0" outlineLevelCol="0"/>
  <cols>
    <col collapsed="false" customWidth="true" hidden="false" outlineLevel="0" max="1" min="1" style="204" width="4.43"/>
    <col collapsed="false" customWidth="true" hidden="false" outlineLevel="0" max="2" min="2" style="204" width="8"/>
    <col collapsed="false" customWidth="true" hidden="false" outlineLevel="0" max="3" min="3" style="204" width="7.86"/>
    <col collapsed="false" customWidth="true" hidden="false" outlineLevel="0" max="8" min="4" style="204" width="7.57"/>
    <col collapsed="false" customWidth="true" hidden="false" outlineLevel="0" max="9" min="9" style="204" width="5.71"/>
    <col collapsed="false" customWidth="true" hidden="false" outlineLevel="0" max="10" min="10" style="204" width="5.57"/>
    <col collapsed="false" customWidth="true" hidden="false" outlineLevel="0" max="12" min="11" style="204" width="7.57"/>
    <col collapsed="false" customWidth="true" hidden="false" outlineLevel="0" max="13" min="13" style="204" width="5.43"/>
    <col collapsed="false" customWidth="true" hidden="false" outlineLevel="0" max="14" min="14" style="204" width="8.71"/>
    <col collapsed="false" customWidth="true" hidden="false" outlineLevel="0" max="15" min="15" style="204" width="12"/>
    <col collapsed="false" customWidth="true" hidden="false" outlineLevel="0" max="16" min="16" style="204" width="13.57"/>
    <col collapsed="false" customWidth="true" hidden="false" outlineLevel="0" max="17" min="17" style="204" width="17.57"/>
    <col collapsed="false" customWidth="true" hidden="false" outlineLevel="0" max="18" min="18" style="204" width="19.14"/>
    <col collapsed="false" customWidth="true" hidden="false" outlineLevel="0" max="19" min="19" style="204" width="12.71"/>
    <col collapsed="false" customWidth="true" hidden="false" outlineLevel="0" max="20" min="20" style="204" width="17.71"/>
    <col collapsed="false" customWidth="true" hidden="false" outlineLevel="0" max="21" min="21" style="204" width="20.14"/>
    <col collapsed="false" customWidth="true" hidden="false" outlineLevel="0" max="22" min="22" style="204" width="21.86"/>
    <col collapsed="false" customWidth="false" hidden="false" outlineLevel="0" max="26" min="23" style="204" width="11.43"/>
    <col collapsed="false" customWidth="true" hidden="false" outlineLevel="0" max="27" min="27" style="204" width="14.29"/>
    <col collapsed="false" customWidth="true" hidden="false" outlineLevel="0" max="28" min="28" style="204" width="12.57"/>
    <col collapsed="false" customWidth="true" hidden="false" outlineLevel="0" max="30" min="29" style="204" width="12.29"/>
    <col collapsed="false" customWidth="true" hidden="false" outlineLevel="0" max="31" min="31" style="204" width="26"/>
    <col collapsed="false" customWidth="false" hidden="false" outlineLevel="0" max="16384" min="32" style="204" width="11.43"/>
  </cols>
  <sheetData>
    <row r="1" customFormat="false" ht="12" hidden="false" customHeight="false" outlineLevel="0" collapsed="false">
      <c r="A1" s="204" t="s">
        <v>7940</v>
      </c>
    </row>
    <row r="2" customFormat="false" ht="12" hidden="false" customHeight="false" outlineLevel="0" collapsed="false">
      <c r="A2" s="204" t="s">
        <v>7941</v>
      </c>
    </row>
    <row r="3" customFormat="false" ht="12" hidden="false" customHeight="false" outlineLevel="0" collapsed="false">
      <c r="A3" s="204" t="s">
        <v>7942</v>
      </c>
    </row>
    <row r="4" customFormat="false" ht="12" hidden="false" customHeight="false" outlineLevel="0" collapsed="false">
      <c r="A4" s="204" t="s">
        <v>7943</v>
      </c>
    </row>
    <row r="5" customFormat="false" ht="12" hidden="false" customHeight="false" outlineLevel="0" collapsed="false">
      <c r="A5" s="204" t="s">
        <v>7944</v>
      </c>
    </row>
    <row r="6" customFormat="false" ht="12" hidden="false" customHeight="false" outlineLevel="0" collapsed="false">
      <c r="A6" s="204" t="s">
        <v>7945</v>
      </c>
    </row>
    <row r="8" customFormat="false" ht="13.8" hidden="false" customHeight="false" outlineLevel="0" collapsed="false">
      <c r="A8" s="204" t="s">
        <v>7946</v>
      </c>
      <c r="B8" s="204" t="s">
        <v>7947</v>
      </c>
      <c r="C8" s="204" t="s">
        <v>7948</v>
      </c>
      <c r="D8" s="204" t="s">
        <v>7949</v>
      </c>
      <c r="E8" s="205" t="s">
        <v>7950</v>
      </c>
      <c r="F8" s="205" t="s">
        <v>7951</v>
      </c>
      <c r="G8" s="205" t="s">
        <v>7952</v>
      </c>
      <c r="H8" s="205" t="s">
        <v>7953</v>
      </c>
      <c r="I8" s="204" t="s">
        <v>7954</v>
      </c>
      <c r="J8" s="204" t="s">
        <v>7955</v>
      </c>
      <c r="K8" s="204" t="s">
        <v>7956</v>
      </c>
      <c r="L8" s="204" t="s">
        <v>7957</v>
      </c>
      <c r="M8" s="204" t="s">
        <v>7958</v>
      </c>
      <c r="N8" s="205" t="s">
        <v>7959</v>
      </c>
      <c r="O8" s="205" t="s">
        <v>7960</v>
      </c>
      <c r="P8" s="205" t="s">
        <v>7961</v>
      </c>
      <c r="Q8" s="205" t="s">
        <v>7962</v>
      </c>
      <c r="R8" s="205" t="s">
        <v>7963</v>
      </c>
      <c r="S8" s="205" t="s">
        <v>7964</v>
      </c>
      <c r="T8" s="205" t="s">
        <v>7965</v>
      </c>
      <c r="U8" s="205" t="s">
        <v>7966</v>
      </c>
      <c r="V8" s="205" t="s">
        <v>7967</v>
      </c>
      <c r="W8" s="205" t="s">
        <v>7968</v>
      </c>
      <c r="X8" s="205" t="s">
        <v>7969</v>
      </c>
      <c r="Y8" s="205" t="s">
        <v>7970</v>
      </c>
      <c r="Z8" s="205" t="s">
        <v>7971</v>
      </c>
      <c r="AA8" s="205" t="s">
        <v>7972</v>
      </c>
      <c r="AB8" s="205" t="s">
        <v>7973</v>
      </c>
      <c r="AC8" s="205" t="s">
        <v>7974</v>
      </c>
      <c r="AD8" s="205" t="s">
        <v>7975</v>
      </c>
      <c r="AE8" s="205" t="s">
        <v>7976</v>
      </c>
      <c r="AF8" s="205" t="s">
        <v>7977</v>
      </c>
    </row>
    <row r="9" customFormat="false" ht="13.8" hidden="false" customHeight="false" outlineLevel="0" collapsed="false">
      <c r="A9" s="204" t="n">
        <v>2010</v>
      </c>
      <c r="B9" s="204" t="n">
        <v>9</v>
      </c>
      <c r="C9" s="204" t="n">
        <v>8</v>
      </c>
      <c r="D9" s="204" t="n">
        <v>5.1</v>
      </c>
      <c r="E9" s="204" t="n">
        <f aca="false">D9</f>
        <v>5.1</v>
      </c>
      <c r="I9" s="204" t="n">
        <v>2003</v>
      </c>
      <c r="J9" s="204" t="n">
        <v>1.8</v>
      </c>
      <c r="K9" s="204" t="n">
        <v>18.2</v>
      </c>
      <c r="L9" s="204" t="n">
        <v>14.1</v>
      </c>
      <c r="M9" s="204" t="n">
        <v>23.9</v>
      </c>
      <c r="N9" s="206" t="n">
        <v>40429</v>
      </c>
      <c r="O9" s="205" t="n">
        <f aca="false">18.2</f>
        <v>18.2</v>
      </c>
      <c r="P9" s="205"/>
      <c r="Q9" s="205"/>
      <c r="R9" s="205"/>
      <c r="S9" s="205" t="n">
        <v>2003</v>
      </c>
      <c r="T9" s="205"/>
      <c r="U9" s="205"/>
      <c r="V9" s="205"/>
      <c r="W9" s="204" t="n">
        <v>1.8</v>
      </c>
      <c r="AB9" s="204" t="n">
        <f aca="false">IF(K9&lt;0,1,0)</f>
        <v>0</v>
      </c>
      <c r="AC9" s="204" t="n">
        <f aca="false">IF(K9&lt;4.5,1,0)</f>
        <v>0</v>
      </c>
      <c r="AD9" s="204" t="n">
        <v>5.1</v>
      </c>
      <c r="AE9" s="204" t="n">
        <f aca="false">I9/K9</f>
        <v>110.054945054945</v>
      </c>
    </row>
    <row r="10" customFormat="false" ht="12" hidden="false" customHeight="false" outlineLevel="0" collapsed="false">
      <c r="A10" s="204" t="n">
        <v>2010</v>
      </c>
      <c r="B10" s="204" t="n">
        <v>9</v>
      </c>
      <c r="C10" s="204" t="n">
        <v>9</v>
      </c>
      <c r="D10" s="204" t="n">
        <v>4.7</v>
      </c>
      <c r="E10" s="204" t="n">
        <f aca="false">E9+D10</f>
        <v>9.8</v>
      </c>
      <c r="I10" s="204" t="n">
        <v>1644</v>
      </c>
      <c r="J10" s="204" t="n">
        <v>0.2</v>
      </c>
      <c r="K10" s="204" t="n">
        <v>18.5</v>
      </c>
      <c r="L10" s="204" t="n">
        <v>15</v>
      </c>
      <c r="M10" s="204" t="n">
        <v>24</v>
      </c>
      <c r="N10" s="206" t="n">
        <v>40430</v>
      </c>
      <c r="O10" s="204" t="n">
        <f aca="false">IF(K10&gt;0,O9+K10,O9)</f>
        <v>36.7</v>
      </c>
      <c r="S10" s="204" t="n">
        <f aca="false">S9+I10</f>
        <v>3647</v>
      </c>
      <c r="W10" s="204" t="n">
        <f aca="false">W9+J10</f>
        <v>2</v>
      </c>
      <c r="AB10" s="204" t="n">
        <f aca="false">IF(K10&lt;0,1,0)</f>
        <v>0</v>
      </c>
      <c r="AC10" s="204" t="n">
        <f aca="false">IF(K10&lt;4.5,1,0)</f>
        <v>0</v>
      </c>
      <c r="AD10" s="204" t="n">
        <f aca="false">AD9+D10</f>
        <v>9.8</v>
      </c>
      <c r="AE10" s="204" t="n">
        <f aca="false">I10/K10</f>
        <v>88.8648648648649</v>
      </c>
    </row>
    <row r="11" customFormat="false" ht="12" hidden="false" customHeight="false" outlineLevel="0" collapsed="false">
      <c r="A11" s="204" t="n">
        <v>2010</v>
      </c>
      <c r="B11" s="204" t="n">
        <v>9</v>
      </c>
      <c r="C11" s="204" t="n">
        <v>10</v>
      </c>
      <c r="D11" s="204" t="n">
        <v>4</v>
      </c>
      <c r="E11" s="204" t="n">
        <f aca="false">E10+D11</f>
        <v>13.8</v>
      </c>
      <c r="I11" s="204" t="n">
        <v>1990</v>
      </c>
      <c r="J11" s="204" t="n">
        <v>0</v>
      </c>
      <c r="K11" s="204" t="n">
        <v>19.4</v>
      </c>
      <c r="L11" s="204" t="n">
        <v>15.2</v>
      </c>
      <c r="M11" s="204" t="n">
        <v>24.7</v>
      </c>
      <c r="N11" s="206" t="n">
        <v>40431</v>
      </c>
      <c r="O11" s="204" t="n">
        <f aca="false">IF(K11&gt;0,O10+K11,O10)</f>
        <v>56.1</v>
      </c>
      <c r="S11" s="204" t="n">
        <f aca="false">S10+I11</f>
        <v>5637</v>
      </c>
      <c r="W11" s="204" t="n">
        <f aca="false">W10+J11</f>
        <v>2</v>
      </c>
      <c r="AB11" s="204" t="n">
        <f aca="false">IF(K11&lt;0,1,0)</f>
        <v>0</v>
      </c>
      <c r="AC11" s="204" t="n">
        <f aca="false">IF(K11&lt;4.5,1,0)</f>
        <v>0</v>
      </c>
      <c r="AD11" s="204" t="n">
        <f aca="false">AD10+D11</f>
        <v>13.8</v>
      </c>
      <c r="AE11" s="204" t="n">
        <f aca="false">I11/K11</f>
        <v>102.577319587629</v>
      </c>
    </row>
    <row r="12" customFormat="false" ht="12" hidden="false" customHeight="false" outlineLevel="0" collapsed="false">
      <c r="A12" s="204" t="n">
        <v>2010</v>
      </c>
      <c r="B12" s="204" t="n">
        <v>9</v>
      </c>
      <c r="C12" s="204" t="n">
        <v>11</v>
      </c>
      <c r="D12" s="204" t="n">
        <v>3.7</v>
      </c>
      <c r="E12" s="204" t="n">
        <f aca="false">E11+D12</f>
        <v>17.5</v>
      </c>
      <c r="I12" s="204" t="n">
        <v>1987</v>
      </c>
      <c r="J12" s="204" t="n">
        <v>0</v>
      </c>
      <c r="K12" s="204" t="n">
        <v>20.9</v>
      </c>
      <c r="L12" s="204" t="n">
        <v>11.5</v>
      </c>
      <c r="M12" s="204" t="n">
        <v>29.6</v>
      </c>
      <c r="N12" s="206" t="n">
        <v>40432</v>
      </c>
      <c r="O12" s="204" t="n">
        <f aca="false">IF(K12&gt;0,O11+K12,O11)</f>
        <v>77</v>
      </c>
      <c r="S12" s="204" t="n">
        <f aca="false">S11+I12</f>
        <v>7624</v>
      </c>
      <c r="W12" s="204" t="n">
        <f aca="false">W11+J12</f>
        <v>2</v>
      </c>
      <c r="AB12" s="204" t="n">
        <f aca="false">IF(K12&lt;0,1,0)</f>
        <v>0</v>
      </c>
      <c r="AC12" s="204" t="n">
        <f aca="false">IF(K12&lt;4.5,1,0)</f>
        <v>0</v>
      </c>
      <c r="AD12" s="204" t="n">
        <f aca="false">AD11+D12</f>
        <v>17.5</v>
      </c>
      <c r="AE12" s="204" t="n">
        <f aca="false">I12/K12</f>
        <v>95.0717703349282</v>
      </c>
    </row>
    <row r="13" customFormat="false" ht="12" hidden="false" customHeight="false" outlineLevel="0" collapsed="false">
      <c r="A13" s="204" t="n">
        <v>2010</v>
      </c>
      <c r="B13" s="204" t="n">
        <v>9</v>
      </c>
      <c r="C13" s="204" t="n">
        <v>12</v>
      </c>
      <c r="D13" s="204" t="n">
        <v>4.4</v>
      </c>
      <c r="E13" s="204" t="n">
        <f aca="false">E12+D13</f>
        <v>21.9</v>
      </c>
      <c r="I13" s="204" t="n">
        <v>1493</v>
      </c>
      <c r="J13" s="204" t="n">
        <v>0</v>
      </c>
      <c r="K13" s="204" t="n">
        <v>21.1</v>
      </c>
      <c r="L13" s="204" t="n">
        <v>15.7</v>
      </c>
      <c r="M13" s="204" t="n">
        <v>26.3</v>
      </c>
      <c r="N13" s="206" t="n">
        <v>40433</v>
      </c>
      <c r="O13" s="204" t="n">
        <f aca="false">IF(K13&gt;0,O12+K13,O12)</f>
        <v>98.1</v>
      </c>
      <c r="S13" s="204" t="n">
        <f aca="false">S12+I13</f>
        <v>9117</v>
      </c>
      <c r="W13" s="204" t="n">
        <f aca="false">W12+J13</f>
        <v>2</v>
      </c>
      <c r="AB13" s="204" t="n">
        <f aca="false">IF(K13&lt;0,1,0)</f>
        <v>0</v>
      </c>
      <c r="AC13" s="204" t="n">
        <f aca="false">IF(K13&lt;4.5,1,0)</f>
        <v>0</v>
      </c>
      <c r="AD13" s="204" t="n">
        <f aca="false">AD12+D13</f>
        <v>21.9</v>
      </c>
      <c r="AE13" s="204" t="n">
        <f aca="false">I13/K13</f>
        <v>70.7582938388626</v>
      </c>
    </row>
    <row r="14" customFormat="false" ht="12" hidden="false" customHeight="false" outlineLevel="0" collapsed="false">
      <c r="A14" s="204" t="n">
        <v>2010</v>
      </c>
      <c r="B14" s="204" t="n">
        <v>9</v>
      </c>
      <c r="C14" s="204" t="n">
        <v>13</v>
      </c>
      <c r="D14" s="204" t="n">
        <v>4.5</v>
      </c>
      <c r="E14" s="204" t="n">
        <f aca="false">E13+D14</f>
        <v>26.4</v>
      </c>
      <c r="I14" s="204" t="n">
        <v>2071</v>
      </c>
      <c r="J14" s="204" t="n">
        <v>0</v>
      </c>
      <c r="K14" s="204" t="n">
        <v>19.1</v>
      </c>
      <c r="L14" s="204" t="n">
        <v>14.7</v>
      </c>
      <c r="M14" s="204" t="n">
        <v>24.7</v>
      </c>
      <c r="N14" s="206" t="n">
        <v>40434</v>
      </c>
      <c r="O14" s="204" t="n">
        <f aca="false">IF(K14&gt;0,O13+K14,O13)</f>
        <v>117.2</v>
      </c>
      <c r="S14" s="204" t="n">
        <f aca="false">S13+I14</f>
        <v>11188</v>
      </c>
      <c r="W14" s="204" t="n">
        <f aca="false">W13+J14</f>
        <v>2</v>
      </c>
      <c r="AB14" s="204" t="n">
        <f aca="false">IF(K14&lt;0,1,0)</f>
        <v>0</v>
      </c>
      <c r="AC14" s="204" t="n">
        <f aca="false">IF(K14&lt;4.5,1,0)</f>
        <v>0</v>
      </c>
      <c r="AD14" s="204" t="n">
        <f aca="false">AD13+D14</f>
        <v>26.4</v>
      </c>
      <c r="AE14" s="204" t="n">
        <f aca="false">I14/K14</f>
        <v>108.429319371728</v>
      </c>
    </row>
    <row r="15" customFormat="false" ht="12" hidden="false" customHeight="false" outlineLevel="0" collapsed="false">
      <c r="A15" s="204" t="n">
        <v>2010</v>
      </c>
      <c r="B15" s="204" t="n">
        <v>9</v>
      </c>
      <c r="C15" s="204" t="n">
        <v>14</v>
      </c>
      <c r="D15" s="204" t="n">
        <v>3.6</v>
      </c>
      <c r="E15" s="204" t="n">
        <f aca="false">E14+D15</f>
        <v>30</v>
      </c>
      <c r="I15" s="204" t="n">
        <v>2066</v>
      </c>
      <c r="J15" s="204" t="n">
        <v>0</v>
      </c>
      <c r="K15" s="204" t="n">
        <v>18.9</v>
      </c>
      <c r="L15" s="204" t="n">
        <v>10.1</v>
      </c>
      <c r="M15" s="204" t="n">
        <v>26.6</v>
      </c>
      <c r="N15" s="206" t="n">
        <v>40435</v>
      </c>
      <c r="O15" s="204" t="n">
        <f aca="false">IF(K15&gt;0,O14+K15,O14)</f>
        <v>136.1</v>
      </c>
      <c r="S15" s="204" t="n">
        <f aca="false">S14+I15</f>
        <v>13254</v>
      </c>
      <c r="W15" s="204" t="n">
        <f aca="false">W14+J15</f>
        <v>2</v>
      </c>
      <c r="AB15" s="204" t="n">
        <f aca="false">IF(K15&lt;0,1,0)</f>
        <v>0</v>
      </c>
      <c r="AC15" s="204" t="n">
        <f aca="false">IF(K15&lt;4.5,1,0)</f>
        <v>0</v>
      </c>
      <c r="AD15" s="204" t="n">
        <f aca="false">AD14+D15</f>
        <v>30</v>
      </c>
      <c r="AE15" s="204" t="n">
        <f aca="false">I15/K15</f>
        <v>109.312169312169</v>
      </c>
    </row>
    <row r="16" customFormat="false" ht="12" hidden="false" customHeight="false" outlineLevel="0" collapsed="false">
      <c r="A16" s="204" t="n">
        <v>2010</v>
      </c>
      <c r="B16" s="204" t="n">
        <v>9</v>
      </c>
      <c r="C16" s="204" t="n">
        <v>15</v>
      </c>
      <c r="D16" s="204" t="n">
        <v>3.5</v>
      </c>
      <c r="E16" s="204" t="n">
        <f aca="false">E15+D16</f>
        <v>33.5</v>
      </c>
      <c r="I16" s="204" t="n">
        <v>1958</v>
      </c>
      <c r="J16" s="204" t="n">
        <v>0</v>
      </c>
      <c r="K16" s="204" t="n">
        <v>20.7</v>
      </c>
      <c r="L16" s="204" t="n">
        <v>12.1</v>
      </c>
      <c r="M16" s="204" t="n">
        <v>28.8</v>
      </c>
      <c r="N16" s="206" t="n">
        <v>40436</v>
      </c>
      <c r="O16" s="204" t="n">
        <f aca="false">IF(K16&gt;0,O15+K16,O15)</f>
        <v>156.8</v>
      </c>
      <c r="S16" s="204" t="n">
        <f aca="false">S15+I16</f>
        <v>15212</v>
      </c>
      <c r="W16" s="204" t="n">
        <f aca="false">W15+J16</f>
        <v>2</v>
      </c>
      <c r="AB16" s="204" t="n">
        <f aca="false">IF(K16&lt;0,1,0)</f>
        <v>0</v>
      </c>
      <c r="AC16" s="204" t="n">
        <f aca="false">IF(K16&lt;4.5,1,0)</f>
        <v>0</v>
      </c>
      <c r="AD16" s="204" t="n">
        <f aca="false">AD15+D16</f>
        <v>33.5</v>
      </c>
      <c r="AE16" s="204" t="n">
        <f aca="false">I16/K16</f>
        <v>94.5893719806763</v>
      </c>
    </row>
    <row r="17" customFormat="false" ht="12" hidden="false" customHeight="false" outlineLevel="0" collapsed="false">
      <c r="A17" s="204" t="n">
        <v>2010</v>
      </c>
      <c r="B17" s="204" t="n">
        <v>9</v>
      </c>
      <c r="C17" s="204" t="n">
        <v>16</v>
      </c>
      <c r="D17" s="204" t="n">
        <v>1</v>
      </c>
      <c r="E17" s="204" t="n">
        <f aca="false">E16+D17</f>
        <v>34.5</v>
      </c>
      <c r="I17" s="204" t="n">
        <v>404</v>
      </c>
      <c r="J17" s="204" t="n">
        <v>3.6</v>
      </c>
      <c r="K17" s="204" t="n">
        <v>16.1</v>
      </c>
      <c r="L17" s="204" t="n">
        <v>14.8</v>
      </c>
      <c r="M17" s="204" t="n">
        <v>17.6</v>
      </c>
      <c r="N17" s="206" t="n">
        <v>40437</v>
      </c>
      <c r="O17" s="204" t="n">
        <f aca="false">IF(K17&gt;0,O16+K17,O16)</f>
        <v>172.9</v>
      </c>
      <c r="S17" s="204" t="n">
        <f aca="false">S16+I17</f>
        <v>15616</v>
      </c>
      <c r="W17" s="204" t="n">
        <f aca="false">W16+J17</f>
        <v>5.6</v>
      </c>
      <c r="AB17" s="204" t="n">
        <f aca="false">IF(K17&lt;0,1,0)</f>
        <v>0</v>
      </c>
      <c r="AC17" s="204" t="n">
        <f aca="false">IF(K17&lt;4.5,1,0)</f>
        <v>0</v>
      </c>
      <c r="AD17" s="204" t="n">
        <f aca="false">AD16+D17</f>
        <v>34.5</v>
      </c>
      <c r="AE17" s="204" t="n">
        <f aca="false">I17/K17</f>
        <v>25.0931677018634</v>
      </c>
    </row>
    <row r="18" customFormat="false" ht="12" hidden="false" customHeight="false" outlineLevel="0" collapsed="false">
      <c r="A18" s="204" t="n">
        <v>2010</v>
      </c>
      <c r="B18" s="204" t="n">
        <v>9</v>
      </c>
      <c r="C18" s="204" t="n">
        <v>17</v>
      </c>
      <c r="D18" s="204" t="n">
        <v>2.7</v>
      </c>
      <c r="E18" s="204" t="n">
        <f aca="false">E17+D18</f>
        <v>37.2</v>
      </c>
      <c r="I18" s="204" t="n">
        <v>1015</v>
      </c>
      <c r="J18" s="204" t="n">
        <v>3.8</v>
      </c>
      <c r="K18" s="204" t="n">
        <v>17.4</v>
      </c>
      <c r="L18" s="204" t="n">
        <v>15</v>
      </c>
      <c r="M18" s="204" t="n">
        <v>20.8</v>
      </c>
      <c r="N18" s="206" t="n">
        <v>40438</v>
      </c>
      <c r="O18" s="204" t="n">
        <f aca="false">IF(K18&gt;0,O17+K18,O17)</f>
        <v>190.3</v>
      </c>
      <c r="S18" s="204" t="n">
        <f aca="false">S17+I18</f>
        <v>16631</v>
      </c>
      <c r="W18" s="204" t="n">
        <f aca="false">W17+J18</f>
        <v>9.4</v>
      </c>
      <c r="AB18" s="204" t="n">
        <f aca="false">IF(K18&lt;0,1,0)</f>
        <v>0</v>
      </c>
      <c r="AC18" s="204" t="n">
        <f aca="false">IF(K18&lt;4.5,1,0)</f>
        <v>0</v>
      </c>
      <c r="AD18" s="204" t="n">
        <f aca="false">AD17+D18</f>
        <v>37.2</v>
      </c>
      <c r="AE18" s="204" t="n">
        <f aca="false">I18/K18</f>
        <v>58.3333333333333</v>
      </c>
    </row>
    <row r="19" customFormat="false" ht="12" hidden="false" customHeight="false" outlineLevel="0" collapsed="false">
      <c r="A19" s="204" t="n">
        <v>2010</v>
      </c>
      <c r="B19" s="204" t="n">
        <v>9</v>
      </c>
      <c r="C19" s="204" t="n">
        <v>18</v>
      </c>
      <c r="D19" s="204" t="n">
        <v>3.4</v>
      </c>
      <c r="E19" s="204" t="n">
        <f aca="false">E18+D19</f>
        <v>40.6</v>
      </c>
      <c r="I19" s="204" t="n">
        <v>1025</v>
      </c>
      <c r="J19" s="204" t="n">
        <v>0.4</v>
      </c>
      <c r="K19" s="204" t="n">
        <v>16.3</v>
      </c>
      <c r="L19" s="204" t="n">
        <v>13.4</v>
      </c>
      <c r="M19" s="204" t="n">
        <v>21.5</v>
      </c>
      <c r="N19" s="206" t="n">
        <v>40439</v>
      </c>
      <c r="O19" s="204" t="n">
        <f aca="false">IF(K19&gt;0,O18+K19,O18)</f>
        <v>206.6</v>
      </c>
      <c r="S19" s="204" t="n">
        <f aca="false">S18+I19</f>
        <v>17656</v>
      </c>
      <c r="W19" s="204" t="n">
        <f aca="false">W18+J19</f>
        <v>9.8</v>
      </c>
      <c r="AB19" s="204" t="n">
        <f aca="false">IF(K19&lt;0,1,0)</f>
        <v>0</v>
      </c>
      <c r="AC19" s="204" t="n">
        <f aca="false">IF(K19&lt;4.5,1,0)</f>
        <v>0</v>
      </c>
      <c r="AD19" s="204" t="n">
        <f aca="false">AD18+D19</f>
        <v>40.6</v>
      </c>
      <c r="AE19" s="204" t="n">
        <f aca="false">I19/K19</f>
        <v>62.8834355828221</v>
      </c>
    </row>
    <row r="20" customFormat="false" ht="12" hidden="false" customHeight="false" outlineLevel="0" collapsed="false">
      <c r="A20" s="204" t="n">
        <v>2010</v>
      </c>
      <c r="B20" s="204" t="n">
        <v>9</v>
      </c>
      <c r="C20" s="204" t="n">
        <v>19</v>
      </c>
      <c r="D20" s="204" t="n">
        <v>3.1</v>
      </c>
      <c r="E20" s="204" t="n">
        <f aca="false">E19+D20</f>
        <v>43.7</v>
      </c>
      <c r="I20" s="204" t="n">
        <v>2043</v>
      </c>
      <c r="J20" s="204" t="n">
        <v>0</v>
      </c>
      <c r="K20" s="204" t="n">
        <v>15.4</v>
      </c>
      <c r="L20" s="204" t="n">
        <v>8.6</v>
      </c>
      <c r="M20" s="204" t="n">
        <v>25.3</v>
      </c>
      <c r="N20" s="206" t="n">
        <v>40440</v>
      </c>
      <c r="O20" s="204" t="n">
        <f aca="false">IF(K20&gt;0,O19+K20,O19)</f>
        <v>222</v>
      </c>
      <c r="S20" s="204" t="n">
        <f aca="false">S19+I20</f>
        <v>19699</v>
      </c>
      <c r="W20" s="204" t="n">
        <f aca="false">W19+J20</f>
        <v>9.8</v>
      </c>
      <c r="AB20" s="204" t="n">
        <f aca="false">IF(K20&lt;0,1,0)</f>
        <v>0</v>
      </c>
      <c r="AC20" s="204" t="n">
        <f aca="false">IF(K20&lt;4.5,1,0)</f>
        <v>0</v>
      </c>
      <c r="AD20" s="204" t="n">
        <f aca="false">AD19+D20</f>
        <v>43.7</v>
      </c>
      <c r="AE20" s="204" t="n">
        <f aca="false">I20/K20</f>
        <v>132.662337662338</v>
      </c>
    </row>
    <row r="21" customFormat="false" ht="12" hidden="false" customHeight="false" outlineLevel="0" collapsed="false">
      <c r="A21" s="204" t="n">
        <v>2010</v>
      </c>
      <c r="B21" s="204" t="n">
        <v>9</v>
      </c>
      <c r="C21" s="204" t="n">
        <v>20</v>
      </c>
      <c r="D21" s="204" t="n">
        <v>3.7</v>
      </c>
      <c r="E21" s="204" t="n">
        <f aca="false">E20+D21</f>
        <v>47.4</v>
      </c>
      <c r="I21" s="204" t="n">
        <v>1917</v>
      </c>
      <c r="J21" s="204" t="n">
        <v>0</v>
      </c>
      <c r="K21" s="204" t="n">
        <v>18</v>
      </c>
      <c r="L21" s="204" t="n">
        <v>7.9</v>
      </c>
      <c r="M21" s="204" t="n">
        <v>27.8</v>
      </c>
      <c r="N21" s="206" t="n">
        <v>40441</v>
      </c>
      <c r="O21" s="204" t="n">
        <f aca="false">IF(K21&gt;0,O20+K21,O20)</f>
        <v>240</v>
      </c>
      <c r="S21" s="204" t="n">
        <f aca="false">S20+I21</f>
        <v>21616</v>
      </c>
      <c r="W21" s="204" t="n">
        <f aca="false">W20+J21</f>
        <v>9.8</v>
      </c>
      <c r="AB21" s="204" t="n">
        <f aca="false">IF(K21&lt;0,1,0)</f>
        <v>0</v>
      </c>
      <c r="AC21" s="204" t="n">
        <f aca="false">IF(K21&lt;4.5,1,0)</f>
        <v>0</v>
      </c>
      <c r="AD21" s="204" t="n">
        <f aca="false">AD20+D21</f>
        <v>47.4</v>
      </c>
      <c r="AE21" s="204" t="n">
        <f aca="false">I21/K21</f>
        <v>106.5</v>
      </c>
    </row>
    <row r="22" customFormat="false" ht="12" hidden="false" customHeight="false" outlineLevel="0" collapsed="false">
      <c r="A22" s="204" t="n">
        <v>2010</v>
      </c>
      <c r="B22" s="204" t="n">
        <v>9</v>
      </c>
      <c r="C22" s="204" t="n">
        <v>21</v>
      </c>
      <c r="D22" s="204" t="n">
        <v>3.1</v>
      </c>
      <c r="E22" s="204" t="n">
        <f aca="false">E21+D22</f>
        <v>50.5</v>
      </c>
      <c r="I22" s="204" t="n">
        <v>910</v>
      </c>
      <c r="J22" s="204" t="n">
        <v>0</v>
      </c>
      <c r="K22" s="204" t="n">
        <v>19.4</v>
      </c>
      <c r="L22" s="204" t="n">
        <v>17.7</v>
      </c>
      <c r="M22" s="204" t="n">
        <v>23.1</v>
      </c>
      <c r="N22" s="206" t="n">
        <v>40442</v>
      </c>
      <c r="O22" s="204" t="n">
        <f aca="false">IF(K22&gt;0,O21+K22,O21)</f>
        <v>259.4</v>
      </c>
      <c r="S22" s="204" t="n">
        <f aca="false">S21+I22</f>
        <v>22526</v>
      </c>
      <c r="W22" s="204" t="n">
        <f aca="false">W21+J22</f>
        <v>9.8</v>
      </c>
      <c r="AB22" s="204" t="n">
        <f aca="false">IF(K22&lt;0,1,0)</f>
        <v>0</v>
      </c>
      <c r="AC22" s="204" t="n">
        <f aca="false">IF(K22&lt;4.5,1,0)</f>
        <v>0</v>
      </c>
      <c r="AD22" s="204" t="n">
        <f aca="false">AD21+D22</f>
        <v>50.5</v>
      </c>
      <c r="AE22" s="204" t="n">
        <f aca="false">I22/K22</f>
        <v>46.9072164948454</v>
      </c>
    </row>
    <row r="23" customFormat="false" ht="12" hidden="false" customHeight="false" outlineLevel="0" collapsed="false">
      <c r="A23" s="204" t="n">
        <v>2010</v>
      </c>
      <c r="B23" s="204" t="n">
        <v>9</v>
      </c>
      <c r="C23" s="204" t="n">
        <v>22</v>
      </c>
      <c r="D23" s="204" t="n">
        <v>3.9</v>
      </c>
      <c r="E23" s="204" t="n">
        <f aca="false">E22+D23</f>
        <v>54.4</v>
      </c>
      <c r="I23" s="204" t="n">
        <v>1833</v>
      </c>
      <c r="J23" s="204" t="n">
        <v>0</v>
      </c>
      <c r="K23" s="204" t="n">
        <v>21.2</v>
      </c>
      <c r="L23" s="204" t="n">
        <v>13.7</v>
      </c>
      <c r="M23" s="204" t="n">
        <v>29.7</v>
      </c>
      <c r="N23" s="206" t="n">
        <v>40443</v>
      </c>
      <c r="O23" s="204" t="n">
        <f aca="false">IF(K23&gt;0,O22+K23,O22)</f>
        <v>280.6</v>
      </c>
      <c r="S23" s="204" t="n">
        <f aca="false">S22+I23</f>
        <v>24359</v>
      </c>
      <c r="W23" s="204" t="n">
        <f aca="false">W22+J23</f>
        <v>9.8</v>
      </c>
      <c r="AB23" s="204" t="n">
        <f aca="false">IF(K23&lt;0,1,0)</f>
        <v>0</v>
      </c>
      <c r="AC23" s="204" t="n">
        <f aca="false">IF(K23&lt;4.5,1,0)</f>
        <v>0</v>
      </c>
      <c r="AD23" s="204" t="n">
        <f aca="false">AD22+D23</f>
        <v>54.4</v>
      </c>
      <c r="AE23" s="204" t="n">
        <f aca="false">I23/K23</f>
        <v>86.4622641509434</v>
      </c>
    </row>
    <row r="24" customFormat="false" ht="12" hidden="false" customHeight="false" outlineLevel="0" collapsed="false">
      <c r="A24" s="204" t="n">
        <v>2010</v>
      </c>
      <c r="B24" s="204" t="n">
        <v>9</v>
      </c>
      <c r="C24" s="204" t="n">
        <v>23</v>
      </c>
      <c r="D24" s="204" t="n">
        <v>2.6</v>
      </c>
      <c r="E24" s="204" t="n">
        <f aca="false">E23+D24</f>
        <v>57</v>
      </c>
      <c r="I24" s="204" t="n">
        <v>1033</v>
      </c>
      <c r="J24" s="204" t="n">
        <v>10.3</v>
      </c>
      <c r="K24" s="204" t="n">
        <v>19.7</v>
      </c>
      <c r="L24" s="204" t="n">
        <v>14.6</v>
      </c>
      <c r="M24" s="204" t="n">
        <v>24</v>
      </c>
      <c r="N24" s="206" t="n">
        <v>40444</v>
      </c>
      <c r="O24" s="204" t="n">
        <f aca="false">IF(K24&gt;0,O23+K24,O23)</f>
        <v>300.3</v>
      </c>
      <c r="S24" s="204" t="n">
        <f aca="false">S23+I24</f>
        <v>25392</v>
      </c>
      <c r="W24" s="204" t="n">
        <f aca="false">W23+J24</f>
        <v>20.1</v>
      </c>
      <c r="AB24" s="204" t="n">
        <f aca="false">IF(K24&lt;0,1,0)</f>
        <v>0</v>
      </c>
      <c r="AC24" s="204" t="n">
        <f aca="false">IF(K24&lt;4.5,1,0)</f>
        <v>0</v>
      </c>
      <c r="AD24" s="204" t="n">
        <f aca="false">AD23+D24</f>
        <v>57</v>
      </c>
      <c r="AE24" s="204" t="n">
        <f aca="false">I24/K24</f>
        <v>52.4365482233503</v>
      </c>
    </row>
    <row r="25" customFormat="false" ht="12" hidden="false" customHeight="false" outlineLevel="0" collapsed="false">
      <c r="A25" s="204" t="n">
        <v>2010</v>
      </c>
      <c r="B25" s="204" t="n">
        <v>9</v>
      </c>
      <c r="C25" s="204" t="n">
        <v>24</v>
      </c>
      <c r="D25" s="204" t="n">
        <v>2.9</v>
      </c>
      <c r="E25" s="204" t="n">
        <f aca="false">E24+D25</f>
        <v>59.9</v>
      </c>
      <c r="I25" s="204" t="n">
        <v>1006</v>
      </c>
      <c r="J25" s="204" t="n">
        <v>6.4</v>
      </c>
      <c r="K25" s="204" t="n">
        <v>16.3</v>
      </c>
      <c r="L25" s="204" t="n">
        <v>14.4</v>
      </c>
      <c r="M25" s="204" t="n">
        <v>21.1</v>
      </c>
      <c r="N25" s="206" t="n">
        <v>40445</v>
      </c>
      <c r="O25" s="204" t="n">
        <f aca="false">IF(K25&gt;0,O24+K25,O24)</f>
        <v>316.6</v>
      </c>
      <c r="S25" s="204" t="n">
        <f aca="false">S24+I25</f>
        <v>26398</v>
      </c>
      <c r="W25" s="204" t="n">
        <f aca="false">W24+J25</f>
        <v>26.5</v>
      </c>
      <c r="AB25" s="204" t="n">
        <f aca="false">IF(K25&lt;0,1,0)</f>
        <v>0</v>
      </c>
      <c r="AC25" s="204" t="n">
        <f aca="false">IF(K25&lt;4.5,1,0)</f>
        <v>0</v>
      </c>
      <c r="AD25" s="204" t="n">
        <f aca="false">AD24+D25</f>
        <v>59.9</v>
      </c>
      <c r="AE25" s="204" t="n">
        <f aca="false">I25/K25</f>
        <v>61.7177914110429</v>
      </c>
    </row>
    <row r="26" customFormat="false" ht="12" hidden="false" customHeight="false" outlineLevel="0" collapsed="false">
      <c r="A26" s="204" t="n">
        <v>2010</v>
      </c>
      <c r="B26" s="204" t="n">
        <v>9</v>
      </c>
      <c r="C26" s="204" t="n">
        <v>25</v>
      </c>
      <c r="D26" s="204" t="n">
        <v>3.6</v>
      </c>
      <c r="E26" s="204" t="n">
        <f aca="false">E25+D26</f>
        <v>63.5</v>
      </c>
      <c r="I26" s="204" t="n">
        <v>1227</v>
      </c>
      <c r="J26" s="204" t="n">
        <v>0</v>
      </c>
      <c r="K26" s="204" t="n">
        <v>14.9</v>
      </c>
      <c r="L26" s="204" t="n">
        <v>13.5</v>
      </c>
      <c r="M26" s="204" t="n">
        <v>19.3</v>
      </c>
      <c r="N26" s="206" t="n">
        <v>40446</v>
      </c>
      <c r="O26" s="204" t="n">
        <f aca="false">IF(K26&gt;0,O25+K26,O25)</f>
        <v>331.5</v>
      </c>
      <c r="S26" s="204" t="n">
        <f aca="false">S25+I26</f>
        <v>27625</v>
      </c>
      <c r="W26" s="204" t="n">
        <f aca="false">W25+J26</f>
        <v>26.5</v>
      </c>
      <c r="AB26" s="204" t="n">
        <f aca="false">IF(K26&lt;0,1,0)</f>
        <v>0</v>
      </c>
      <c r="AC26" s="204" t="n">
        <f aca="false">IF(K26&lt;4.5,1,0)</f>
        <v>0</v>
      </c>
      <c r="AD26" s="204" t="n">
        <f aca="false">AD25+D26</f>
        <v>63.5</v>
      </c>
      <c r="AE26" s="204" t="n">
        <f aca="false">I26/K26</f>
        <v>82.3489932885906</v>
      </c>
    </row>
    <row r="27" customFormat="false" ht="12" hidden="false" customHeight="false" outlineLevel="0" collapsed="false">
      <c r="A27" s="204" t="n">
        <v>2010</v>
      </c>
      <c r="B27" s="204" t="n">
        <v>9</v>
      </c>
      <c r="C27" s="204" t="n">
        <v>26</v>
      </c>
      <c r="D27" s="204" t="n">
        <v>3.1</v>
      </c>
      <c r="E27" s="204" t="n">
        <f aca="false">E26+D27</f>
        <v>66.6</v>
      </c>
      <c r="I27" s="204" t="n">
        <v>1438</v>
      </c>
      <c r="J27" s="204" t="n">
        <v>0</v>
      </c>
      <c r="K27" s="204" t="n">
        <v>12.7</v>
      </c>
      <c r="L27" s="204" t="n">
        <v>9</v>
      </c>
      <c r="M27" s="204" t="n">
        <v>16.6</v>
      </c>
      <c r="N27" s="206" t="n">
        <v>40447</v>
      </c>
      <c r="O27" s="204" t="n">
        <f aca="false">IF(K27&gt;0,O26+K27,O26)</f>
        <v>344.2</v>
      </c>
      <c r="S27" s="204" t="n">
        <f aca="false">S26+I27</f>
        <v>29063</v>
      </c>
      <c r="W27" s="204" t="n">
        <f aca="false">W26+J27</f>
        <v>26.5</v>
      </c>
      <c r="AB27" s="204" t="n">
        <f aca="false">IF(K27&lt;0,1,0)</f>
        <v>0</v>
      </c>
      <c r="AC27" s="204" t="n">
        <f aca="false">IF(K27&lt;4.5,1,0)</f>
        <v>0</v>
      </c>
      <c r="AD27" s="204" t="n">
        <f aca="false">AD26+D27</f>
        <v>66.6</v>
      </c>
      <c r="AE27" s="204" t="n">
        <f aca="false">I27/K27</f>
        <v>113.228346456693</v>
      </c>
    </row>
    <row r="28" customFormat="false" ht="12" hidden="false" customHeight="false" outlineLevel="0" collapsed="false">
      <c r="A28" s="204" t="n">
        <v>2010</v>
      </c>
      <c r="B28" s="204" t="n">
        <v>9</v>
      </c>
      <c r="C28" s="204" t="n">
        <v>27</v>
      </c>
      <c r="D28" s="204" t="n">
        <v>2.5</v>
      </c>
      <c r="E28" s="204" t="n">
        <f aca="false">E27+D28</f>
        <v>69.1</v>
      </c>
      <c r="I28" s="204" t="n">
        <v>1428</v>
      </c>
      <c r="J28" s="204" t="n">
        <v>0</v>
      </c>
      <c r="K28" s="204" t="n">
        <v>12.5</v>
      </c>
      <c r="L28" s="204" t="n">
        <v>6.5</v>
      </c>
      <c r="M28" s="204" t="n">
        <v>17.7</v>
      </c>
      <c r="N28" s="206" t="n">
        <v>40448</v>
      </c>
      <c r="O28" s="204" t="n">
        <f aca="false">IF(K28&gt;0,O27+K28,O27)</f>
        <v>356.7</v>
      </c>
      <c r="S28" s="204" t="n">
        <f aca="false">S27+I28</f>
        <v>30491</v>
      </c>
      <c r="W28" s="204" t="n">
        <f aca="false">W27+J28</f>
        <v>26.5</v>
      </c>
      <c r="AB28" s="204" t="n">
        <f aca="false">IF(K28&lt;0,1,0)</f>
        <v>0</v>
      </c>
      <c r="AC28" s="204" t="n">
        <f aca="false">IF(K28&lt;4.5,1,0)</f>
        <v>0</v>
      </c>
      <c r="AD28" s="204" t="n">
        <f aca="false">AD27+D28</f>
        <v>69.1</v>
      </c>
      <c r="AE28" s="204" t="n">
        <f aca="false">I28/K28</f>
        <v>114.24</v>
      </c>
    </row>
    <row r="29" customFormat="false" ht="12" hidden="false" customHeight="false" outlineLevel="0" collapsed="false">
      <c r="A29" s="204" t="n">
        <v>2010</v>
      </c>
      <c r="B29" s="204" t="n">
        <v>9</v>
      </c>
      <c r="C29" s="204" t="n">
        <v>28</v>
      </c>
      <c r="D29" s="204" t="n">
        <v>3</v>
      </c>
      <c r="E29" s="204" t="n">
        <f aca="false">E28+D29</f>
        <v>72.1</v>
      </c>
      <c r="I29" s="204" t="n">
        <v>1693</v>
      </c>
      <c r="J29" s="204" t="n">
        <v>0</v>
      </c>
      <c r="K29" s="204" t="n">
        <v>13.9</v>
      </c>
      <c r="L29" s="204" t="n">
        <v>10.7</v>
      </c>
      <c r="M29" s="204" t="n">
        <v>19.1</v>
      </c>
      <c r="N29" s="206" t="n">
        <v>40449</v>
      </c>
      <c r="O29" s="204" t="n">
        <f aca="false">IF(K29&gt;0,O28+K29,O28)</f>
        <v>370.6</v>
      </c>
      <c r="S29" s="204" t="n">
        <f aca="false">S28+I29</f>
        <v>32184</v>
      </c>
      <c r="W29" s="204" t="n">
        <f aca="false">W28+J29</f>
        <v>26.5</v>
      </c>
      <c r="AB29" s="204" t="n">
        <f aca="false">IF(K29&lt;0,1,0)</f>
        <v>0</v>
      </c>
      <c r="AC29" s="204" t="n">
        <f aca="false">IF(K29&lt;4.5,1,0)</f>
        <v>0</v>
      </c>
      <c r="AD29" s="204" t="n">
        <f aca="false">AD28+D29</f>
        <v>72.1</v>
      </c>
      <c r="AE29" s="204" t="n">
        <f aca="false">I29/K29</f>
        <v>121.798561151079</v>
      </c>
    </row>
    <row r="30" customFormat="false" ht="12" hidden="false" customHeight="false" outlineLevel="0" collapsed="false">
      <c r="A30" s="204" t="n">
        <v>2010</v>
      </c>
      <c r="B30" s="204" t="n">
        <v>9</v>
      </c>
      <c r="C30" s="204" t="n">
        <v>29</v>
      </c>
      <c r="D30" s="204" t="n">
        <v>2.1</v>
      </c>
      <c r="E30" s="204" t="n">
        <f aca="false">E29+D30</f>
        <v>74.2</v>
      </c>
      <c r="I30" s="204" t="n">
        <v>1775</v>
      </c>
      <c r="J30" s="204" t="n">
        <v>0</v>
      </c>
      <c r="K30" s="204" t="n">
        <v>14.3</v>
      </c>
      <c r="L30" s="204" t="n">
        <v>6.8</v>
      </c>
      <c r="M30" s="204" t="n">
        <v>21.7</v>
      </c>
      <c r="N30" s="206" t="n">
        <v>40450</v>
      </c>
      <c r="O30" s="204" t="n">
        <f aca="false">IF(K30&gt;0,O29+K30,O29)</f>
        <v>384.9</v>
      </c>
      <c r="S30" s="204" t="n">
        <f aca="false">S29+I30</f>
        <v>33959</v>
      </c>
      <c r="W30" s="204" t="n">
        <f aca="false">W29+J30</f>
        <v>26.5</v>
      </c>
      <c r="AB30" s="204" t="n">
        <f aca="false">IF(K30&lt;0,1,0)</f>
        <v>0</v>
      </c>
      <c r="AC30" s="204" t="n">
        <f aca="false">IF(K30&lt;4.5,1,0)</f>
        <v>0</v>
      </c>
      <c r="AD30" s="204" t="n">
        <f aca="false">AD29+D30</f>
        <v>74.2</v>
      </c>
      <c r="AE30" s="204" t="n">
        <f aca="false">I30/K30</f>
        <v>124.125874125874</v>
      </c>
    </row>
    <row r="31" customFormat="false" ht="12" hidden="false" customHeight="false" outlineLevel="0" collapsed="false">
      <c r="A31" s="204" t="n">
        <v>2010</v>
      </c>
      <c r="B31" s="204" t="n">
        <v>9</v>
      </c>
      <c r="C31" s="204" t="n">
        <v>30</v>
      </c>
      <c r="D31" s="204" t="n">
        <v>1.5</v>
      </c>
      <c r="E31" s="204" t="n">
        <f aca="false">E30+D31</f>
        <v>75.7</v>
      </c>
      <c r="I31" s="204" t="n">
        <v>657</v>
      </c>
      <c r="J31" s="204" t="n">
        <v>0</v>
      </c>
      <c r="K31" s="204" t="n">
        <v>14.2</v>
      </c>
      <c r="L31" s="204" t="n">
        <v>10</v>
      </c>
      <c r="M31" s="204" t="n">
        <v>17.7</v>
      </c>
      <c r="N31" s="206" t="n">
        <v>40451</v>
      </c>
      <c r="O31" s="204" t="n">
        <f aca="false">IF(K31&gt;0,O30+K31,O30)</f>
        <v>399.1</v>
      </c>
      <c r="S31" s="204" t="n">
        <f aca="false">S30+I31</f>
        <v>34616</v>
      </c>
      <c r="W31" s="204" t="n">
        <f aca="false">W30+J31</f>
        <v>26.5</v>
      </c>
      <c r="AB31" s="204" t="n">
        <f aca="false">IF(K31&lt;0,1,0)</f>
        <v>0</v>
      </c>
      <c r="AC31" s="204" t="n">
        <f aca="false">IF(K31&lt;4.5,1,0)</f>
        <v>0</v>
      </c>
      <c r="AD31" s="204" t="n">
        <f aca="false">AD30+D31</f>
        <v>75.7</v>
      </c>
      <c r="AE31" s="204" t="n">
        <f aca="false">I31/K31</f>
        <v>46.2676056338028</v>
      </c>
    </row>
    <row r="32" customFormat="false" ht="12" hidden="false" customHeight="false" outlineLevel="0" collapsed="false">
      <c r="A32" s="204" t="n">
        <v>2010</v>
      </c>
      <c r="B32" s="204" t="n">
        <v>10</v>
      </c>
      <c r="C32" s="204" t="n">
        <v>1</v>
      </c>
      <c r="D32" s="204" t="n">
        <v>2.2</v>
      </c>
      <c r="E32" s="204" t="n">
        <f aca="false">E31+D32</f>
        <v>77.9</v>
      </c>
      <c r="I32" s="204" t="n">
        <v>1320</v>
      </c>
      <c r="J32" s="204" t="n">
        <v>0.2</v>
      </c>
      <c r="K32" s="204" t="n">
        <v>16.1</v>
      </c>
      <c r="L32" s="204" t="n">
        <v>9.4</v>
      </c>
      <c r="M32" s="204" t="n">
        <v>23.3</v>
      </c>
      <c r="N32" s="206" t="n">
        <v>40452</v>
      </c>
      <c r="O32" s="204" t="n">
        <f aca="false">IF(K32&gt;0,O31+K32,O31)</f>
        <v>415.2</v>
      </c>
      <c r="S32" s="204" t="n">
        <f aca="false">S31+I32</f>
        <v>35936</v>
      </c>
      <c r="W32" s="204" t="n">
        <f aca="false">W31+J32</f>
        <v>26.7</v>
      </c>
      <c r="AB32" s="204" t="n">
        <f aca="false">IF(K32&lt;0,1,0)</f>
        <v>0</v>
      </c>
      <c r="AC32" s="204" t="n">
        <f aca="false">IF(K32&lt;4.5,1,0)</f>
        <v>0</v>
      </c>
      <c r="AD32" s="204" t="n">
        <f aca="false">AD31+D32</f>
        <v>77.9</v>
      </c>
      <c r="AE32" s="204" t="n">
        <f aca="false">I32/K32</f>
        <v>81.9875776397516</v>
      </c>
    </row>
    <row r="33" customFormat="false" ht="12" hidden="false" customHeight="false" outlineLevel="0" collapsed="false">
      <c r="A33" s="204" t="n">
        <v>2010</v>
      </c>
      <c r="B33" s="204" t="n">
        <v>10</v>
      </c>
      <c r="C33" s="204" t="n">
        <v>2</v>
      </c>
      <c r="D33" s="204" t="n">
        <v>3.8</v>
      </c>
      <c r="E33" s="204" t="n">
        <f aca="false">E32+D33</f>
        <v>81.7</v>
      </c>
      <c r="I33" s="204" t="n">
        <v>1323</v>
      </c>
      <c r="J33" s="204" t="n">
        <v>0</v>
      </c>
      <c r="K33" s="204" t="n">
        <v>18.3</v>
      </c>
      <c r="L33" s="204" t="n">
        <v>14.7</v>
      </c>
      <c r="M33" s="204" t="n">
        <v>22.6</v>
      </c>
      <c r="N33" s="206" t="n">
        <v>40453</v>
      </c>
      <c r="O33" s="204" t="n">
        <f aca="false">IF(K33&gt;0,O32+K33,O32)</f>
        <v>433.5</v>
      </c>
      <c r="S33" s="204" t="n">
        <f aca="false">S32+I33</f>
        <v>37259</v>
      </c>
      <c r="W33" s="204" t="n">
        <f aca="false">W32+J33</f>
        <v>26.7</v>
      </c>
      <c r="AB33" s="204" t="n">
        <f aca="false">IF(K33&lt;0,1,0)</f>
        <v>0</v>
      </c>
      <c r="AC33" s="204" t="n">
        <f aca="false">IF(K33&lt;4.5,1,0)</f>
        <v>0</v>
      </c>
      <c r="AD33" s="204" t="n">
        <f aca="false">AD32+D33</f>
        <v>81.7</v>
      </c>
      <c r="AE33" s="204" t="n">
        <f aca="false">I33/K33</f>
        <v>72.2950819672131</v>
      </c>
    </row>
    <row r="34" customFormat="false" ht="12" hidden="false" customHeight="false" outlineLevel="0" collapsed="false">
      <c r="A34" s="204" t="n">
        <v>2010</v>
      </c>
      <c r="B34" s="204" t="n">
        <v>10</v>
      </c>
      <c r="C34" s="204" t="n">
        <v>3</v>
      </c>
      <c r="D34" s="204" t="n">
        <v>4.8</v>
      </c>
      <c r="E34" s="204" t="n">
        <f aca="false">E33+D34</f>
        <v>86.5</v>
      </c>
      <c r="I34" s="204" t="n">
        <v>1466</v>
      </c>
      <c r="J34" s="204" t="n">
        <v>0</v>
      </c>
      <c r="K34" s="204" t="n">
        <v>21.5</v>
      </c>
      <c r="L34" s="204" t="n">
        <v>17.9</v>
      </c>
      <c r="M34" s="204" t="n">
        <v>26.7</v>
      </c>
      <c r="N34" s="206" t="n">
        <v>40454</v>
      </c>
      <c r="O34" s="204" t="n">
        <f aca="false">IF(K34&gt;0,O33+K34,O33)</f>
        <v>455</v>
      </c>
      <c r="S34" s="204" t="n">
        <f aca="false">S33+I34</f>
        <v>38725</v>
      </c>
      <c r="W34" s="204" t="n">
        <f aca="false">W33+J34</f>
        <v>26.7</v>
      </c>
      <c r="AB34" s="204" t="n">
        <f aca="false">IF(K34&lt;0,1,0)</f>
        <v>0</v>
      </c>
      <c r="AC34" s="204" t="n">
        <f aca="false">IF(K34&lt;4.5,1,0)</f>
        <v>0</v>
      </c>
      <c r="AD34" s="204" t="n">
        <f aca="false">AD33+D34</f>
        <v>86.5</v>
      </c>
      <c r="AE34" s="204" t="n">
        <f aca="false">I34/K34</f>
        <v>68.1860465116279</v>
      </c>
    </row>
    <row r="35" customFormat="false" ht="12" hidden="false" customHeight="false" outlineLevel="0" collapsed="false">
      <c r="A35" s="204" t="n">
        <v>2010</v>
      </c>
      <c r="B35" s="204" t="n">
        <v>10</v>
      </c>
      <c r="C35" s="204" t="n">
        <v>4</v>
      </c>
      <c r="D35" s="204" t="n">
        <v>2.3</v>
      </c>
      <c r="E35" s="204" t="n">
        <f aca="false">E34+D35</f>
        <v>88.8</v>
      </c>
      <c r="I35" s="204" t="n">
        <v>470</v>
      </c>
      <c r="J35" s="204" t="n">
        <v>2.6</v>
      </c>
      <c r="K35" s="204" t="n">
        <v>16.7</v>
      </c>
      <c r="L35" s="204" t="n">
        <v>13.9</v>
      </c>
      <c r="M35" s="204" t="n">
        <v>21</v>
      </c>
      <c r="N35" s="206" t="n">
        <v>40455</v>
      </c>
      <c r="O35" s="204" t="n">
        <f aca="false">IF(K35&gt;0,O34+K35,O34)</f>
        <v>471.7</v>
      </c>
      <c r="S35" s="204" t="n">
        <f aca="false">S34+I35</f>
        <v>39195</v>
      </c>
      <c r="W35" s="204" t="n">
        <f aca="false">W34+J35</f>
        <v>29.3</v>
      </c>
      <c r="AB35" s="204" t="n">
        <f aca="false">IF(K35&lt;0,1,0)</f>
        <v>0</v>
      </c>
      <c r="AC35" s="204" t="n">
        <f aca="false">IF(K35&lt;4.5,1,0)</f>
        <v>0</v>
      </c>
      <c r="AD35" s="204" t="n">
        <f aca="false">AD34+D35</f>
        <v>88.8</v>
      </c>
      <c r="AE35" s="204" t="n">
        <f aca="false">I35/K35</f>
        <v>28.1437125748503</v>
      </c>
    </row>
    <row r="36" customFormat="false" ht="12" hidden="false" customHeight="false" outlineLevel="0" collapsed="false">
      <c r="A36" s="204" t="n">
        <v>2010</v>
      </c>
      <c r="B36" s="204" t="n">
        <v>10</v>
      </c>
      <c r="C36" s="204" t="n">
        <v>5</v>
      </c>
      <c r="D36" s="204" t="n">
        <v>2.5</v>
      </c>
      <c r="E36" s="204" t="n">
        <f aca="false">E35+D36</f>
        <v>91.3</v>
      </c>
      <c r="I36" s="204" t="n">
        <v>1651</v>
      </c>
      <c r="J36" s="204" t="n">
        <v>0</v>
      </c>
      <c r="K36" s="204" t="n">
        <v>17.3</v>
      </c>
      <c r="L36" s="204" t="n">
        <v>10.9</v>
      </c>
      <c r="M36" s="204" t="n">
        <v>22.9</v>
      </c>
      <c r="N36" s="206" t="n">
        <v>40456</v>
      </c>
      <c r="O36" s="204" t="n">
        <f aca="false">IF(K36&gt;0,O35+K36,O35)</f>
        <v>489</v>
      </c>
      <c r="S36" s="204" t="n">
        <f aca="false">S35+I36</f>
        <v>40846</v>
      </c>
      <c r="W36" s="204" t="n">
        <f aca="false">W35+J36</f>
        <v>29.3</v>
      </c>
      <c r="AB36" s="204" t="n">
        <f aca="false">IF(K36&lt;0,1,0)</f>
        <v>0</v>
      </c>
      <c r="AC36" s="204" t="n">
        <f aca="false">IF(K36&lt;4.5,1,0)</f>
        <v>0</v>
      </c>
      <c r="AD36" s="204" t="n">
        <f aca="false">AD35+D36</f>
        <v>91.3</v>
      </c>
      <c r="AE36" s="204" t="n">
        <f aca="false">I36/K36</f>
        <v>95.4335260115607</v>
      </c>
    </row>
    <row r="37" customFormat="false" ht="12" hidden="false" customHeight="false" outlineLevel="0" collapsed="false">
      <c r="A37" s="204" t="n">
        <v>2010</v>
      </c>
      <c r="B37" s="204" t="n">
        <v>10</v>
      </c>
      <c r="C37" s="204" t="n">
        <v>6</v>
      </c>
      <c r="D37" s="204" t="n">
        <v>3.3</v>
      </c>
      <c r="E37" s="204" t="n">
        <f aca="false">E36+D37</f>
        <v>94.6</v>
      </c>
      <c r="I37" s="204" t="n">
        <v>1608</v>
      </c>
      <c r="J37" s="204" t="n">
        <v>0</v>
      </c>
      <c r="K37" s="204" t="n">
        <v>19.2</v>
      </c>
      <c r="L37" s="204" t="n">
        <v>15.4</v>
      </c>
      <c r="M37" s="204" t="n">
        <v>24.9</v>
      </c>
      <c r="N37" s="206" t="n">
        <v>40457</v>
      </c>
      <c r="O37" s="204" t="n">
        <f aca="false">IF(K37&gt;0,O36+K37,O36)</f>
        <v>508.2</v>
      </c>
      <c r="S37" s="204" t="n">
        <f aca="false">S36+I37</f>
        <v>42454</v>
      </c>
      <c r="W37" s="204" t="n">
        <f aca="false">W36+J37</f>
        <v>29.3</v>
      </c>
      <c r="AB37" s="204" t="n">
        <f aca="false">IF(K37&lt;0,1,0)</f>
        <v>0</v>
      </c>
      <c r="AC37" s="204" t="n">
        <f aca="false">IF(K37&lt;4.5,1,0)</f>
        <v>0</v>
      </c>
      <c r="AD37" s="204" t="n">
        <f aca="false">AD36+D37</f>
        <v>94.6</v>
      </c>
      <c r="AE37" s="204" t="n">
        <f aca="false">I37/K37</f>
        <v>83.75</v>
      </c>
    </row>
    <row r="38" customFormat="false" ht="12" hidden="false" customHeight="false" outlineLevel="0" collapsed="false">
      <c r="A38" s="204" t="n">
        <v>2010</v>
      </c>
      <c r="B38" s="204" t="n">
        <v>10</v>
      </c>
      <c r="C38" s="204" t="n">
        <v>7</v>
      </c>
      <c r="D38" s="204" t="n">
        <v>3.6</v>
      </c>
      <c r="E38" s="204" t="n">
        <f aca="false">E37+D38</f>
        <v>98.2</v>
      </c>
      <c r="I38" s="204" t="n">
        <v>1571</v>
      </c>
      <c r="J38" s="204" t="n">
        <v>0</v>
      </c>
      <c r="K38" s="204" t="n">
        <v>20</v>
      </c>
      <c r="L38" s="204" t="n">
        <v>15</v>
      </c>
      <c r="M38" s="204" t="n">
        <v>25</v>
      </c>
      <c r="N38" s="206" t="n">
        <v>40458</v>
      </c>
      <c r="O38" s="204" t="n">
        <f aca="false">IF(K38&gt;0,O37+K38,O37)</f>
        <v>528.2</v>
      </c>
      <c r="S38" s="204" t="n">
        <f aca="false">S37+I38</f>
        <v>44025</v>
      </c>
      <c r="W38" s="204" t="n">
        <f aca="false">W37+J38</f>
        <v>29.3</v>
      </c>
      <c r="AB38" s="204" t="n">
        <f aca="false">IF(K38&lt;0,1,0)</f>
        <v>0</v>
      </c>
      <c r="AC38" s="204" t="n">
        <f aca="false">IF(K38&lt;4.5,1,0)</f>
        <v>0</v>
      </c>
      <c r="AD38" s="204" t="n">
        <f aca="false">AD37+D38</f>
        <v>98.2</v>
      </c>
      <c r="AE38" s="204" t="n">
        <f aca="false">I38/K38</f>
        <v>78.55</v>
      </c>
    </row>
    <row r="39" customFormat="false" ht="12" hidden="false" customHeight="false" outlineLevel="0" collapsed="false">
      <c r="A39" s="204" t="n">
        <v>2010</v>
      </c>
      <c r="B39" s="204" t="n">
        <v>10</v>
      </c>
      <c r="C39" s="204" t="n">
        <v>8</v>
      </c>
      <c r="D39" s="204" t="n">
        <v>4.1</v>
      </c>
      <c r="E39" s="204" t="n">
        <f aca="false">E38+D39</f>
        <v>102.3</v>
      </c>
      <c r="I39" s="204" t="n">
        <v>1426</v>
      </c>
      <c r="J39" s="204" t="n">
        <v>0</v>
      </c>
      <c r="K39" s="204" t="n">
        <v>20.4</v>
      </c>
      <c r="L39" s="204" t="n">
        <v>17.7</v>
      </c>
      <c r="M39" s="204" t="n">
        <v>25.1</v>
      </c>
      <c r="N39" s="206" t="n">
        <v>40459</v>
      </c>
      <c r="O39" s="204" t="n">
        <f aca="false">IF(K39&gt;0,O38+K39,O38)</f>
        <v>548.6</v>
      </c>
      <c r="S39" s="204" t="n">
        <f aca="false">S38+I39</f>
        <v>45451</v>
      </c>
      <c r="W39" s="204" t="n">
        <f aca="false">W38+J39</f>
        <v>29.3</v>
      </c>
      <c r="AB39" s="204" t="n">
        <f aca="false">IF(K39&lt;0,1,0)</f>
        <v>0</v>
      </c>
      <c r="AC39" s="204" t="n">
        <f aca="false">IF(K39&lt;4.5,1,0)</f>
        <v>0</v>
      </c>
      <c r="AD39" s="204" t="n">
        <f aca="false">AD38+D39</f>
        <v>102.3</v>
      </c>
      <c r="AE39" s="204" t="n">
        <f aca="false">I39/K39</f>
        <v>69.9019607843137</v>
      </c>
    </row>
    <row r="40" customFormat="false" ht="12" hidden="false" customHeight="false" outlineLevel="0" collapsed="false">
      <c r="A40" s="204" t="n">
        <v>2010</v>
      </c>
      <c r="B40" s="204" t="n">
        <v>10</v>
      </c>
      <c r="C40" s="204" t="n">
        <v>9</v>
      </c>
      <c r="D40" s="204" t="n">
        <v>3.7</v>
      </c>
      <c r="E40" s="204" t="n">
        <f aca="false">E39+D40</f>
        <v>106</v>
      </c>
      <c r="I40" s="204" t="n">
        <v>1224</v>
      </c>
      <c r="J40" s="204" t="n">
        <v>6.7</v>
      </c>
      <c r="K40" s="204" t="n">
        <v>19.3</v>
      </c>
      <c r="L40" s="204" t="n">
        <v>17.5</v>
      </c>
      <c r="M40" s="204" t="n">
        <v>23.8</v>
      </c>
      <c r="N40" s="206" t="n">
        <v>40460</v>
      </c>
      <c r="O40" s="204" t="n">
        <f aca="false">IF(K40&gt;0,O39+K40,O39)</f>
        <v>567.9</v>
      </c>
      <c r="S40" s="204" t="n">
        <f aca="false">S39+I40</f>
        <v>46675</v>
      </c>
      <c r="W40" s="204" t="n">
        <f aca="false">W39+J40</f>
        <v>36</v>
      </c>
      <c r="AB40" s="204" t="n">
        <f aca="false">IF(K40&lt;0,1,0)</f>
        <v>0</v>
      </c>
      <c r="AC40" s="204" t="n">
        <f aca="false">IF(K40&lt;4.5,1,0)</f>
        <v>0</v>
      </c>
      <c r="AD40" s="204" t="n">
        <f aca="false">AD39+D40</f>
        <v>106</v>
      </c>
      <c r="AE40" s="204" t="n">
        <f aca="false">I40/K40</f>
        <v>63.419689119171</v>
      </c>
    </row>
    <row r="41" customFormat="false" ht="12" hidden="false" customHeight="false" outlineLevel="0" collapsed="false">
      <c r="A41" s="204" t="n">
        <v>2010</v>
      </c>
      <c r="B41" s="204" t="n">
        <v>10</v>
      </c>
      <c r="C41" s="204" t="n">
        <v>10</v>
      </c>
      <c r="D41" s="204" t="n">
        <v>0.3</v>
      </c>
      <c r="E41" s="204" t="n">
        <f aca="false">E40+D41</f>
        <v>106.3</v>
      </c>
      <c r="I41" s="204" t="n">
        <v>102</v>
      </c>
      <c r="J41" s="204" t="n">
        <v>57.3</v>
      </c>
      <c r="K41" s="204" t="n">
        <v>15.5</v>
      </c>
      <c r="L41" s="204" t="n">
        <v>14.5</v>
      </c>
      <c r="M41" s="204" t="n">
        <v>16.4</v>
      </c>
      <c r="N41" s="206" t="n">
        <v>40461</v>
      </c>
      <c r="O41" s="204" t="n">
        <f aca="false">IF(K41&gt;0,O40+K41,O40)</f>
        <v>583.4</v>
      </c>
      <c r="S41" s="204" t="n">
        <f aca="false">S40+I41</f>
        <v>46777</v>
      </c>
      <c r="W41" s="204" t="n">
        <f aca="false">W40+J41</f>
        <v>93.3</v>
      </c>
      <c r="AB41" s="204" t="n">
        <f aca="false">IF(K41&lt;0,1,0)</f>
        <v>0</v>
      </c>
      <c r="AC41" s="204" t="n">
        <f aca="false">IF(K41&lt;4.5,1,0)</f>
        <v>0</v>
      </c>
      <c r="AD41" s="204" t="n">
        <f aca="false">AD40+D41</f>
        <v>106.3</v>
      </c>
      <c r="AE41" s="204" t="n">
        <f aca="false">I41/K41</f>
        <v>6.58064516129032</v>
      </c>
    </row>
    <row r="42" customFormat="false" ht="12" hidden="false" customHeight="false" outlineLevel="0" collapsed="false">
      <c r="A42" s="204" t="n">
        <v>2010</v>
      </c>
      <c r="B42" s="204" t="n">
        <v>10</v>
      </c>
      <c r="C42" s="204" t="n">
        <v>11</v>
      </c>
      <c r="D42" s="204" t="n">
        <v>1.6</v>
      </c>
      <c r="E42" s="204" t="n">
        <f aca="false">E41+D42</f>
        <v>107.9</v>
      </c>
      <c r="I42" s="204" t="n">
        <v>504</v>
      </c>
      <c r="J42" s="204" t="n">
        <v>1</v>
      </c>
      <c r="K42" s="204" t="n">
        <v>15.3</v>
      </c>
      <c r="L42" s="204" t="n">
        <v>13.9</v>
      </c>
      <c r="M42" s="204" t="n">
        <v>17.9</v>
      </c>
      <c r="N42" s="206" t="n">
        <v>40462</v>
      </c>
      <c r="O42" s="204" t="n">
        <f aca="false">IF(K42&gt;0,O41+K42,O41)</f>
        <v>598.7</v>
      </c>
      <c r="S42" s="204" t="n">
        <f aca="false">S41+I42</f>
        <v>47281</v>
      </c>
      <c r="W42" s="204" t="n">
        <f aca="false">W41+J42</f>
        <v>94.3</v>
      </c>
      <c r="AB42" s="204" t="n">
        <f aca="false">IF(K42&lt;0,1,0)</f>
        <v>0</v>
      </c>
      <c r="AC42" s="204" t="n">
        <f aca="false">IF(K42&lt;4.5,1,0)</f>
        <v>0</v>
      </c>
      <c r="AD42" s="204" t="n">
        <f aca="false">AD41+D42</f>
        <v>107.9</v>
      </c>
      <c r="AE42" s="204" t="n">
        <f aca="false">I42/K42</f>
        <v>32.9411764705882</v>
      </c>
    </row>
    <row r="43" customFormat="false" ht="12" hidden="false" customHeight="false" outlineLevel="0" collapsed="false">
      <c r="A43" s="204" t="n">
        <v>2010</v>
      </c>
      <c r="B43" s="204" t="n">
        <v>10</v>
      </c>
      <c r="C43" s="204" t="n">
        <v>12</v>
      </c>
      <c r="D43" s="204" t="n">
        <v>1.9</v>
      </c>
      <c r="E43" s="204" t="n">
        <f aca="false">E42+D43</f>
        <v>109.8</v>
      </c>
      <c r="I43" s="204" t="n">
        <v>918</v>
      </c>
      <c r="J43" s="204" t="n">
        <v>0</v>
      </c>
      <c r="K43" s="204" t="n">
        <v>16.3</v>
      </c>
      <c r="L43" s="204" t="n">
        <v>13.2</v>
      </c>
      <c r="M43" s="204" t="n">
        <v>21.3</v>
      </c>
      <c r="N43" s="206" t="n">
        <v>40463</v>
      </c>
      <c r="O43" s="204" t="n">
        <f aca="false">IF(K43&gt;0,O42+K43,O42)</f>
        <v>615</v>
      </c>
      <c r="S43" s="204" t="n">
        <f aca="false">S42+I43</f>
        <v>48199</v>
      </c>
      <c r="W43" s="204" t="n">
        <f aca="false">W42+J43</f>
        <v>94.3</v>
      </c>
      <c r="AB43" s="204" t="n">
        <f aca="false">IF(K43&lt;0,1,0)</f>
        <v>0</v>
      </c>
      <c r="AC43" s="204" t="n">
        <f aca="false">IF(K43&lt;4.5,1,0)</f>
        <v>0</v>
      </c>
      <c r="AD43" s="204" t="n">
        <f aca="false">AD42+D43</f>
        <v>109.8</v>
      </c>
      <c r="AE43" s="204" t="n">
        <f aca="false">I43/K43</f>
        <v>56.319018404908</v>
      </c>
    </row>
    <row r="44" customFormat="false" ht="12" hidden="false" customHeight="false" outlineLevel="0" collapsed="false">
      <c r="A44" s="204" t="n">
        <v>2010</v>
      </c>
      <c r="B44" s="204" t="n">
        <v>10</v>
      </c>
      <c r="C44" s="204" t="n">
        <v>13</v>
      </c>
      <c r="D44" s="204" t="n">
        <v>2.4</v>
      </c>
      <c r="E44" s="204" t="n">
        <f aca="false">E43+D44</f>
        <v>112.2</v>
      </c>
      <c r="I44" s="204" t="n">
        <v>1420</v>
      </c>
      <c r="J44" s="204" t="n">
        <v>0</v>
      </c>
      <c r="K44" s="204" t="n">
        <v>16</v>
      </c>
      <c r="L44" s="204" t="n">
        <v>12.7</v>
      </c>
      <c r="M44" s="204" t="n">
        <v>20.7</v>
      </c>
      <c r="N44" s="206" t="n">
        <v>40464</v>
      </c>
      <c r="O44" s="204" t="n">
        <f aca="false">IF(K44&gt;0,O43+K44,O43)</f>
        <v>631</v>
      </c>
      <c r="S44" s="204" t="n">
        <f aca="false">S43+I44</f>
        <v>49619</v>
      </c>
      <c r="W44" s="204" t="n">
        <f aca="false">W43+J44</f>
        <v>94.3</v>
      </c>
      <c r="AB44" s="204" t="n">
        <f aca="false">IF(K44&lt;0,1,0)</f>
        <v>0</v>
      </c>
      <c r="AC44" s="204" t="n">
        <f aca="false">IF(K44&lt;4.5,1,0)</f>
        <v>0</v>
      </c>
      <c r="AD44" s="204" t="n">
        <f aca="false">AD43+D44</f>
        <v>112.2</v>
      </c>
      <c r="AE44" s="204" t="n">
        <f aca="false">I44/K44</f>
        <v>88.75</v>
      </c>
    </row>
    <row r="45" customFormat="false" ht="12" hidden="false" customHeight="false" outlineLevel="0" collapsed="false">
      <c r="A45" s="204" t="n">
        <v>2010</v>
      </c>
      <c r="B45" s="204" t="n">
        <v>10</v>
      </c>
      <c r="C45" s="204" t="n">
        <v>14</v>
      </c>
      <c r="D45" s="204" t="n">
        <v>2.5</v>
      </c>
      <c r="E45" s="204" t="n">
        <f aca="false">E44+D45</f>
        <v>114.7</v>
      </c>
      <c r="I45" s="204" t="n">
        <v>1376</v>
      </c>
      <c r="J45" s="204" t="n">
        <v>0.2</v>
      </c>
      <c r="K45" s="204" t="n">
        <v>13.5</v>
      </c>
      <c r="L45" s="204" t="n">
        <v>11.6</v>
      </c>
      <c r="M45" s="204" t="n">
        <v>17.6</v>
      </c>
      <c r="N45" s="206" t="n">
        <v>40465</v>
      </c>
      <c r="O45" s="204" t="n">
        <f aca="false">IF(K45&gt;0,O44+K45,O44)</f>
        <v>644.5</v>
      </c>
      <c r="S45" s="204" t="n">
        <f aca="false">S44+I45</f>
        <v>50995</v>
      </c>
      <c r="W45" s="204" t="n">
        <f aca="false">W44+J45</f>
        <v>94.5</v>
      </c>
      <c r="AB45" s="204" t="n">
        <f aca="false">IF(K45&lt;0,1,0)</f>
        <v>0</v>
      </c>
      <c r="AC45" s="204" t="n">
        <f aca="false">IF(K45&lt;4.5,1,0)</f>
        <v>0</v>
      </c>
      <c r="AD45" s="204" t="n">
        <f aca="false">AD44+D45</f>
        <v>114.7</v>
      </c>
      <c r="AE45" s="204" t="n">
        <f aca="false">I45/K45</f>
        <v>101.925925925926</v>
      </c>
    </row>
    <row r="46" customFormat="false" ht="12" hidden="false" customHeight="false" outlineLevel="0" collapsed="false">
      <c r="A46" s="204" t="n">
        <v>2010</v>
      </c>
      <c r="B46" s="204" t="n">
        <v>10</v>
      </c>
      <c r="C46" s="204" t="n">
        <v>15</v>
      </c>
      <c r="D46" s="204" t="n">
        <v>1.7</v>
      </c>
      <c r="E46" s="204" t="n">
        <f aca="false">E45+D46</f>
        <v>116.4</v>
      </c>
      <c r="I46" s="204" t="n">
        <v>1151</v>
      </c>
      <c r="J46" s="204" t="n">
        <v>0</v>
      </c>
      <c r="K46" s="204" t="n">
        <v>9.5</v>
      </c>
      <c r="L46" s="204" t="n">
        <v>7</v>
      </c>
      <c r="M46" s="204" t="n">
        <v>14.3</v>
      </c>
      <c r="N46" s="206" t="n">
        <v>40466</v>
      </c>
      <c r="O46" s="204" t="n">
        <f aca="false">IF(K46&gt;0,O45+K46,O45)</f>
        <v>654</v>
      </c>
      <c r="S46" s="204" t="n">
        <f aca="false">S45+I46</f>
        <v>52146</v>
      </c>
      <c r="W46" s="204" t="n">
        <f aca="false">W45+J46</f>
        <v>94.5</v>
      </c>
      <c r="AB46" s="204" t="n">
        <f aca="false">IF(K46&lt;0,1,0)</f>
        <v>0</v>
      </c>
      <c r="AC46" s="204" t="n">
        <f aca="false">IF(K46&lt;4.5,1,0)</f>
        <v>0</v>
      </c>
      <c r="AD46" s="204" t="n">
        <f aca="false">AD45+D46</f>
        <v>116.4</v>
      </c>
      <c r="AE46" s="204" t="n">
        <f aca="false">I46/K46</f>
        <v>121.157894736842</v>
      </c>
    </row>
    <row r="47" customFormat="false" ht="12" hidden="false" customHeight="false" outlineLevel="0" collapsed="false">
      <c r="A47" s="204" t="n">
        <v>2010</v>
      </c>
      <c r="B47" s="204" t="n">
        <v>10</v>
      </c>
      <c r="C47" s="204" t="n">
        <v>16</v>
      </c>
      <c r="D47" s="204" t="n">
        <v>1.1</v>
      </c>
      <c r="E47" s="204" t="n">
        <f aca="false">E46+D47</f>
        <v>117.5</v>
      </c>
      <c r="I47" s="204" t="n">
        <v>388</v>
      </c>
      <c r="J47" s="204" t="n">
        <v>0.2</v>
      </c>
      <c r="K47" s="204" t="n">
        <v>9.7</v>
      </c>
      <c r="L47" s="204" t="n">
        <v>6.9</v>
      </c>
      <c r="M47" s="204" t="n">
        <v>12.9</v>
      </c>
      <c r="N47" s="206" t="n">
        <v>40467</v>
      </c>
      <c r="O47" s="204" t="n">
        <f aca="false">IF(K47&gt;0,O46+K47,O46)</f>
        <v>663.7</v>
      </c>
      <c r="S47" s="204" t="n">
        <f aca="false">S46+I47</f>
        <v>52534</v>
      </c>
      <c r="W47" s="204" t="n">
        <f aca="false">W46+J47</f>
        <v>94.7</v>
      </c>
      <c r="AB47" s="204" t="n">
        <f aca="false">IF(K47&lt;0,1,0)</f>
        <v>0</v>
      </c>
      <c r="AC47" s="204" t="n">
        <f aca="false">IF(K47&lt;4.5,1,0)</f>
        <v>0</v>
      </c>
      <c r="AD47" s="204" t="n">
        <f aca="false">AD46+D47</f>
        <v>117.5</v>
      </c>
      <c r="AE47" s="204" t="n">
        <f aca="false">I47/K47</f>
        <v>40</v>
      </c>
    </row>
    <row r="48" customFormat="false" ht="12" hidden="false" customHeight="false" outlineLevel="0" collapsed="false">
      <c r="A48" s="204" t="n">
        <v>2010</v>
      </c>
      <c r="B48" s="204" t="n">
        <v>10</v>
      </c>
      <c r="C48" s="204" t="n">
        <v>17</v>
      </c>
      <c r="D48" s="204" t="n">
        <v>2.5</v>
      </c>
      <c r="E48" s="204" t="n">
        <f aca="false">E47+D48</f>
        <v>120</v>
      </c>
      <c r="I48" s="204" t="n">
        <v>976</v>
      </c>
      <c r="J48" s="204" t="n">
        <v>0</v>
      </c>
      <c r="K48" s="204" t="n">
        <v>9.2</v>
      </c>
      <c r="L48" s="204" t="n">
        <v>7.9</v>
      </c>
      <c r="M48" s="204" t="n">
        <v>12.5</v>
      </c>
      <c r="N48" s="206" t="n">
        <v>40468</v>
      </c>
      <c r="O48" s="204" t="n">
        <f aca="false">IF(K48&gt;0,O47+K48,O47)</f>
        <v>672.9</v>
      </c>
      <c r="S48" s="204" t="n">
        <f aca="false">S47+I48</f>
        <v>53510</v>
      </c>
      <c r="W48" s="204" t="n">
        <f aca="false">W47+J48</f>
        <v>94.7</v>
      </c>
      <c r="AB48" s="204" t="n">
        <f aca="false">IF(K48&lt;0,1,0)</f>
        <v>0</v>
      </c>
      <c r="AC48" s="204" t="n">
        <f aca="false">IF(K48&lt;4.5,1,0)</f>
        <v>0</v>
      </c>
      <c r="AD48" s="204" t="n">
        <f aca="false">AD47+D48</f>
        <v>120</v>
      </c>
      <c r="AE48" s="204" t="n">
        <f aca="false">I48/K48</f>
        <v>106.086956521739</v>
      </c>
    </row>
    <row r="49" customFormat="false" ht="12" hidden="false" customHeight="false" outlineLevel="0" collapsed="false">
      <c r="A49" s="204" t="n">
        <v>2010</v>
      </c>
      <c r="B49" s="204" t="n">
        <v>10</v>
      </c>
      <c r="C49" s="204" t="n">
        <v>18</v>
      </c>
      <c r="D49" s="204" t="n">
        <v>1.9</v>
      </c>
      <c r="E49" s="204" t="n">
        <f aca="false">E48+D49</f>
        <v>121.9</v>
      </c>
      <c r="I49" s="204" t="n">
        <v>932</v>
      </c>
      <c r="J49" s="204" t="n">
        <v>0</v>
      </c>
      <c r="K49" s="204" t="n">
        <v>6.7</v>
      </c>
      <c r="L49" s="204" t="n">
        <v>5.5</v>
      </c>
      <c r="M49" s="204" t="n">
        <v>9.9</v>
      </c>
      <c r="N49" s="206" t="n">
        <v>40469</v>
      </c>
      <c r="O49" s="204" t="n">
        <f aca="false">IF(K49&gt;0,O48+K49,O48)</f>
        <v>679.6</v>
      </c>
      <c r="S49" s="204" t="n">
        <f aca="false">S48+I49</f>
        <v>54442</v>
      </c>
      <c r="W49" s="204" t="n">
        <f aca="false">W48+J49</f>
        <v>94.7</v>
      </c>
      <c r="AB49" s="204" t="n">
        <f aca="false">IF(K49&lt;0,1,0)</f>
        <v>0</v>
      </c>
      <c r="AC49" s="204" t="n">
        <f aca="false">IF(K49&lt;4.5,1,0)</f>
        <v>0</v>
      </c>
      <c r="AD49" s="204" t="n">
        <f aca="false">AD48+D49</f>
        <v>121.9</v>
      </c>
      <c r="AE49" s="204" t="n">
        <f aca="false">I49/K49</f>
        <v>139.10447761194</v>
      </c>
    </row>
    <row r="50" customFormat="false" ht="12" hidden="false" customHeight="false" outlineLevel="0" collapsed="false">
      <c r="A50" s="204" t="n">
        <v>2010</v>
      </c>
      <c r="B50" s="204" t="n">
        <v>10</v>
      </c>
      <c r="C50" s="204" t="n">
        <v>19</v>
      </c>
      <c r="D50" s="204" t="n">
        <v>1.9</v>
      </c>
      <c r="E50" s="204" t="n">
        <f aca="false">E49+D50</f>
        <v>123.8</v>
      </c>
      <c r="I50" s="204" t="n">
        <v>1018</v>
      </c>
      <c r="J50" s="204" t="n">
        <v>0</v>
      </c>
      <c r="K50" s="204" t="n">
        <v>10.6</v>
      </c>
      <c r="L50" s="204" t="n">
        <v>4.1</v>
      </c>
      <c r="M50" s="204" t="n">
        <v>16.2</v>
      </c>
      <c r="N50" s="206" t="n">
        <v>40470</v>
      </c>
      <c r="O50" s="204" t="n">
        <f aca="false">IF(K50&gt;0,O49+K50,O49)</f>
        <v>690.2</v>
      </c>
      <c r="S50" s="204" t="n">
        <f aca="false">S49+I50</f>
        <v>55460</v>
      </c>
      <c r="W50" s="204" t="n">
        <f aca="false">W49+J50</f>
        <v>94.7</v>
      </c>
      <c r="AB50" s="204" t="n">
        <f aca="false">IF(K50&lt;0,1,0)</f>
        <v>0</v>
      </c>
      <c r="AC50" s="204" t="n">
        <f aca="false">IF(K50&lt;4.5,1,0)</f>
        <v>0</v>
      </c>
      <c r="AD50" s="204" t="n">
        <f aca="false">AD49+D50</f>
        <v>123.8</v>
      </c>
      <c r="AE50" s="204" t="n">
        <f aca="false">I50/K50</f>
        <v>96.0377358490566</v>
      </c>
    </row>
    <row r="51" customFormat="false" ht="12" hidden="false" customHeight="false" outlineLevel="0" collapsed="false">
      <c r="A51" s="204" t="n">
        <v>2010</v>
      </c>
      <c r="B51" s="204" t="n">
        <v>10</v>
      </c>
      <c r="C51" s="204" t="n">
        <v>20</v>
      </c>
      <c r="D51" s="204" t="n">
        <v>2.1</v>
      </c>
      <c r="E51" s="204" t="n">
        <f aca="false">E50+D51</f>
        <v>125.9</v>
      </c>
      <c r="I51" s="204" t="n">
        <v>735</v>
      </c>
      <c r="J51" s="204" t="n">
        <v>0.2</v>
      </c>
      <c r="K51" s="204" t="n">
        <v>11.2</v>
      </c>
      <c r="L51" s="204" t="n">
        <v>10</v>
      </c>
      <c r="M51" s="204" t="n">
        <v>15.6</v>
      </c>
      <c r="N51" s="206" t="n">
        <v>40471</v>
      </c>
      <c r="O51" s="204" t="n">
        <f aca="false">IF(K51&gt;0,O50+K51,O50)</f>
        <v>701.4</v>
      </c>
      <c r="S51" s="204" t="n">
        <f aca="false">S50+I51</f>
        <v>56195</v>
      </c>
      <c r="W51" s="204" t="n">
        <f aca="false">W50+J51</f>
        <v>94.9</v>
      </c>
      <c r="AB51" s="204" t="n">
        <f aca="false">IF(K51&lt;0,1,0)</f>
        <v>0</v>
      </c>
      <c r="AC51" s="204" t="n">
        <f aca="false">IF(K51&lt;4.5,1,0)</f>
        <v>0</v>
      </c>
      <c r="AD51" s="204" t="n">
        <f aca="false">AD50+D51</f>
        <v>125.9</v>
      </c>
      <c r="AE51" s="204" t="n">
        <f aca="false">I51/K51</f>
        <v>65.625</v>
      </c>
    </row>
    <row r="52" customFormat="false" ht="12" hidden="false" customHeight="false" outlineLevel="0" collapsed="false">
      <c r="A52" s="204" t="n">
        <v>2010</v>
      </c>
      <c r="B52" s="204" t="n">
        <v>10</v>
      </c>
      <c r="C52" s="204" t="n">
        <v>21</v>
      </c>
      <c r="D52" s="204" t="n">
        <v>0.9</v>
      </c>
      <c r="E52" s="204" t="n">
        <f aca="false">E51+D52</f>
        <v>126.8</v>
      </c>
      <c r="I52" s="204" t="n">
        <v>1277</v>
      </c>
      <c r="J52" s="204" t="n">
        <v>0</v>
      </c>
      <c r="K52" s="204" t="n">
        <v>8.4</v>
      </c>
      <c r="L52" s="204" t="n">
        <v>2.6</v>
      </c>
      <c r="M52" s="204" t="n">
        <v>14.4</v>
      </c>
      <c r="N52" s="206" t="n">
        <v>40472</v>
      </c>
      <c r="O52" s="204" t="n">
        <f aca="false">IF(K52&gt;0,O51+K52,O51)</f>
        <v>709.8</v>
      </c>
      <c r="S52" s="204" t="n">
        <f aca="false">S51+I52</f>
        <v>57472</v>
      </c>
      <c r="W52" s="204" t="n">
        <f aca="false">W51+J52</f>
        <v>94.9</v>
      </c>
      <c r="AB52" s="204" t="n">
        <f aca="false">IF(K52&lt;0,1,0)</f>
        <v>0</v>
      </c>
      <c r="AC52" s="204" t="n">
        <f aca="false">IF(K52&lt;4.5,1,0)</f>
        <v>0</v>
      </c>
      <c r="AD52" s="204" t="n">
        <f aca="false">AD51+D52</f>
        <v>126.8</v>
      </c>
      <c r="AE52" s="204" t="n">
        <f aca="false">I52/K52</f>
        <v>152.02380952381</v>
      </c>
    </row>
    <row r="53" customFormat="false" ht="12" hidden="false" customHeight="false" outlineLevel="0" collapsed="false">
      <c r="A53" s="204" t="n">
        <v>2010</v>
      </c>
      <c r="B53" s="204" t="n">
        <v>10</v>
      </c>
      <c r="C53" s="204" t="n">
        <v>22</v>
      </c>
      <c r="D53" s="204" t="n">
        <v>1.4</v>
      </c>
      <c r="E53" s="204" t="n">
        <f aca="false">E52+D53</f>
        <v>128.2</v>
      </c>
      <c r="I53" s="204" t="n">
        <v>1172</v>
      </c>
      <c r="J53" s="204" t="n">
        <v>0</v>
      </c>
      <c r="K53" s="204" t="n">
        <v>11.5</v>
      </c>
      <c r="L53" s="204" t="n">
        <v>3.8</v>
      </c>
      <c r="M53" s="204" t="n">
        <v>18.3</v>
      </c>
      <c r="N53" s="206" t="n">
        <v>40473</v>
      </c>
      <c r="O53" s="204" t="n">
        <f aca="false">IF(K53&gt;0,O52+K53,O52)</f>
        <v>721.3</v>
      </c>
      <c r="S53" s="204" t="n">
        <f aca="false">S52+I53</f>
        <v>58644</v>
      </c>
      <c r="W53" s="204" t="n">
        <f aca="false">W52+J53</f>
        <v>94.9</v>
      </c>
      <c r="AB53" s="204" t="n">
        <f aca="false">IF(K53&lt;0,1,0)</f>
        <v>0</v>
      </c>
      <c r="AC53" s="204" t="n">
        <f aca="false">IF(K53&lt;4.5,1,0)</f>
        <v>0</v>
      </c>
      <c r="AD53" s="204" t="n">
        <f aca="false">AD52+D53</f>
        <v>128.2</v>
      </c>
      <c r="AE53" s="204" t="n">
        <f aca="false">I53/K53</f>
        <v>101.913043478261</v>
      </c>
    </row>
    <row r="54" customFormat="false" ht="12" hidden="false" customHeight="false" outlineLevel="0" collapsed="false">
      <c r="A54" s="204" t="n">
        <v>2010</v>
      </c>
      <c r="B54" s="204" t="n">
        <v>10</v>
      </c>
      <c r="C54" s="204" t="n">
        <v>23</v>
      </c>
      <c r="D54" s="204" t="n">
        <v>1.1</v>
      </c>
      <c r="E54" s="204" t="n">
        <f aca="false">E53+D54</f>
        <v>129.3</v>
      </c>
      <c r="I54" s="204" t="n">
        <v>1115</v>
      </c>
      <c r="J54" s="204" t="n">
        <v>1.8</v>
      </c>
      <c r="K54" s="204" t="n">
        <v>12.9</v>
      </c>
      <c r="L54" s="204" t="n">
        <v>8.4</v>
      </c>
      <c r="M54" s="204" t="n">
        <v>18.4</v>
      </c>
      <c r="N54" s="206" t="n">
        <v>40474</v>
      </c>
      <c r="O54" s="204" t="n">
        <f aca="false">IF(K54&gt;0,O53+K54,O53)</f>
        <v>734.2</v>
      </c>
      <c r="S54" s="204" t="n">
        <f aca="false">S53+I54</f>
        <v>59759</v>
      </c>
      <c r="W54" s="204" t="n">
        <f aca="false">W53+J54</f>
        <v>96.7</v>
      </c>
      <c r="AB54" s="204" t="n">
        <f aca="false">IF(K54&lt;0,1,0)</f>
        <v>0</v>
      </c>
      <c r="AC54" s="204" t="n">
        <f aca="false">IF(K54&lt;4.5,1,0)</f>
        <v>0</v>
      </c>
      <c r="AD54" s="204" t="n">
        <f aca="false">AD53+D54</f>
        <v>129.3</v>
      </c>
      <c r="AE54" s="204" t="n">
        <f aca="false">I54/K54</f>
        <v>86.4341085271318</v>
      </c>
    </row>
    <row r="55" customFormat="false" ht="12" hidden="false" customHeight="false" outlineLevel="0" collapsed="false">
      <c r="A55" s="204" t="n">
        <v>2010</v>
      </c>
      <c r="B55" s="204" t="n">
        <v>10</v>
      </c>
      <c r="C55" s="204" t="n">
        <v>24</v>
      </c>
      <c r="D55" s="204" t="n">
        <v>0.6</v>
      </c>
      <c r="E55" s="204" t="n">
        <f aca="false">E54+D55</f>
        <v>129.9</v>
      </c>
      <c r="I55" s="204" t="n">
        <v>152</v>
      </c>
      <c r="J55" s="204" t="n">
        <v>11.1</v>
      </c>
      <c r="K55" s="204" t="n">
        <v>11.1</v>
      </c>
      <c r="L55" s="204" t="n">
        <v>10.1</v>
      </c>
      <c r="M55" s="204" t="n">
        <v>14.4</v>
      </c>
      <c r="N55" s="206" t="n">
        <v>40475</v>
      </c>
      <c r="O55" s="204" t="n">
        <f aca="false">IF(K55&gt;0,O54+K55,O54)</f>
        <v>745.3</v>
      </c>
      <c r="S55" s="204" t="n">
        <f aca="false">S54+I55</f>
        <v>59911</v>
      </c>
      <c r="W55" s="204" t="n">
        <f aca="false">W54+J55</f>
        <v>107.8</v>
      </c>
      <c r="AB55" s="204" t="n">
        <f aca="false">IF(K55&lt;0,1,0)</f>
        <v>0</v>
      </c>
      <c r="AC55" s="204" t="n">
        <f aca="false">IF(K55&lt;4.5,1,0)</f>
        <v>0</v>
      </c>
      <c r="AD55" s="204" t="n">
        <f aca="false">AD54+D55</f>
        <v>129.9</v>
      </c>
      <c r="AE55" s="204" t="n">
        <f aca="false">I55/K55</f>
        <v>13.6936936936937</v>
      </c>
    </row>
    <row r="56" customFormat="false" ht="12" hidden="false" customHeight="false" outlineLevel="0" collapsed="false">
      <c r="A56" s="204" t="n">
        <v>2010</v>
      </c>
      <c r="B56" s="204" t="n">
        <v>10</v>
      </c>
      <c r="C56" s="204" t="n">
        <v>25</v>
      </c>
      <c r="D56" s="204" t="n">
        <v>2.3</v>
      </c>
      <c r="E56" s="204" t="n">
        <f aca="false">E55+D56</f>
        <v>132.2</v>
      </c>
      <c r="I56" s="204" t="n">
        <v>1033</v>
      </c>
      <c r="J56" s="204" t="n">
        <v>0</v>
      </c>
      <c r="K56" s="204" t="n">
        <v>8.4</v>
      </c>
      <c r="L56" s="204" t="n">
        <v>7.1</v>
      </c>
      <c r="M56" s="204" t="n">
        <v>11.6</v>
      </c>
      <c r="N56" s="206" t="n">
        <v>40476</v>
      </c>
      <c r="O56" s="204" t="n">
        <f aca="false">IF(K56&gt;0,O55+K56,O55)</f>
        <v>753.7</v>
      </c>
      <c r="S56" s="204" t="n">
        <f aca="false">S55+I56</f>
        <v>60944</v>
      </c>
      <c r="W56" s="204" t="n">
        <f aca="false">W55+J56</f>
        <v>107.8</v>
      </c>
      <c r="AB56" s="204" t="n">
        <f aca="false">IF(K56&lt;0,1,0)</f>
        <v>0</v>
      </c>
      <c r="AC56" s="204" t="n">
        <f aca="false">IF(K56&lt;4.5,1,0)</f>
        <v>0</v>
      </c>
      <c r="AD56" s="204" t="n">
        <f aca="false">AD55+D56</f>
        <v>132.2</v>
      </c>
      <c r="AE56" s="204" t="n">
        <f aca="false">I56/K56</f>
        <v>122.97619047619</v>
      </c>
    </row>
    <row r="57" customFormat="false" ht="12" hidden="false" customHeight="false" outlineLevel="0" collapsed="false">
      <c r="A57" s="204" t="n">
        <v>2010</v>
      </c>
      <c r="B57" s="204" t="n">
        <v>10</v>
      </c>
      <c r="C57" s="204" t="n">
        <v>26</v>
      </c>
      <c r="D57" s="204" t="n">
        <v>1.6</v>
      </c>
      <c r="E57" s="204" t="n">
        <f aca="false">E56+D57</f>
        <v>133.8</v>
      </c>
      <c r="I57" s="204" t="n">
        <v>1281</v>
      </c>
      <c r="J57" s="204" t="n">
        <v>0</v>
      </c>
      <c r="K57" s="204" t="n">
        <v>7.1</v>
      </c>
      <c r="L57" s="204" t="n">
        <v>3.5</v>
      </c>
      <c r="M57" s="204" t="n">
        <v>12.6</v>
      </c>
      <c r="N57" s="206" t="n">
        <v>40477</v>
      </c>
      <c r="O57" s="204" t="n">
        <f aca="false">IF(K57&gt;0,O56+K57,O56)</f>
        <v>760.8</v>
      </c>
      <c r="S57" s="204" t="n">
        <f aca="false">S56+I57</f>
        <v>62225</v>
      </c>
      <c r="W57" s="204" t="n">
        <f aca="false">W56+J57</f>
        <v>107.8</v>
      </c>
      <c r="AB57" s="204" t="n">
        <f aca="false">IF(K57&lt;0,1,0)</f>
        <v>0</v>
      </c>
      <c r="AC57" s="204" t="n">
        <f aca="false">IF(K57&lt;4.5,1,0)</f>
        <v>0</v>
      </c>
      <c r="AD57" s="204" t="n">
        <f aca="false">AD56+D57</f>
        <v>133.8</v>
      </c>
      <c r="AE57" s="204" t="n">
        <f aca="false">I57/K57</f>
        <v>180.422535211268</v>
      </c>
    </row>
    <row r="58" customFormat="false" ht="12" hidden="false" customHeight="false" outlineLevel="0" collapsed="false">
      <c r="A58" s="204" t="n">
        <v>2010</v>
      </c>
      <c r="B58" s="204" t="n">
        <v>10</v>
      </c>
      <c r="C58" s="204" t="n">
        <v>27</v>
      </c>
      <c r="D58" s="204" t="n">
        <v>0.9</v>
      </c>
      <c r="E58" s="204" t="n">
        <f aca="false">E57+D58</f>
        <v>134.7</v>
      </c>
      <c r="I58" s="204" t="n">
        <v>1229</v>
      </c>
      <c r="J58" s="204" t="n">
        <v>0</v>
      </c>
      <c r="K58" s="204" t="n">
        <v>7.5</v>
      </c>
      <c r="L58" s="204" t="n">
        <v>0.6</v>
      </c>
      <c r="M58" s="204" t="n">
        <v>16.8</v>
      </c>
      <c r="N58" s="206" t="n">
        <v>40478</v>
      </c>
      <c r="O58" s="204" t="n">
        <f aca="false">IF(K58&gt;0,O57+K58,O57)</f>
        <v>768.3</v>
      </c>
      <c r="S58" s="204" t="n">
        <f aca="false">S57+I58</f>
        <v>63454</v>
      </c>
      <c r="W58" s="204" t="n">
        <f aca="false">W57+J58</f>
        <v>107.8</v>
      </c>
      <c r="AB58" s="204" t="n">
        <f aca="false">IF(K58&lt;0,1,0)</f>
        <v>0</v>
      </c>
      <c r="AC58" s="204" t="n">
        <f aca="false">IF(K58&lt;4.5,1,0)</f>
        <v>0</v>
      </c>
      <c r="AD58" s="204" t="n">
        <f aca="false">AD57+D58</f>
        <v>134.7</v>
      </c>
      <c r="AE58" s="204" t="n">
        <f aca="false">I58/K58</f>
        <v>163.866666666667</v>
      </c>
    </row>
    <row r="59" customFormat="false" ht="12" hidden="false" customHeight="false" outlineLevel="0" collapsed="false">
      <c r="A59" s="204" t="n">
        <v>2010</v>
      </c>
      <c r="B59" s="204" t="n">
        <v>10</v>
      </c>
      <c r="C59" s="204" t="n">
        <v>28</v>
      </c>
      <c r="D59" s="204" t="n">
        <v>1.1</v>
      </c>
      <c r="E59" s="204" t="n">
        <f aca="false">E58+D59</f>
        <v>135.8</v>
      </c>
      <c r="I59" s="204" t="n">
        <v>1088</v>
      </c>
      <c r="J59" s="204" t="n">
        <v>0</v>
      </c>
      <c r="K59" s="204" t="n">
        <v>9.6</v>
      </c>
      <c r="L59" s="204" t="n">
        <v>4.2</v>
      </c>
      <c r="M59" s="204" t="n">
        <v>17.9</v>
      </c>
      <c r="N59" s="206" t="n">
        <v>40479</v>
      </c>
      <c r="O59" s="204" t="n">
        <f aca="false">IF(K59&gt;0,O58+K59,O58)</f>
        <v>777.9</v>
      </c>
      <c r="S59" s="204" t="n">
        <f aca="false">S58+I59</f>
        <v>64542</v>
      </c>
      <c r="W59" s="204" t="n">
        <f aca="false">W58+J59</f>
        <v>107.8</v>
      </c>
      <c r="AB59" s="204" t="n">
        <f aca="false">IF(K59&lt;0,1,0)</f>
        <v>0</v>
      </c>
      <c r="AC59" s="204" t="n">
        <f aca="false">IF(K59&lt;4.5,1,0)</f>
        <v>0</v>
      </c>
      <c r="AD59" s="204" t="n">
        <f aca="false">AD58+D59</f>
        <v>135.8</v>
      </c>
      <c r="AE59" s="204" t="n">
        <f aca="false">I59/K59</f>
        <v>113.333333333333</v>
      </c>
    </row>
    <row r="60" customFormat="false" ht="12" hidden="false" customHeight="false" outlineLevel="0" collapsed="false">
      <c r="A60" s="204" t="n">
        <v>2010</v>
      </c>
      <c r="B60" s="204" t="n">
        <v>10</v>
      </c>
      <c r="C60" s="204" t="n">
        <v>29</v>
      </c>
      <c r="D60" s="204" t="n">
        <v>1.4</v>
      </c>
      <c r="E60" s="204" t="n">
        <f aca="false">E59+D60</f>
        <v>137.2</v>
      </c>
      <c r="I60" s="204" t="n">
        <v>847</v>
      </c>
      <c r="J60" s="204" t="n">
        <v>0</v>
      </c>
      <c r="K60" s="204" t="n">
        <v>15.2</v>
      </c>
      <c r="L60" s="204" t="n">
        <v>6.3</v>
      </c>
      <c r="M60" s="204" t="n">
        <v>19</v>
      </c>
      <c r="N60" s="206" t="n">
        <v>40480</v>
      </c>
      <c r="O60" s="204" t="n">
        <f aca="false">IF(K60&gt;0,O59+K60,O59)</f>
        <v>793.1</v>
      </c>
      <c r="S60" s="204" t="n">
        <f aca="false">S59+I60</f>
        <v>65389</v>
      </c>
      <c r="W60" s="204" t="n">
        <f aca="false">W59+J60</f>
        <v>107.8</v>
      </c>
      <c r="AB60" s="204" t="n">
        <f aca="false">IF(K60&lt;0,1,0)</f>
        <v>0</v>
      </c>
      <c r="AC60" s="204" t="n">
        <f aca="false">IF(K60&lt;4.5,1,0)</f>
        <v>0</v>
      </c>
      <c r="AD60" s="204" t="n">
        <f aca="false">AD59+D60</f>
        <v>137.2</v>
      </c>
      <c r="AE60" s="204" t="n">
        <f aca="false">I60/K60</f>
        <v>55.7236842105263</v>
      </c>
    </row>
    <row r="61" customFormat="false" ht="12" hidden="false" customHeight="false" outlineLevel="0" collapsed="false">
      <c r="A61" s="204" t="n">
        <v>2010</v>
      </c>
      <c r="B61" s="204" t="n">
        <v>10</v>
      </c>
      <c r="C61" s="204" t="n">
        <v>30</v>
      </c>
      <c r="D61" s="204" t="n">
        <v>1.7</v>
      </c>
      <c r="E61" s="204" t="n">
        <f aca="false">E60+D61</f>
        <v>138.9</v>
      </c>
      <c r="I61" s="204" t="n">
        <v>714</v>
      </c>
      <c r="J61" s="204" t="n">
        <v>0</v>
      </c>
      <c r="K61" s="204" t="n">
        <v>13.1</v>
      </c>
      <c r="L61" s="204" t="n">
        <v>10.6</v>
      </c>
      <c r="M61" s="204" t="n">
        <v>16.4</v>
      </c>
      <c r="N61" s="206" t="n">
        <v>40481</v>
      </c>
      <c r="O61" s="204" t="n">
        <f aca="false">IF(K61&gt;0,O60+K61,O60)</f>
        <v>806.2</v>
      </c>
      <c r="S61" s="204" t="n">
        <f aca="false">S60+I61</f>
        <v>66103</v>
      </c>
      <c r="W61" s="204" t="n">
        <f aca="false">W60+J61</f>
        <v>107.8</v>
      </c>
      <c r="AB61" s="204" t="n">
        <f aca="false">IF(K61&lt;0,1,0)</f>
        <v>0</v>
      </c>
      <c r="AC61" s="204" t="n">
        <f aca="false">IF(K61&lt;4.5,1,0)</f>
        <v>0</v>
      </c>
      <c r="AD61" s="204" t="n">
        <f aca="false">AD60+D61</f>
        <v>138.9</v>
      </c>
      <c r="AE61" s="204" t="n">
        <f aca="false">I61/K61</f>
        <v>54.5038167938931</v>
      </c>
    </row>
    <row r="62" customFormat="false" ht="12" hidden="false" customHeight="false" outlineLevel="0" collapsed="false">
      <c r="A62" s="204" t="n">
        <v>2010</v>
      </c>
      <c r="B62" s="204" t="n">
        <v>10</v>
      </c>
      <c r="C62" s="204" t="n">
        <v>31</v>
      </c>
      <c r="D62" s="204" t="n">
        <v>0.9</v>
      </c>
      <c r="E62" s="204" t="n">
        <f aca="false">E61+D62</f>
        <v>139.8</v>
      </c>
      <c r="I62" s="204" t="n">
        <v>381</v>
      </c>
      <c r="J62" s="204" t="n">
        <v>4.6</v>
      </c>
      <c r="K62" s="204" t="n">
        <v>10.9</v>
      </c>
      <c r="L62" s="204" t="n">
        <v>8.4</v>
      </c>
      <c r="M62" s="204" t="n">
        <v>14.1</v>
      </c>
      <c r="N62" s="206" t="n">
        <v>40482</v>
      </c>
      <c r="O62" s="204" t="n">
        <f aca="false">IF(K62&gt;0,O61+K62,O61)</f>
        <v>817.1</v>
      </c>
      <c r="S62" s="204" t="n">
        <f aca="false">S61+I62</f>
        <v>66484</v>
      </c>
      <c r="W62" s="204" t="n">
        <f aca="false">W61+J62</f>
        <v>112.4</v>
      </c>
      <c r="AB62" s="204" t="n">
        <f aca="false">IF(K62&lt;0,1,0)</f>
        <v>0</v>
      </c>
      <c r="AC62" s="204" t="n">
        <f aca="false">IF(K62&lt;4.5,1,0)</f>
        <v>0</v>
      </c>
      <c r="AD62" s="204" t="n">
        <f aca="false">AD61+D62</f>
        <v>139.8</v>
      </c>
      <c r="AE62" s="204" t="n">
        <f aca="false">I62/K62</f>
        <v>34.954128440367</v>
      </c>
    </row>
    <row r="63" customFormat="false" ht="12" hidden="false" customHeight="false" outlineLevel="0" collapsed="false">
      <c r="A63" s="204" t="n">
        <v>2010</v>
      </c>
      <c r="B63" s="204" t="n">
        <v>11</v>
      </c>
      <c r="C63" s="204" t="n">
        <v>1</v>
      </c>
      <c r="D63" s="204" t="n">
        <v>0.8</v>
      </c>
      <c r="E63" s="204" t="n">
        <f aca="false">E62+D63</f>
        <v>140.6</v>
      </c>
      <c r="I63" s="204" t="n">
        <v>340</v>
      </c>
      <c r="J63" s="204" t="n">
        <v>4.5</v>
      </c>
      <c r="K63" s="204" t="n">
        <v>12</v>
      </c>
      <c r="L63" s="204" t="n">
        <v>9.6</v>
      </c>
      <c r="M63" s="204" t="n">
        <v>13.9</v>
      </c>
      <c r="N63" s="206" t="n">
        <v>40483</v>
      </c>
      <c r="O63" s="204" t="n">
        <f aca="false">IF(K63&gt;0,O62+K63,O62)</f>
        <v>829.1</v>
      </c>
      <c r="S63" s="204" t="n">
        <f aca="false">S62+I63</f>
        <v>66824</v>
      </c>
      <c r="W63" s="204" t="n">
        <f aca="false">W62+J63</f>
        <v>116.9</v>
      </c>
      <c r="AB63" s="204" t="n">
        <f aca="false">IF(K63&lt;0,1,0)</f>
        <v>0</v>
      </c>
      <c r="AC63" s="204" t="n">
        <f aca="false">IF(K63&lt;4.5,1,0)</f>
        <v>0</v>
      </c>
      <c r="AD63" s="204" t="n">
        <f aca="false">AD62+D63</f>
        <v>140.6</v>
      </c>
      <c r="AE63" s="204" t="n">
        <f aca="false">I63/K63</f>
        <v>28.3333333333333</v>
      </c>
    </row>
    <row r="64" customFormat="false" ht="12" hidden="false" customHeight="false" outlineLevel="0" collapsed="false">
      <c r="A64" s="204" t="n">
        <v>2010</v>
      </c>
      <c r="B64" s="204" t="n">
        <v>11</v>
      </c>
      <c r="C64" s="204" t="n">
        <v>2</v>
      </c>
      <c r="D64" s="204" t="n">
        <v>1.3</v>
      </c>
      <c r="E64" s="204" t="n">
        <f aca="false">E63+D64</f>
        <v>141.9</v>
      </c>
      <c r="I64" s="204" t="n">
        <v>969</v>
      </c>
      <c r="J64" s="204" t="n">
        <v>0</v>
      </c>
      <c r="K64" s="204" t="n">
        <v>12.9</v>
      </c>
      <c r="L64" s="204" t="n">
        <v>9.6</v>
      </c>
      <c r="M64" s="204" t="n">
        <v>16.5</v>
      </c>
      <c r="N64" s="206" t="n">
        <v>40484</v>
      </c>
      <c r="O64" s="204" t="n">
        <f aca="false">IF(K64&gt;0,O63+K64,O63)</f>
        <v>842</v>
      </c>
      <c r="S64" s="204" t="n">
        <f aca="false">S63+I64</f>
        <v>67793</v>
      </c>
      <c r="W64" s="204" t="n">
        <f aca="false">W63+J64</f>
        <v>116.9</v>
      </c>
      <c r="AB64" s="204" t="n">
        <f aca="false">IF(K64&lt;0,1,0)</f>
        <v>0</v>
      </c>
      <c r="AC64" s="204" t="n">
        <f aca="false">IF(K64&lt;4.5,1,0)</f>
        <v>0</v>
      </c>
      <c r="AD64" s="204" t="n">
        <f aca="false">AD63+D64</f>
        <v>141.9</v>
      </c>
      <c r="AE64" s="204" t="n">
        <f aca="false">I64/K64</f>
        <v>75.1162790697674</v>
      </c>
    </row>
    <row r="65" customFormat="false" ht="12" hidden="false" customHeight="false" outlineLevel="0" collapsed="false">
      <c r="A65" s="204" t="n">
        <v>2010</v>
      </c>
      <c r="B65" s="204" t="n">
        <v>11</v>
      </c>
      <c r="C65" s="204" t="n">
        <v>3</v>
      </c>
      <c r="D65" s="204" t="n">
        <v>0.8</v>
      </c>
      <c r="E65" s="204" t="n">
        <f aca="false">E64+D65</f>
        <v>142.7</v>
      </c>
      <c r="I65" s="204" t="n">
        <v>413</v>
      </c>
      <c r="J65" s="204" t="n">
        <v>0.8</v>
      </c>
      <c r="K65" s="204" t="n">
        <v>14.5</v>
      </c>
      <c r="L65" s="204" t="n">
        <v>12.4</v>
      </c>
      <c r="M65" s="204" t="n">
        <v>17.1</v>
      </c>
      <c r="N65" s="206" t="n">
        <v>40485</v>
      </c>
      <c r="O65" s="204" t="n">
        <f aca="false">IF(K65&gt;0,O64+K65,O64)</f>
        <v>856.5</v>
      </c>
      <c r="S65" s="204" t="n">
        <f aca="false">S64+I65</f>
        <v>68206</v>
      </c>
      <c r="W65" s="204" t="n">
        <f aca="false">W64+J65</f>
        <v>117.7</v>
      </c>
      <c r="AB65" s="204" t="n">
        <f aca="false">IF(K65&lt;0,1,0)</f>
        <v>0</v>
      </c>
      <c r="AC65" s="204" t="n">
        <f aca="false">IF(K65&lt;4.5,1,0)</f>
        <v>0</v>
      </c>
      <c r="AD65" s="204" t="n">
        <f aca="false">AD64+D65</f>
        <v>142.7</v>
      </c>
      <c r="AE65" s="204" t="n">
        <f aca="false">I65/K65</f>
        <v>28.4827586206897</v>
      </c>
    </row>
    <row r="66" customFormat="false" ht="12" hidden="false" customHeight="false" outlineLevel="0" collapsed="false">
      <c r="A66" s="204" t="n">
        <v>2010</v>
      </c>
      <c r="B66" s="204" t="n">
        <v>11</v>
      </c>
      <c r="C66" s="204" t="n">
        <v>4</v>
      </c>
      <c r="D66" s="204" t="n">
        <v>1</v>
      </c>
      <c r="E66" s="204" t="n">
        <f aca="false">E65+D66</f>
        <v>143.7</v>
      </c>
      <c r="I66" s="204" t="n">
        <v>886</v>
      </c>
      <c r="J66" s="204" t="n">
        <v>0.8</v>
      </c>
      <c r="K66" s="204" t="n">
        <v>14.2</v>
      </c>
      <c r="L66" s="204" t="n">
        <v>11</v>
      </c>
      <c r="M66" s="204" t="n">
        <v>17.4</v>
      </c>
      <c r="N66" s="206" t="n">
        <v>40486</v>
      </c>
      <c r="O66" s="204" t="n">
        <f aca="false">IF(K66&gt;0,O65+K66,O65)</f>
        <v>870.7</v>
      </c>
      <c r="S66" s="204" t="n">
        <f aca="false">S65+I66</f>
        <v>69092</v>
      </c>
      <c r="W66" s="204" t="n">
        <f aca="false">W65+J66</f>
        <v>118.5</v>
      </c>
      <c r="AB66" s="204" t="n">
        <f aca="false">IF(K66&lt;0,1,0)</f>
        <v>0</v>
      </c>
      <c r="AC66" s="204" t="n">
        <f aca="false">IF(K66&lt;4.5,1,0)</f>
        <v>0</v>
      </c>
      <c r="AD66" s="204" t="n">
        <f aca="false">AD65+D66</f>
        <v>143.7</v>
      </c>
      <c r="AE66" s="204" t="n">
        <f aca="false">I66/K66</f>
        <v>62.3943661971831</v>
      </c>
    </row>
    <row r="67" customFormat="false" ht="12" hidden="false" customHeight="false" outlineLevel="0" collapsed="false">
      <c r="A67" s="204" t="n">
        <v>2010</v>
      </c>
      <c r="B67" s="204" t="n">
        <v>11</v>
      </c>
      <c r="C67" s="204" t="n">
        <v>5</v>
      </c>
      <c r="D67" s="204" t="n">
        <v>0.6</v>
      </c>
      <c r="E67" s="204" t="n">
        <f aca="false">E66+D67</f>
        <v>144.3</v>
      </c>
      <c r="I67" s="204" t="n">
        <v>228</v>
      </c>
      <c r="J67" s="204" t="n">
        <v>0.2</v>
      </c>
      <c r="K67" s="204" t="n">
        <v>14.6</v>
      </c>
      <c r="L67" s="204" t="n">
        <v>14.1</v>
      </c>
      <c r="M67" s="204" t="n">
        <v>15.7</v>
      </c>
      <c r="N67" s="206" t="n">
        <v>40487</v>
      </c>
      <c r="O67" s="204" t="n">
        <f aca="false">IF(K67&gt;0,O66+K67,O66)</f>
        <v>885.3</v>
      </c>
      <c r="S67" s="204" t="n">
        <f aca="false">S66+I67</f>
        <v>69320</v>
      </c>
      <c r="W67" s="204" t="n">
        <f aca="false">W66+J67</f>
        <v>118.7</v>
      </c>
      <c r="AB67" s="204" t="n">
        <f aca="false">IF(K67&lt;0,1,0)</f>
        <v>0</v>
      </c>
      <c r="AC67" s="204" t="n">
        <f aca="false">IF(K67&lt;4.5,1,0)</f>
        <v>0</v>
      </c>
      <c r="AD67" s="204" t="n">
        <f aca="false">AD66+D67</f>
        <v>144.3</v>
      </c>
      <c r="AE67" s="204" t="n">
        <f aca="false">I67/K67</f>
        <v>15.6164383561644</v>
      </c>
    </row>
    <row r="68" customFormat="false" ht="12" hidden="false" customHeight="false" outlineLevel="0" collapsed="false">
      <c r="A68" s="204" t="n">
        <v>2010</v>
      </c>
      <c r="B68" s="204" t="n">
        <v>11</v>
      </c>
      <c r="C68" s="204" t="n">
        <v>6</v>
      </c>
      <c r="D68" s="204" t="n">
        <v>1.1</v>
      </c>
      <c r="E68" s="204" t="n">
        <f aca="false">E67+D68</f>
        <v>145.4</v>
      </c>
      <c r="I68" s="204" t="n">
        <v>392</v>
      </c>
      <c r="J68" s="204" t="n">
        <v>0.4</v>
      </c>
      <c r="K68" s="204" t="n">
        <v>14.1</v>
      </c>
      <c r="L68" s="204" t="n">
        <v>12.9</v>
      </c>
      <c r="M68" s="204" t="n">
        <v>16.6</v>
      </c>
      <c r="N68" s="206" t="n">
        <v>40488</v>
      </c>
      <c r="O68" s="204" t="n">
        <f aca="false">IF(K68&gt;0,O67+K68,O67)</f>
        <v>899.4</v>
      </c>
      <c r="S68" s="204" t="n">
        <f aca="false">S67+I68</f>
        <v>69712</v>
      </c>
      <c r="W68" s="204" t="n">
        <f aca="false">W67+J68</f>
        <v>119.1</v>
      </c>
      <c r="AB68" s="204" t="n">
        <f aca="false">IF(K68&lt;0,1,0)</f>
        <v>0</v>
      </c>
      <c r="AC68" s="204" t="n">
        <f aca="false">IF(K68&lt;4.5,1,0)</f>
        <v>0</v>
      </c>
      <c r="AD68" s="204" t="n">
        <f aca="false">AD67+D68</f>
        <v>145.4</v>
      </c>
      <c r="AE68" s="204" t="n">
        <f aca="false">I68/K68</f>
        <v>27.8014184397163</v>
      </c>
    </row>
    <row r="69" customFormat="false" ht="12" hidden="false" customHeight="false" outlineLevel="0" collapsed="false">
      <c r="A69" s="204" t="n">
        <v>2010</v>
      </c>
      <c r="B69" s="204" t="n">
        <v>11</v>
      </c>
      <c r="C69" s="204" t="n">
        <v>7</v>
      </c>
      <c r="D69" s="204" t="n">
        <v>1.1</v>
      </c>
      <c r="E69" s="204" t="n">
        <f aca="false">E68+D69</f>
        <v>146.5</v>
      </c>
      <c r="I69" s="204" t="n">
        <v>483</v>
      </c>
      <c r="J69" s="204" t="n">
        <v>3.4</v>
      </c>
      <c r="K69" s="204" t="n">
        <v>9.9</v>
      </c>
      <c r="L69" s="204" t="n">
        <v>7.5</v>
      </c>
      <c r="M69" s="204" t="n">
        <v>12.8</v>
      </c>
      <c r="N69" s="206" t="n">
        <v>40489</v>
      </c>
      <c r="O69" s="204" t="n">
        <f aca="false">IF(K69&gt;0,O68+K69,O68)</f>
        <v>909.3</v>
      </c>
      <c r="S69" s="204" t="n">
        <f aca="false">S68+I69</f>
        <v>70195</v>
      </c>
      <c r="W69" s="204" t="n">
        <f aca="false">W68+J69</f>
        <v>122.5</v>
      </c>
      <c r="AB69" s="204" t="n">
        <f aca="false">IF(K69&lt;0,1,0)</f>
        <v>0</v>
      </c>
      <c r="AC69" s="204" t="n">
        <f aca="false">IF(K69&lt;4.5,1,0)</f>
        <v>0</v>
      </c>
      <c r="AD69" s="204" t="n">
        <f aca="false">AD68+D69</f>
        <v>146.5</v>
      </c>
      <c r="AE69" s="204" t="n">
        <f aca="false">I69/K69</f>
        <v>48.7878787878788</v>
      </c>
    </row>
    <row r="70" customFormat="false" ht="12" hidden="false" customHeight="false" outlineLevel="0" collapsed="false">
      <c r="A70" s="204" t="n">
        <v>2010</v>
      </c>
      <c r="B70" s="204" t="n">
        <v>11</v>
      </c>
      <c r="C70" s="204" t="n">
        <v>8</v>
      </c>
      <c r="D70" s="204" t="n">
        <v>0.7</v>
      </c>
      <c r="E70" s="204" t="n">
        <f aca="false">E69+D70</f>
        <v>147.2</v>
      </c>
      <c r="I70" s="204" t="n">
        <v>252</v>
      </c>
      <c r="J70" s="204" t="n">
        <v>8.4</v>
      </c>
      <c r="K70" s="204" t="n">
        <v>7.9</v>
      </c>
      <c r="L70" s="204" t="n">
        <v>3.5</v>
      </c>
      <c r="M70" s="204" t="n">
        <v>11.5</v>
      </c>
      <c r="N70" s="206" t="n">
        <v>40490</v>
      </c>
      <c r="O70" s="204" t="n">
        <f aca="false">IF(K70&gt;0,O69+K70,O69)</f>
        <v>917.2</v>
      </c>
      <c r="S70" s="204" t="n">
        <f aca="false">S69+I70</f>
        <v>70447</v>
      </c>
      <c r="W70" s="204" t="n">
        <f aca="false">W69+J70</f>
        <v>130.9</v>
      </c>
      <c r="AB70" s="204" t="n">
        <f aca="false">IF(K70&lt;0,1,0)</f>
        <v>0</v>
      </c>
      <c r="AC70" s="204" t="n">
        <f aca="false">IF(K70&lt;4.5,1,0)</f>
        <v>0</v>
      </c>
      <c r="AD70" s="204" t="n">
        <f aca="false">AD69+D70</f>
        <v>147.2</v>
      </c>
      <c r="AE70" s="204" t="n">
        <f aca="false">I70/K70</f>
        <v>31.8987341772152</v>
      </c>
    </row>
    <row r="71" customFormat="false" ht="12" hidden="false" customHeight="false" outlineLevel="0" collapsed="false">
      <c r="A71" s="204" t="n">
        <v>2010</v>
      </c>
      <c r="B71" s="204" t="n">
        <v>11</v>
      </c>
      <c r="C71" s="204" t="n">
        <v>9</v>
      </c>
      <c r="D71" s="204" t="n">
        <v>1.4</v>
      </c>
      <c r="E71" s="204" t="n">
        <f aca="false">E70+D71</f>
        <v>148.6</v>
      </c>
      <c r="I71" s="204" t="n">
        <v>512</v>
      </c>
      <c r="J71" s="204" t="n">
        <v>1.4</v>
      </c>
      <c r="K71" s="204" t="n">
        <v>10.5</v>
      </c>
      <c r="L71" s="204" t="n">
        <v>7.5</v>
      </c>
      <c r="M71" s="204" t="n">
        <v>13.8</v>
      </c>
      <c r="N71" s="206" t="n">
        <v>40491</v>
      </c>
      <c r="O71" s="204" t="n">
        <f aca="false">IF(K71&gt;0,O70+K71,O70)</f>
        <v>927.7</v>
      </c>
      <c r="S71" s="204" t="n">
        <f aca="false">S70+I71</f>
        <v>70959</v>
      </c>
      <c r="W71" s="204" t="n">
        <f aca="false">W70+J71</f>
        <v>132.3</v>
      </c>
      <c r="AB71" s="204" t="n">
        <f aca="false">IF(K71&lt;0,1,0)</f>
        <v>0</v>
      </c>
      <c r="AC71" s="204" t="n">
        <f aca="false">IF(K71&lt;4.5,1,0)</f>
        <v>0</v>
      </c>
      <c r="AD71" s="204" t="n">
        <f aca="false">AD70+D71</f>
        <v>148.6</v>
      </c>
      <c r="AE71" s="204" t="n">
        <f aca="false">I71/K71</f>
        <v>48.7619047619048</v>
      </c>
    </row>
    <row r="72" customFormat="false" ht="12" hidden="false" customHeight="false" outlineLevel="0" collapsed="false">
      <c r="A72" s="204" t="n">
        <v>2010</v>
      </c>
      <c r="B72" s="204" t="n">
        <v>11</v>
      </c>
      <c r="C72" s="204" t="n">
        <v>10</v>
      </c>
      <c r="D72" s="204" t="n">
        <v>1.4</v>
      </c>
      <c r="E72" s="204" t="n">
        <f aca="false">E71+D72</f>
        <v>150</v>
      </c>
      <c r="I72" s="204" t="n">
        <v>328</v>
      </c>
      <c r="J72" s="204" t="n">
        <v>5.2</v>
      </c>
      <c r="K72" s="204" t="n">
        <v>9</v>
      </c>
      <c r="L72" s="204" t="n">
        <v>8</v>
      </c>
      <c r="M72" s="204" t="n">
        <v>12</v>
      </c>
      <c r="N72" s="206" t="n">
        <v>40492</v>
      </c>
      <c r="O72" s="204" t="n">
        <f aca="false">IF(K72&gt;0,O71+K72,O71)</f>
        <v>936.7</v>
      </c>
      <c r="S72" s="204" t="n">
        <f aca="false">S71+I72</f>
        <v>71287</v>
      </c>
      <c r="W72" s="204" t="n">
        <f aca="false">W71+J72</f>
        <v>137.5</v>
      </c>
      <c r="AB72" s="204" t="n">
        <f aca="false">IF(K72&lt;0,1,0)</f>
        <v>0</v>
      </c>
      <c r="AC72" s="204" t="n">
        <f aca="false">IF(K72&lt;4.5,1,0)</f>
        <v>0</v>
      </c>
      <c r="AD72" s="204" t="n">
        <f aca="false">AD71+D72</f>
        <v>150</v>
      </c>
      <c r="AE72" s="204" t="n">
        <f aca="false">I72/K72</f>
        <v>36.4444444444444</v>
      </c>
    </row>
    <row r="73" customFormat="false" ht="12" hidden="false" customHeight="false" outlineLevel="0" collapsed="false">
      <c r="A73" s="204" t="n">
        <v>2010</v>
      </c>
      <c r="B73" s="204" t="n">
        <v>11</v>
      </c>
      <c r="C73" s="204" t="n">
        <v>11</v>
      </c>
      <c r="D73" s="204" t="n">
        <v>0.8</v>
      </c>
      <c r="E73" s="204" t="n">
        <f aca="false">E72+D73</f>
        <v>150.8</v>
      </c>
      <c r="I73" s="204" t="n">
        <v>574</v>
      </c>
      <c r="J73" s="204" t="n">
        <v>0.6</v>
      </c>
      <c r="K73" s="204" t="n">
        <v>9.4</v>
      </c>
      <c r="L73" s="204" t="n">
        <v>2.2</v>
      </c>
      <c r="M73" s="204" t="n">
        <v>15.6</v>
      </c>
      <c r="N73" s="206" t="n">
        <v>40493</v>
      </c>
      <c r="O73" s="204" t="n">
        <f aca="false">IF(K73&gt;0,O72+K73,O72)</f>
        <v>946.1</v>
      </c>
      <c r="S73" s="204" t="n">
        <f aca="false">S72+I73</f>
        <v>71861</v>
      </c>
      <c r="W73" s="204" t="n">
        <f aca="false">W72+J73</f>
        <v>138.1</v>
      </c>
      <c r="AB73" s="204" t="n">
        <f aca="false">IF(K73&lt;0,1,0)</f>
        <v>0</v>
      </c>
      <c r="AC73" s="204" t="n">
        <f aca="false">IF(K73&lt;4.5,1,0)</f>
        <v>0</v>
      </c>
      <c r="AD73" s="204" t="n">
        <f aca="false">AD72+D73</f>
        <v>150.8</v>
      </c>
      <c r="AE73" s="204" t="n">
        <f aca="false">I73/K73</f>
        <v>61.063829787234</v>
      </c>
    </row>
    <row r="74" customFormat="false" ht="12" hidden="false" customHeight="false" outlineLevel="0" collapsed="false">
      <c r="A74" s="204" t="n">
        <v>2010</v>
      </c>
      <c r="B74" s="204" t="n">
        <v>11</v>
      </c>
      <c r="C74" s="204" t="n">
        <v>12</v>
      </c>
      <c r="D74" s="204" t="n">
        <v>1.2</v>
      </c>
      <c r="E74" s="204" t="n">
        <f aca="false">E73+D74</f>
        <v>152</v>
      </c>
      <c r="I74" s="204" t="n">
        <v>427</v>
      </c>
      <c r="J74" s="204" t="n">
        <v>0.6</v>
      </c>
      <c r="K74" s="204" t="n">
        <v>14.2</v>
      </c>
      <c r="L74" s="204" t="n">
        <v>11.3</v>
      </c>
      <c r="M74" s="204" t="n">
        <v>18.7</v>
      </c>
      <c r="N74" s="206" t="n">
        <v>40494</v>
      </c>
      <c r="O74" s="204" t="n">
        <f aca="false">IF(K74&gt;0,O73+K74,O73)</f>
        <v>960.3</v>
      </c>
      <c r="S74" s="204" t="n">
        <f aca="false">S73+I74</f>
        <v>72288</v>
      </c>
      <c r="W74" s="204" t="n">
        <f aca="false">W73+J74</f>
        <v>138.7</v>
      </c>
      <c r="AB74" s="204" t="n">
        <f aca="false">IF(K74&lt;0,1,0)</f>
        <v>0</v>
      </c>
      <c r="AC74" s="204" t="n">
        <f aca="false">IF(K74&lt;4.5,1,0)</f>
        <v>0</v>
      </c>
      <c r="AD74" s="204" t="n">
        <f aca="false">AD73+D74</f>
        <v>152</v>
      </c>
      <c r="AE74" s="204" t="n">
        <f aca="false">I74/K74</f>
        <v>30.0704225352113</v>
      </c>
    </row>
    <row r="75" customFormat="false" ht="12" hidden="false" customHeight="false" outlineLevel="0" collapsed="false">
      <c r="A75" s="204" t="n">
        <v>2010</v>
      </c>
      <c r="B75" s="204" t="n">
        <v>11</v>
      </c>
      <c r="C75" s="204" t="n">
        <v>13</v>
      </c>
      <c r="D75" s="204" t="n">
        <v>0.5</v>
      </c>
      <c r="E75" s="204" t="n">
        <f aca="false">E74+D75</f>
        <v>152.5</v>
      </c>
      <c r="I75" s="204" t="n">
        <v>987</v>
      </c>
      <c r="J75" s="204" t="n">
        <v>0.2</v>
      </c>
      <c r="K75" s="204" t="n">
        <v>12.5</v>
      </c>
      <c r="L75" s="204" t="n">
        <v>5</v>
      </c>
      <c r="M75" s="204" t="n">
        <v>19.7</v>
      </c>
      <c r="N75" s="206" t="n">
        <v>40495</v>
      </c>
      <c r="O75" s="204" t="n">
        <f aca="false">IF(K75&gt;0,O74+K75,O74)</f>
        <v>972.8</v>
      </c>
      <c r="S75" s="204" t="n">
        <f aca="false">S74+I75</f>
        <v>73275</v>
      </c>
      <c r="W75" s="204" t="n">
        <f aca="false">W74+J75</f>
        <v>138.9</v>
      </c>
      <c r="AB75" s="204" t="n">
        <f aca="false">IF(K75&lt;0,1,0)</f>
        <v>0</v>
      </c>
      <c r="AC75" s="204" t="n">
        <f aca="false">IF(K75&lt;4.5,1,0)</f>
        <v>0</v>
      </c>
      <c r="AD75" s="204" t="n">
        <f aca="false">AD74+D75</f>
        <v>152.5</v>
      </c>
      <c r="AE75" s="204" t="n">
        <f aca="false">I75/K75</f>
        <v>78.96</v>
      </c>
    </row>
    <row r="76" customFormat="false" ht="12" hidden="false" customHeight="false" outlineLevel="0" collapsed="false">
      <c r="A76" s="204" t="n">
        <v>2010</v>
      </c>
      <c r="B76" s="204" t="n">
        <v>11</v>
      </c>
      <c r="C76" s="204" t="n">
        <v>14</v>
      </c>
      <c r="D76" s="204" t="n">
        <v>1.6</v>
      </c>
      <c r="E76" s="204" t="n">
        <f aca="false">E75+D76</f>
        <v>154.1</v>
      </c>
      <c r="I76" s="204" t="n">
        <v>804</v>
      </c>
      <c r="J76" s="204" t="n">
        <v>2.6</v>
      </c>
      <c r="K76" s="204" t="n">
        <v>13.7</v>
      </c>
      <c r="L76" s="204" t="n">
        <v>10.8</v>
      </c>
      <c r="M76" s="204" t="n">
        <v>20.1</v>
      </c>
      <c r="N76" s="206" t="n">
        <v>40496</v>
      </c>
      <c r="O76" s="204" t="n">
        <f aca="false">IF(K76&gt;0,O75+K76,O75)</f>
        <v>986.5</v>
      </c>
      <c r="S76" s="204" t="n">
        <f aca="false">S75+I76</f>
        <v>74079</v>
      </c>
      <c r="W76" s="204" t="n">
        <f aca="false">W75+J76</f>
        <v>141.5</v>
      </c>
      <c r="AB76" s="204" t="n">
        <f aca="false">IF(K76&lt;0,1,0)</f>
        <v>0</v>
      </c>
      <c r="AC76" s="204" t="n">
        <f aca="false">IF(K76&lt;4.5,1,0)</f>
        <v>0</v>
      </c>
      <c r="AD76" s="204" t="n">
        <f aca="false">AD75+D76</f>
        <v>154.1</v>
      </c>
      <c r="AE76" s="204" t="n">
        <f aca="false">I76/K76</f>
        <v>58.6861313868613</v>
      </c>
    </row>
    <row r="77" customFormat="false" ht="12" hidden="false" customHeight="false" outlineLevel="0" collapsed="false">
      <c r="A77" s="204" t="n">
        <v>2010</v>
      </c>
      <c r="B77" s="204" t="n">
        <v>11</v>
      </c>
      <c r="C77" s="204" t="n">
        <v>15</v>
      </c>
      <c r="D77" s="204" t="n">
        <v>0.9</v>
      </c>
      <c r="E77" s="204" t="n">
        <f aca="false">E76+D77</f>
        <v>155</v>
      </c>
      <c r="I77" s="204" t="n">
        <v>516</v>
      </c>
      <c r="J77" s="204" t="n">
        <v>3</v>
      </c>
      <c r="K77" s="204" t="n">
        <v>9.6</v>
      </c>
      <c r="L77" s="204" t="n">
        <v>8.6</v>
      </c>
      <c r="M77" s="204" t="n">
        <v>13</v>
      </c>
      <c r="N77" s="206" t="n">
        <v>40497</v>
      </c>
      <c r="O77" s="204" t="n">
        <f aca="false">IF(K77&gt;0,O76+K77,O76)</f>
        <v>996.1</v>
      </c>
      <c r="S77" s="204" t="n">
        <f aca="false">S76+I77</f>
        <v>74595</v>
      </c>
      <c r="W77" s="204" t="n">
        <f aca="false">W76+J77</f>
        <v>144.5</v>
      </c>
      <c r="AB77" s="204" t="n">
        <f aca="false">IF(K77&lt;0,1,0)</f>
        <v>0</v>
      </c>
      <c r="AC77" s="204" t="n">
        <f aca="false">IF(K77&lt;4.5,1,0)</f>
        <v>0</v>
      </c>
      <c r="AD77" s="204" t="n">
        <f aca="false">AD76+D77</f>
        <v>155</v>
      </c>
      <c r="AE77" s="204" t="n">
        <f aca="false">I77/K77</f>
        <v>53.75</v>
      </c>
    </row>
    <row r="78" customFormat="false" ht="12" hidden="false" customHeight="false" outlineLevel="0" collapsed="false">
      <c r="A78" s="204" t="n">
        <v>2010</v>
      </c>
      <c r="B78" s="204" t="n">
        <v>11</v>
      </c>
      <c r="C78" s="204" t="n">
        <v>16</v>
      </c>
      <c r="D78" s="204" t="n">
        <v>1.3</v>
      </c>
      <c r="E78" s="204" t="n">
        <f aca="false">E77+D78</f>
        <v>156.3</v>
      </c>
      <c r="I78" s="204" t="n">
        <v>754</v>
      </c>
      <c r="J78" s="204" t="n">
        <v>0</v>
      </c>
      <c r="K78" s="204" t="n">
        <v>7.7</v>
      </c>
      <c r="L78" s="204" t="n">
        <v>6.9</v>
      </c>
      <c r="M78" s="204" t="n">
        <v>12.2</v>
      </c>
      <c r="N78" s="206" t="n">
        <v>40498</v>
      </c>
      <c r="O78" s="204" t="n">
        <f aca="false">IF(K78&gt;0,O77+K78,O77)</f>
        <v>1003.8</v>
      </c>
      <c r="S78" s="204" t="n">
        <f aca="false">S77+I78</f>
        <v>75349</v>
      </c>
      <c r="W78" s="204" t="n">
        <f aca="false">W77+J78</f>
        <v>144.5</v>
      </c>
      <c r="AB78" s="204" t="n">
        <f aca="false">IF(K78&lt;0,1,0)</f>
        <v>0</v>
      </c>
      <c r="AC78" s="204" t="n">
        <f aca="false">IF(K78&lt;4.5,1,0)</f>
        <v>0</v>
      </c>
      <c r="AD78" s="204" t="n">
        <f aca="false">AD77+D78</f>
        <v>156.3</v>
      </c>
      <c r="AE78" s="204" t="n">
        <f aca="false">I78/K78</f>
        <v>97.9220779220779</v>
      </c>
    </row>
    <row r="79" customFormat="false" ht="12" hidden="false" customHeight="false" outlineLevel="0" collapsed="false">
      <c r="A79" s="204" t="n">
        <v>2010</v>
      </c>
      <c r="B79" s="204" t="n">
        <v>11</v>
      </c>
      <c r="C79" s="204" t="n">
        <v>17</v>
      </c>
      <c r="D79" s="204" t="n">
        <v>0.1</v>
      </c>
      <c r="E79" s="204" t="n">
        <f aca="false">E78+D79</f>
        <v>156.4</v>
      </c>
      <c r="I79" s="204" t="n">
        <v>262</v>
      </c>
      <c r="J79" s="204" t="n">
        <v>8.5</v>
      </c>
      <c r="K79" s="204" t="n">
        <v>5</v>
      </c>
      <c r="L79" s="204" t="n">
        <v>-0.5</v>
      </c>
      <c r="M79" s="204" t="n">
        <v>9.3</v>
      </c>
      <c r="N79" s="206" t="n">
        <v>40499</v>
      </c>
      <c r="O79" s="204" t="n">
        <f aca="false">IF(K79&gt;0,O78+K79,O78)</f>
        <v>1008.8</v>
      </c>
      <c r="S79" s="204" t="n">
        <f aca="false">S78+I79</f>
        <v>75611</v>
      </c>
      <c r="W79" s="204" t="n">
        <f aca="false">W78+J79</f>
        <v>153</v>
      </c>
      <c r="AB79" s="204" t="n">
        <f aca="false">IF(K79&lt;0,1,0)</f>
        <v>0</v>
      </c>
      <c r="AC79" s="204" t="n">
        <f aca="false">IF(K79&lt;4.5,1,0)</f>
        <v>0</v>
      </c>
      <c r="AD79" s="204" t="n">
        <f aca="false">AD78+D79</f>
        <v>156.4</v>
      </c>
      <c r="AE79" s="204" t="n">
        <f aca="false">I79/K79</f>
        <v>52.4</v>
      </c>
    </row>
    <row r="80" customFormat="false" ht="12" hidden="false" customHeight="false" outlineLevel="0" collapsed="false">
      <c r="A80" s="204" t="n">
        <v>2010</v>
      </c>
      <c r="B80" s="204" t="n">
        <v>11</v>
      </c>
      <c r="C80" s="204" t="n">
        <v>18</v>
      </c>
      <c r="D80" s="204" t="n">
        <v>1.2</v>
      </c>
      <c r="E80" s="204" t="n">
        <f aca="false">E79+D80</f>
        <v>157.6</v>
      </c>
      <c r="I80" s="204" t="n">
        <v>518</v>
      </c>
      <c r="J80" s="204" t="n">
        <v>0</v>
      </c>
      <c r="K80" s="204" t="n">
        <v>9</v>
      </c>
      <c r="L80" s="204" t="n">
        <v>7</v>
      </c>
      <c r="M80" s="204" t="n">
        <v>12</v>
      </c>
      <c r="N80" s="206" t="n">
        <v>40500</v>
      </c>
      <c r="O80" s="204" t="n">
        <f aca="false">IF(K80&gt;0,O79+K80,O79)</f>
        <v>1017.8</v>
      </c>
      <c r="S80" s="204" t="n">
        <f aca="false">S79+I80</f>
        <v>76129</v>
      </c>
      <c r="W80" s="204" t="n">
        <f aca="false">W79+J80</f>
        <v>153</v>
      </c>
      <c r="AB80" s="204" t="n">
        <f aca="false">IF(K80&lt;0,1,0)</f>
        <v>0</v>
      </c>
      <c r="AC80" s="204" t="n">
        <f aca="false">IF(K80&lt;4.5,1,0)</f>
        <v>0</v>
      </c>
      <c r="AD80" s="204" t="n">
        <f aca="false">AD79+D80</f>
        <v>157.6</v>
      </c>
      <c r="AE80" s="204" t="n">
        <f aca="false">I80/K80</f>
        <v>57.5555555555556</v>
      </c>
    </row>
    <row r="81" customFormat="false" ht="12" hidden="false" customHeight="false" outlineLevel="0" collapsed="false">
      <c r="A81" s="204" t="n">
        <v>2010</v>
      </c>
      <c r="B81" s="204" t="n">
        <v>11</v>
      </c>
      <c r="C81" s="204" t="n">
        <v>19</v>
      </c>
      <c r="D81" s="204" t="n">
        <v>0.8</v>
      </c>
      <c r="E81" s="204" t="n">
        <f aca="false">E80+D81</f>
        <v>158.4</v>
      </c>
      <c r="I81" s="204" t="n">
        <v>559</v>
      </c>
      <c r="J81" s="204" t="n">
        <v>0</v>
      </c>
      <c r="K81" s="204" t="n">
        <v>8.4</v>
      </c>
      <c r="L81" s="204" t="n">
        <v>3.7</v>
      </c>
      <c r="M81" s="204" t="n">
        <v>12.4</v>
      </c>
      <c r="N81" s="206" t="n">
        <v>40501</v>
      </c>
      <c r="O81" s="204" t="n">
        <f aca="false">IF(K81&gt;0,O80+K81,O80)</f>
        <v>1026.2</v>
      </c>
      <c r="S81" s="204" t="n">
        <f aca="false">S80+I81</f>
        <v>76688</v>
      </c>
      <c r="W81" s="204" t="n">
        <f aca="false">W80+J81</f>
        <v>153</v>
      </c>
      <c r="AB81" s="204" t="n">
        <f aca="false">IF(K81&lt;0,1,0)</f>
        <v>0</v>
      </c>
      <c r="AC81" s="204" t="n">
        <f aca="false">IF(K81&lt;4.5,1,0)</f>
        <v>0</v>
      </c>
      <c r="AD81" s="204" t="n">
        <f aca="false">AD80+D81</f>
        <v>158.4</v>
      </c>
      <c r="AE81" s="204" t="n">
        <f aca="false">I81/K81</f>
        <v>66.5476190476191</v>
      </c>
    </row>
    <row r="82" customFormat="false" ht="12" hidden="false" customHeight="false" outlineLevel="0" collapsed="false">
      <c r="A82" s="204" t="n">
        <v>2010</v>
      </c>
      <c r="B82" s="204" t="n">
        <v>11</v>
      </c>
      <c r="C82" s="204" t="n">
        <v>20</v>
      </c>
      <c r="D82" s="204" t="n">
        <v>0.4</v>
      </c>
      <c r="E82" s="204" t="n">
        <f aca="false">E81+D82</f>
        <v>158.8</v>
      </c>
      <c r="I82" s="204" t="n">
        <v>485</v>
      </c>
      <c r="J82" s="204" t="n">
        <v>1</v>
      </c>
      <c r="K82" s="204" t="n">
        <v>8.9</v>
      </c>
      <c r="L82" s="204" t="n">
        <v>7.1</v>
      </c>
      <c r="M82" s="204" t="n">
        <v>12.3</v>
      </c>
      <c r="N82" s="206" t="n">
        <v>40502</v>
      </c>
      <c r="O82" s="204" t="n">
        <f aca="false">IF(K82&gt;0,O81+K82,O81)</f>
        <v>1035.1</v>
      </c>
      <c r="S82" s="204" t="n">
        <f aca="false">S81+I82</f>
        <v>77173</v>
      </c>
      <c r="W82" s="204" t="n">
        <f aca="false">W81+J82</f>
        <v>154</v>
      </c>
      <c r="AB82" s="204" t="n">
        <f aca="false">IF(K82&lt;0,1,0)</f>
        <v>0</v>
      </c>
      <c r="AC82" s="204" t="n">
        <f aca="false">IF(K82&lt;4.5,1,0)</f>
        <v>0</v>
      </c>
      <c r="AD82" s="204" t="n">
        <f aca="false">AD81+D82</f>
        <v>158.8</v>
      </c>
      <c r="AE82" s="204" t="n">
        <f aca="false">I82/K82</f>
        <v>54.4943820224719</v>
      </c>
    </row>
    <row r="83" customFormat="false" ht="12" hidden="false" customHeight="false" outlineLevel="0" collapsed="false">
      <c r="A83" s="204" t="n">
        <v>2010</v>
      </c>
      <c r="B83" s="204" t="n">
        <v>11</v>
      </c>
      <c r="C83" s="204" t="n">
        <v>21</v>
      </c>
      <c r="D83" s="204" t="n">
        <v>0.5</v>
      </c>
      <c r="E83" s="204" t="n">
        <f aca="false">E82+D83</f>
        <v>159.3</v>
      </c>
      <c r="I83" s="204" t="n">
        <v>455</v>
      </c>
      <c r="J83" s="204" t="n">
        <v>12.1</v>
      </c>
      <c r="K83" s="204" t="n">
        <v>8</v>
      </c>
      <c r="L83" s="204" t="n">
        <v>4.7</v>
      </c>
      <c r="M83" s="204" t="n">
        <v>11.5</v>
      </c>
      <c r="N83" s="206" t="n">
        <v>40503</v>
      </c>
      <c r="O83" s="204" t="n">
        <f aca="false">IF(K83&gt;0,O82+K83,O82)</f>
        <v>1043.1</v>
      </c>
      <c r="S83" s="204" t="n">
        <f aca="false">S82+I83</f>
        <v>77628</v>
      </c>
      <c r="W83" s="204" t="n">
        <f aca="false">W82+J83</f>
        <v>166.1</v>
      </c>
      <c r="AB83" s="204" t="n">
        <f aca="false">IF(K83&lt;0,1,0)</f>
        <v>0</v>
      </c>
      <c r="AC83" s="204" t="n">
        <f aca="false">IF(K83&lt;4.5,1,0)</f>
        <v>0</v>
      </c>
      <c r="AD83" s="204" t="n">
        <f aca="false">AD82+D83</f>
        <v>159.3</v>
      </c>
      <c r="AE83" s="204" t="n">
        <f aca="false">I83/K83</f>
        <v>56.875</v>
      </c>
    </row>
    <row r="84" customFormat="false" ht="12" hidden="false" customHeight="false" outlineLevel="0" collapsed="false">
      <c r="A84" s="204" t="n">
        <v>2010</v>
      </c>
      <c r="B84" s="204" t="n">
        <v>11</v>
      </c>
      <c r="C84" s="204" t="n">
        <v>22</v>
      </c>
      <c r="D84" s="204" t="n">
        <v>0.8</v>
      </c>
      <c r="E84" s="204" t="n">
        <f aca="false">E83+D84</f>
        <v>160.1</v>
      </c>
      <c r="I84" s="204" t="n">
        <v>283</v>
      </c>
      <c r="J84" s="204" t="n">
        <v>0.8</v>
      </c>
      <c r="K84" s="204" t="n">
        <v>7.7</v>
      </c>
      <c r="L84" s="204" t="n">
        <v>7.1</v>
      </c>
      <c r="M84" s="204" t="n">
        <v>9.1</v>
      </c>
      <c r="N84" s="206" t="n">
        <v>40504</v>
      </c>
      <c r="O84" s="204" t="n">
        <f aca="false">IF(K84&gt;0,O83+K84,O83)</f>
        <v>1050.8</v>
      </c>
      <c r="S84" s="204" t="n">
        <f aca="false">S83+I84</f>
        <v>77911</v>
      </c>
      <c r="W84" s="204" t="n">
        <f aca="false">W83+J84</f>
        <v>166.9</v>
      </c>
      <c r="AB84" s="204" t="n">
        <f aca="false">IF(K84&lt;0,1,0)</f>
        <v>0</v>
      </c>
      <c r="AC84" s="204" t="n">
        <f aca="false">IF(K84&lt;4.5,1,0)</f>
        <v>0</v>
      </c>
      <c r="AD84" s="204" t="n">
        <f aca="false">AD83+D84</f>
        <v>160.1</v>
      </c>
      <c r="AE84" s="204" t="n">
        <f aca="false">I84/K84</f>
        <v>36.7532467532468</v>
      </c>
    </row>
    <row r="85" customFormat="false" ht="12" hidden="false" customHeight="false" outlineLevel="0" collapsed="false">
      <c r="A85" s="204" t="n">
        <v>2010</v>
      </c>
      <c r="B85" s="204" t="n">
        <v>11</v>
      </c>
      <c r="C85" s="204" t="n">
        <v>23</v>
      </c>
      <c r="D85" s="204" t="n">
        <v>0.8</v>
      </c>
      <c r="E85" s="204" t="n">
        <f aca="false">E84+D85</f>
        <v>160.9</v>
      </c>
      <c r="I85" s="204" t="n">
        <v>465</v>
      </c>
      <c r="J85" s="204" t="n">
        <v>0</v>
      </c>
      <c r="K85" s="204" t="n">
        <v>6.2</v>
      </c>
      <c r="L85" s="204" t="n">
        <v>5</v>
      </c>
      <c r="M85" s="204" t="n">
        <v>10</v>
      </c>
      <c r="N85" s="206" t="n">
        <v>40505</v>
      </c>
      <c r="O85" s="204" t="n">
        <f aca="false">IF(K85&gt;0,O84+K85,O84)</f>
        <v>1057</v>
      </c>
      <c r="S85" s="204" t="n">
        <f aca="false">S84+I85</f>
        <v>78376</v>
      </c>
      <c r="W85" s="204" t="n">
        <f aca="false">W84+J85</f>
        <v>166.9</v>
      </c>
      <c r="AB85" s="204" t="n">
        <f aca="false">IF(K85&lt;0,1,0)</f>
        <v>0</v>
      </c>
      <c r="AC85" s="204" t="n">
        <f aca="false">IF(K85&lt;4.5,1,0)</f>
        <v>0</v>
      </c>
      <c r="AD85" s="204" t="n">
        <f aca="false">AD84+D85</f>
        <v>160.9</v>
      </c>
      <c r="AE85" s="204" t="n">
        <f aca="false">I85/K85</f>
        <v>75</v>
      </c>
    </row>
    <row r="86" customFormat="false" ht="12" hidden="false" customHeight="false" outlineLevel="0" collapsed="false">
      <c r="A86" s="204" t="n">
        <v>2010</v>
      </c>
      <c r="B86" s="204" t="n">
        <v>11</v>
      </c>
      <c r="C86" s="204" t="n">
        <v>24</v>
      </c>
      <c r="D86" s="204" t="n">
        <v>0.3</v>
      </c>
      <c r="E86" s="204" t="n">
        <f aca="false">E85+D86</f>
        <v>161.2</v>
      </c>
      <c r="I86" s="204" t="n">
        <v>688</v>
      </c>
      <c r="J86" s="204" t="n">
        <v>0</v>
      </c>
      <c r="K86" s="204" t="n">
        <v>2.9</v>
      </c>
      <c r="L86" s="204" t="n">
        <v>-0.8</v>
      </c>
      <c r="M86" s="204" t="n">
        <v>8.6</v>
      </c>
      <c r="N86" s="206" t="n">
        <v>40506</v>
      </c>
      <c r="O86" s="204" t="n">
        <f aca="false">IF(K86&gt;0,O85+K86,O85)</f>
        <v>1059.9</v>
      </c>
      <c r="S86" s="204" t="n">
        <f aca="false">S85+I86</f>
        <v>79064</v>
      </c>
      <c r="W86" s="204" t="n">
        <f aca="false">W85+J86</f>
        <v>166.9</v>
      </c>
      <c r="AB86" s="204" t="n">
        <f aca="false">IF(K86&lt;0,1,0)</f>
        <v>0</v>
      </c>
      <c r="AC86" s="204" t="n">
        <f aca="false">IF(K86&lt;4.5,1,0)</f>
        <v>1</v>
      </c>
      <c r="AD86" s="204" t="n">
        <f aca="false">AD85+D86</f>
        <v>161.2</v>
      </c>
      <c r="AE86" s="204" t="n">
        <f aca="false">I86/K86</f>
        <v>237.241379310345</v>
      </c>
    </row>
    <row r="87" customFormat="false" ht="12" hidden="false" customHeight="false" outlineLevel="0" collapsed="false">
      <c r="A87" s="204" t="n">
        <v>2010</v>
      </c>
      <c r="B87" s="204" t="n">
        <v>11</v>
      </c>
      <c r="C87" s="204" t="n">
        <v>25</v>
      </c>
      <c r="D87" s="204" t="n">
        <v>0.5</v>
      </c>
      <c r="E87" s="204" t="n">
        <f aca="false">E86+D87</f>
        <v>161.7</v>
      </c>
      <c r="I87" s="204" t="n">
        <v>223</v>
      </c>
      <c r="J87" s="204" t="n">
        <v>2.4</v>
      </c>
      <c r="K87" s="204" t="n">
        <v>4.7</v>
      </c>
      <c r="L87" s="204" t="n">
        <v>1.2</v>
      </c>
      <c r="M87" s="204" t="n">
        <v>8.1</v>
      </c>
      <c r="N87" s="206" t="n">
        <v>40507</v>
      </c>
      <c r="O87" s="204" t="n">
        <f aca="false">IF(K87&gt;0,O86+K87,O86)</f>
        <v>1064.6</v>
      </c>
      <c r="S87" s="204" t="n">
        <f aca="false">S86+I87</f>
        <v>79287</v>
      </c>
      <c r="W87" s="204" t="n">
        <f aca="false">W86+J87</f>
        <v>169.3</v>
      </c>
      <c r="AB87" s="204" t="n">
        <f aca="false">IF(K87&lt;0,1,0)</f>
        <v>0</v>
      </c>
      <c r="AC87" s="204" t="n">
        <f aca="false">IF(K87&lt;4.5,1,0)</f>
        <v>0</v>
      </c>
      <c r="AD87" s="204" t="n">
        <f aca="false">AD86+D87</f>
        <v>161.7</v>
      </c>
      <c r="AE87" s="204" t="n">
        <f aca="false">I87/K87</f>
        <v>47.4468085106383</v>
      </c>
    </row>
    <row r="88" customFormat="false" ht="12" hidden="false" customHeight="false" outlineLevel="0" collapsed="false">
      <c r="A88" s="204" t="n">
        <v>2010</v>
      </c>
      <c r="B88" s="204" t="n">
        <v>11</v>
      </c>
      <c r="C88" s="204" t="n">
        <v>26</v>
      </c>
      <c r="D88" s="204" t="n">
        <v>0.6</v>
      </c>
      <c r="E88" s="204" t="n">
        <f aca="false">E87+D88</f>
        <v>162.3</v>
      </c>
      <c r="I88" s="204" t="n">
        <v>655</v>
      </c>
      <c r="J88" s="204" t="n">
        <v>0</v>
      </c>
      <c r="K88" s="204" t="n">
        <v>2.7</v>
      </c>
      <c r="L88" s="204" t="n">
        <v>1.1</v>
      </c>
      <c r="M88" s="204" t="n">
        <v>7.1</v>
      </c>
      <c r="N88" s="206" t="n">
        <v>40508</v>
      </c>
      <c r="O88" s="204" t="n">
        <f aca="false">IF(K88&gt;0,O87+K88,O87)</f>
        <v>1067.3</v>
      </c>
      <c r="S88" s="204" t="n">
        <f aca="false">S87+I88</f>
        <v>79942</v>
      </c>
      <c r="W88" s="204" t="n">
        <f aca="false">W87+J88</f>
        <v>169.3</v>
      </c>
      <c r="AB88" s="204" t="n">
        <f aca="false">IF(K88&lt;0,1,0)</f>
        <v>0</v>
      </c>
      <c r="AC88" s="204" t="n">
        <f aca="false">IF(K88&lt;4.5,1,0)</f>
        <v>1</v>
      </c>
      <c r="AD88" s="204" t="n">
        <f aca="false">AD87+D88</f>
        <v>162.3</v>
      </c>
      <c r="AE88" s="204" t="n">
        <f aca="false">I88/K88</f>
        <v>242.592592592593</v>
      </c>
    </row>
    <row r="89" customFormat="false" ht="12" hidden="false" customHeight="false" outlineLevel="0" collapsed="false">
      <c r="A89" s="204" t="n">
        <v>2010</v>
      </c>
      <c r="B89" s="204" t="n">
        <v>11</v>
      </c>
      <c r="C89" s="204" t="n">
        <v>27</v>
      </c>
      <c r="D89" s="204" t="n">
        <v>0.4</v>
      </c>
      <c r="E89" s="204" t="n">
        <f aca="false">E88+D89</f>
        <v>162.7</v>
      </c>
      <c r="I89" s="204" t="n">
        <v>283</v>
      </c>
      <c r="J89" s="204" t="n">
        <v>1.6</v>
      </c>
      <c r="K89" s="204" t="n">
        <v>2</v>
      </c>
      <c r="L89" s="204" t="n">
        <v>-2.9</v>
      </c>
      <c r="M89" s="204" t="n">
        <v>6.5</v>
      </c>
      <c r="N89" s="206" t="n">
        <v>40509</v>
      </c>
      <c r="O89" s="204" t="n">
        <f aca="false">IF(K89&gt;0,O88+K89,O88)</f>
        <v>1069.3</v>
      </c>
      <c r="S89" s="204" t="n">
        <f aca="false">S88+I89</f>
        <v>80225</v>
      </c>
      <c r="W89" s="204" t="n">
        <f aca="false">W88+J89</f>
        <v>170.9</v>
      </c>
      <c r="AB89" s="204" t="n">
        <f aca="false">IF(K89&lt;0,1,0)</f>
        <v>0</v>
      </c>
      <c r="AC89" s="204" t="n">
        <f aca="false">IF(K89&lt;4.5,1,0)</f>
        <v>1</v>
      </c>
      <c r="AD89" s="204" t="n">
        <f aca="false">AD88+D89</f>
        <v>162.7</v>
      </c>
      <c r="AE89" s="204" t="n">
        <f aca="false">I89/K89</f>
        <v>141.5</v>
      </c>
    </row>
    <row r="90" customFormat="false" ht="12" hidden="false" customHeight="false" outlineLevel="0" collapsed="false">
      <c r="A90" s="204" t="n">
        <v>2010</v>
      </c>
      <c r="B90" s="204" t="n">
        <v>11</v>
      </c>
      <c r="C90" s="204" t="n">
        <v>28</v>
      </c>
      <c r="D90" s="204" t="n">
        <v>0.4</v>
      </c>
      <c r="E90" s="204" t="n">
        <f aca="false">E89+D90</f>
        <v>163.1</v>
      </c>
      <c r="I90" s="204" t="n">
        <v>632</v>
      </c>
      <c r="J90" s="204" t="n">
        <v>0</v>
      </c>
      <c r="K90" s="204" t="n">
        <v>2.5</v>
      </c>
      <c r="L90" s="204" t="n">
        <v>-3</v>
      </c>
      <c r="M90" s="204" t="n">
        <v>7.5</v>
      </c>
      <c r="N90" s="206" t="n">
        <v>40510</v>
      </c>
      <c r="O90" s="204" t="n">
        <f aca="false">IF(K90&gt;0,O89+K90,O89)</f>
        <v>1071.8</v>
      </c>
      <c r="S90" s="204" t="n">
        <f aca="false">S89+I90</f>
        <v>80857</v>
      </c>
      <c r="W90" s="204" t="n">
        <f aca="false">W89+J90</f>
        <v>170.9</v>
      </c>
      <c r="AB90" s="204" t="n">
        <f aca="false">IF(K90&lt;0,1,0)</f>
        <v>0</v>
      </c>
      <c r="AC90" s="204" t="n">
        <f aca="false">IF(K90&lt;4.5,1,0)</f>
        <v>1</v>
      </c>
      <c r="AD90" s="204" t="n">
        <f aca="false">AD89+D90</f>
        <v>163.1</v>
      </c>
      <c r="AE90" s="204" t="n">
        <f aca="false">I90/K90</f>
        <v>252.8</v>
      </c>
    </row>
    <row r="91" customFormat="false" ht="12" hidden="false" customHeight="false" outlineLevel="0" collapsed="false">
      <c r="A91" s="204" t="n">
        <v>2010</v>
      </c>
      <c r="B91" s="204" t="n">
        <v>11</v>
      </c>
      <c r="C91" s="204" t="n">
        <v>29</v>
      </c>
      <c r="D91" s="204" t="n">
        <v>0.2</v>
      </c>
      <c r="E91" s="204" t="n">
        <f aca="false">E90+D91</f>
        <v>163.3</v>
      </c>
      <c r="I91" s="204" t="n">
        <v>681</v>
      </c>
      <c r="J91" s="204" t="n">
        <v>0</v>
      </c>
      <c r="K91" s="204" t="n">
        <v>3</v>
      </c>
      <c r="L91" s="204" t="n">
        <v>-2.6</v>
      </c>
      <c r="M91" s="204" t="n">
        <v>8.5</v>
      </c>
      <c r="N91" s="206" t="n">
        <v>40511</v>
      </c>
      <c r="O91" s="204" t="n">
        <f aca="false">IF(K91&gt;0,O90+K91,O90)</f>
        <v>1074.8</v>
      </c>
      <c r="S91" s="204" t="n">
        <f aca="false">S90+I91</f>
        <v>81538</v>
      </c>
      <c r="W91" s="204" t="n">
        <f aca="false">W90+J91</f>
        <v>170.9</v>
      </c>
      <c r="AB91" s="204" t="n">
        <f aca="false">IF(K91&lt;0,1,0)</f>
        <v>0</v>
      </c>
      <c r="AC91" s="204" t="n">
        <f aca="false">IF(K91&lt;4.5,1,0)</f>
        <v>1</v>
      </c>
      <c r="AD91" s="204" t="n">
        <f aca="false">AD90+D91</f>
        <v>163.3</v>
      </c>
      <c r="AE91" s="204" t="n">
        <f aca="false">I91/K91</f>
        <v>227</v>
      </c>
    </row>
    <row r="92" customFormat="false" ht="12" hidden="false" customHeight="false" outlineLevel="0" collapsed="false">
      <c r="A92" s="204" t="n">
        <v>2010</v>
      </c>
      <c r="B92" s="204" t="n">
        <v>11</v>
      </c>
      <c r="C92" s="204" t="n">
        <v>30</v>
      </c>
      <c r="D92" s="204" t="n">
        <v>0.7</v>
      </c>
      <c r="E92" s="204" t="n">
        <f aca="false">E91+D92</f>
        <v>164</v>
      </c>
      <c r="I92" s="204" t="n">
        <v>458</v>
      </c>
      <c r="J92" s="204" t="n">
        <v>0</v>
      </c>
      <c r="K92" s="204" t="n">
        <v>5.2</v>
      </c>
      <c r="L92" s="204" t="n">
        <v>2.7</v>
      </c>
      <c r="M92" s="204" t="n">
        <v>9.6</v>
      </c>
      <c r="N92" s="206" t="n">
        <v>40512</v>
      </c>
      <c r="O92" s="204" t="n">
        <f aca="false">IF(K92&gt;0,O91+K92,O91)</f>
        <v>1080</v>
      </c>
      <c r="S92" s="204" t="n">
        <f aca="false">S91+I92</f>
        <v>81996</v>
      </c>
      <c r="W92" s="204" t="n">
        <f aca="false">W91+J92</f>
        <v>170.9</v>
      </c>
      <c r="AB92" s="204" t="n">
        <f aca="false">IF(K92&lt;0,1,0)</f>
        <v>0</v>
      </c>
      <c r="AC92" s="204" t="n">
        <f aca="false">IF(K92&lt;4.5,1,0)</f>
        <v>0</v>
      </c>
      <c r="AD92" s="204" t="n">
        <f aca="false">AD91+D92</f>
        <v>164</v>
      </c>
      <c r="AE92" s="204" t="n">
        <f aca="false">I92/K92</f>
        <v>88.0769230769231</v>
      </c>
    </row>
    <row r="93" customFormat="false" ht="12" hidden="false" customHeight="false" outlineLevel="0" collapsed="false">
      <c r="A93" s="204" t="n">
        <v>2010</v>
      </c>
      <c r="B93" s="204" t="n">
        <v>12</v>
      </c>
      <c r="C93" s="204" t="n">
        <v>1</v>
      </c>
      <c r="D93" s="204" t="n">
        <v>0.4</v>
      </c>
      <c r="E93" s="204" t="n">
        <f aca="false">E92+D93</f>
        <v>164.4</v>
      </c>
      <c r="I93" s="204" t="n">
        <v>134</v>
      </c>
      <c r="J93" s="204" t="n">
        <v>0</v>
      </c>
      <c r="K93" s="204" t="n">
        <v>1.7</v>
      </c>
      <c r="L93" s="204" t="n">
        <v>0.2</v>
      </c>
      <c r="M93" s="204" t="n">
        <v>4.9</v>
      </c>
      <c r="N93" s="206" t="n">
        <v>40513</v>
      </c>
      <c r="O93" s="204" t="n">
        <f aca="false">IF(K93&gt;0,O92+K93,O92)</f>
        <v>1081.7</v>
      </c>
      <c r="S93" s="204" t="n">
        <f aca="false">S92+I93</f>
        <v>82130</v>
      </c>
      <c r="W93" s="204" t="n">
        <f aca="false">W92+J93</f>
        <v>170.9</v>
      </c>
      <c r="AB93" s="204" t="n">
        <f aca="false">IF(K93&lt;0,1,0)</f>
        <v>0</v>
      </c>
      <c r="AC93" s="204" t="n">
        <f aca="false">IF(K93&lt;4.5,1,0)</f>
        <v>1</v>
      </c>
      <c r="AD93" s="204" t="n">
        <f aca="false">AD92+D93</f>
        <v>164.4</v>
      </c>
      <c r="AE93" s="204" t="n">
        <f aca="false">I93/K93</f>
        <v>78.8235294117647</v>
      </c>
    </row>
    <row r="94" customFormat="false" ht="12" hidden="false" customHeight="false" outlineLevel="0" collapsed="false">
      <c r="A94" s="204" t="n">
        <v>2010</v>
      </c>
      <c r="B94" s="204" t="n">
        <v>12</v>
      </c>
      <c r="C94" s="204" t="n">
        <v>2</v>
      </c>
      <c r="D94" s="204" t="n">
        <v>0.3</v>
      </c>
      <c r="E94" s="204" t="n">
        <f aca="false">E93+D94</f>
        <v>164.7</v>
      </c>
      <c r="I94" s="204" t="n">
        <v>445</v>
      </c>
      <c r="J94" s="204" t="n">
        <v>0.4</v>
      </c>
      <c r="K94" s="204" t="n">
        <v>1.4</v>
      </c>
      <c r="L94" s="204" t="n">
        <v>-3.5</v>
      </c>
      <c r="M94" s="204" t="n">
        <v>5.8</v>
      </c>
      <c r="N94" s="206" t="n">
        <v>40514</v>
      </c>
      <c r="O94" s="204" t="n">
        <f aca="false">IF(K94&gt;0,O93+K94,O93)</f>
        <v>1083.1</v>
      </c>
      <c r="S94" s="204" t="n">
        <f aca="false">S93+I94</f>
        <v>82575</v>
      </c>
      <c r="W94" s="204" t="n">
        <f aca="false">W93+J94</f>
        <v>171.3</v>
      </c>
      <c r="AB94" s="204" t="n">
        <f aca="false">IF(K94&lt;0,1,0)</f>
        <v>0</v>
      </c>
      <c r="AC94" s="204" t="n">
        <f aca="false">IF(K94&lt;4.5,1,0)</f>
        <v>1</v>
      </c>
      <c r="AD94" s="204" t="n">
        <f aca="false">AD93+D94</f>
        <v>164.7</v>
      </c>
      <c r="AE94" s="204" t="n">
        <f aca="false">I94/K94</f>
        <v>317.857142857143</v>
      </c>
    </row>
    <row r="95" customFormat="false" ht="12" hidden="false" customHeight="false" outlineLevel="0" collapsed="false">
      <c r="A95" s="204" t="n">
        <v>2010</v>
      </c>
      <c r="B95" s="204" t="n">
        <v>12</v>
      </c>
      <c r="C95" s="204" t="n">
        <v>3</v>
      </c>
      <c r="D95" s="204" t="n">
        <v>0.6</v>
      </c>
      <c r="E95" s="204" t="n">
        <f aca="false">E94+D95</f>
        <v>165.3</v>
      </c>
      <c r="I95" s="204" t="n">
        <v>405</v>
      </c>
      <c r="J95" s="204" t="n">
        <v>0.6</v>
      </c>
      <c r="K95" s="204" t="n">
        <v>1.8</v>
      </c>
      <c r="L95" s="204" t="n">
        <v>-1.1</v>
      </c>
      <c r="M95" s="204" t="n">
        <v>3.9</v>
      </c>
      <c r="N95" s="206" t="n">
        <v>40515</v>
      </c>
      <c r="O95" s="204" t="n">
        <f aca="false">IF(K95&gt;0,O94+K95,O94)</f>
        <v>1084.9</v>
      </c>
      <c r="S95" s="204" t="n">
        <f aca="false">S94+I95</f>
        <v>82980</v>
      </c>
      <c r="W95" s="204" t="n">
        <f aca="false">W94+J95</f>
        <v>171.9</v>
      </c>
      <c r="AB95" s="204" t="n">
        <f aca="false">IF(K95&lt;0,1,0)</f>
        <v>0</v>
      </c>
      <c r="AC95" s="204" t="n">
        <f aca="false">IF(K95&lt;4.5,1,0)</f>
        <v>1</v>
      </c>
      <c r="AD95" s="204" t="n">
        <f aca="false">AD94+D95</f>
        <v>165.3</v>
      </c>
      <c r="AE95" s="204" t="n">
        <f aca="false">I95/K95</f>
        <v>225</v>
      </c>
    </row>
    <row r="96" customFormat="false" ht="12" hidden="false" customHeight="false" outlineLevel="0" collapsed="false">
      <c r="A96" s="204" t="n">
        <v>2010</v>
      </c>
      <c r="B96" s="204" t="n">
        <v>12</v>
      </c>
      <c r="C96" s="204" t="n">
        <v>4</v>
      </c>
      <c r="D96" s="204" t="n">
        <v>0</v>
      </c>
      <c r="E96" s="204" t="n">
        <f aca="false">E95+D96</f>
        <v>165.3</v>
      </c>
      <c r="I96" s="204" t="n">
        <v>748</v>
      </c>
      <c r="J96" s="204" t="n">
        <v>0.2</v>
      </c>
      <c r="K96" s="204" t="n">
        <v>2.5</v>
      </c>
      <c r="L96" s="204" t="n">
        <v>-1</v>
      </c>
      <c r="M96" s="204" t="n">
        <v>7.2</v>
      </c>
      <c r="N96" s="206" t="n">
        <v>40516</v>
      </c>
      <c r="O96" s="204" t="n">
        <f aca="false">IF(K96&gt;0,O95+K96,O95)</f>
        <v>1087.4</v>
      </c>
      <c r="S96" s="204" t="n">
        <f aca="false">S95+I96</f>
        <v>83728</v>
      </c>
      <c r="W96" s="204" t="n">
        <f aca="false">W95+J96</f>
        <v>172.1</v>
      </c>
      <c r="AB96" s="204" t="n">
        <f aca="false">IF(K96&lt;0,1,0)</f>
        <v>0</v>
      </c>
      <c r="AC96" s="204" t="n">
        <f aca="false">IF(K96&lt;4.5,1,0)</f>
        <v>1</v>
      </c>
      <c r="AD96" s="204" t="n">
        <f aca="false">AD95+D96</f>
        <v>165.3</v>
      </c>
      <c r="AE96" s="204" t="n">
        <f aca="false">I96/K96</f>
        <v>299.2</v>
      </c>
    </row>
    <row r="97" customFormat="false" ht="12" hidden="false" customHeight="false" outlineLevel="0" collapsed="false">
      <c r="A97" s="204" t="n">
        <v>2010</v>
      </c>
      <c r="B97" s="204" t="n">
        <v>12</v>
      </c>
      <c r="C97" s="204" t="n">
        <v>5</v>
      </c>
      <c r="D97" s="204" t="n">
        <v>0.9</v>
      </c>
      <c r="E97" s="204" t="n">
        <f aca="false">E96+D97</f>
        <v>166.2</v>
      </c>
      <c r="I97" s="204" t="n">
        <v>190</v>
      </c>
      <c r="J97" s="204" t="n">
        <v>0.4</v>
      </c>
      <c r="K97" s="204" t="n">
        <v>8.4</v>
      </c>
      <c r="L97" s="204" t="n">
        <v>1.5</v>
      </c>
      <c r="M97" s="204" t="n">
        <v>11.3</v>
      </c>
      <c r="N97" s="206" t="n">
        <v>40517</v>
      </c>
      <c r="O97" s="204" t="n">
        <f aca="false">IF(K97&gt;0,O96+K97,O96)</f>
        <v>1095.8</v>
      </c>
      <c r="S97" s="204" t="n">
        <f aca="false">S96+I97</f>
        <v>83918</v>
      </c>
      <c r="W97" s="204" t="n">
        <f aca="false">W96+J97</f>
        <v>172.5</v>
      </c>
      <c r="AB97" s="204" t="n">
        <f aca="false">IF(K97&lt;0,1,0)</f>
        <v>0</v>
      </c>
      <c r="AC97" s="204" t="n">
        <f aca="false">IF(K97&lt;4.5,1,0)</f>
        <v>0</v>
      </c>
      <c r="AD97" s="204" t="n">
        <f aca="false">AD96+D97</f>
        <v>166.2</v>
      </c>
      <c r="AE97" s="204" t="n">
        <f aca="false">I97/K97</f>
        <v>22.6190476190476</v>
      </c>
    </row>
    <row r="98" customFormat="false" ht="12" hidden="false" customHeight="false" outlineLevel="0" collapsed="false">
      <c r="A98" s="204" t="n">
        <v>2010</v>
      </c>
      <c r="B98" s="204" t="n">
        <v>12</v>
      </c>
      <c r="C98" s="204" t="n">
        <v>6</v>
      </c>
      <c r="D98" s="204" t="n">
        <v>1.2</v>
      </c>
      <c r="E98" s="204" t="n">
        <f aca="false">E97+D98</f>
        <v>167.4</v>
      </c>
      <c r="I98" s="204" t="n">
        <v>294</v>
      </c>
      <c r="J98" s="204" t="n">
        <v>0.8</v>
      </c>
      <c r="K98" s="204" t="n">
        <v>11.2</v>
      </c>
      <c r="L98" s="204" t="n">
        <v>9.8</v>
      </c>
      <c r="M98" s="204" t="n">
        <v>14.6</v>
      </c>
      <c r="N98" s="206" t="n">
        <v>40518</v>
      </c>
      <c r="O98" s="204" t="n">
        <f aca="false">IF(K98&gt;0,O97+K98,O97)</f>
        <v>1107</v>
      </c>
      <c r="S98" s="204" t="n">
        <f aca="false">S97+I98</f>
        <v>84212</v>
      </c>
      <c r="W98" s="204" t="n">
        <f aca="false">W97+J98</f>
        <v>173.3</v>
      </c>
      <c r="AB98" s="204" t="n">
        <f aca="false">IF(K98&lt;0,1,0)</f>
        <v>0</v>
      </c>
      <c r="AC98" s="204" t="n">
        <f aca="false">IF(K98&lt;4.5,1,0)</f>
        <v>0</v>
      </c>
      <c r="AD98" s="204" t="n">
        <f aca="false">AD97+D98</f>
        <v>167.4</v>
      </c>
      <c r="AE98" s="204" t="n">
        <f aca="false">I98/K98</f>
        <v>26.25</v>
      </c>
    </row>
    <row r="99" customFormat="false" ht="12" hidden="false" customHeight="false" outlineLevel="0" collapsed="false">
      <c r="A99" s="204" t="n">
        <v>2010</v>
      </c>
      <c r="B99" s="204" t="n">
        <v>12</v>
      </c>
      <c r="C99" s="204" t="n">
        <v>7</v>
      </c>
      <c r="D99" s="204" t="n">
        <v>0.4</v>
      </c>
      <c r="E99" s="204" t="n">
        <f aca="false">E98+D99</f>
        <v>167.8</v>
      </c>
      <c r="I99" s="204" t="n">
        <v>589</v>
      </c>
      <c r="J99" s="204" t="n">
        <v>0.2</v>
      </c>
      <c r="K99" s="204" t="n">
        <v>12</v>
      </c>
      <c r="L99" s="204" t="n">
        <v>6.8</v>
      </c>
      <c r="M99" s="204" t="n">
        <v>15.9</v>
      </c>
      <c r="N99" s="206" t="n">
        <v>40519</v>
      </c>
      <c r="O99" s="204" t="n">
        <f aca="false">IF(K99&gt;0,O98+K99,O98)</f>
        <v>1119</v>
      </c>
      <c r="S99" s="204" t="n">
        <f aca="false">S98+I99</f>
        <v>84801</v>
      </c>
      <c r="W99" s="204" t="n">
        <f aca="false">W98+J99</f>
        <v>173.5</v>
      </c>
      <c r="AB99" s="204" t="n">
        <f aca="false">IF(K99&lt;0,1,0)</f>
        <v>0</v>
      </c>
      <c r="AC99" s="204" t="n">
        <f aca="false">IF(K99&lt;4.5,1,0)</f>
        <v>0</v>
      </c>
      <c r="AD99" s="204" t="n">
        <f aca="false">AD98+D99</f>
        <v>167.8</v>
      </c>
      <c r="AE99" s="204" t="n">
        <f aca="false">I99/K99</f>
        <v>49.0833333333333</v>
      </c>
    </row>
    <row r="100" customFormat="false" ht="12" hidden="false" customHeight="false" outlineLevel="0" collapsed="false">
      <c r="A100" s="204" t="n">
        <v>2010</v>
      </c>
      <c r="B100" s="204" t="n">
        <v>12</v>
      </c>
      <c r="C100" s="204" t="n">
        <v>8</v>
      </c>
      <c r="D100" s="204" t="n">
        <v>0.6</v>
      </c>
      <c r="E100" s="204" t="n">
        <f aca="false">E99+D100</f>
        <v>168.4</v>
      </c>
      <c r="I100" s="204" t="n">
        <v>633</v>
      </c>
      <c r="J100" s="204" t="n">
        <v>0</v>
      </c>
      <c r="K100" s="204" t="n">
        <v>13.8</v>
      </c>
      <c r="L100" s="204" t="n">
        <v>11.4</v>
      </c>
      <c r="M100" s="204" t="n">
        <v>18.5</v>
      </c>
      <c r="N100" s="206" t="n">
        <v>40520</v>
      </c>
      <c r="O100" s="204" t="n">
        <f aca="false">IF(K100&gt;0,O99+K100,O99)</f>
        <v>1132.8</v>
      </c>
      <c r="S100" s="204" t="n">
        <f aca="false">S99+I100</f>
        <v>85434</v>
      </c>
      <c r="W100" s="204" t="n">
        <f aca="false">W99+J100</f>
        <v>173.5</v>
      </c>
      <c r="AB100" s="204" t="n">
        <f aca="false">IF(K100&lt;0,1,0)</f>
        <v>0</v>
      </c>
      <c r="AC100" s="204" t="n">
        <f aca="false">IF(K100&lt;4.5,1,0)</f>
        <v>0</v>
      </c>
      <c r="AD100" s="204" t="n">
        <f aca="false">AD99+D100</f>
        <v>168.4</v>
      </c>
      <c r="AE100" s="204" t="n">
        <f aca="false">I100/K100</f>
        <v>45.8695652173913</v>
      </c>
    </row>
    <row r="101" customFormat="false" ht="12" hidden="false" customHeight="false" outlineLevel="0" collapsed="false">
      <c r="A101" s="204" t="n">
        <v>2010</v>
      </c>
      <c r="B101" s="204" t="n">
        <v>12</v>
      </c>
      <c r="C101" s="204" t="n">
        <v>9</v>
      </c>
      <c r="D101" s="204" t="n">
        <v>0.9</v>
      </c>
      <c r="E101" s="204" t="n">
        <f aca="false">E100+D101</f>
        <v>169.3</v>
      </c>
      <c r="I101" s="204" t="n">
        <v>315</v>
      </c>
      <c r="J101" s="204" t="n">
        <v>0</v>
      </c>
      <c r="K101" s="204" t="n">
        <v>4.8</v>
      </c>
      <c r="L101" s="204" t="n">
        <v>4.2</v>
      </c>
      <c r="M101" s="204" t="n">
        <v>6.5</v>
      </c>
      <c r="N101" s="206" t="n">
        <v>40521</v>
      </c>
      <c r="O101" s="204" t="n">
        <f aca="false">IF(K101&gt;0,O100+K101,O100)</f>
        <v>1137.6</v>
      </c>
      <c r="S101" s="204" t="n">
        <f aca="false">S100+I101</f>
        <v>85749</v>
      </c>
      <c r="W101" s="204" t="n">
        <f aca="false">W100+J101</f>
        <v>173.5</v>
      </c>
      <c r="AB101" s="204" t="n">
        <f aca="false">IF(K101&lt;0,1,0)</f>
        <v>0</v>
      </c>
      <c r="AC101" s="204" t="n">
        <f aca="false">IF(K101&lt;4.5,1,0)</f>
        <v>0</v>
      </c>
      <c r="AD101" s="204" t="n">
        <f aca="false">AD100+D101</f>
        <v>169.3</v>
      </c>
      <c r="AE101" s="204" t="n">
        <f aca="false">I101/K101</f>
        <v>65.625</v>
      </c>
    </row>
    <row r="102" customFormat="false" ht="12" hidden="false" customHeight="false" outlineLevel="0" collapsed="false">
      <c r="A102" s="204" t="n">
        <v>2010</v>
      </c>
      <c r="B102" s="204" t="n">
        <v>12</v>
      </c>
      <c r="C102" s="204" t="n">
        <v>10</v>
      </c>
      <c r="D102" s="204" t="n">
        <v>0</v>
      </c>
      <c r="E102" s="204" t="n">
        <f aca="false">E101+D102</f>
        <v>169.3</v>
      </c>
      <c r="I102" s="204" t="n">
        <v>768</v>
      </c>
      <c r="J102" s="204" t="n">
        <v>0</v>
      </c>
      <c r="K102" s="204" t="n">
        <v>0.4</v>
      </c>
      <c r="L102" s="204" t="n">
        <v>-3.9</v>
      </c>
      <c r="M102" s="204" t="n">
        <v>6.1</v>
      </c>
      <c r="N102" s="206" t="n">
        <v>40522</v>
      </c>
      <c r="O102" s="204" t="n">
        <f aca="false">IF(K102&gt;0,O101+K102,O101)</f>
        <v>1138</v>
      </c>
      <c r="S102" s="204" t="n">
        <f aca="false">S101+I102</f>
        <v>86517</v>
      </c>
      <c r="W102" s="204" t="n">
        <f aca="false">W101+J102</f>
        <v>173.5</v>
      </c>
      <c r="AB102" s="204" t="n">
        <f aca="false">IF(K102&lt;0,1,0)</f>
        <v>0</v>
      </c>
      <c r="AC102" s="204" t="n">
        <f aca="false">IF(K102&lt;4.5,1,0)</f>
        <v>1</v>
      </c>
      <c r="AD102" s="204" t="n">
        <f aca="false">AD101+D102</f>
        <v>169.3</v>
      </c>
      <c r="AE102" s="204" t="n">
        <f aca="false">I102/K102</f>
        <v>1920</v>
      </c>
    </row>
    <row r="103" customFormat="false" ht="12" hidden="false" customHeight="false" outlineLevel="0" collapsed="false">
      <c r="A103" s="204" t="n">
        <v>2010</v>
      </c>
      <c r="B103" s="204" t="n">
        <v>12</v>
      </c>
      <c r="C103" s="204" t="n">
        <v>11</v>
      </c>
      <c r="D103" s="204" t="n">
        <v>0</v>
      </c>
      <c r="E103" s="204" t="n">
        <f aca="false">E102+D103</f>
        <v>169.3</v>
      </c>
      <c r="I103" s="204" t="n">
        <v>757</v>
      </c>
      <c r="J103" s="204" t="n">
        <v>0</v>
      </c>
      <c r="K103" s="204" t="n">
        <v>1.7</v>
      </c>
      <c r="L103" s="204" t="n">
        <v>-3.9</v>
      </c>
      <c r="M103" s="204" t="n">
        <v>9.9</v>
      </c>
      <c r="N103" s="206" t="n">
        <v>40523</v>
      </c>
      <c r="O103" s="204" t="n">
        <f aca="false">IF(K103&gt;0,O102+K103,O102)</f>
        <v>1139.7</v>
      </c>
      <c r="S103" s="204" t="n">
        <f aca="false">S102+I103</f>
        <v>87274</v>
      </c>
      <c r="W103" s="204" t="n">
        <f aca="false">W102+J103</f>
        <v>173.5</v>
      </c>
      <c r="AB103" s="204" t="n">
        <f aca="false">IF(K103&lt;0,1,0)</f>
        <v>0</v>
      </c>
      <c r="AC103" s="204" t="n">
        <f aca="false">IF(K103&lt;4.5,1,0)</f>
        <v>1</v>
      </c>
      <c r="AD103" s="204" t="n">
        <f aca="false">AD102+D103</f>
        <v>169.3</v>
      </c>
      <c r="AE103" s="204" t="n">
        <f aca="false">I103/K103</f>
        <v>445.294117647059</v>
      </c>
    </row>
    <row r="104" customFormat="false" ht="12" hidden="false" customHeight="false" outlineLevel="0" collapsed="false">
      <c r="A104" s="204" t="n">
        <v>2010</v>
      </c>
      <c r="B104" s="204" t="n">
        <v>12</v>
      </c>
      <c r="C104" s="204" t="n">
        <v>12</v>
      </c>
      <c r="D104" s="204" t="n">
        <v>0.3</v>
      </c>
      <c r="E104" s="204" t="n">
        <f aca="false">E103+D104</f>
        <v>169.6</v>
      </c>
      <c r="I104" s="204" t="n">
        <v>628</v>
      </c>
      <c r="J104" s="204" t="n">
        <v>0</v>
      </c>
      <c r="K104" s="204" t="n">
        <v>3.2</v>
      </c>
      <c r="L104" s="204" t="n">
        <v>-1.9</v>
      </c>
      <c r="M104" s="204" t="n">
        <v>11</v>
      </c>
      <c r="N104" s="206" t="n">
        <v>40524</v>
      </c>
      <c r="O104" s="204" t="n">
        <f aca="false">IF(K104&gt;0,O103+K104,O103)</f>
        <v>1142.9</v>
      </c>
      <c r="S104" s="204" t="n">
        <f aca="false">S103+I104</f>
        <v>87902</v>
      </c>
      <c r="W104" s="204" t="n">
        <f aca="false">W103+J104</f>
        <v>173.5</v>
      </c>
      <c r="AB104" s="204" t="n">
        <f aca="false">IF(K104&lt;0,1,0)</f>
        <v>0</v>
      </c>
      <c r="AC104" s="204" t="n">
        <f aca="false">IF(K104&lt;4.5,1,0)</f>
        <v>1</v>
      </c>
      <c r="AD104" s="204" t="n">
        <f aca="false">AD103+D104</f>
        <v>169.6</v>
      </c>
      <c r="AE104" s="204" t="n">
        <f aca="false">I104/K104</f>
        <v>196.25</v>
      </c>
    </row>
    <row r="105" customFormat="false" ht="12" hidden="false" customHeight="false" outlineLevel="0" collapsed="false">
      <c r="A105" s="204" t="n">
        <v>2010</v>
      </c>
      <c r="B105" s="204" t="n">
        <v>12</v>
      </c>
      <c r="C105" s="204" t="n">
        <v>13</v>
      </c>
      <c r="D105" s="204" t="n">
        <v>0</v>
      </c>
      <c r="E105" s="204" t="n">
        <f aca="false">E104+D105</f>
        <v>169.6</v>
      </c>
      <c r="I105" s="204" t="n">
        <v>736</v>
      </c>
      <c r="J105" s="204" t="n">
        <v>0</v>
      </c>
      <c r="K105" s="204" t="n">
        <v>0.4</v>
      </c>
      <c r="L105" s="204" t="n">
        <v>-3.5</v>
      </c>
      <c r="M105" s="204" t="n">
        <v>6.1</v>
      </c>
      <c r="N105" s="206" t="n">
        <v>40525</v>
      </c>
      <c r="O105" s="204" t="n">
        <f aca="false">IF(K105&gt;0,O104+K105,O104)</f>
        <v>1143.3</v>
      </c>
      <c r="S105" s="204" t="n">
        <f aca="false">S104+I105</f>
        <v>88638</v>
      </c>
      <c r="W105" s="204" t="n">
        <f aca="false">W104+J105</f>
        <v>173.5</v>
      </c>
      <c r="AB105" s="204" t="n">
        <f aca="false">IF(K105&lt;0,1,0)</f>
        <v>0</v>
      </c>
      <c r="AC105" s="204" t="n">
        <f aca="false">IF(K105&lt;4.5,1,0)</f>
        <v>1</v>
      </c>
      <c r="AD105" s="204" t="n">
        <f aca="false">AD104+D105</f>
        <v>169.6</v>
      </c>
      <c r="AE105" s="204" t="n">
        <f aca="false">I105/K105</f>
        <v>1840</v>
      </c>
    </row>
    <row r="106" s="207" customFormat="true" ht="12" hidden="false" customHeight="false" outlineLevel="0" collapsed="false">
      <c r="A106" s="207" t="n">
        <v>2010</v>
      </c>
      <c r="B106" s="207" t="n">
        <v>12</v>
      </c>
      <c r="C106" s="207" t="n">
        <v>14</v>
      </c>
      <c r="D106" s="207" t="n">
        <v>0.1</v>
      </c>
      <c r="E106" s="204" t="n">
        <f aca="false">E105+D106</f>
        <v>169.7</v>
      </c>
      <c r="F106" s="207" t="n">
        <f aca="false">0</f>
        <v>0</v>
      </c>
      <c r="I106" s="207" t="n">
        <v>783</v>
      </c>
      <c r="J106" s="207" t="n">
        <v>0</v>
      </c>
      <c r="K106" s="207" t="n">
        <v>-0.4</v>
      </c>
      <c r="L106" s="207" t="n">
        <v>-5.1</v>
      </c>
      <c r="M106" s="207" t="n">
        <v>5.3</v>
      </c>
      <c r="N106" s="208" t="n">
        <v>40526</v>
      </c>
      <c r="O106" s="207" t="n">
        <f aca="false">IF(K106&gt;0,O105+K106,O105)</f>
        <v>1143.3</v>
      </c>
      <c r="P106" s="207" t="n">
        <v>0</v>
      </c>
      <c r="S106" s="207" t="n">
        <f aca="false">S105+I106</f>
        <v>89421</v>
      </c>
      <c r="W106" s="207" t="n">
        <f aca="false">W105+J106</f>
        <v>173.5</v>
      </c>
      <c r="X106" s="207" t="n">
        <v>0</v>
      </c>
      <c r="AB106" s="207" t="n">
        <f aca="false">IF(K106&lt;0,1,0)</f>
        <v>1</v>
      </c>
      <c r="AC106" s="207" t="n">
        <f aca="false">IF(K106&lt;4.5,1,0)</f>
        <v>1</v>
      </c>
      <c r="AD106" s="207" t="n">
        <f aca="false">AD105+D106</f>
        <v>169.7</v>
      </c>
      <c r="AE106" s="204" t="n">
        <f aca="false">I106/K106</f>
        <v>-1957.5</v>
      </c>
      <c r="AF106" s="204"/>
    </row>
    <row r="107" customFormat="false" ht="12" hidden="false" customHeight="false" outlineLevel="0" collapsed="false">
      <c r="A107" s="204" t="n">
        <v>2010</v>
      </c>
      <c r="B107" s="204" t="n">
        <v>12</v>
      </c>
      <c r="C107" s="204" t="n">
        <v>15</v>
      </c>
      <c r="D107" s="204" t="n">
        <v>0.9</v>
      </c>
      <c r="F107" s="204" t="n">
        <f aca="false">F106+D107</f>
        <v>0.9</v>
      </c>
      <c r="I107" s="204" t="n">
        <v>351</v>
      </c>
      <c r="J107" s="204" t="n">
        <v>0</v>
      </c>
      <c r="K107" s="204" t="n">
        <v>-2.1</v>
      </c>
      <c r="L107" s="204" t="n">
        <v>-3.4</v>
      </c>
      <c r="M107" s="204" t="n">
        <v>0.7</v>
      </c>
      <c r="N107" s="206" t="n">
        <v>40527</v>
      </c>
      <c r="O107" s="204" t="n">
        <f aca="false">IF(K107&gt;0,O106+K107,O106)</f>
        <v>1143.3</v>
      </c>
      <c r="P107" s="204" t="n">
        <f aca="false">IF(K107&gt;0,P106+K107,P106)</f>
        <v>0</v>
      </c>
      <c r="S107" s="204" t="n">
        <f aca="false">S106+I107</f>
        <v>89772</v>
      </c>
      <c r="T107" s="204" t="n">
        <v>351</v>
      </c>
      <c r="W107" s="204" t="n">
        <f aca="false">W106+J107</f>
        <v>173.5</v>
      </c>
      <c r="X107" s="204" t="n">
        <v>0</v>
      </c>
      <c r="AB107" s="204" t="n">
        <f aca="false">IF(K107&lt;0,1,0)</f>
        <v>1</v>
      </c>
      <c r="AC107" s="204" t="n">
        <f aca="false">IF(K107&lt;4.5,1,0)</f>
        <v>1</v>
      </c>
      <c r="AD107" s="204" t="n">
        <f aca="false">AD106+D107</f>
        <v>170.6</v>
      </c>
      <c r="AE107" s="204" t="n">
        <f aca="false">I107/K107</f>
        <v>-167.142857142857</v>
      </c>
    </row>
    <row r="108" customFormat="false" ht="12" hidden="false" customHeight="false" outlineLevel="0" collapsed="false">
      <c r="A108" s="204" t="n">
        <v>2010</v>
      </c>
      <c r="B108" s="204" t="n">
        <v>12</v>
      </c>
      <c r="C108" s="204" t="n">
        <v>16</v>
      </c>
      <c r="D108" s="204" t="n">
        <v>1.2</v>
      </c>
      <c r="F108" s="204" t="n">
        <f aca="false">F107+D108</f>
        <v>2.1</v>
      </c>
      <c r="I108" s="204" t="n">
        <v>176</v>
      </c>
      <c r="J108" s="204" t="n">
        <v>0</v>
      </c>
      <c r="K108" s="204" t="n">
        <v>1.4</v>
      </c>
      <c r="L108" s="204" t="n">
        <v>-3.5</v>
      </c>
      <c r="M108" s="204" t="n">
        <v>6.8</v>
      </c>
      <c r="N108" s="206" t="n">
        <v>40528</v>
      </c>
      <c r="O108" s="204" t="n">
        <f aca="false">IF(K108&gt;0,O107+K108,O107)</f>
        <v>1144.7</v>
      </c>
      <c r="P108" s="204" t="n">
        <f aca="false">IF(K108&gt;0,P107+K108,P107)</f>
        <v>1.4</v>
      </c>
      <c r="S108" s="204" t="n">
        <f aca="false">S107+I108</f>
        <v>89948</v>
      </c>
      <c r="T108" s="204" t="n">
        <f aca="false">T107+I108</f>
        <v>527</v>
      </c>
      <c r="W108" s="204" t="n">
        <f aca="false">W107+J108</f>
        <v>173.5</v>
      </c>
      <c r="X108" s="204" t="n">
        <v>0</v>
      </c>
      <c r="AB108" s="204" t="n">
        <f aca="false">IF(K108&lt;0,1,0)</f>
        <v>0</v>
      </c>
      <c r="AC108" s="204" t="n">
        <f aca="false">IF(K108&lt;4.5,1,0)</f>
        <v>1</v>
      </c>
      <c r="AD108" s="204" t="n">
        <f aca="false">AD107+D108</f>
        <v>171.8</v>
      </c>
      <c r="AE108" s="204" t="n">
        <f aca="false">I108/K108</f>
        <v>125.714285714286</v>
      </c>
    </row>
    <row r="109" customFormat="false" ht="12" hidden="false" customHeight="false" outlineLevel="0" collapsed="false">
      <c r="A109" s="204" t="n">
        <v>2010</v>
      </c>
      <c r="B109" s="204" t="n">
        <v>12</v>
      </c>
      <c r="C109" s="204" t="n">
        <v>17</v>
      </c>
      <c r="D109" s="204" t="n">
        <v>0.9</v>
      </c>
      <c r="F109" s="204" t="n">
        <f aca="false">F108+D109</f>
        <v>3</v>
      </c>
      <c r="I109" s="204" t="n">
        <v>141</v>
      </c>
      <c r="J109" s="204" t="n">
        <v>5.2</v>
      </c>
      <c r="K109" s="204" t="n">
        <v>3</v>
      </c>
      <c r="L109" s="204" t="n">
        <v>1.6</v>
      </c>
      <c r="M109" s="204" t="n">
        <v>7.2</v>
      </c>
      <c r="N109" s="206" t="n">
        <v>40529</v>
      </c>
      <c r="O109" s="204" t="n">
        <f aca="false">IF(K109&gt;0,O108+K109,O108)</f>
        <v>1147.7</v>
      </c>
      <c r="P109" s="204" t="n">
        <f aca="false">IF(K109&gt;0,P108+K109,P108)</f>
        <v>4.4</v>
      </c>
      <c r="S109" s="204" t="n">
        <f aca="false">S108+I109</f>
        <v>90089</v>
      </c>
      <c r="T109" s="204" t="n">
        <f aca="false">T108+I109</f>
        <v>668</v>
      </c>
      <c r="W109" s="204" t="n">
        <f aca="false">W108+J109</f>
        <v>178.7</v>
      </c>
      <c r="X109" s="204" t="n">
        <v>5.2</v>
      </c>
      <c r="AB109" s="204" t="n">
        <f aca="false">IF(K109&lt;0,1,0)</f>
        <v>0</v>
      </c>
      <c r="AC109" s="204" t="n">
        <f aca="false">IF(K109&lt;4.5,1,0)</f>
        <v>1</v>
      </c>
      <c r="AD109" s="204" t="n">
        <f aca="false">AD108+D109</f>
        <v>172.7</v>
      </c>
      <c r="AE109" s="204" t="n">
        <f aca="false">I109/K109</f>
        <v>47</v>
      </c>
    </row>
    <row r="110" customFormat="false" ht="12" hidden="false" customHeight="false" outlineLevel="0" collapsed="false">
      <c r="A110" s="204" t="n">
        <v>2010</v>
      </c>
      <c r="B110" s="204" t="n">
        <v>12</v>
      </c>
      <c r="C110" s="204" t="n">
        <v>18</v>
      </c>
      <c r="D110" s="204" t="n">
        <v>0</v>
      </c>
      <c r="F110" s="204" t="n">
        <f aca="false">F109+D110</f>
        <v>3</v>
      </c>
      <c r="I110" s="204" t="n">
        <v>786</v>
      </c>
      <c r="J110" s="204" t="n">
        <v>0</v>
      </c>
      <c r="K110" s="204" t="n">
        <v>0.5</v>
      </c>
      <c r="L110" s="204" t="n">
        <v>-4.6</v>
      </c>
      <c r="M110" s="204" t="n">
        <v>6.8</v>
      </c>
      <c r="N110" s="206" t="n">
        <v>40530</v>
      </c>
      <c r="O110" s="204" t="n">
        <f aca="false">IF(K110&gt;0,O109+K110,O109)</f>
        <v>1148.2</v>
      </c>
      <c r="P110" s="204" t="n">
        <f aca="false">IF(K110&gt;0,P109+K110,P109)</f>
        <v>4.9</v>
      </c>
      <c r="S110" s="204" t="n">
        <f aca="false">S109+I110</f>
        <v>90875</v>
      </c>
      <c r="T110" s="204" t="n">
        <f aca="false">T109+I110</f>
        <v>1454</v>
      </c>
      <c r="W110" s="204" t="n">
        <f aca="false">W109+J110</f>
        <v>178.7</v>
      </c>
      <c r="X110" s="204" t="n">
        <v>5.2</v>
      </c>
      <c r="AB110" s="204" t="n">
        <f aca="false">IF(K110&lt;0,1,0)</f>
        <v>0</v>
      </c>
      <c r="AC110" s="204" t="n">
        <f aca="false">IF(K110&lt;4.5,1,0)</f>
        <v>1</v>
      </c>
      <c r="AD110" s="204" t="n">
        <f aca="false">AD109+D110</f>
        <v>172.7</v>
      </c>
      <c r="AE110" s="204" t="n">
        <f aca="false">I110/K110</f>
        <v>1572</v>
      </c>
    </row>
    <row r="111" customFormat="false" ht="12" hidden="false" customHeight="false" outlineLevel="0" collapsed="false">
      <c r="A111" s="204" t="n">
        <v>2010</v>
      </c>
      <c r="B111" s="204" t="n">
        <v>12</v>
      </c>
      <c r="C111" s="204" t="n">
        <v>19</v>
      </c>
      <c r="D111" s="204" t="n">
        <v>0.2</v>
      </c>
      <c r="F111" s="204" t="n">
        <f aca="false">F110+D111</f>
        <v>3.2</v>
      </c>
      <c r="I111" s="204" t="n">
        <v>435</v>
      </c>
      <c r="J111" s="204" t="n">
        <v>0</v>
      </c>
      <c r="K111" s="204" t="n">
        <v>2.8</v>
      </c>
      <c r="L111" s="204" t="n">
        <v>-2.3</v>
      </c>
      <c r="M111" s="204" t="n">
        <v>9.2</v>
      </c>
      <c r="N111" s="206" t="n">
        <v>40531</v>
      </c>
      <c r="O111" s="204" t="n">
        <f aca="false">IF(K111&gt;0,O110+K111,O110)</f>
        <v>1151</v>
      </c>
      <c r="P111" s="204" t="n">
        <f aca="false">IF(K111&gt;0,P110+K111,P110)</f>
        <v>7.7</v>
      </c>
      <c r="S111" s="204" t="n">
        <f aca="false">S110+I111</f>
        <v>91310</v>
      </c>
      <c r="T111" s="204" t="n">
        <f aca="false">T110+I111</f>
        <v>1889</v>
      </c>
      <c r="W111" s="204" t="n">
        <f aca="false">W110+J111</f>
        <v>178.7</v>
      </c>
      <c r="X111" s="204" t="n">
        <v>5.2</v>
      </c>
      <c r="AB111" s="204" t="n">
        <f aca="false">IF(K111&lt;0,1,0)</f>
        <v>0</v>
      </c>
      <c r="AC111" s="204" t="n">
        <f aca="false">IF(K111&lt;4.5,1,0)</f>
        <v>1</v>
      </c>
      <c r="AD111" s="204" t="n">
        <f aca="false">AD110+D111</f>
        <v>172.9</v>
      </c>
      <c r="AE111" s="204" t="n">
        <f aca="false">I111/K111</f>
        <v>155.357142857143</v>
      </c>
    </row>
    <row r="112" customFormat="false" ht="12" hidden="false" customHeight="false" outlineLevel="0" collapsed="false">
      <c r="A112" s="204" t="n">
        <v>2010</v>
      </c>
      <c r="B112" s="204" t="n">
        <v>12</v>
      </c>
      <c r="C112" s="204" t="n">
        <v>20</v>
      </c>
      <c r="D112" s="204" t="n">
        <v>0.2</v>
      </c>
      <c r="F112" s="204" t="n">
        <f aca="false">F111+D112</f>
        <v>3.4</v>
      </c>
      <c r="I112" s="204" t="n">
        <v>573</v>
      </c>
      <c r="J112" s="204" t="n">
        <v>0</v>
      </c>
      <c r="K112" s="204" t="n">
        <v>6.1</v>
      </c>
      <c r="L112" s="204" t="n">
        <v>0.5</v>
      </c>
      <c r="M112" s="204" t="n">
        <v>12</v>
      </c>
      <c r="N112" s="206" t="n">
        <v>40532</v>
      </c>
      <c r="O112" s="204" t="n">
        <f aca="false">IF(K112&gt;0,O111+K112,O111)</f>
        <v>1157.1</v>
      </c>
      <c r="P112" s="204" t="n">
        <f aca="false">IF(K112&gt;0,P111+K112,P111)</f>
        <v>13.8</v>
      </c>
      <c r="S112" s="204" t="n">
        <f aca="false">S111+I112</f>
        <v>91883</v>
      </c>
      <c r="T112" s="204" t="n">
        <f aca="false">T111+I112</f>
        <v>2462</v>
      </c>
      <c r="W112" s="204" t="n">
        <f aca="false">W111+J112</f>
        <v>178.7</v>
      </c>
      <c r="X112" s="204" t="n">
        <v>5.2</v>
      </c>
      <c r="AB112" s="204" t="n">
        <f aca="false">IF(K112&lt;0,1,0)</f>
        <v>0</v>
      </c>
      <c r="AC112" s="204" t="n">
        <f aca="false">IF(K112&lt;4.5,1,0)</f>
        <v>0</v>
      </c>
      <c r="AD112" s="204" t="n">
        <f aca="false">AD111+D112</f>
        <v>173.1</v>
      </c>
      <c r="AE112" s="204" t="n">
        <f aca="false">I112/K112</f>
        <v>93.9344262295082</v>
      </c>
    </row>
    <row r="113" customFormat="false" ht="12" hidden="false" customHeight="false" outlineLevel="0" collapsed="false">
      <c r="A113" s="204" t="n">
        <v>2010</v>
      </c>
      <c r="B113" s="204" t="n">
        <v>12</v>
      </c>
      <c r="C113" s="204" t="n">
        <v>21</v>
      </c>
      <c r="D113" s="204" t="n">
        <v>0.8</v>
      </c>
      <c r="F113" s="204" t="n">
        <f aca="false">F112+D113</f>
        <v>4.2</v>
      </c>
      <c r="I113" s="204" t="n">
        <v>365</v>
      </c>
      <c r="J113" s="204" t="n">
        <v>0.2</v>
      </c>
      <c r="K113" s="204" t="n">
        <v>8.3</v>
      </c>
      <c r="L113" s="204" t="n">
        <v>5.9</v>
      </c>
      <c r="M113" s="204" t="n">
        <v>11.3</v>
      </c>
      <c r="N113" s="206" t="n">
        <v>40533</v>
      </c>
      <c r="O113" s="204" t="n">
        <f aca="false">IF(K113&gt;0,O112+K113,O112)</f>
        <v>1165.4</v>
      </c>
      <c r="P113" s="204" t="n">
        <f aca="false">IF(K113&gt;0,P112+K113,P112)</f>
        <v>22.1</v>
      </c>
      <c r="S113" s="204" t="n">
        <f aca="false">S112+I113</f>
        <v>92248</v>
      </c>
      <c r="T113" s="204" t="n">
        <f aca="false">T112+I113</f>
        <v>2827</v>
      </c>
      <c r="W113" s="204" t="n">
        <f aca="false">W112+J113</f>
        <v>178.9</v>
      </c>
      <c r="X113" s="204" t="n">
        <v>5.4</v>
      </c>
      <c r="AB113" s="204" t="n">
        <f aca="false">IF(K113&lt;0,1,0)</f>
        <v>0</v>
      </c>
      <c r="AC113" s="204" t="n">
        <f aca="false">IF(K113&lt;4.5,1,0)</f>
        <v>0</v>
      </c>
      <c r="AD113" s="204" t="n">
        <f aca="false">AD112+D113</f>
        <v>173.9</v>
      </c>
      <c r="AE113" s="204" t="n">
        <f aca="false">I113/K113</f>
        <v>43.9759036144578</v>
      </c>
    </row>
    <row r="114" customFormat="false" ht="12" hidden="false" customHeight="false" outlineLevel="0" collapsed="false">
      <c r="A114" s="204" t="n">
        <v>2010</v>
      </c>
      <c r="B114" s="204" t="n">
        <v>12</v>
      </c>
      <c r="C114" s="204" t="n">
        <v>22</v>
      </c>
      <c r="D114" s="204" t="n">
        <v>0.4</v>
      </c>
      <c r="F114" s="204" t="n">
        <f aca="false">F113+D114</f>
        <v>4.6</v>
      </c>
      <c r="I114" s="204" t="n">
        <v>349</v>
      </c>
      <c r="J114" s="204" t="n">
        <v>0.4</v>
      </c>
      <c r="K114" s="204" t="n">
        <v>9.5</v>
      </c>
      <c r="L114" s="204" t="n">
        <v>3.9</v>
      </c>
      <c r="M114" s="204" t="n">
        <v>15.1</v>
      </c>
      <c r="N114" s="206" t="n">
        <v>40534</v>
      </c>
      <c r="O114" s="204" t="n">
        <f aca="false">IF(K114&gt;0,O113+K114,O113)</f>
        <v>1174.9</v>
      </c>
      <c r="P114" s="204" t="n">
        <f aca="false">IF(K114&gt;0,P113+K114,P113)</f>
        <v>31.6</v>
      </c>
      <c r="S114" s="204" t="n">
        <f aca="false">S113+I114</f>
        <v>92597</v>
      </c>
      <c r="T114" s="204" t="n">
        <f aca="false">T113+I114</f>
        <v>3176</v>
      </c>
      <c r="W114" s="204" t="n">
        <f aca="false">W113+J114</f>
        <v>179.3</v>
      </c>
      <c r="X114" s="204" t="n">
        <v>5.8</v>
      </c>
      <c r="AB114" s="204" t="n">
        <f aca="false">IF(K114&lt;0,1,0)</f>
        <v>0</v>
      </c>
      <c r="AC114" s="204" t="n">
        <f aca="false">IF(K114&lt;4.5,1,0)</f>
        <v>0</v>
      </c>
      <c r="AD114" s="204" t="n">
        <f aca="false">AD113+D114</f>
        <v>174.3</v>
      </c>
      <c r="AE114" s="204" t="n">
        <f aca="false">I114/K114</f>
        <v>36.7368421052632</v>
      </c>
    </row>
    <row r="115" customFormat="false" ht="12" hidden="false" customHeight="false" outlineLevel="0" collapsed="false">
      <c r="A115" s="204" t="n">
        <v>2010</v>
      </c>
      <c r="B115" s="204" t="n">
        <v>12</v>
      </c>
      <c r="C115" s="204" t="n">
        <v>23</v>
      </c>
      <c r="D115" s="204" t="n">
        <v>0.4</v>
      </c>
      <c r="F115" s="204" t="n">
        <f aca="false">F114+D115</f>
        <v>5</v>
      </c>
      <c r="I115" s="204" t="n">
        <v>98</v>
      </c>
      <c r="J115" s="204" t="n">
        <v>16.9</v>
      </c>
      <c r="K115" s="204" t="n">
        <v>7.1</v>
      </c>
      <c r="L115" s="204" t="n">
        <v>5.4</v>
      </c>
      <c r="M115" s="204" t="n">
        <v>9.3</v>
      </c>
      <c r="N115" s="206" t="n">
        <v>40535</v>
      </c>
      <c r="O115" s="204" t="n">
        <f aca="false">IF(K115&gt;0,O114+K115,O114)</f>
        <v>1182</v>
      </c>
      <c r="P115" s="204" t="n">
        <f aca="false">IF(K115&gt;0,P114+K115,P114)</f>
        <v>38.7</v>
      </c>
      <c r="S115" s="204" t="n">
        <f aca="false">S114+I115</f>
        <v>92695</v>
      </c>
      <c r="T115" s="204" t="n">
        <f aca="false">T114+I115</f>
        <v>3274</v>
      </c>
      <c r="W115" s="204" t="n">
        <f aca="false">W114+J115</f>
        <v>196.2</v>
      </c>
      <c r="X115" s="204" t="n">
        <v>22.7</v>
      </c>
      <c r="AB115" s="204" t="n">
        <f aca="false">IF(K115&lt;0,1,0)</f>
        <v>0</v>
      </c>
      <c r="AC115" s="204" t="n">
        <f aca="false">IF(K115&lt;4.5,1,0)</f>
        <v>0</v>
      </c>
      <c r="AD115" s="204" t="n">
        <f aca="false">AD114+D115</f>
        <v>174.7</v>
      </c>
      <c r="AE115" s="204" t="n">
        <f aca="false">I115/K115</f>
        <v>13.8028169014085</v>
      </c>
    </row>
    <row r="116" customFormat="false" ht="12" hidden="false" customHeight="false" outlineLevel="0" collapsed="false">
      <c r="A116" s="204" t="n">
        <v>2010</v>
      </c>
      <c r="B116" s="204" t="n">
        <v>12</v>
      </c>
      <c r="C116" s="204" t="n">
        <v>24</v>
      </c>
      <c r="D116" s="204" t="n">
        <v>0.7</v>
      </c>
      <c r="F116" s="204" t="n">
        <f aca="false">F115+D116</f>
        <v>5.7</v>
      </c>
      <c r="I116" s="204" t="n">
        <v>218</v>
      </c>
      <c r="J116" s="204" t="n">
        <v>0.2</v>
      </c>
      <c r="K116" s="204" t="n">
        <v>2.1</v>
      </c>
      <c r="L116" s="204" t="n">
        <v>0.6</v>
      </c>
      <c r="M116" s="204" t="n">
        <v>4</v>
      </c>
      <c r="N116" s="206" t="n">
        <v>40536</v>
      </c>
      <c r="O116" s="204" t="n">
        <f aca="false">IF(K116&gt;0,O115+K116,O115)</f>
        <v>1184.1</v>
      </c>
      <c r="P116" s="204" t="n">
        <f aca="false">IF(K116&gt;0,P115+K116,P115)</f>
        <v>40.8</v>
      </c>
      <c r="S116" s="204" t="n">
        <f aca="false">S115+I116</f>
        <v>92913</v>
      </c>
      <c r="T116" s="204" t="n">
        <f aca="false">T115+I116</f>
        <v>3492</v>
      </c>
      <c r="W116" s="204" t="n">
        <f aca="false">W115+J116</f>
        <v>196.4</v>
      </c>
      <c r="X116" s="204" t="n">
        <v>22.9</v>
      </c>
      <c r="AB116" s="204" t="n">
        <f aca="false">IF(K116&lt;0,1,0)</f>
        <v>0</v>
      </c>
      <c r="AC116" s="204" t="n">
        <f aca="false">IF(K116&lt;4.5,1,0)</f>
        <v>1</v>
      </c>
      <c r="AD116" s="204" t="n">
        <f aca="false">AD115+D116</f>
        <v>175.4</v>
      </c>
      <c r="AE116" s="204" t="n">
        <f aca="false">I116/K116</f>
        <v>103.809523809524</v>
      </c>
    </row>
    <row r="117" customFormat="false" ht="12" hidden="false" customHeight="false" outlineLevel="0" collapsed="false">
      <c r="A117" s="204" t="n">
        <v>2010</v>
      </c>
      <c r="B117" s="204" t="n">
        <v>12</v>
      </c>
      <c r="C117" s="204" t="n">
        <v>25</v>
      </c>
      <c r="D117" s="204" t="n">
        <v>1</v>
      </c>
      <c r="F117" s="204" t="n">
        <f aca="false">F116+D117</f>
        <v>6.7</v>
      </c>
      <c r="I117" s="204" t="n">
        <v>162</v>
      </c>
      <c r="J117" s="204" t="n">
        <v>0</v>
      </c>
      <c r="K117" s="204" t="n">
        <v>-0.3</v>
      </c>
      <c r="L117" s="204" t="n">
        <v>-0.8</v>
      </c>
      <c r="M117" s="204" t="n">
        <v>0.7</v>
      </c>
      <c r="N117" s="206" t="n">
        <v>40537</v>
      </c>
      <c r="O117" s="204" t="n">
        <f aca="false">IF(K117&gt;0,O116+K117,O116)</f>
        <v>1184.1</v>
      </c>
      <c r="P117" s="204" t="n">
        <f aca="false">IF(K117&gt;0,P116+K117,P116)</f>
        <v>40.8</v>
      </c>
      <c r="S117" s="204" t="n">
        <f aca="false">S116+I117</f>
        <v>93075</v>
      </c>
      <c r="T117" s="204" t="n">
        <f aca="false">T116+I117</f>
        <v>3654</v>
      </c>
      <c r="W117" s="204" t="n">
        <f aca="false">W116+J117</f>
        <v>196.4</v>
      </c>
      <c r="X117" s="204" t="n">
        <v>22.9</v>
      </c>
      <c r="AB117" s="204" t="n">
        <f aca="false">IF(K117&lt;0,1,0)</f>
        <v>1</v>
      </c>
      <c r="AC117" s="204" t="n">
        <f aca="false">IF(K117&lt;4.5,1,0)</f>
        <v>1</v>
      </c>
      <c r="AD117" s="204" t="n">
        <f aca="false">AD116+D117</f>
        <v>176.4</v>
      </c>
      <c r="AE117" s="204" t="n">
        <f aca="false">I117/K117</f>
        <v>-540</v>
      </c>
    </row>
    <row r="118" s="209" customFormat="true" ht="13.5" hidden="false" customHeight="true" outlineLevel="0" collapsed="false">
      <c r="A118" s="209" t="n">
        <v>2010</v>
      </c>
      <c r="B118" s="209" t="n">
        <v>12</v>
      </c>
      <c r="C118" s="209" t="n">
        <v>26</v>
      </c>
      <c r="D118" s="209" t="n">
        <v>0</v>
      </c>
      <c r="F118" s="204" t="n">
        <f aca="false">F117+D118</f>
        <v>6.7</v>
      </c>
      <c r="I118" s="209" t="n">
        <v>779</v>
      </c>
      <c r="J118" s="209" t="n">
        <v>0</v>
      </c>
      <c r="K118" s="209" t="n">
        <v>-3</v>
      </c>
      <c r="L118" s="209" t="n">
        <v>-5.9</v>
      </c>
      <c r="M118" s="209" t="n">
        <v>0.9</v>
      </c>
      <c r="N118" s="210" t="n">
        <v>40538</v>
      </c>
      <c r="O118" s="209" t="n">
        <f aca="false">IF(K118&gt;0,O117+K118,O117)</f>
        <v>1184.1</v>
      </c>
      <c r="P118" s="209" t="n">
        <f aca="false">IF(K118&gt;0,P117+K118,P117)</f>
        <v>40.8</v>
      </c>
      <c r="S118" s="204" t="n">
        <f aca="false">S117+I118</f>
        <v>93854</v>
      </c>
      <c r="T118" s="204" t="n">
        <f aca="false">T117+I118</f>
        <v>4433</v>
      </c>
      <c r="U118" s="204"/>
      <c r="V118" s="204"/>
      <c r="W118" s="209" t="n">
        <f aca="false">W117+J118</f>
        <v>196.4</v>
      </c>
      <c r="X118" s="209" t="n">
        <v>22.9</v>
      </c>
      <c r="Y118" s="204"/>
      <c r="AB118" s="209" t="n">
        <f aca="false">IF(K118&lt;0,1,0)</f>
        <v>1</v>
      </c>
      <c r="AC118" s="209" t="n">
        <f aca="false">IF(K118&lt;4.5,1,0)</f>
        <v>1</v>
      </c>
      <c r="AD118" s="204" t="n">
        <f aca="false">AD117+D118</f>
        <v>176.4</v>
      </c>
      <c r="AE118" s="204" t="n">
        <f aca="false">I118/K118</f>
        <v>-259.666666666667</v>
      </c>
      <c r="AF118" s="204"/>
    </row>
    <row r="119" s="207" customFormat="true" ht="12" hidden="false" customHeight="false" outlineLevel="0" collapsed="false">
      <c r="A119" s="207" t="n">
        <v>2010</v>
      </c>
      <c r="B119" s="207" t="n">
        <v>12</v>
      </c>
      <c r="C119" s="207" t="n">
        <v>27</v>
      </c>
      <c r="D119" s="207" t="n">
        <v>0.7</v>
      </c>
      <c r="F119" s="204" t="n">
        <f aca="false">F118+D119</f>
        <v>7.4</v>
      </c>
      <c r="G119" s="207" t="n">
        <v>0</v>
      </c>
      <c r="I119" s="207" t="n">
        <v>647</v>
      </c>
      <c r="J119" s="207" t="n">
        <v>0</v>
      </c>
      <c r="K119" s="207" t="n">
        <v>0.6</v>
      </c>
      <c r="L119" s="207" t="n">
        <v>-6.7</v>
      </c>
      <c r="M119" s="207" t="n">
        <v>7.2</v>
      </c>
      <c r="N119" s="208" t="n">
        <v>40539</v>
      </c>
      <c r="O119" s="207" t="n">
        <f aca="false">IF(K119&gt;0,O118+K119,O118)</f>
        <v>1184.7</v>
      </c>
      <c r="P119" s="207" t="n">
        <f aca="false">IF(K119&gt;0,P118+K119,P118)</f>
        <v>41.4</v>
      </c>
      <c r="S119" s="207" t="n">
        <f aca="false">S118+I119</f>
        <v>94501</v>
      </c>
      <c r="T119" s="207" t="n">
        <f aca="false">T118+I119</f>
        <v>5080</v>
      </c>
      <c r="W119" s="207" t="n">
        <f aca="false">W118+J119</f>
        <v>196.4</v>
      </c>
      <c r="X119" s="207" t="n">
        <v>22.9</v>
      </c>
      <c r="Y119" s="207" t="n">
        <v>0</v>
      </c>
      <c r="AB119" s="207" t="n">
        <f aca="false">IF(K119&lt;0,1,0)</f>
        <v>0</v>
      </c>
      <c r="AC119" s="207" t="n">
        <f aca="false">IF(K119&lt;4.5,1,0)</f>
        <v>1</v>
      </c>
      <c r="AD119" s="207" t="n">
        <f aca="false">AD118+D119</f>
        <v>177.1</v>
      </c>
      <c r="AE119" s="204" t="n">
        <f aca="false">I119/K119</f>
        <v>1078.33333333333</v>
      </c>
      <c r="AF119" s="204"/>
    </row>
    <row r="120" customFormat="false" ht="12" hidden="false" customHeight="false" outlineLevel="0" collapsed="false">
      <c r="A120" s="204" t="n">
        <v>2010</v>
      </c>
      <c r="B120" s="204" t="n">
        <v>12</v>
      </c>
      <c r="C120" s="204" t="n">
        <v>28</v>
      </c>
      <c r="D120" s="204" t="n">
        <v>0.6</v>
      </c>
      <c r="G120" s="204" t="n">
        <f aca="false">G119+D120</f>
        <v>0.6</v>
      </c>
      <c r="I120" s="204" t="n">
        <v>536</v>
      </c>
      <c r="J120" s="204" t="n">
        <v>0</v>
      </c>
      <c r="K120" s="204" t="n">
        <v>6</v>
      </c>
      <c r="L120" s="204" t="n">
        <v>2</v>
      </c>
      <c r="M120" s="204" t="n">
        <v>10.5</v>
      </c>
      <c r="N120" s="206" t="n">
        <v>40540</v>
      </c>
      <c r="O120" s="204" t="n">
        <f aca="false">IF(K120&gt;0,O119+K120,O119)</f>
        <v>1190.7</v>
      </c>
      <c r="Q120" s="204" t="n">
        <v>6</v>
      </c>
      <c r="S120" s="204" t="n">
        <f aca="false">S119+I120</f>
        <v>95037</v>
      </c>
      <c r="U120" s="204" t="n">
        <v>536</v>
      </c>
      <c r="W120" s="204" t="n">
        <f aca="false">W119+J120</f>
        <v>196.4</v>
      </c>
      <c r="Y120" s="204" t="n">
        <v>0</v>
      </c>
      <c r="AB120" s="204" t="n">
        <f aca="false">IF(K120&lt;0,1,0)</f>
        <v>0</v>
      </c>
      <c r="AC120" s="204" t="n">
        <f aca="false">IF(K120&lt;4.5,1,0)</f>
        <v>0</v>
      </c>
      <c r="AD120" s="204" t="n">
        <f aca="false">AD119+D120</f>
        <v>177.7</v>
      </c>
      <c r="AE120" s="204" t="n">
        <f aca="false">I120/K120</f>
        <v>89.3333333333333</v>
      </c>
    </row>
    <row r="121" customFormat="false" ht="12" hidden="false" customHeight="false" outlineLevel="0" collapsed="false">
      <c r="A121" s="204" t="n">
        <v>2010</v>
      </c>
      <c r="B121" s="204" t="n">
        <v>12</v>
      </c>
      <c r="C121" s="204" t="n">
        <v>29</v>
      </c>
      <c r="D121" s="204" t="n">
        <v>0.9</v>
      </c>
      <c r="G121" s="204" t="n">
        <f aca="false">G120+D121</f>
        <v>1.5</v>
      </c>
      <c r="I121" s="204" t="n">
        <v>401</v>
      </c>
      <c r="J121" s="204" t="n">
        <v>0</v>
      </c>
      <c r="K121" s="204" t="n">
        <v>8.2</v>
      </c>
      <c r="L121" s="204" t="n">
        <v>4.8</v>
      </c>
      <c r="M121" s="204" t="n">
        <v>11</v>
      </c>
      <c r="N121" s="206" t="n">
        <v>40541</v>
      </c>
      <c r="O121" s="204" t="n">
        <f aca="false">IF(K121&gt;0,O120+K121,O120)</f>
        <v>1198.9</v>
      </c>
      <c r="Q121" s="204" t="n">
        <f aca="false">IF(K121&gt;0,Q120+K121,Q120)</f>
        <v>14.2</v>
      </c>
      <c r="S121" s="204" t="n">
        <f aca="false">S120+I121</f>
        <v>95438</v>
      </c>
      <c r="U121" s="204" t="n">
        <f aca="false">U120+I121</f>
        <v>937</v>
      </c>
      <c r="W121" s="204" t="n">
        <f aca="false">W120+J121</f>
        <v>196.4</v>
      </c>
      <c r="Y121" s="204" t="n">
        <v>0</v>
      </c>
      <c r="AB121" s="204" t="n">
        <f aca="false">IF(K121&lt;0,1,0)</f>
        <v>0</v>
      </c>
      <c r="AC121" s="204" t="n">
        <f aca="false">IF(K121&lt;4.5,1,0)</f>
        <v>0</v>
      </c>
      <c r="AD121" s="204" t="n">
        <f aca="false">AD120+D121</f>
        <v>178.6</v>
      </c>
      <c r="AE121" s="204" t="n">
        <f aca="false">I121/K121</f>
        <v>48.9024390243903</v>
      </c>
    </row>
    <row r="122" customFormat="false" ht="12" hidden="false" customHeight="false" outlineLevel="0" collapsed="false">
      <c r="A122" s="204" t="n">
        <v>2010</v>
      </c>
      <c r="B122" s="204" t="n">
        <v>12</v>
      </c>
      <c r="C122" s="204" t="n">
        <v>30</v>
      </c>
      <c r="D122" s="204" t="n">
        <v>1.3</v>
      </c>
      <c r="G122" s="204" t="n">
        <f aca="false">G121+D122</f>
        <v>2.8</v>
      </c>
      <c r="I122" s="204" t="n">
        <v>394</v>
      </c>
      <c r="J122" s="204" t="n">
        <v>0</v>
      </c>
      <c r="K122" s="204" t="n">
        <v>10.4</v>
      </c>
      <c r="L122" s="204" t="n">
        <v>6.4</v>
      </c>
      <c r="M122" s="204" t="n">
        <v>12.7</v>
      </c>
      <c r="N122" s="206" t="n">
        <v>40542</v>
      </c>
      <c r="O122" s="204" t="n">
        <f aca="false">IF(K122&gt;0,O121+K122,O121)</f>
        <v>1209.3</v>
      </c>
      <c r="Q122" s="204" t="n">
        <f aca="false">IF(K122&gt;0,Q121+K122,Q121)</f>
        <v>24.6</v>
      </c>
      <c r="S122" s="204" t="n">
        <f aca="false">S121+I122</f>
        <v>95832</v>
      </c>
      <c r="U122" s="204" t="n">
        <f aca="false">U121+I122</f>
        <v>1331</v>
      </c>
      <c r="W122" s="204" t="n">
        <f aca="false">W121+J122</f>
        <v>196.4</v>
      </c>
      <c r="Y122" s="204" t="n">
        <v>0</v>
      </c>
      <c r="AB122" s="204" t="n">
        <f aca="false">IF(K122&lt;0,1,0)</f>
        <v>0</v>
      </c>
      <c r="AC122" s="204" t="n">
        <f aca="false">IF(K122&lt;4.5,1,0)</f>
        <v>0</v>
      </c>
      <c r="AD122" s="204" t="n">
        <f aca="false">AD121+D122</f>
        <v>179.9</v>
      </c>
      <c r="AE122" s="204" t="n">
        <f aca="false">I122/K122</f>
        <v>37.8846153846154</v>
      </c>
    </row>
    <row r="123" customFormat="false" ht="12" hidden="false" customHeight="false" outlineLevel="0" collapsed="false">
      <c r="A123" s="204" t="n">
        <v>2010</v>
      </c>
      <c r="B123" s="204" t="n">
        <v>12</v>
      </c>
      <c r="C123" s="204" t="n">
        <v>31</v>
      </c>
      <c r="D123" s="204" t="n">
        <v>0.8</v>
      </c>
      <c r="G123" s="204" t="n">
        <f aca="false">G122+D123</f>
        <v>3.6</v>
      </c>
      <c r="I123" s="204" t="n">
        <v>770</v>
      </c>
      <c r="J123" s="204" t="n">
        <v>0</v>
      </c>
      <c r="K123" s="204" t="n">
        <v>10.4</v>
      </c>
      <c r="L123" s="204" t="n">
        <v>9.5</v>
      </c>
      <c r="M123" s="204" t="n">
        <v>14.7</v>
      </c>
      <c r="N123" s="206" t="n">
        <v>40543</v>
      </c>
      <c r="O123" s="204" t="n">
        <f aca="false">IF(K123&gt;0,O122+K123,O122)</f>
        <v>1219.7</v>
      </c>
      <c r="Q123" s="204" t="n">
        <f aca="false">IF(K123&gt;0,Q122+K123,Q122)</f>
        <v>35</v>
      </c>
      <c r="S123" s="204" t="n">
        <f aca="false">S122+I123</f>
        <v>96602</v>
      </c>
      <c r="U123" s="204" t="n">
        <f aca="false">U122+I123</f>
        <v>2101</v>
      </c>
      <c r="W123" s="204" t="n">
        <f aca="false">W122+J123</f>
        <v>196.4</v>
      </c>
      <c r="Y123" s="204" t="n">
        <v>0</v>
      </c>
      <c r="AB123" s="204" t="n">
        <f aca="false">IF(K123&lt;0,1,0)</f>
        <v>0</v>
      </c>
      <c r="AC123" s="204" t="n">
        <f aca="false">IF(K123&lt;4.5,1,0)</f>
        <v>0</v>
      </c>
      <c r="AD123" s="204" t="n">
        <f aca="false">AD122+D123</f>
        <v>180.7</v>
      </c>
      <c r="AE123" s="204" t="n">
        <f aca="false">I123/K123</f>
        <v>74.0384615384615</v>
      </c>
    </row>
    <row r="124" customFormat="false" ht="12" hidden="false" customHeight="false" outlineLevel="0" collapsed="false">
      <c r="A124" s="204" t="n">
        <v>2011</v>
      </c>
      <c r="B124" s="204" t="n">
        <v>1</v>
      </c>
      <c r="C124" s="204" t="n">
        <v>1</v>
      </c>
      <c r="D124" s="204" t="n">
        <v>0.1</v>
      </c>
      <c r="G124" s="204" t="n">
        <f aca="false">G123+D124</f>
        <v>3.7</v>
      </c>
      <c r="I124" s="204" t="n">
        <v>176</v>
      </c>
      <c r="J124" s="204" t="n">
        <v>0</v>
      </c>
      <c r="K124" s="204" t="n">
        <v>6.3</v>
      </c>
      <c r="L124" s="204" t="n">
        <v>3.1</v>
      </c>
      <c r="M124" s="204" t="n">
        <v>9.3</v>
      </c>
      <c r="N124" s="206" t="n">
        <v>40544</v>
      </c>
      <c r="O124" s="204" t="n">
        <f aca="false">IF(K124&gt;0,O123+K124,O123)</f>
        <v>1226</v>
      </c>
      <c r="Q124" s="204" t="n">
        <f aca="false">IF(K124&gt;0,Q123+K124,Q123)</f>
        <v>41.3</v>
      </c>
      <c r="S124" s="204" t="n">
        <f aca="false">S123+I124</f>
        <v>96778</v>
      </c>
      <c r="U124" s="204" t="n">
        <f aca="false">U123+I124</f>
        <v>2277</v>
      </c>
      <c r="W124" s="204" t="n">
        <f aca="false">W123+J124</f>
        <v>196.4</v>
      </c>
      <c r="Y124" s="204" t="n">
        <v>0</v>
      </c>
      <c r="AB124" s="204" t="n">
        <f aca="false">IF(K124&lt;0,1,0)</f>
        <v>0</v>
      </c>
      <c r="AC124" s="204" t="n">
        <f aca="false">IF(K124&lt;4.5,1,0)</f>
        <v>0</v>
      </c>
      <c r="AD124" s="204" t="n">
        <f aca="false">AD123+D124</f>
        <v>180.8</v>
      </c>
      <c r="AE124" s="204" t="n">
        <f aca="false">I124/K124</f>
        <v>27.9365079365079</v>
      </c>
    </row>
    <row r="125" customFormat="false" ht="12" hidden="false" customHeight="false" outlineLevel="0" collapsed="false">
      <c r="A125" s="204" t="n">
        <v>2011</v>
      </c>
      <c r="B125" s="204" t="n">
        <v>1</v>
      </c>
      <c r="C125" s="204" t="n">
        <v>2</v>
      </c>
      <c r="D125" s="204" t="n">
        <v>0.1</v>
      </c>
      <c r="G125" s="204" t="n">
        <f aca="false">G124+D125</f>
        <v>3.8</v>
      </c>
      <c r="I125" s="204" t="n">
        <v>141</v>
      </c>
      <c r="J125" s="204" t="n">
        <v>0</v>
      </c>
      <c r="K125" s="204" t="n">
        <v>2.6</v>
      </c>
      <c r="L125" s="204" t="n">
        <v>1.3</v>
      </c>
      <c r="M125" s="204" t="n">
        <v>3.1</v>
      </c>
      <c r="N125" s="206" t="n">
        <v>40545</v>
      </c>
      <c r="O125" s="204" t="n">
        <f aca="false">IF(K125&gt;0,O124+K125,O124)</f>
        <v>1228.6</v>
      </c>
      <c r="Q125" s="204" t="n">
        <f aca="false">IF(K125&gt;0,Q124+K125,Q124)</f>
        <v>43.9</v>
      </c>
      <c r="S125" s="204" t="n">
        <f aca="false">S124+I125</f>
        <v>96919</v>
      </c>
      <c r="U125" s="204" t="n">
        <f aca="false">U124+I125</f>
        <v>2418</v>
      </c>
      <c r="W125" s="204" t="n">
        <f aca="false">W124+J125</f>
        <v>196.4</v>
      </c>
      <c r="Y125" s="204" t="n">
        <v>0</v>
      </c>
      <c r="AB125" s="204" t="n">
        <f aca="false">IF(K125&lt;0,1,0)</f>
        <v>0</v>
      </c>
      <c r="AC125" s="204" t="n">
        <f aca="false">IF(K125&lt;4.5,1,0)</f>
        <v>1</v>
      </c>
      <c r="AD125" s="204" t="n">
        <f aca="false">AD124+D125</f>
        <v>180.9</v>
      </c>
      <c r="AE125" s="204" t="n">
        <f aca="false">I125/K125</f>
        <v>54.2307692307692</v>
      </c>
    </row>
    <row r="126" customFormat="false" ht="12" hidden="false" customHeight="false" outlineLevel="0" collapsed="false">
      <c r="A126" s="204" t="n">
        <v>2011</v>
      </c>
      <c r="B126" s="204" t="n">
        <v>1</v>
      </c>
      <c r="C126" s="204" t="n">
        <v>3</v>
      </c>
      <c r="D126" s="204" t="n">
        <v>0.7</v>
      </c>
      <c r="G126" s="204" t="n">
        <f aca="false">G125+D126</f>
        <v>4.5</v>
      </c>
      <c r="I126" s="204" t="n">
        <v>218</v>
      </c>
      <c r="J126" s="204" t="n">
        <v>0</v>
      </c>
      <c r="K126" s="204" t="n">
        <v>1.8</v>
      </c>
      <c r="L126" s="204" t="n">
        <v>1.2</v>
      </c>
      <c r="M126" s="204" t="n">
        <v>2.7</v>
      </c>
      <c r="N126" s="206" t="n">
        <v>40546</v>
      </c>
      <c r="O126" s="204" t="n">
        <f aca="false">IF(K126&gt;0,O125+K126,O125)</f>
        <v>1230.4</v>
      </c>
      <c r="Q126" s="204" t="n">
        <f aca="false">IF(K126&gt;0,Q125+K126,Q125)</f>
        <v>45.7</v>
      </c>
      <c r="S126" s="204" t="n">
        <f aca="false">S125+I126</f>
        <v>97137</v>
      </c>
      <c r="U126" s="204" t="n">
        <f aca="false">U125+I126</f>
        <v>2636</v>
      </c>
      <c r="W126" s="204" t="n">
        <f aca="false">W125+J126</f>
        <v>196.4</v>
      </c>
      <c r="Y126" s="204" t="n">
        <v>0</v>
      </c>
      <c r="AB126" s="204" t="n">
        <f aca="false">IF(K126&lt;0,1,0)</f>
        <v>0</v>
      </c>
      <c r="AC126" s="204" t="n">
        <f aca="false">IF(K126&lt;4.5,1,0)</f>
        <v>1</v>
      </c>
      <c r="AD126" s="204" t="n">
        <f aca="false">AD125+D126</f>
        <v>181.6</v>
      </c>
      <c r="AE126" s="204" t="n">
        <f aca="false">I126/K126</f>
        <v>121.111111111111</v>
      </c>
    </row>
    <row r="127" customFormat="false" ht="12" hidden="false" customHeight="false" outlineLevel="0" collapsed="false">
      <c r="A127" s="204" t="n">
        <v>2011</v>
      </c>
      <c r="B127" s="204" t="n">
        <v>1</v>
      </c>
      <c r="C127" s="204" t="n">
        <v>4</v>
      </c>
      <c r="D127" s="204" t="n">
        <v>0.3</v>
      </c>
      <c r="G127" s="204" t="n">
        <f aca="false">G126+D127</f>
        <v>4.8</v>
      </c>
      <c r="I127" s="204" t="n">
        <v>691</v>
      </c>
      <c r="J127" s="204" t="n">
        <v>0.8</v>
      </c>
      <c r="K127" s="204" t="n">
        <v>2.6</v>
      </c>
      <c r="L127" s="204" t="n">
        <v>0.1</v>
      </c>
      <c r="M127" s="204" t="n">
        <v>5.8</v>
      </c>
      <c r="N127" s="206" t="n">
        <v>40547</v>
      </c>
      <c r="O127" s="204" t="n">
        <f aca="false">IF(K127&gt;0,O126+K127,O126)</f>
        <v>1233</v>
      </c>
      <c r="Q127" s="204" t="n">
        <f aca="false">IF(K127&gt;0,Q126+K127,Q126)</f>
        <v>48.3</v>
      </c>
      <c r="S127" s="204" t="n">
        <f aca="false">S126+I127</f>
        <v>97828</v>
      </c>
      <c r="U127" s="204" t="n">
        <f aca="false">U126+I127</f>
        <v>3327</v>
      </c>
      <c r="W127" s="204" t="n">
        <f aca="false">W126+J127</f>
        <v>197.2</v>
      </c>
      <c r="Y127" s="204" t="n">
        <v>0.8</v>
      </c>
      <c r="AB127" s="204" t="n">
        <f aca="false">IF(K127&lt;0,1,0)</f>
        <v>0</v>
      </c>
      <c r="AC127" s="204" t="n">
        <f aca="false">IF(K127&lt;4.5,1,0)</f>
        <v>1</v>
      </c>
      <c r="AD127" s="204" t="n">
        <f aca="false">AD126+D127</f>
        <v>181.9</v>
      </c>
      <c r="AE127" s="204" t="n">
        <f aca="false">I127/K127</f>
        <v>265.769230769231</v>
      </c>
    </row>
    <row r="128" customFormat="false" ht="12" hidden="false" customHeight="false" outlineLevel="0" collapsed="false">
      <c r="A128" s="204" t="n">
        <v>2011</v>
      </c>
      <c r="B128" s="204" t="n">
        <v>1</v>
      </c>
      <c r="C128" s="204" t="n">
        <v>5</v>
      </c>
      <c r="D128" s="204" t="n">
        <v>0.4</v>
      </c>
      <c r="G128" s="204" t="n">
        <f aca="false">G127+D128</f>
        <v>5.2</v>
      </c>
      <c r="I128" s="204" t="n">
        <v>639</v>
      </c>
      <c r="J128" s="204" t="n">
        <v>0.2</v>
      </c>
      <c r="K128" s="204" t="n">
        <v>5.9</v>
      </c>
      <c r="L128" s="204" t="n">
        <v>2</v>
      </c>
      <c r="M128" s="204" t="n">
        <v>9.3</v>
      </c>
      <c r="N128" s="206" t="n">
        <v>40548</v>
      </c>
      <c r="O128" s="204" t="n">
        <f aca="false">IF(K128&gt;0,O127+K128,O127)</f>
        <v>1238.9</v>
      </c>
      <c r="Q128" s="204" t="n">
        <f aca="false">IF(K128&gt;0,Q127+K128,Q127)</f>
        <v>54.2</v>
      </c>
      <c r="S128" s="204" t="n">
        <f aca="false">S127+I128</f>
        <v>98467</v>
      </c>
      <c r="U128" s="204" t="n">
        <f aca="false">U127+I128</f>
        <v>3966</v>
      </c>
      <c r="W128" s="204" t="n">
        <f aca="false">W127+J128</f>
        <v>197.4</v>
      </c>
      <c r="Y128" s="204" t="n">
        <v>1</v>
      </c>
      <c r="AB128" s="204" t="n">
        <f aca="false">IF(K128&lt;0,1,0)</f>
        <v>0</v>
      </c>
      <c r="AC128" s="204" t="n">
        <f aca="false">IF(K128&lt;4.5,1,0)</f>
        <v>0</v>
      </c>
      <c r="AD128" s="204" t="n">
        <f aca="false">AD127+D128</f>
        <v>182.3</v>
      </c>
      <c r="AE128" s="204" t="n">
        <f aca="false">I128/K128</f>
        <v>108.305084745763</v>
      </c>
    </row>
    <row r="129" customFormat="false" ht="12" hidden="false" customHeight="false" outlineLevel="0" collapsed="false">
      <c r="A129" s="204" t="n">
        <v>2011</v>
      </c>
      <c r="B129" s="204" t="n">
        <v>1</v>
      </c>
      <c r="C129" s="204" t="n">
        <v>6</v>
      </c>
      <c r="D129" s="204" t="n">
        <v>0.7</v>
      </c>
      <c r="G129" s="204" t="n">
        <f aca="false">G128+D129</f>
        <v>5.9</v>
      </c>
      <c r="I129" s="204" t="n">
        <v>306</v>
      </c>
      <c r="J129" s="204" t="n">
        <v>0</v>
      </c>
      <c r="K129" s="204" t="n">
        <v>10.3</v>
      </c>
      <c r="L129" s="204" t="n">
        <v>6.7</v>
      </c>
      <c r="M129" s="204" t="n">
        <v>12.1</v>
      </c>
      <c r="N129" s="206" t="n">
        <v>40549</v>
      </c>
      <c r="O129" s="204" t="n">
        <f aca="false">IF(K129&gt;0,O128+K129,O128)</f>
        <v>1249.2</v>
      </c>
      <c r="Q129" s="204" t="n">
        <f aca="false">IF(K129&gt;0,Q128+K129,Q128)</f>
        <v>64.5</v>
      </c>
      <c r="S129" s="204" t="n">
        <f aca="false">S128+I129</f>
        <v>98773</v>
      </c>
      <c r="U129" s="204" t="n">
        <f aca="false">U128+I129</f>
        <v>4272</v>
      </c>
      <c r="W129" s="204" t="n">
        <f aca="false">W128+J129</f>
        <v>197.4</v>
      </c>
      <c r="Y129" s="204" t="n">
        <v>1</v>
      </c>
      <c r="AB129" s="204" t="n">
        <f aca="false">IF(K129&lt;0,1,0)</f>
        <v>0</v>
      </c>
      <c r="AC129" s="204" t="n">
        <f aca="false">IF(K129&lt;4.5,1,0)</f>
        <v>0</v>
      </c>
      <c r="AD129" s="204" t="n">
        <f aca="false">AD128+D129</f>
        <v>183</v>
      </c>
      <c r="AE129" s="204" t="n">
        <f aca="false">I129/K129</f>
        <v>29.7087378640777</v>
      </c>
    </row>
    <row r="130" customFormat="false" ht="12" hidden="false" customHeight="false" outlineLevel="0" collapsed="false">
      <c r="A130" s="204" t="n">
        <v>2011</v>
      </c>
      <c r="B130" s="204" t="n">
        <v>1</v>
      </c>
      <c r="C130" s="204" t="n">
        <v>7</v>
      </c>
      <c r="D130" s="204" t="n">
        <v>0.9</v>
      </c>
      <c r="G130" s="204" t="n">
        <f aca="false">G129+D130</f>
        <v>6.8</v>
      </c>
      <c r="I130" s="204" t="n">
        <v>330</v>
      </c>
      <c r="J130" s="204" t="n">
        <v>0</v>
      </c>
      <c r="K130" s="204" t="n">
        <v>11.3</v>
      </c>
      <c r="L130" s="204" t="n">
        <v>9.8</v>
      </c>
      <c r="M130" s="204" t="n">
        <v>13.7</v>
      </c>
      <c r="N130" s="206" t="n">
        <v>40550</v>
      </c>
      <c r="O130" s="204" t="n">
        <f aca="false">IF(K130&gt;0,O129+K130,O129)</f>
        <v>1260.5</v>
      </c>
      <c r="Q130" s="204" t="n">
        <f aca="false">IF(K130&gt;0,Q129+K130,Q129)</f>
        <v>75.8</v>
      </c>
      <c r="S130" s="204" t="n">
        <f aca="false">S129+I130</f>
        <v>99103</v>
      </c>
      <c r="U130" s="204" t="n">
        <f aca="false">U129+I130</f>
        <v>4602</v>
      </c>
      <c r="W130" s="204" t="n">
        <f aca="false">W129+J130</f>
        <v>197.4</v>
      </c>
      <c r="Y130" s="204" t="n">
        <v>1</v>
      </c>
      <c r="AB130" s="204" t="n">
        <f aca="false">IF(K130&lt;0,1,0)</f>
        <v>0</v>
      </c>
      <c r="AC130" s="204" t="n">
        <f aca="false">IF(K130&lt;4.5,1,0)</f>
        <v>0</v>
      </c>
      <c r="AD130" s="204" t="n">
        <f aca="false">AD129+D130</f>
        <v>183.9</v>
      </c>
      <c r="AE130" s="204" t="n">
        <f aca="false">I130/K130</f>
        <v>29.2035398230088</v>
      </c>
    </row>
    <row r="131" customFormat="false" ht="12" hidden="false" customHeight="false" outlineLevel="0" collapsed="false">
      <c r="A131" s="204" t="n">
        <v>2011</v>
      </c>
      <c r="B131" s="204" t="n">
        <v>1</v>
      </c>
      <c r="C131" s="204" t="n">
        <v>8</v>
      </c>
      <c r="D131" s="204" t="n">
        <v>0.8</v>
      </c>
      <c r="G131" s="204" t="n">
        <f aca="false">G130+D131</f>
        <v>7.6</v>
      </c>
      <c r="I131" s="204" t="n">
        <v>347</v>
      </c>
      <c r="J131" s="204" t="n">
        <v>0</v>
      </c>
      <c r="K131" s="204" t="n">
        <v>11.3</v>
      </c>
      <c r="L131" s="204" t="n">
        <v>7.9</v>
      </c>
      <c r="M131" s="204" t="n">
        <v>14</v>
      </c>
      <c r="N131" s="206" t="n">
        <v>40551</v>
      </c>
      <c r="O131" s="204" t="n">
        <f aca="false">IF(K131&gt;0,O130+K131,O130)</f>
        <v>1271.8</v>
      </c>
      <c r="Q131" s="204" t="n">
        <f aca="false">IF(K131&gt;0,Q130+K131,Q130)</f>
        <v>87.1</v>
      </c>
      <c r="S131" s="204" t="n">
        <f aca="false">S130+I131</f>
        <v>99450</v>
      </c>
      <c r="U131" s="204" t="n">
        <f aca="false">U130+I131</f>
        <v>4949</v>
      </c>
      <c r="W131" s="204" t="n">
        <f aca="false">W130+J131</f>
        <v>197.4</v>
      </c>
      <c r="Y131" s="204" t="n">
        <v>1</v>
      </c>
      <c r="AB131" s="204" t="n">
        <f aca="false">IF(K131&lt;0,1,0)</f>
        <v>0</v>
      </c>
      <c r="AC131" s="204" t="n">
        <f aca="false">IF(K131&lt;4.5,1,0)</f>
        <v>0</v>
      </c>
      <c r="AD131" s="204" t="n">
        <f aca="false">AD130+D131</f>
        <v>184.7</v>
      </c>
      <c r="AE131" s="204" t="n">
        <f aca="false">I131/K131</f>
        <v>30.7079646017699</v>
      </c>
    </row>
    <row r="132" customFormat="false" ht="12" hidden="false" customHeight="false" outlineLevel="0" collapsed="false">
      <c r="A132" s="204" t="n">
        <v>2011</v>
      </c>
      <c r="B132" s="204" t="n">
        <v>1</v>
      </c>
      <c r="C132" s="204" t="n">
        <v>9</v>
      </c>
      <c r="D132" s="204" t="n">
        <v>0.4</v>
      </c>
      <c r="G132" s="204" t="n">
        <f aca="false">G131+D132</f>
        <v>8</v>
      </c>
      <c r="I132" s="204" t="n">
        <v>105</v>
      </c>
      <c r="J132" s="204" t="n">
        <v>6.3</v>
      </c>
      <c r="K132" s="204" t="n">
        <v>7.1</v>
      </c>
      <c r="L132" s="204" t="n">
        <v>6.1</v>
      </c>
      <c r="M132" s="204" t="n">
        <v>9.6</v>
      </c>
      <c r="N132" s="206" t="n">
        <v>40552</v>
      </c>
      <c r="O132" s="204" t="n">
        <f aca="false">IF(K132&gt;0,O131+K132,O131)</f>
        <v>1278.9</v>
      </c>
      <c r="Q132" s="204" t="n">
        <f aca="false">IF(K132&gt;0,Q131+K132,Q131)</f>
        <v>94.2</v>
      </c>
      <c r="S132" s="204" t="n">
        <f aca="false">S131+I132</f>
        <v>99555</v>
      </c>
      <c r="U132" s="204" t="n">
        <f aca="false">U131+I132</f>
        <v>5054</v>
      </c>
      <c r="W132" s="204" t="n">
        <f aca="false">W131+J132</f>
        <v>203.7</v>
      </c>
      <c r="Y132" s="204" t="n">
        <v>7.3</v>
      </c>
      <c r="AB132" s="204" t="n">
        <f aca="false">IF(K132&lt;0,1,0)</f>
        <v>0</v>
      </c>
      <c r="AC132" s="204" t="n">
        <f aca="false">IF(K132&lt;4.5,1,0)</f>
        <v>0</v>
      </c>
      <c r="AD132" s="204" t="n">
        <f aca="false">AD131+D132</f>
        <v>185.1</v>
      </c>
      <c r="AE132" s="204" t="n">
        <f aca="false">I132/K132</f>
        <v>14.7887323943662</v>
      </c>
    </row>
    <row r="133" customFormat="false" ht="12" hidden="false" customHeight="false" outlineLevel="0" collapsed="false">
      <c r="A133" s="204" t="n">
        <v>2011</v>
      </c>
      <c r="B133" s="204" t="n">
        <v>1</v>
      </c>
      <c r="C133" s="204" t="n">
        <v>10</v>
      </c>
      <c r="D133" s="204" t="n">
        <v>0</v>
      </c>
      <c r="G133" s="204" t="n">
        <f aca="false">G132+D133</f>
        <v>8</v>
      </c>
      <c r="I133" s="204" t="n">
        <v>826</v>
      </c>
      <c r="J133" s="204" t="n">
        <v>3.2</v>
      </c>
      <c r="K133" s="204" t="n">
        <v>3.2</v>
      </c>
      <c r="L133" s="204" t="n">
        <v>-1.6</v>
      </c>
      <c r="M133" s="204" t="n">
        <v>8.7</v>
      </c>
      <c r="N133" s="206" t="n">
        <v>40553</v>
      </c>
      <c r="O133" s="204" t="n">
        <f aca="false">IF(K133&gt;0,O132+K133,O132)</f>
        <v>1282.1</v>
      </c>
      <c r="Q133" s="204" t="n">
        <f aca="false">IF(K133&gt;0,Q132+K133,Q132)</f>
        <v>97.4</v>
      </c>
      <c r="S133" s="204" t="n">
        <f aca="false">S132+I133</f>
        <v>100381</v>
      </c>
      <c r="U133" s="204" t="n">
        <f aca="false">U132+I133</f>
        <v>5880</v>
      </c>
      <c r="W133" s="204" t="n">
        <f aca="false">W132+J133</f>
        <v>206.9</v>
      </c>
      <c r="Y133" s="204" t="n">
        <v>10.5</v>
      </c>
      <c r="AB133" s="204" t="n">
        <f aca="false">IF(K133&lt;0,1,0)</f>
        <v>0</v>
      </c>
      <c r="AC133" s="204" t="n">
        <f aca="false">IF(K133&lt;4.5,1,0)</f>
        <v>1</v>
      </c>
      <c r="AD133" s="204" t="n">
        <f aca="false">AD132+D133</f>
        <v>185.1</v>
      </c>
      <c r="AE133" s="204" t="n">
        <f aca="false">I133/K133</f>
        <v>258.125</v>
      </c>
    </row>
    <row r="134" customFormat="false" ht="12" hidden="false" customHeight="false" outlineLevel="0" collapsed="false">
      <c r="A134" s="204" t="n">
        <v>2011</v>
      </c>
      <c r="B134" s="204" t="n">
        <v>1</v>
      </c>
      <c r="C134" s="204" t="n">
        <v>11</v>
      </c>
      <c r="D134" s="204" t="n">
        <v>0.5</v>
      </c>
      <c r="G134" s="204" t="n">
        <f aca="false">G133+D134</f>
        <v>8.5</v>
      </c>
      <c r="I134" s="204" t="n">
        <v>311</v>
      </c>
      <c r="J134" s="204" t="n">
        <v>8</v>
      </c>
      <c r="K134" s="204" t="n">
        <v>8.2</v>
      </c>
      <c r="L134" s="204" t="n">
        <v>2.3</v>
      </c>
      <c r="M134" s="204" t="n">
        <v>12.9</v>
      </c>
      <c r="N134" s="206" t="n">
        <v>40554</v>
      </c>
      <c r="O134" s="204" t="n">
        <f aca="false">IF(K134&gt;0,O133+K134,O133)</f>
        <v>1290.3</v>
      </c>
      <c r="Q134" s="204" t="n">
        <f aca="false">IF(K134&gt;0,Q133+K134,Q133)</f>
        <v>105.6</v>
      </c>
      <c r="S134" s="204" t="n">
        <f aca="false">S133+I134</f>
        <v>100692</v>
      </c>
      <c r="U134" s="204" t="n">
        <f aca="false">U133+I134</f>
        <v>6191</v>
      </c>
      <c r="W134" s="204" t="n">
        <f aca="false">W133+J134</f>
        <v>214.9</v>
      </c>
      <c r="Y134" s="204" t="n">
        <v>18.5</v>
      </c>
      <c r="AB134" s="204" t="n">
        <f aca="false">IF(K134&lt;0,1,0)</f>
        <v>0</v>
      </c>
      <c r="AC134" s="204" t="n">
        <f aca="false">IF(K134&lt;4.5,1,0)</f>
        <v>0</v>
      </c>
      <c r="AD134" s="204" t="n">
        <f aca="false">AD133+D134</f>
        <v>185.6</v>
      </c>
      <c r="AE134" s="204" t="n">
        <f aca="false">I134/K134</f>
        <v>37.9268292682927</v>
      </c>
    </row>
    <row r="135" customFormat="false" ht="12" hidden="false" customHeight="false" outlineLevel="0" collapsed="false">
      <c r="A135" s="204" t="n">
        <v>2011</v>
      </c>
      <c r="B135" s="204" t="n">
        <v>1</v>
      </c>
      <c r="C135" s="204" t="n">
        <v>12</v>
      </c>
      <c r="D135" s="204" t="n">
        <v>0.2</v>
      </c>
      <c r="G135" s="204" t="n">
        <f aca="false">G134+D135</f>
        <v>8.7</v>
      </c>
      <c r="I135" s="204" t="n">
        <v>86</v>
      </c>
      <c r="J135" s="204" t="n">
        <v>1.8</v>
      </c>
      <c r="K135" s="204" t="n">
        <v>9.6</v>
      </c>
      <c r="L135" s="204" t="n">
        <v>6.8</v>
      </c>
      <c r="M135" s="204" t="n">
        <v>12.2</v>
      </c>
      <c r="N135" s="206" t="n">
        <v>40555</v>
      </c>
      <c r="O135" s="204" t="n">
        <f aca="false">IF(K135&gt;0,O134+K135,O134)</f>
        <v>1299.9</v>
      </c>
      <c r="Q135" s="204" t="n">
        <f aca="false">IF(K135&gt;0,Q134+K135,Q134)</f>
        <v>115.2</v>
      </c>
      <c r="S135" s="204" t="n">
        <f aca="false">S134+I135</f>
        <v>100778</v>
      </c>
      <c r="U135" s="204" t="n">
        <f aca="false">U134+I135</f>
        <v>6277</v>
      </c>
      <c r="W135" s="204" t="n">
        <f aca="false">W134+J135</f>
        <v>216.7</v>
      </c>
      <c r="Y135" s="204" t="n">
        <v>20.3</v>
      </c>
      <c r="AB135" s="204" t="n">
        <f aca="false">IF(K135&lt;0,1,0)</f>
        <v>0</v>
      </c>
      <c r="AC135" s="204" t="n">
        <f aca="false">IF(K135&lt;4.5,1,0)</f>
        <v>0</v>
      </c>
      <c r="AD135" s="204" t="n">
        <f aca="false">AD134+D135</f>
        <v>185.8</v>
      </c>
      <c r="AE135" s="204" t="n">
        <f aca="false">I135/K135</f>
        <v>8.95833333333333</v>
      </c>
    </row>
    <row r="136" customFormat="false" ht="12" hidden="false" customHeight="false" outlineLevel="0" collapsed="false">
      <c r="A136" s="204" t="n">
        <v>2011</v>
      </c>
      <c r="B136" s="204" t="n">
        <v>1</v>
      </c>
      <c r="C136" s="204" t="n">
        <v>13</v>
      </c>
      <c r="D136" s="204" t="n">
        <v>0.9</v>
      </c>
      <c r="G136" s="204" t="n">
        <f aca="false">G135+D136</f>
        <v>9.6</v>
      </c>
      <c r="I136" s="204" t="n">
        <v>610</v>
      </c>
      <c r="J136" s="204" t="n">
        <v>0.4</v>
      </c>
      <c r="K136" s="204" t="n">
        <v>11.3</v>
      </c>
      <c r="L136" s="204" t="n">
        <v>10</v>
      </c>
      <c r="M136" s="204" t="n">
        <v>16</v>
      </c>
      <c r="N136" s="206" t="n">
        <v>40556</v>
      </c>
      <c r="O136" s="204" t="n">
        <f aca="false">IF(K136&gt;0,O135+K136,O135)</f>
        <v>1311.2</v>
      </c>
      <c r="Q136" s="204" t="n">
        <f aca="false">IF(K136&gt;0,Q135+K136,Q135)</f>
        <v>126.5</v>
      </c>
      <c r="S136" s="204" t="n">
        <f aca="false">S135+I136</f>
        <v>101388</v>
      </c>
      <c r="U136" s="204" t="n">
        <f aca="false">U135+I136</f>
        <v>6887</v>
      </c>
      <c r="W136" s="204" t="n">
        <f aca="false">W135+J136</f>
        <v>217.1</v>
      </c>
      <c r="Y136" s="204" t="n">
        <v>20.7</v>
      </c>
      <c r="AB136" s="204" t="n">
        <f aca="false">IF(K136&lt;0,1,0)</f>
        <v>0</v>
      </c>
      <c r="AC136" s="204" t="n">
        <f aca="false">IF(K136&lt;4.5,1,0)</f>
        <v>0</v>
      </c>
      <c r="AD136" s="204" t="n">
        <f aca="false">AD135+D136</f>
        <v>186.7</v>
      </c>
      <c r="AE136" s="204" t="n">
        <f aca="false">I136/K136</f>
        <v>53.9823008849558</v>
      </c>
    </row>
    <row r="137" customFormat="false" ht="12" hidden="false" customHeight="false" outlineLevel="0" collapsed="false">
      <c r="A137" s="204" t="n">
        <v>2011</v>
      </c>
      <c r="B137" s="204" t="n">
        <v>1</v>
      </c>
      <c r="C137" s="204" t="n">
        <v>14</v>
      </c>
      <c r="D137" s="204" t="n">
        <v>0.2</v>
      </c>
      <c r="G137" s="204" t="n">
        <f aca="false">G136+D137</f>
        <v>9.8</v>
      </c>
      <c r="I137" s="204" t="n">
        <v>578</v>
      </c>
      <c r="J137" s="204" t="n">
        <v>0.2</v>
      </c>
      <c r="K137" s="204" t="n">
        <v>6.4</v>
      </c>
      <c r="L137" s="204" t="n">
        <v>4.5</v>
      </c>
      <c r="M137" s="204" t="n">
        <v>9.7</v>
      </c>
      <c r="N137" s="206" t="n">
        <v>40557</v>
      </c>
      <c r="O137" s="204" t="n">
        <f aca="false">IF(K137&gt;0,O136+K137,O136)</f>
        <v>1317.6</v>
      </c>
      <c r="Q137" s="204" t="n">
        <f aca="false">IF(K137&gt;0,Q136+K137,Q136)</f>
        <v>132.9</v>
      </c>
      <c r="S137" s="204" t="n">
        <f aca="false">S136+I137</f>
        <v>101966</v>
      </c>
      <c r="U137" s="204" t="n">
        <f aca="false">U136+I137</f>
        <v>7465</v>
      </c>
      <c r="W137" s="204" t="n">
        <f aca="false">W136+J137</f>
        <v>217.3</v>
      </c>
      <c r="Y137" s="204" t="n">
        <v>20.9</v>
      </c>
      <c r="AB137" s="204" t="n">
        <f aca="false">IF(K137&lt;0,1,0)</f>
        <v>0</v>
      </c>
      <c r="AC137" s="204" t="n">
        <f aca="false">IF(K137&lt;4.5,1,0)</f>
        <v>0</v>
      </c>
      <c r="AD137" s="204" t="n">
        <f aca="false">AD136+D137</f>
        <v>186.9</v>
      </c>
      <c r="AE137" s="204" t="n">
        <f aca="false">I137/K137</f>
        <v>90.3125</v>
      </c>
    </row>
    <row r="138" customFormat="false" ht="12" hidden="false" customHeight="false" outlineLevel="0" collapsed="false">
      <c r="A138" s="204" t="n">
        <v>2011</v>
      </c>
      <c r="B138" s="204" t="n">
        <v>1</v>
      </c>
      <c r="C138" s="204" t="n">
        <v>15</v>
      </c>
      <c r="D138" s="204" t="n">
        <v>0.3</v>
      </c>
      <c r="G138" s="204" t="n">
        <f aca="false">G137+D138</f>
        <v>10.1</v>
      </c>
      <c r="I138" s="204" t="n">
        <v>707</v>
      </c>
      <c r="J138" s="204" t="n">
        <v>0</v>
      </c>
      <c r="K138" s="204" t="n">
        <v>6.8</v>
      </c>
      <c r="L138" s="204" t="n">
        <v>3</v>
      </c>
      <c r="M138" s="204" t="n">
        <v>13.9</v>
      </c>
      <c r="N138" s="206" t="n">
        <v>40558</v>
      </c>
      <c r="O138" s="204" t="n">
        <f aca="false">IF(K138&gt;0,O137+K138,O137)</f>
        <v>1324.4</v>
      </c>
      <c r="Q138" s="204" t="n">
        <f aca="false">IF(K138&gt;0,Q137+K138,Q137)</f>
        <v>139.7</v>
      </c>
      <c r="S138" s="204" t="n">
        <f aca="false">S137+I138</f>
        <v>102673</v>
      </c>
      <c r="U138" s="204" t="n">
        <f aca="false">U137+I138</f>
        <v>8172</v>
      </c>
      <c r="W138" s="204" t="n">
        <f aca="false">W137+J138</f>
        <v>217.3</v>
      </c>
      <c r="Y138" s="204" t="n">
        <v>20.9</v>
      </c>
      <c r="AB138" s="204" t="n">
        <f aca="false">IF(K138&lt;0,1,0)</f>
        <v>0</v>
      </c>
      <c r="AC138" s="204" t="n">
        <f aca="false">IF(K138&lt;4.5,1,0)</f>
        <v>0</v>
      </c>
      <c r="AD138" s="204" t="n">
        <f aca="false">AD137+D138</f>
        <v>187.2</v>
      </c>
      <c r="AE138" s="204" t="n">
        <f aca="false">I138/K138</f>
        <v>103.970588235294</v>
      </c>
    </row>
    <row r="139" customFormat="false" ht="12" hidden="false" customHeight="false" outlineLevel="0" collapsed="false">
      <c r="A139" s="204" t="n">
        <v>2011</v>
      </c>
      <c r="B139" s="204" t="n">
        <v>1</v>
      </c>
      <c r="C139" s="204" t="n">
        <v>16</v>
      </c>
      <c r="D139" s="204" t="n">
        <v>0</v>
      </c>
      <c r="G139" s="204" t="n">
        <f aca="false">G138+D139</f>
        <v>10.1</v>
      </c>
      <c r="I139" s="204" t="n">
        <v>833</v>
      </c>
      <c r="J139" s="204" t="n">
        <v>0.2</v>
      </c>
      <c r="K139" s="204" t="n">
        <v>7.9</v>
      </c>
      <c r="L139" s="204" t="n">
        <v>0.3</v>
      </c>
      <c r="M139" s="204" t="n">
        <v>13</v>
      </c>
      <c r="N139" s="206" t="n">
        <v>40559</v>
      </c>
      <c r="O139" s="204" t="n">
        <f aca="false">IF(K139&gt;0,O138+K139,O138)</f>
        <v>1332.3</v>
      </c>
      <c r="Q139" s="204" t="n">
        <f aca="false">IF(K139&gt;0,Q138+K139,Q138)</f>
        <v>147.6</v>
      </c>
      <c r="S139" s="204" t="n">
        <f aca="false">S138+I139</f>
        <v>103506</v>
      </c>
      <c r="U139" s="204" t="n">
        <f aca="false">U138+I139</f>
        <v>9005</v>
      </c>
      <c r="W139" s="204" t="n">
        <f aca="false">W138+J139</f>
        <v>217.5</v>
      </c>
      <c r="Y139" s="204" t="n">
        <v>21.1</v>
      </c>
      <c r="AB139" s="204" t="n">
        <f aca="false">IF(K139&lt;0,1,0)</f>
        <v>0</v>
      </c>
      <c r="AC139" s="204" t="n">
        <f aca="false">IF(K139&lt;4.5,1,0)</f>
        <v>0</v>
      </c>
      <c r="AD139" s="204" t="n">
        <f aca="false">AD138+D139</f>
        <v>187.2</v>
      </c>
      <c r="AE139" s="204" t="n">
        <f aca="false">I139/K139</f>
        <v>105.443037974684</v>
      </c>
    </row>
    <row r="140" customFormat="false" ht="12" hidden="false" customHeight="false" outlineLevel="0" collapsed="false">
      <c r="A140" s="204" t="n">
        <v>2011</v>
      </c>
      <c r="B140" s="204" t="n">
        <v>1</v>
      </c>
      <c r="C140" s="204" t="n">
        <v>17</v>
      </c>
      <c r="D140" s="204" t="n">
        <v>0.4</v>
      </c>
      <c r="G140" s="204" t="n">
        <f aca="false">G139+D140</f>
        <v>10.5</v>
      </c>
      <c r="I140" s="204" t="n">
        <v>687</v>
      </c>
      <c r="J140" s="204" t="n">
        <v>0</v>
      </c>
      <c r="K140" s="204" t="n">
        <v>9.1</v>
      </c>
      <c r="L140" s="204" t="n">
        <v>2.7</v>
      </c>
      <c r="M140" s="204" t="n">
        <v>15.3</v>
      </c>
      <c r="N140" s="206" t="n">
        <v>40560</v>
      </c>
      <c r="O140" s="204" t="n">
        <f aca="false">IF(K140&gt;0,O139+K140,O139)</f>
        <v>1341.4</v>
      </c>
      <c r="Q140" s="204" t="n">
        <f aca="false">IF(K140&gt;0,Q139+K140,Q139)</f>
        <v>156.7</v>
      </c>
      <c r="S140" s="204" t="n">
        <f aca="false">S139+I140</f>
        <v>104193</v>
      </c>
      <c r="U140" s="204" t="n">
        <f aca="false">U139+I140</f>
        <v>9692</v>
      </c>
      <c r="W140" s="204" t="n">
        <f aca="false">W139+J140</f>
        <v>217.5</v>
      </c>
      <c r="Y140" s="204" t="n">
        <v>21.1</v>
      </c>
      <c r="AB140" s="204" t="n">
        <f aca="false">IF(K140&lt;0,1,0)</f>
        <v>0</v>
      </c>
      <c r="AC140" s="204" t="n">
        <f aca="false">IF(K140&lt;4.5,1,0)</f>
        <v>0</v>
      </c>
      <c r="AD140" s="204" t="n">
        <f aca="false">AD139+D140</f>
        <v>187.6</v>
      </c>
      <c r="AE140" s="204" t="n">
        <f aca="false">I140/K140</f>
        <v>75.4945054945055</v>
      </c>
    </row>
    <row r="141" customFormat="false" ht="12" hidden="false" customHeight="false" outlineLevel="0" collapsed="false">
      <c r="A141" s="204" t="n">
        <v>2011</v>
      </c>
      <c r="B141" s="204" t="n">
        <v>1</v>
      </c>
      <c r="C141" s="204" t="n">
        <v>18</v>
      </c>
      <c r="D141" s="204" t="n">
        <v>0.3</v>
      </c>
      <c r="G141" s="204" t="n">
        <f aca="false">G140+D141</f>
        <v>10.8</v>
      </c>
      <c r="I141" s="204" t="n">
        <v>666</v>
      </c>
      <c r="J141" s="204" t="n">
        <v>0</v>
      </c>
      <c r="K141" s="204" t="n">
        <v>8.5</v>
      </c>
      <c r="L141" s="204" t="n">
        <v>4.9</v>
      </c>
      <c r="M141" s="204" t="n">
        <v>13.7</v>
      </c>
      <c r="N141" s="206" t="n">
        <v>40561</v>
      </c>
      <c r="O141" s="204" t="n">
        <f aca="false">IF(K141&gt;0,O140+K141,O140)</f>
        <v>1349.9</v>
      </c>
      <c r="Q141" s="204" t="n">
        <f aca="false">IF(K141&gt;0,Q140+K141,Q140)</f>
        <v>165.2</v>
      </c>
      <c r="S141" s="204" t="n">
        <f aca="false">S140+I141</f>
        <v>104859</v>
      </c>
      <c r="U141" s="204" t="n">
        <f aca="false">U140+I141</f>
        <v>10358</v>
      </c>
      <c r="W141" s="204" t="n">
        <f aca="false">W140+J141</f>
        <v>217.5</v>
      </c>
      <c r="Y141" s="204" t="n">
        <v>21.1</v>
      </c>
      <c r="AB141" s="204" t="n">
        <f aca="false">IF(K141&lt;0,1,0)</f>
        <v>0</v>
      </c>
      <c r="AC141" s="204" t="n">
        <f aca="false">IF(K141&lt;4.5,1,0)</f>
        <v>0</v>
      </c>
      <c r="AD141" s="204" t="n">
        <f aca="false">AD140+D141</f>
        <v>187.9</v>
      </c>
      <c r="AE141" s="204" t="n">
        <f aca="false">I141/K141</f>
        <v>78.3529411764706</v>
      </c>
    </row>
    <row r="142" customFormat="false" ht="12" hidden="false" customHeight="false" outlineLevel="0" collapsed="false">
      <c r="A142" s="204" t="n">
        <v>2011</v>
      </c>
      <c r="B142" s="204" t="n">
        <v>1</v>
      </c>
      <c r="C142" s="204" t="n">
        <v>19</v>
      </c>
      <c r="D142" s="204" t="n">
        <v>0.3</v>
      </c>
      <c r="G142" s="204" t="n">
        <f aca="false">G141+D142</f>
        <v>11.1</v>
      </c>
      <c r="I142" s="204" t="n">
        <v>721</v>
      </c>
      <c r="J142" s="204" t="n">
        <v>0</v>
      </c>
      <c r="K142" s="204" t="n">
        <v>6.4</v>
      </c>
      <c r="L142" s="204" t="n">
        <v>5.2</v>
      </c>
      <c r="M142" s="204" t="n">
        <v>10.2</v>
      </c>
      <c r="N142" s="206" t="n">
        <v>40562</v>
      </c>
      <c r="O142" s="204" t="n">
        <f aca="false">IF(K142&gt;0,O141+K142,O141)</f>
        <v>1356.3</v>
      </c>
      <c r="Q142" s="204" t="n">
        <f aca="false">IF(K142&gt;0,Q141+K142,Q141)</f>
        <v>171.6</v>
      </c>
      <c r="S142" s="204" t="n">
        <f aca="false">S141+I142</f>
        <v>105580</v>
      </c>
      <c r="U142" s="204" t="n">
        <f aca="false">U141+I142</f>
        <v>11079</v>
      </c>
      <c r="W142" s="204" t="n">
        <f aca="false">W141+J142</f>
        <v>217.5</v>
      </c>
      <c r="Y142" s="204" t="n">
        <v>21.1</v>
      </c>
      <c r="AB142" s="204" t="n">
        <f aca="false">IF(K142&lt;0,1,0)</f>
        <v>0</v>
      </c>
      <c r="AC142" s="204" t="n">
        <f aca="false">IF(K142&lt;4.5,1,0)</f>
        <v>0</v>
      </c>
      <c r="AD142" s="204" t="n">
        <f aca="false">AD141+D142</f>
        <v>188.2</v>
      </c>
      <c r="AE142" s="204" t="n">
        <f aca="false">I142/K142</f>
        <v>112.65625</v>
      </c>
    </row>
    <row r="143" customFormat="false" ht="12" hidden="false" customHeight="false" outlineLevel="0" collapsed="false">
      <c r="A143" s="204" t="n">
        <v>2011</v>
      </c>
      <c r="B143" s="204" t="n">
        <v>1</v>
      </c>
      <c r="C143" s="204" t="n">
        <v>20</v>
      </c>
      <c r="D143" s="204" t="n">
        <v>0.4</v>
      </c>
      <c r="G143" s="204" t="n">
        <f aca="false">G142+D143</f>
        <v>11.5</v>
      </c>
      <c r="I143" s="204" t="n">
        <v>914</v>
      </c>
      <c r="J143" s="204" t="n">
        <v>0</v>
      </c>
      <c r="K143" s="204" t="n">
        <v>1.9</v>
      </c>
      <c r="L143" s="204" t="n">
        <v>-2.1</v>
      </c>
      <c r="M143" s="204" t="n">
        <v>6.8</v>
      </c>
      <c r="N143" s="206" t="n">
        <v>40563</v>
      </c>
      <c r="O143" s="204" t="n">
        <f aca="false">IF(K143&gt;0,O142+K143,O142)</f>
        <v>1358.2</v>
      </c>
      <c r="Q143" s="204" t="n">
        <f aca="false">IF(K143&gt;0,Q142+K143,Q142)</f>
        <v>173.5</v>
      </c>
      <c r="S143" s="204" t="n">
        <f aca="false">S142+I143</f>
        <v>106494</v>
      </c>
      <c r="U143" s="204" t="n">
        <f aca="false">U142+I143</f>
        <v>11993</v>
      </c>
      <c r="W143" s="204" t="n">
        <f aca="false">W142+J143</f>
        <v>217.5</v>
      </c>
      <c r="Y143" s="204" t="n">
        <v>21.1</v>
      </c>
      <c r="AB143" s="204" t="n">
        <f aca="false">IF(K143&lt;0,1,0)</f>
        <v>0</v>
      </c>
      <c r="AC143" s="204" t="n">
        <f aca="false">IF(K143&lt;4.5,1,0)</f>
        <v>1</v>
      </c>
      <c r="AD143" s="204" t="n">
        <f aca="false">AD142+D143</f>
        <v>188.6</v>
      </c>
      <c r="AE143" s="204" t="n">
        <f aca="false">I143/K143</f>
        <v>481.052631578947</v>
      </c>
    </row>
    <row r="144" customFormat="false" ht="12" hidden="false" customHeight="false" outlineLevel="0" collapsed="false">
      <c r="A144" s="204" t="n">
        <v>2011</v>
      </c>
      <c r="B144" s="204" t="n">
        <v>1</v>
      </c>
      <c r="C144" s="204" t="n">
        <v>21</v>
      </c>
      <c r="D144" s="204" t="n">
        <v>0.8</v>
      </c>
      <c r="G144" s="204" t="n">
        <f aca="false">G143+D144</f>
        <v>12.3</v>
      </c>
      <c r="I144" s="204" t="n">
        <v>667</v>
      </c>
      <c r="J144" s="204" t="n">
        <v>0</v>
      </c>
      <c r="K144" s="204" t="n">
        <v>0.4</v>
      </c>
      <c r="L144" s="204" t="n">
        <v>-1.8</v>
      </c>
      <c r="M144" s="204" t="n">
        <v>4</v>
      </c>
      <c r="N144" s="206" t="n">
        <v>40564</v>
      </c>
      <c r="O144" s="204" t="n">
        <f aca="false">IF(K144&gt;0,O143+K144,O143)</f>
        <v>1358.6</v>
      </c>
      <c r="Q144" s="204" t="n">
        <f aca="false">IF(K144&gt;0,Q143+K144,Q143)</f>
        <v>173.9</v>
      </c>
      <c r="S144" s="204" t="n">
        <f aca="false">S143+I144</f>
        <v>107161</v>
      </c>
      <c r="U144" s="204" t="n">
        <f aca="false">U143+I144</f>
        <v>12660</v>
      </c>
      <c r="W144" s="204" t="n">
        <f aca="false">W143+J144</f>
        <v>217.5</v>
      </c>
      <c r="Y144" s="204" t="n">
        <v>21.1</v>
      </c>
      <c r="AB144" s="204" t="n">
        <f aca="false">IF(K144&lt;0,1,0)</f>
        <v>0</v>
      </c>
      <c r="AC144" s="204" t="n">
        <f aca="false">IF(K144&lt;4.5,1,0)</f>
        <v>1</v>
      </c>
      <c r="AD144" s="204" t="n">
        <f aca="false">AD143+D144</f>
        <v>189.4</v>
      </c>
      <c r="AE144" s="204" t="n">
        <f aca="false">I144/K144</f>
        <v>1667.5</v>
      </c>
    </row>
    <row r="145" customFormat="false" ht="12" hidden="false" customHeight="false" outlineLevel="0" collapsed="false">
      <c r="A145" s="204" t="n">
        <v>2011</v>
      </c>
      <c r="B145" s="204" t="n">
        <v>1</v>
      </c>
      <c r="C145" s="204" t="n">
        <v>22</v>
      </c>
      <c r="D145" s="204" t="n">
        <v>0.8</v>
      </c>
      <c r="G145" s="204" t="n">
        <f aca="false">G144+D145</f>
        <v>13.1</v>
      </c>
      <c r="I145" s="204" t="n">
        <v>332</v>
      </c>
      <c r="J145" s="204" t="n">
        <v>0</v>
      </c>
      <c r="K145" s="204" t="n">
        <v>-1.8</v>
      </c>
      <c r="L145" s="204" t="n">
        <v>-4.1</v>
      </c>
      <c r="M145" s="204" t="n">
        <v>0.1</v>
      </c>
      <c r="N145" s="206" t="n">
        <v>40565</v>
      </c>
      <c r="O145" s="204" t="n">
        <f aca="false">IF(K145&gt;0,O144+K145,O144)</f>
        <v>1358.6</v>
      </c>
      <c r="Q145" s="204" t="n">
        <f aca="false">IF(K145&gt;0,Q144+K145,Q144)</f>
        <v>173.9</v>
      </c>
      <c r="S145" s="204" t="n">
        <f aca="false">S144+I145</f>
        <v>107493</v>
      </c>
      <c r="U145" s="204" t="n">
        <f aca="false">U144+I145</f>
        <v>12992</v>
      </c>
      <c r="W145" s="204" t="n">
        <f aca="false">W144+J145</f>
        <v>217.5</v>
      </c>
      <c r="Y145" s="204" t="n">
        <v>21.1</v>
      </c>
      <c r="AB145" s="204" t="n">
        <f aca="false">IF(K145&lt;0,1,0)</f>
        <v>1</v>
      </c>
      <c r="AC145" s="204" t="n">
        <f aca="false">IF(K145&lt;4.5,1,0)</f>
        <v>1</v>
      </c>
      <c r="AD145" s="204" t="n">
        <f aca="false">AD144+D145</f>
        <v>190.2</v>
      </c>
      <c r="AE145" s="204" t="n">
        <f aca="false">I145/K145</f>
        <v>-184.444444444444</v>
      </c>
    </row>
    <row r="146" customFormat="false" ht="12" hidden="false" customHeight="false" outlineLevel="0" collapsed="false">
      <c r="A146" s="204" t="n">
        <v>2011</v>
      </c>
      <c r="B146" s="204" t="n">
        <v>1</v>
      </c>
      <c r="C146" s="204" t="n">
        <v>23</v>
      </c>
      <c r="D146" s="204" t="n">
        <v>0.5</v>
      </c>
      <c r="G146" s="204" t="n">
        <f aca="false">G145+D146</f>
        <v>13.6</v>
      </c>
      <c r="I146" s="204" t="n">
        <v>745</v>
      </c>
      <c r="J146" s="204" t="n">
        <v>0</v>
      </c>
      <c r="K146" s="204" t="n">
        <v>-1.1</v>
      </c>
      <c r="L146" s="204" t="n">
        <v>-3.9</v>
      </c>
      <c r="M146" s="204" t="n">
        <v>2.9</v>
      </c>
      <c r="N146" s="206" t="n">
        <v>40566</v>
      </c>
      <c r="O146" s="204" t="n">
        <f aca="false">IF(K146&gt;0,O145+K146,O145)</f>
        <v>1358.6</v>
      </c>
      <c r="Q146" s="204" t="n">
        <f aca="false">IF(K146&gt;0,Q145+K146,Q145)</f>
        <v>173.9</v>
      </c>
      <c r="S146" s="204" t="n">
        <f aca="false">S145+I146</f>
        <v>108238</v>
      </c>
      <c r="U146" s="204" t="n">
        <f aca="false">U145+I146</f>
        <v>13737</v>
      </c>
      <c r="W146" s="204" t="n">
        <f aca="false">W145+J146</f>
        <v>217.5</v>
      </c>
      <c r="Y146" s="204" t="n">
        <v>21.1</v>
      </c>
      <c r="AB146" s="204" t="n">
        <f aca="false">IF(K146&lt;0,1,0)</f>
        <v>1</v>
      </c>
      <c r="AC146" s="204" t="n">
        <f aca="false">IF(K146&lt;4.5,1,0)</f>
        <v>1</v>
      </c>
      <c r="AD146" s="204" t="n">
        <f aca="false">AD145+D146</f>
        <v>190.7</v>
      </c>
      <c r="AE146" s="204" t="n">
        <f aca="false">I146/K146</f>
        <v>-677.272727272727</v>
      </c>
    </row>
    <row r="147" customFormat="false" ht="12" hidden="false" customHeight="false" outlineLevel="0" collapsed="false">
      <c r="A147" s="204" t="n">
        <v>2011</v>
      </c>
      <c r="B147" s="204" t="n">
        <v>1</v>
      </c>
      <c r="C147" s="204" t="n">
        <v>24</v>
      </c>
      <c r="D147" s="204" t="n">
        <v>0.1</v>
      </c>
      <c r="G147" s="204" t="n">
        <f aca="false">G146+D147</f>
        <v>13.7</v>
      </c>
      <c r="I147" s="204" t="n">
        <v>939</v>
      </c>
      <c r="J147" s="204" t="n">
        <v>0</v>
      </c>
      <c r="K147" s="204" t="n">
        <v>-1.6</v>
      </c>
      <c r="L147" s="204" t="n">
        <v>-6.5</v>
      </c>
      <c r="M147" s="204" t="n">
        <v>4.3</v>
      </c>
      <c r="N147" s="206" t="n">
        <v>40567</v>
      </c>
      <c r="O147" s="204" t="n">
        <f aca="false">IF(K147&gt;0,O146+K147,O146)</f>
        <v>1358.6</v>
      </c>
      <c r="Q147" s="204" t="n">
        <f aca="false">IF(K147&gt;0,Q146+K147,Q146)</f>
        <v>173.9</v>
      </c>
      <c r="S147" s="204" t="n">
        <f aca="false">S146+I147</f>
        <v>109177</v>
      </c>
      <c r="U147" s="204" t="n">
        <f aca="false">U146+I147</f>
        <v>14676</v>
      </c>
      <c r="W147" s="204" t="n">
        <f aca="false">W146+J147</f>
        <v>217.5</v>
      </c>
      <c r="Y147" s="204" t="n">
        <v>21.1</v>
      </c>
      <c r="AB147" s="204" t="n">
        <f aca="false">IF(K147&lt;0,1,0)</f>
        <v>1</v>
      </c>
      <c r="AC147" s="204" t="n">
        <f aca="false">IF(K147&lt;4.5,1,0)</f>
        <v>1</v>
      </c>
      <c r="AD147" s="204" t="n">
        <f aca="false">AD146+D147</f>
        <v>190.8</v>
      </c>
      <c r="AE147" s="204" t="n">
        <f aca="false">I147/K147</f>
        <v>-586.875</v>
      </c>
    </row>
    <row r="148" customFormat="false" ht="12" hidden="false" customHeight="false" outlineLevel="0" collapsed="false">
      <c r="A148" s="204" t="n">
        <v>2011</v>
      </c>
      <c r="B148" s="204" t="n">
        <v>1</v>
      </c>
      <c r="C148" s="204" t="n">
        <v>25</v>
      </c>
      <c r="D148" s="204" t="n">
        <v>0.5</v>
      </c>
      <c r="G148" s="204" t="n">
        <f aca="false">G147+D148</f>
        <v>14.2</v>
      </c>
      <c r="I148" s="204" t="n">
        <v>626</v>
      </c>
      <c r="J148" s="204" t="n">
        <v>0.2</v>
      </c>
      <c r="K148" s="204" t="n">
        <v>-0.1</v>
      </c>
      <c r="L148" s="204" t="n">
        <v>-5.2</v>
      </c>
      <c r="M148" s="204" t="n">
        <v>4.3</v>
      </c>
      <c r="N148" s="206" t="n">
        <v>40568</v>
      </c>
      <c r="O148" s="204" t="n">
        <f aca="false">IF(K148&gt;0,O147+K148,O147)</f>
        <v>1358.6</v>
      </c>
      <c r="Q148" s="204" t="n">
        <f aca="false">IF(K148&gt;0,Q147+K148,Q147)</f>
        <v>173.9</v>
      </c>
      <c r="S148" s="204" t="n">
        <f aca="false">S147+I148</f>
        <v>109803</v>
      </c>
      <c r="U148" s="204" t="n">
        <f aca="false">U147+I148</f>
        <v>15302</v>
      </c>
      <c r="W148" s="204" t="n">
        <f aca="false">W147+J148</f>
        <v>217.7</v>
      </c>
      <c r="Y148" s="204" t="n">
        <v>21.3</v>
      </c>
      <c r="AB148" s="204" t="n">
        <f aca="false">IF(K148&lt;0,1,0)</f>
        <v>1</v>
      </c>
      <c r="AC148" s="204" t="n">
        <f aca="false">IF(K148&lt;4.5,1,0)</f>
        <v>1</v>
      </c>
      <c r="AD148" s="204" t="n">
        <f aca="false">AD147+D148</f>
        <v>191.3</v>
      </c>
      <c r="AE148" s="204" t="n">
        <f aca="false">I148/K148</f>
        <v>-6260</v>
      </c>
    </row>
    <row r="149" customFormat="false" ht="12" hidden="false" customHeight="false" outlineLevel="0" collapsed="false">
      <c r="A149" s="204" t="n">
        <v>2011</v>
      </c>
      <c r="B149" s="204" t="n">
        <v>1</v>
      </c>
      <c r="C149" s="204" t="n">
        <v>26</v>
      </c>
      <c r="D149" s="204" t="n">
        <v>0.7</v>
      </c>
      <c r="G149" s="204" t="n">
        <f aca="false">G148+D149</f>
        <v>14.9</v>
      </c>
      <c r="I149" s="204" t="n">
        <v>589</v>
      </c>
      <c r="J149" s="204" t="n">
        <v>0</v>
      </c>
      <c r="K149" s="204" t="n">
        <v>1</v>
      </c>
      <c r="L149" s="204" t="n">
        <v>-3.9</v>
      </c>
      <c r="M149" s="204" t="n">
        <v>6.8</v>
      </c>
      <c r="N149" s="206" t="n">
        <v>40569</v>
      </c>
      <c r="O149" s="204" t="n">
        <f aca="false">IF(K149&gt;0,O148+K149,O148)</f>
        <v>1359.6</v>
      </c>
      <c r="Q149" s="204" t="n">
        <f aca="false">IF(K149&gt;0,Q148+K149,Q148)</f>
        <v>174.9</v>
      </c>
      <c r="S149" s="204" t="n">
        <f aca="false">S148+I149</f>
        <v>110392</v>
      </c>
      <c r="U149" s="204" t="n">
        <f aca="false">U148+I149</f>
        <v>15891</v>
      </c>
      <c r="W149" s="204" t="n">
        <f aca="false">W148+J149</f>
        <v>217.7</v>
      </c>
      <c r="Y149" s="204" t="n">
        <v>21.3</v>
      </c>
      <c r="AB149" s="204" t="n">
        <f aca="false">IF(K149&lt;0,1,0)</f>
        <v>0</v>
      </c>
      <c r="AC149" s="204" t="n">
        <f aca="false">IF(K149&lt;4.5,1,0)</f>
        <v>1</v>
      </c>
      <c r="AD149" s="204" t="n">
        <f aca="false">AD148+D149</f>
        <v>192</v>
      </c>
      <c r="AE149" s="204" t="n">
        <f aca="false">I149/K149</f>
        <v>589</v>
      </c>
    </row>
    <row r="150" customFormat="false" ht="12" hidden="false" customHeight="false" outlineLevel="0" collapsed="false">
      <c r="A150" s="204" t="n">
        <v>2011</v>
      </c>
      <c r="B150" s="204" t="n">
        <v>1</v>
      </c>
      <c r="C150" s="204" t="n">
        <v>27</v>
      </c>
      <c r="D150" s="204" t="n">
        <v>0.5</v>
      </c>
      <c r="G150" s="204" t="n">
        <f aca="false">G149+D150</f>
        <v>15.4</v>
      </c>
      <c r="I150" s="204" t="n">
        <v>843</v>
      </c>
      <c r="J150" s="204" t="n">
        <v>0</v>
      </c>
      <c r="K150" s="204" t="n">
        <v>3.9</v>
      </c>
      <c r="L150" s="204" t="n">
        <v>-3.7</v>
      </c>
      <c r="M150" s="204" t="n">
        <v>10.3</v>
      </c>
      <c r="N150" s="206" t="n">
        <v>40570</v>
      </c>
      <c r="O150" s="204" t="n">
        <f aca="false">IF(K150&gt;0,O149+K150,O149)</f>
        <v>1363.5</v>
      </c>
      <c r="Q150" s="204" t="n">
        <f aca="false">IF(K150&gt;0,Q149+K150,Q149)</f>
        <v>178.8</v>
      </c>
      <c r="S150" s="204" t="n">
        <f aca="false">S149+I150</f>
        <v>111235</v>
      </c>
      <c r="U150" s="204" t="n">
        <f aca="false">U149+I150</f>
        <v>16734</v>
      </c>
      <c r="W150" s="204" t="n">
        <f aca="false">W149+J150</f>
        <v>217.7</v>
      </c>
      <c r="Y150" s="204" t="n">
        <v>21.3</v>
      </c>
      <c r="AB150" s="204" t="n">
        <f aca="false">IF(K150&lt;0,1,0)</f>
        <v>0</v>
      </c>
      <c r="AC150" s="204" t="n">
        <f aca="false">IF(K150&lt;4.5,1,0)</f>
        <v>1</v>
      </c>
      <c r="AD150" s="204" t="n">
        <f aca="false">AD149+D150</f>
        <v>192.5</v>
      </c>
      <c r="AE150" s="204" t="n">
        <f aca="false">I150/K150</f>
        <v>216.153846153846</v>
      </c>
    </row>
    <row r="151" customFormat="false" ht="12" hidden="false" customHeight="false" outlineLevel="0" collapsed="false">
      <c r="A151" s="204" t="n">
        <v>2011</v>
      </c>
      <c r="B151" s="204" t="n">
        <v>1</v>
      </c>
      <c r="C151" s="204" t="n">
        <v>28</v>
      </c>
      <c r="D151" s="204" t="n">
        <v>1.3</v>
      </c>
      <c r="G151" s="204" t="n">
        <f aca="false">G150+D151</f>
        <v>16.7</v>
      </c>
      <c r="I151" s="204" t="n">
        <v>900</v>
      </c>
      <c r="J151" s="204" t="n">
        <v>0</v>
      </c>
      <c r="K151" s="204" t="n">
        <v>7.5</v>
      </c>
      <c r="L151" s="204" t="n">
        <v>2.9</v>
      </c>
      <c r="M151" s="204" t="n">
        <v>11.1</v>
      </c>
      <c r="N151" s="206" t="n">
        <v>40571</v>
      </c>
      <c r="O151" s="204" t="n">
        <f aca="false">IF(K151&gt;0,O150+K151,O150)</f>
        <v>1371</v>
      </c>
      <c r="Q151" s="204" t="n">
        <f aca="false">IF(K151&gt;0,Q150+K151,Q150)</f>
        <v>186.3</v>
      </c>
      <c r="S151" s="204" t="n">
        <f aca="false">S150+I151</f>
        <v>112135</v>
      </c>
      <c r="U151" s="204" t="n">
        <f aca="false">U150+I151</f>
        <v>17634</v>
      </c>
      <c r="W151" s="204" t="n">
        <f aca="false">W150+J151</f>
        <v>217.7</v>
      </c>
      <c r="Y151" s="204" t="n">
        <v>21.3</v>
      </c>
      <c r="AB151" s="204" t="n">
        <f aca="false">IF(K151&lt;0,1,0)</f>
        <v>0</v>
      </c>
      <c r="AC151" s="204" t="n">
        <f aca="false">IF(K151&lt;4.5,1,0)</f>
        <v>0</v>
      </c>
      <c r="AD151" s="204" t="n">
        <f aca="false">AD150+D151</f>
        <v>193.8</v>
      </c>
      <c r="AE151" s="204" t="n">
        <f aca="false">I151/K151</f>
        <v>120</v>
      </c>
    </row>
    <row r="152" customFormat="false" ht="12" hidden="false" customHeight="false" outlineLevel="0" collapsed="false">
      <c r="A152" s="204" t="n">
        <v>2011</v>
      </c>
      <c r="B152" s="204" t="n">
        <v>1</v>
      </c>
      <c r="C152" s="204" t="n">
        <v>29</v>
      </c>
      <c r="D152" s="204" t="n">
        <v>0.4</v>
      </c>
      <c r="G152" s="204" t="n">
        <f aca="false">G151+D152</f>
        <v>17.1</v>
      </c>
      <c r="I152" s="204" t="n">
        <v>125</v>
      </c>
      <c r="J152" s="204" t="n">
        <v>10.9</v>
      </c>
      <c r="K152" s="204" t="n">
        <v>5.1</v>
      </c>
      <c r="L152" s="204" t="n">
        <v>3.3</v>
      </c>
      <c r="M152" s="204" t="n">
        <v>7.3</v>
      </c>
      <c r="N152" s="206" t="n">
        <v>40572</v>
      </c>
      <c r="O152" s="204" t="n">
        <f aca="false">IF(K152&gt;0,O151+K152,O151)</f>
        <v>1376.1</v>
      </c>
      <c r="Q152" s="204" t="n">
        <f aca="false">IF(K152&gt;0,Q151+K152,Q151)</f>
        <v>191.4</v>
      </c>
      <c r="S152" s="204" t="n">
        <f aca="false">S151+I152</f>
        <v>112260</v>
      </c>
      <c r="U152" s="204" t="n">
        <f aca="false">U151+I152</f>
        <v>17759</v>
      </c>
      <c r="W152" s="204" t="n">
        <f aca="false">W151+J152</f>
        <v>228.6</v>
      </c>
      <c r="Y152" s="204" t="n">
        <v>32.2</v>
      </c>
      <c r="AB152" s="204" t="n">
        <f aca="false">IF(K152&lt;0,1,0)</f>
        <v>0</v>
      </c>
      <c r="AC152" s="204" t="n">
        <f aca="false">IF(K152&lt;4.5,1,0)</f>
        <v>0</v>
      </c>
      <c r="AD152" s="204" t="n">
        <f aca="false">AD151+D152</f>
        <v>194.2</v>
      </c>
      <c r="AE152" s="204" t="n">
        <f aca="false">I152/K152</f>
        <v>24.5098039215686</v>
      </c>
    </row>
    <row r="153" customFormat="false" ht="12" hidden="false" customHeight="false" outlineLevel="0" collapsed="false">
      <c r="A153" s="204" t="n">
        <v>2011</v>
      </c>
      <c r="B153" s="204" t="n">
        <v>1</v>
      </c>
      <c r="C153" s="204" t="n">
        <v>30</v>
      </c>
      <c r="D153" s="204" t="n">
        <v>0.2</v>
      </c>
      <c r="G153" s="204" t="n">
        <f aca="false">G152+D153</f>
        <v>17.3</v>
      </c>
      <c r="I153" s="204" t="n">
        <v>141</v>
      </c>
      <c r="J153" s="204" t="n">
        <v>0</v>
      </c>
      <c r="K153" s="204" t="n">
        <v>4</v>
      </c>
      <c r="L153" s="204" t="n">
        <v>3</v>
      </c>
      <c r="M153" s="204" t="n">
        <v>5.3</v>
      </c>
      <c r="N153" s="206" t="n">
        <v>40573</v>
      </c>
      <c r="O153" s="204" t="n">
        <f aca="false">IF(K153&gt;0,O152+K153,O152)</f>
        <v>1380.1</v>
      </c>
      <c r="Q153" s="204" t="n">
        <f aca="false">IF(K153&gt;0,Q152+K153,Q152)</f>
        <v>195.4</v>
      </c>
      <c r="S153" s="204" t="n">
        <f aca="false">S152+I153</f>
        <v>112401</v>
      </c>
      <c r="U153" s="204" t="n">
        <f aca="false">U152+I153</f>
        <v>17900</v>
      </c>
      <c r="W153" s="204" t="n">
        <f aca="false">W152+J153</f>
        <v>228.6</v>
      </c>
      <c r="Y153" s="204" t="n">
        <v>32.2</v>
      </c>
      <c r="AB153" s="204" t="n">
        <f aca="false">IF(K153&lt;0,1,0)</f>
        <v>0</v>
      </c>
      <c r="AC153" s="204" t="n">
        <f aca="false">IF(K153&lt;4.5,1,0)</f>
        <v>1</v>
      </c>
      <c r="AD153" s="204" t="n">
        <f aca="false">AD152+D153</f>
        <v>194.4</v>
      </c>
      <c r="AE153" s="204" t="n">
        <f aca="false">I153/K153</f>
        <v>35.25</v>
      </c>
    </row>
    <row r="154" customFormat="false" ht="12" hidden="false" customHeight="false" outlineLevel="0" collapsed="false">
      <c r="A154" s="204" t="n">
        <v>2011</v>
      </c>
      <c r="B154" s="204" t="n">
        <v>1</v>
      </c>
      <c r="C154" s="204" t="n">
        <v>31</v>
      </c>
      <c r="D154" s="204" t="n">
        <v>0.7</v>
      </c>
      <c r="G154" s="204" t="n">
        <f aca="false">G153+D154</f>
        <v>18</v>
      </c>
      <c r="I154" s="204" t="n">
        <v>342</v>
      </c>
      <c r="J154" s="204" t="n">
        <v>0</v>
      </c>
      <c r="K154" s="204" t="n">
        <v>1</v>
      </c>
      <c r="L154" s="204" t="n">
        <v>0.2</v>
      </c>
      <c r="M154" s="204" t="n">
        <v>2.6</v>
      </c>
      <c r="N154" s="206" t="n">
        <v>40574</v>
      </c>
      <c r="O154" s="204" t="n">
        <f aca="false">IF(K154&gt;0,O153+K154,O153)</f>
        <v>1381.1</v>
      </c>
      <c r="Q154" s="204" t="n">
        <f aca="false">IF(K154&gt;0,Q153+K154,Q153)</f>
        <v>196.4</v>
      </c>
      <c r="S154" s="204" t="n">
        <f aca="false">S153+I154</f>
        <v>112743</v>
      </c>
      <c r="U154" s="204" t="n">
        <f aca="false">U153+I154</f>
        <v>18242</v>
      </c>
      <c r="W154" s="204" t="n">
        <f aca="false">W153+J154</f>
        <v>228.6</v>
      </c>
      <c r="Y154" s="204" t="n">
        <v>32.2</v>
      </c>
      <c r="AB154" s="204" t="n">
        <f aca="false">IF(K154&lt;0,1,0)</f>
        <v>0</v>
      </c>
      <c r="AC154" s="204" t="n">
        <f aca="false">IF(K154&lt;4.5,1,0)</f>
        <v>1</v>
      </c>
      <c r="AD154" s="204" t="n">
        <f aca="false">AD153+D154</f>
        <v>195.1</v>
      </c>
      <c r="AE154" s="204" t="n">
        <f aca="false">I154/K154</f>
        <v>342</v>
      </c>
    </row>
    <row r="155" customFormat="false" ht="12" hidden="false" customHeight="false" outlineLevel="0" collapsed="false">
      <c r="A155" s="204" t="n">
        <v>2011</v>
      </c>
      <c r="B155" s="204" t="n">
        <v>2</v>
      </c>
      <c r="C155" s="204" t="n">
        <v>1</v>
      </c>
      <c r="D155" s="204" t="n">
        <v>0.3</v>
      </c>
      <c r="G155" s="204" t="n">
        <f aca="false">G154+D155</f>
        <v>18.3</v>
      </c>
      <c r="I155" s="204" t="n">
        <v>134</v>
      </c>
      <c r="J155" s="204" t="n">
        <v>0</v>
      </c>
      <c r="K155" s="204" t="n">
        <v>-0.5</v>
      </c>
      <c r="L155" s="204" t="n">
        <v>-2.1</v>
      </c>
      <c r="M155" s="204" t="n">
        <v>0.7</v>
      </c>
      <c r="N155" s="206" t="n">
        <v>40575</v>
      </c>
      <c r="O155" s="204" t="n">
        <f aca="false">IF(K155&gt;0,O154+K155,O154)</f>
        <v>1381.1</v>
      </c>
      <c r="Q155" s="204" t="n">
        <f aca="false">IF(K155&gt;0,Q154+K155,Q154)</f>
        <v>196.4</v>
      </c>
      <c r="S155" s="204" t="n">
        <f aca="false">S154+I155</f>
        <v>112877</v>
      </c>
      <c r="U155" s="204" t="n">
        <f aca="false">U154+I155</f>
        <v>18376</v>
      </c>
      <c r="W155" s="204" t="n">
        <f aca="false">W154+J155</f>
        <v>228.6</v>
      </c>
      <c r="Y155" s="204" t="n">
        <v>32.2</v>
      </c>
      <c r="AB155" s="204" t="n">
        <f aca="false">IF(K155&lt;0,1,0)</f>
        <v>1</v>
      </c>
      <c r="AC155" s="204" t="n">
        <f aca="false">IF(K155&lt;4.5,1,0)</f>
        <v>1</v>
      </c>
      <c r="AD155" s="204" t="n">
        <f aca="false">AD154+D155</f>
        <v>195.4</v>
      </c>
      <c r="AE155" s="204" t="n">
        <f aca="false">I155/K155</f>
        <v>-268</v>
      </c>
    </row>
    <row r="156" customFormat="false" ht="12" hidden="false" customHeight="false" outlineLevel="0" collapsed="false">
      <c r="A156" s="204" t="n">
        <v>2011</v>
      </c>
      <c r="B156" s="204" t="n">
        <v>2</v>
      </c>
      <c r="C156" s="204" t="n">
        <v>2</v>
      </c>
      <c r="D156" s="204" t="n">
        <v>1</v>
      </c>
      <c r="G156" s="204" t="n">
        <f aca="false">G155+D156</f>
        <v>19.3</v>
      </c>
      <c r="I156" s="204" t="n">
        <v>698</v>
      </c>
      <c r="J156" s="204" t="n">
        <v>0</v>
      </c>
      <c r="K156" s="204" t="n">
        <v>2</v>
      </c>
      <c r="L156" s="204" t="n">
        <v>-1.9</v>
      </c>
      <c r="M156" s="204" t="n">
        <v>5.6</v>
      </c>
      <c r="N156" s="206" t="n">
        <v>40576</v>
      </c>
      <c r="O156" s="204" t="n">
        <f aca="false">IF(K156&gt;0,O155+K156,O155)</f>
        <v>1383.1</v>
      </c>
      <c r="Q156" s="204" t="n">
        <f aca="false">IF(K156&gt;0,Q155+K156,Q155)</f>
        <v>198.4</v>
      </c>
      <c r="S156" s="204" t="n">
        <f aca="false">S155+I156</f>
        <v>113575</v>
      </c>
      <c r="U156" s="204" t="n">
        <f aca="false">U155+I156</f>
        <v>19074</v>
      </c>
      <c r="W156" s="204" t="n">
        <f aca="false">W155+J156</f>
        <v>228.6</v>
      </c>
      <c r="Y156" s="204" t="n">
        <v>32.2</v>
      </c>
      <c r="AB156" s="204" t="n">
        <f aca="false">IF(K156&lt;0,1,0)</f>
        <v>0</v>
      </c>
      <c r="AC156" s="204" t="n">
        <f aca="false">IF(K156&lt;4.5,1,0)</f>
        <v>1</v>
      </c>
      <c r="AD156" s="204" t="n">
        <f aca="false">AD155+D156</f>
        <v>196.4</v>
      </c>
      <c r="AE156" s="204" t="n">
        <f aca="false">I156/K156</f>
        <v>349</v>
      </c>
    </row>
    <row r="157" customFormat="false" ht="12" hidden="false" customHeight="false" outlineLevel="0" collapsed="false">
      <c r="A157" s="204" t="n">
        <v>2011</v>
      </c>
      <c r="B157" s="204" t="n">
        <v>2</v>
      </c>
      <c r="C157" s="204" t="n">
        <v>3</v>
      </c>
      <c r="D157" s="204" t="n">
        <v>1.1</v>
      </c>
      <c r="G157" s="204" t="n">
        <f aca="false">G156+D157</f>
        <v>20.4</v>
      </c>
      <c r="I157" s="204" t="n">
        <v>428</v>
      </c>
      <c r="J157" s="204" t="n">
        <v>0</v>
      </c>
      <c r="K157" s="204" t="n">
        <v>7.6</v>
      </c>
      <c r="L157" s="204" t="n">
        <v>4.2</v>
      </c>
      <c r="M157" s="204" t="n">
        <v>10.5</v>
      </c>
      <c r="N157" s="206" t="n">
        <v>40577</v>
      </c>
      <c r="O157" s="204" t="n">
        <f aca="false">IF(K157&gt;0,O156+K157,O156)</f>
        <v>1390.7</v>
      </c>
      <c r="Q157" s="204" t="n">
        <f aca="false">IF(K157&gt;0,Q156+K157,Q156)</f>
        <v>206</v>
      </c>
      <c r="S157" s="204" t="n">
        <f aca="false">S156+I157</f>
        <v>114003</v>
      </c>
      <c r="U157" s="204" t="n">
        <f aca="false">U156+I157</f>
        <v>19502</v>
      </c>
      <c r="W157" s="204" t="n">
        <f aca="false">W156+J157</f>
        <v>228.6</v>
      </c>
      <c r="Y157" s="204" t="n">
        <v>32.2</v>
      </c>
      <c r="AB157" s="204" t="n">
        <f aca="false">IF(K157&lt;0,1,0)</f>
        <v>0</v>
      </c>
      <c r="AC157" s="204" t="n">
        <f aca="false">IF(K157&lt;4.5,1,0)</f>
        <v>0</v>
      </c>
      <c r="AD157" s="204" t="n">
        <f aca="false">AD156+D157</f>
        <v>197.5</v>
      </c>
      <c r="AE157" s="204" t="n">
        <f aca="false">I157/K157</f>
        <v>56.3157894736842</v>
      </c>
    </row>
    <row r="158" customFormat="false" ht="12" hidden="false" customHeight="false" outlineLevel="0" collapsed="false">
      <c r="A158" s="204" t="n">
        <v>2011</v>
      </c>
      <c r="B158" s="204" t="n">
        <v>2</v>
      </c>
      <c r="C158" s="204" t="n">
        <v>4</v>
      </c>
      <c r="D158" s="204" t="n">
        <v>1.2</v>
      </c>
      <c r="G158" s="204" t="n">
        <f aca="false">G157+D158</f>
        <v>21.6</v>
      </c>
      <c r="I158" s="204" t="n">
        <v>737</v>
      </c>
      <c r="J158" s="204" t="n">
        <v>0</v>
      </c>
      <c r="K158" s="204" t="n">
        <v>9.3</v>
      </c>
      <c r="L158" s="204" t="n">
        <v>7.1</v>
      </c>
      <c r="M158" s="204" t="n">
        <v>13.2</v>
      </c>
      <c r="N158" s="206" t="n">
        <v>40578</v>
      </c>
      <c r="O158" s="204" t="n">
        <f aca="false">IF(K158&gt;0,O157+K158,O157)</f>
        <v>1400</v>
      </c>
      <c r="Q158" s="204" t="n">
        <f aca="false">IF(K158&gt;0,Q157+K158,Q157)</f>
        <v>215.3</v>
      </c>
      <c r="S158" s="204" t="n">
        <f aca="false">S157+I158</f>
        <v>114740</v>
      </c>
      <c r="U158" s="204" t="n">
        <f aca="false">U157+I158</f>
        <v>20239</v>
      </c>
      <c r="W158" s="204" t="n">
        <f aca="false">W157+J158</f>
        <v>228.6</v>
      </c>
      <c r="Y158" s="204" t="n">
        <v>32.2</v>
      </c>
      <c r="AB158" s="204" t="n">
        <f aca="false">IF(K158&lt;0,1,0)</f>
        <v>0</v>
      </c>
      <c r="AC158" s="204" t="n">
        <f aca="false">IF(K158&lt;4.5,1,0)</f>
        <v>0</v>
      </c>
      <c r="AD158" s="204" t="n">
        <f aca="false">AD157+D158</f>
        <v>198.7</v>
      </c>
      <c r="AE158" s="204" t="n">
        <f aca="false">I158/K158</f>
        <v>79.247311827957</v>
      </c>
    </row>
    <row r="159" customFormat="false" ht="12" hidden="false" customHeight="false" outlineLevel="0" collapsed="false">
      <c r="A159" s="204" t="n">
        <v>2011</v>
      </c>
      <c r="B159" s="204" t="n">
        <v>2</v>
      </c>
      <c r="C159" s="204" t="n">
        <v>5</v>
      </c>
      <c r="D159" s="204" t="n">
        <v>0.3</v>
      </c>
      <c r="G159" s="204" t="n">
        <f aca="false">G158+D159</f>
        <v>21.9</v>
      </c>
      <c r="I159" s="204" t="n">
        <v>1097</v>
      </c>
      <c r="J159" s="204" t="n">
        <v>0</v>
      </c>
      <c r="K159" s="204" t="n">
        <v>7</v>
      </c>
      <c r="L159" s="204" t="n">
        <v>1.8</v>
      </c>
      <c r="M159" s="204" t="n">
        <v>12.9</v>
      </c>
      <c r="N159" s="206" t="n">
        <v>40579</v>
      </c>
      <c r="O159" s="204" t="n">
        <f aca="false">IF(K159&gt;0,O158+K159,O158)</f>
        <v>1407</v>
      </c>
      <c r="Q159" s="204" t="n">
        <f aca="false">IF(K159&gt;0,Q158+K159,Q158)</f>
        <v>222.3</v>
      </c>
      <c r="S159" s="204" t="n">
        <f aca="false">S158+I159</f>
        <v>115837</v>
      </c>
      <c r="U159" s="204" t="n">
        <f aca="false">U158+I159</f>
        <v>21336</v>
      </c>
      <c r="W159" s="204" t="n">
        <f aca="false">W158+J159</f>
        <v>228.6</v>
      </c>
      <c r="Y159" s="204" t="n">
        <v>32.2</v>
      </c>
      <c r="AB159" s="204" t="n">
        <f aca="false">IF(K159&lt;0,1,0)</f>
        <v>0</v>
      </c>
      <c r="AC159" s="204" t="n">
        <f aca="false">IF(K159&lt;4.5,1,0)</f>
        <v>0</v>
      </c>
      <c r="AD159" s="204" t="n">
        <f aca="false">AD158+D159</f>
        <v>199</v>
      </c>
      <c r="AE159" s="204" t="n">
        <f aca="false">I159/K159</f>
        <v>156.714285714286</v>
      </c>
    </row>
    <row r="160" customFormat="false" ht="12" hidden="false" customHeight="false" outlineLevel="0" collapsed="false">
      <c r="A160" s="204" t="n">
        <v>2011</v>
      </c>
      <c r="B160" s="204" t="n">
        <v>2</v>
      </c>
      <c r="C160" s="204" t="n">
        <v>6</v>
      </c>
      <c r="D160" s="204" t="n">
        <v>0.7</v>
      </c>
      <c r="G160" s="204" t="n">
        <f aca="false">G159+D160</f>
        <v>22.6</v>
      </c>
      <c r="I160" s="204" t="n">
        <v>970</v>
      </c>
      <c r="J160" s="204" t="n">
        <v>0.4</v>
      </c>
      <c r="K160" s="204" t="n">
        <v>2.9</v>
      </c>
      <c r="L160" s="204" t="n">
        <v>-1.9</v>
      </c>
      <c r="M160" s="204" t="n">
        <v>11.8</v>
      </c>
      <c r="N160" s="206" t="n">
        <v>40580</v>
      </c>
      <c r="O160" s="204" t="n">
        <f aca="false">IF(K160&gt;0,O159+K160,O159)</f>
        <v>1409.9</v>
      </c>
      <c r="Q160" s="204" t="n">
        <f aca="false">IF(K160&gt;0,Q159+K160,Q159)</f>
        <v>225.2</v>
      </c>
      <c r="S160" s="204" t="n">
        <f aca="false">S159+I160</f>
        <v>116807</v>
      </c>
      <c r="U160" s="204" t="n">
        <f aca="false">U159+I160</f>
        <v>22306</v>
      </c>
      <c r="W160" s="204" t="n">
        <f aca="false">W159+J160</f>
        <v>229</v>
      </c>
      <c r="Y160" s="204" t="n">
        <v>32.6</v>
      </c>
      <c r="AB160" s="204" t="n">
        <f aca="false">IF(K160&lt;0,1,0)</f>
        <v>0</v>
      </c>
      <c r="AC160" s="204" t="n">
        <f aca="false">IF(K160&lt;4.5,1,0)</f>
        <v>1</v>
      </c>
      <c r="AD160" s="204" t="n">
        <f aca="false">AD159+D160</f>
        <v>199.7</v>
      </c>
      <c r="AE160" s="204" t="n">
        <f aca="false">I160/K160</f>
        <v>334.48275862069</v>
      </c>
    </row>
    <row r="161" customFormat="false" ht="12" hidden="false" customHeight="false" outlineLevel="0" collapsed="false">
      <c r="A161" s="204" t="n">
        <v>2011</v>
      </c>
      <c r="B161" s="204" t="n">
        <v>2</v>
      </c>
      <c r="C161" s="204" t="n">
        <v>7</v>
      </c>
      <c r="D161" s="204" t="n">
        <v>0.6</v>
      </c>
      <c r="G161" s="204" t="n">
        <f aca="false">G160+D161</f>
        <v>23.2</v>
      </c>
      <c r="I161" s="204" t="n">
        <v>1159</v>
      </c>
      <c r="J161" s="204" t="n">
        <v>0.2</v>
      </c>
      <c r="K161" s="204" t="n">
        <v>5.6</v>
      </c>
      <c r="L161" s="204" t="n">
        <v>-2.1</v>
      </c>
      <c r="M161" s="204" t="n">
        <v>15.5</v>
      </c>
      <c r="N161" s="206" t="n">
        <v>40581</v>
      </c>
      <c r="O161" s="204" t="n">
        <f aca="false">IF(K161&gt;0,O160+K161,O160)</f>
        <v>1415.5</v>
      </c>
      <c r="Q161" s="204" t="n">
        <f aca="false">IF(K161&gt;0,Q160+K161,Q160)</f>
        <v>230.8</v>
      </c>
      <c r="S161" s="204" t="n">
        <f aca="false">S160+I161</f>
        <v>117966</v>
      </c>
      <c r="U161" s="204" t="n">
        <f aca="false">U160+I161</f>
        <v>23465</v>
      </c>
      <c r="W161" s="204" t="n">
        <f aca="false">W160+J161</f>
        <v>229.2</v>
      </c>
      <c r="Y161" s="204" t="n">
        <v>32.8</v>
      </c>
      <c r="AB161" s="204" t="n">
        <f aca="false">IF(K161&lt;0,1,0)</f>
        <v>0</v>
      </c>
      <c r="AC161" s="204" t="n">
        <f aca="false">IF(K161&lt;4.5,1,0)</f>
        <v>0</v>
      </c>
      <c r="AD161" s="204" t="n">
        <f aca="false">AD160+D161</f>
        <v>200.3</v>
      </c>
      <c r="AE161" s="204" t="n">
        <f aca="false">I161/K161</f>
        <v>206.964285714286</v>
      </c>
    </row>
    <row r="162" customFormat="false" ht="12" hidden="false" customHeight="false" outlineLevel="0" collapsed="false">
      <c r="A162" s="204" t="n">
        <v>2011</v>
      </c>
      <c r="B162" s="204" t="n">
        <v>2</v>
      </c>
      <c r="C162" s="204" t="n">
        <v>8</v>
      </c>
      <c r="D162" s="204" t="n">
        <v>0.4</v>
      </c>
      <c r="G162" s="204" t="n">
        <f aca="false">G161+D162</f>
        <v>23.6</v>
      </c>
      <c r="I162" s="204" t="n">
        <v>1101</v>
      </c>
      <c r="J162" s="204" t="n">
        <v>0.2</v>
      </c>
      <c r="K162" s="204" t="n">
        <v>7.2</v>
      </c>
      <c r="L162" s="204" t="n">
        <v>0.8</v>
      </c>
      <c r="M162" s="204" t="n">
        <v>15.4</v>
      </c>
      <c r="N162" s="206" t="n">
        <v>40582</v>
      </c>
      <c r="O162" s="204" t="n">
        <f aca="false">IF(K162&gt;0,O161+K162,O161)</f>
        <v>1422.7</v>
      </c>
      <c r="Q162" s="204" t="n">
        <f aca="false">IF(K162&gt;0,Q161+K162,Q161)</f>
        <v>238</v>
      </c>
      <c r="S162" s="204" t="n">
        <f aca="false">S161+I162</f>
        <v>119067</v>
      </c>
      <c r="U162" s="204" t="n">
        <f aca="false">U161+I162</f>
        <v>24566</v>
      </c>
      <c r="W162" s="204" t="n">
        <f aca="false">W161+J162</f>
        <v>229.4</v>
      </c>
      <c r="Y162" s="204" t="n">
        <v>33</v>
      </c>
      <c r="AB162" s="204" t="n">
        <f aca="false">IF(K162&lt;0,1,0)</f>
        <v>0</v>
      </c>
      <c r="AC162" s="204" t="n">
        <f aca="false">IF(K162&lt;4.5,1,0)</f>
        <v>0</v>
      </c>
      <c r="AD162" s="204" t="n">
        <f aca="false">AD161+D162</f>
        <v>200.7</v>
      </c>
      <c r="AE162" s="204" t="n">
        <f aca="false">I162/K162</f>
        <v>152.916666666667</v>
      </c>
    </row>
    <row r="163" customFormat="false" ht="12" hidden="false" customHeight="false" outlineLevel="0" collapsed="false">
      <c r="A163" s="204" t="n">
        <v>2011</v>
      </c>
      <c r="B163" s="204" t="n">
        <v>2</v>
      </c>
      <c r="C163" s="204" t="n">
        <v>9</v>
      </c>
      <c r="D163" s="204" t="n">
        <v>0.7</v>
      </c>
      <c r="G163" s="204" t="n">
        <f aca="false">G162+D163</f>
        <v>24.3</v>
      </c>
      <c r="I163" s="204" t="n">
        <v>1167</v>
      </c>
      <c r="J163" s="204" t="n">
        <v>0.2</v>
      </c>
      <c r="K163" s="204" t="n">
        <v>6.8</v>
      </c>
      <c r="L163" s="204" t="n">
        <v>0.1</v>
      </c>
      <c r="M163" s="204" t="n">
        <v>15.4</v>
      </c>
      <c r="N163" s="206" t="n">
        <v>40583</v>
      </c>
      <c r="O163" s="204" t="n">
        <f aca="false">IF(K163&gt;0,O162+K163,O162)</f>
        <v>1429.5</v>
      </c>
      <c r="Q163" s="204" t="n">
        <f aca="false">IF(K163&gt;0,Q162+K163,Q162)</f>
        <v>244.8</v>
      </c>
      <c r="S163" s="204" t="n">
        <f aca="false">S162+I163</f>
        <v>120234</v>
      </c>
      <c r="U163" s="204" t="n">
        <f aca="false">U162+I163</f>
        <v>25733</v>
      </c>
      <c r="W163" s="204" t="n">
        <f aca="false">W162+J163</f>
        <v>229.6</v>
      </c>
      <c r="Y163" s="204" t="n">
        <v>33.2</v>
      </c>
      <c r="AB163" s="204" t="n">
        <f aca="false">IF(K163&lt;0,1,0)</f>
        <v>0</v>
      </c>
      <c r="AC163" s="204" t="n">
        <f aca="false">IF(K163&lt;4.5,1,0)</f>
        <v>0</v>
      </c>
      <c r="AD163" s="204" t="n">
        <f aca="false">AD162+D163</f>
        <v>201.4</v>
      </c>
      <c r="AE163" s="204" t="n">
        <f aca="false">I163/K163</f>
        <v>171.617647058824</v>
      </c>
    </row>
    <row r="164" customFormat="false" ht="12" hidden="false" customHeight="false" outlineLevel="0" collapsed="false">
      <c r="A164" s="204" t="n">
        <v>2011</v>
      </c>
      <c r="B164" s="204" t="n">
        <v>2</v>
      </c>
      <c r="C164" s="204" t="n">
        <v>10</v>
      </c>
      <c r="D164" s="204" t="n">
        <v>0.8</v>
      </c>
      <c r="G164" s="204" t="n">
        <f aca="false">G163+D164</f>
        <v>25.1</v>
      </c>
      <c r="I164" s="204" t="n">
        <v>1003</v>
      </c>
      <c r="J164" s="204" t="n">
        <v>0</v>
      </c>
      <c r="K164" s="204" t="n">
        <v>6.1</v>
      </c>
      <c r="L164" s="204" t="n">
        <v>0.2</v>
      </c>
      <c r="M164" s="204" t="n">
        <v>14.2</v>
      </c>
      <c r="N164" s="206" t="n">
        <v>40584</v>
      </c>
      <c r="O164" s="204" t="n">
        <f aca="false">IF(K164&gt;0,O163+K164,O163)</f>
        <v>1435.6</v>
      </c>
      <c r="Q164" s="204" t="n">
        <f aca="false">IF(K164&gt;0,Q163+K164,Q163)</f>
        <v>250.9</v>
      </c>
      <c r="S164" s="204" t="n">
        <f aca="false">S163+I164</f>
        <v>121237</v>
      </c>
      <c r="U164" s="204" t="n">
        <f aca="false">U163+I164</f>
        <v>26736</v>
      </c>
      <c r="W164" s="204" t="n">
        <f aca="false">W163+J164</f>
        <v>229.6</v>
      </c>
      <c r="Y164" s="204" t="n">
        <v>33.2</v>
      </c>
      <c r="AB164" s="204" t="n">
        <f aca="false">IF(K164&lt;0,1,0)</f>
        <v>0</v>
      </c>
      <c r="AC164" s="204" t="n">
        <f aca="false">IF(K164&lt;4.5,1,0)</f>
        <v>0</v>
      </c>
      <c r="AD164" s="204" t="n">
        <f aca="false">AD163+D164</f>
        <v>202.2</v>
      </c>
      <c r="AE164" s="204" t="n">
        <f aca="false">I164/K164</f>
        <v>164.426229508197</v>
      </c>
    </row>
    <row r="165" customFormat="false" ht="12" hidden="false" customHeight="false" outlineLevel="0" collapsed="false">
      <c r="A165" s="204" t="n">
        <v>2011</v>
      </c>
      <c r="B165" s="204" t="n">
        <v>2</v>
      </c>
      <c r="C165" s="204" t="n">
        <v>11</v>
      </c>
      <c r="D165" s="204" t="n">
        <v>1.2</v>
      </c>
      <c r="G165" s="204" t="n">
        <f aca="false">G164+D165</f>
        <v>26.3</v>
      </c>
      <c r="I165" s="204" t="n">
        <v>1071</v>
      </c>
      <c r="J165" s="204" t="n">
        <v>0</v>
      </c>
      <c r="K165" s="204" t="n">
        <v>8.3</v>
      </c>
      <c r="L165" s="204" t="n">
        <v>4.7</v>
      </c>
      <c r="M165" s="204" t="n">
        <v>13.4</v>
      </c>
      <c r="N165" s="206" t="n">
        <v>40585</v>
      </c>
      <c r="O165" s="204" t="n">
        <f aca="false">IF(K165&gt;0,O164+K165,O164)</f>
        <v>1443.9</v>
      </c>
      <c r="Q165" s="204" t="n">
        <f aca="false">IF(K165&gt;0,Q164+K165,Q164)</f>
        <v>259.2</v>
      </c>
      <c r="S165" s="204" t="n">
        <f aca="false">S164+I165</f>
        <v>122308</v>
      </c>
      <c r="U165" s="204" t="n">
        <f aca="false">U164+I165</f>
        <v>27807</v>
      </c>
      <c r="W165" s="204" t="n">
        <f aca="false">W164+J165</f>
        <v>229.6</v>
      </c>
      <c r="Y165" s="204" t="n">
        <v>33.2</v>
      </c>
      <c r="AB165" s="204" t="n">
        <f aca="false">IF(K165&lt;0,1,0)</f>
        <v>0</v>
      </c>
      <c r="AC165" s="204" t="n">
        <f aca="false">IF(K165&lt;4.5,1,0)</f>
        <v>0</v>
      </c>
      <c r="AD165" s="204" t="n">
        <f aca="false">AD164+D165</f>
        <v>203.4</v>
      </c>
      <c r="AE165" s="204" t="n">
        <f aca="false">I165/K165</f>
        <v>129.036144578313</v>
      </c>
    </row>
    <row r="166" customFormat="false" ht="12" hidden="false" customHeight="false" outlineLevel="0" collapsed="false">
      <c r="A166" s="204" t="n">
        <v>2011</v>
      </c>
      <c r="B166" s="204" t="n">
        <v>2</v>
      </c>
      <c r="C166" s="204" t="n">
        <v>12</v>
      </c>
      <c r="D166" s="204" t="n">
        <v>0.9</v>
      </c>
      <c r="G166" s="204" t="n">
        <f aca="false">G165+D166</f>
        <v>27.2</v>
      </c>
      <c r="I166" s="204" t="n">
        <v>935</v>
      </c>
      <c r="J166" s="204" t="n">
        <v>1.2</v>
      </c>
      <c r="K166" s="204" t="n">
        <v>7.2</v>
      </c>
      <c r="L166" s="204" t="n">
        <v>0.8</v>
      </c>
      <c r="M166" s="204" t="n">
        <v>14.8</v>
      </c>
      <c r="N166" s="206" t="n">
        <v>40586</v>
      </c>
      <c r="O166" s="204" t="n">
        <f aca="false">IF(K166&gt;0,O165+K166,O165)</f>
        <v>1451.1</v>
      </c>
      <c r="Q166" s="204" t="n">
        <f aca="false">IF(K166&gt;0,Q165+K166,Q165)</f>
        <v>266.4</v>
      </c>
      <c r="S166" s="204" t="n">
        <f aca="false">S165+I166</f>
        <v>123243</v>
      </c>
      <c r="U166" s="204" t="n">
        <f aca="false">U165+I166</f>
        <v>28742</v>
      </c>
      <c r="W166" s="204" t="n">
        <f aca="false">W165+J166</f>
        <v>230.8</v>
      </c>
      <c r="Y166" s="204" t="n">
        <v>34.4</v>
      </c>
      <c r="AB166" s="204" t="n">
        <f aca="false">IF(K166&lt;0,1,0)</f>
        <v>0</v>
      </c>
      <c r="AC166" s="204" t="n">
        <f aca="false">IF(K166&lt;4.5,1,0)</f>
        <v>0</v>
      </c>
      <c r="AD166" s="204" t="n">
        <f aca="false">AD165+D166</f>
        <v>204.3</v>
      </c>
      <c r="AE166" s="204" t="n">
        <f aca="false">I166/K166</f>
        <v>129.861111111111</v>
      </c>
    </row>
    <row r="167" customFormat="false" ht="12" hidden="false" customHeight="false" outlineLevel="0" collapsed="false">
      <c r="A167" s="204" t="n">
        <v>2011</v>
      </c>
      <c r="B167" s="204" t="n">
        <v>2</v>
      </c>
      <c r="C167" s="204" t="n">
        <v>13</v>
      </c>
      <c r="D167" s="204" t="n">
        <v>0.9</v>
      </c>
      <c r="G167" s="204" t="n">
        <f aca="false">G166+D167</f>
        <v>28.1</v>
      </c>
      <c r="I167" s="204" t="n">
        <v>918</v>
      </c>
      <c r="J167" s="204" t="n">
        <v>0.2</v>
      </c>
      <c r="K167" s="204" t="n">
        <v>7</v>
      </c>
      <c r="L167" s="204" t="n">
        <v>3.2</v>
      </c>
      <c r="M167" s="204" t="n">
        <v>12.3</v>
      </c>
      <c r="N167" s="206" t="n">
        <v>40587</v>
      </c>
      <c r="O167" s="204" t="n">
        <f aca="false">IF(K167&gt;0,O166+K167,O166)</f>
        <v>1458.1</v>
      </c>
      <c r="Q167" s="204" t="n">
        <f aca="false">IF(K167&gt;0,Q166+K167,Q166)</f>
        <v>273.4</v>
      </c>
      <c r="S167" s="204" t="n">
        <f aca="false">S166+I167</f>
        <v>124161</v>
      </c>
      <c r="U167" s="204" t="n">
        <f aca="false">U166+I167</f>
        <v>29660</v>
      </c>
      <c r="W167" s="204" t="n">
        <f aca="false">W166+J167</f>
        <v>231</v>
      </c>
      <c r="Y167" s="204" t="n">
        <v>34.6</v>
      </c>
      <c r="AB167" s="204" t="n">
        <f aca="false">IF(K167&lt;0,1,0)</f>
        <v>0</v>
      </c>
      <c r="AC167" s="204" t="n">
        <f aca="false">IF(K167&lt;4.5,1,0)</f>
        <v>0</v>
      </c>
      <c r="AD167" s="204" t="n">
        <f aca="false">AD166+D167</f>
        <v>205.2</v>
      </c>
      <c r="AE167" s="204" t="n">
        <f aca="false">I167/K167</f>
        <v>131.142857142857</v>
      </c>
    </row>
    <row r="168" customFormat="false" ht="12" hidden="false" customHeight="false" outlineLevel="0" collapsed="false">
      <c r="A168" s="204" t="n">
        <v>2011</v>
      </c>
      <c r="B168" s="204" t="n">
        <v>2</v>
      </c>
      <c r="C168" s="204" t="n">
        <v>14</v>
      </c>
      <c r="D168" s="204" t="n">
        <v>1.4</v>
      </c>
      <c r="G168" s="204" t="n">
        <f aca="false">G167+D168</f>
        <v>29.5</v>
      </c>
      <c r="I168" s="204" t="n">
        <v>635</v>
      </c>
      <c r="J168" s="204" t="n">
        <v>0.6</v>
      </c>
      <c r="K168" s="204" t="n">
        <v>7.4</v>
      </c>
      <c r="L168" s="204" t="n">
        <v>5.9</v>
      </c>
      <c r="M168" s="204" t="n">
        <v>10.1</v>
      </c>
      <c r="N168" s="206" t="n">
        <v>40588</v>
      </c>
      <c r="O168" s="204" t="n">
        <f aca="false">IF(K168&gt;0,O167+K168,O167)</f>
        <v>1465.5</v>
      </c>
      <c r="Q168" s="204" t="n">
        <f aca="false">IF(K168&gt;0,Q167+K168,Q167)</f>
        <v>280.8</v>
      </c>
      <c r="S168" s="204" t="n">
        <f aca="false">S167+I168</f>
        <v>124796</v>
      </c>
      <c r="U168" s="204" t="n">
        <f aca="false">U167+I168</f>
        <v>30295</v>
      </c>
      <c r="W168" s="204" t="n">
        <f aca="false">W167+J168</f>
        <v>231.6</v>
      </c>
      <c r="Y168" s="204" t="n">
        <v>35.2</v>
      </c>
      <c r="AB168" s="204" t="n">
        <f aca="false">IF(K168&lt;0,1,0)</f>
        <v>0</v>
      </c>
      <c r="AC168" s="204" t="n">
        <f aca="false">IF(K168&lt;4.5,1,0)</f>
        <v>0</v>
      </c>
      <c r="AD168" s="204" t="n">
        <f aca="false">AD167+D168</f>
        <v>206.6</v>
      </c>
      <c r="AE168" s="204" t="n">
        <f aca="false">I168/K168</f>
        <v>85.8108108108108</v>
      </c>
    </row>
    <row r="169" customFormat="false" ht="12" hidden="false" customHeight="false" outlineLevel="0" collapsed="false">
      <c r="A169" s="204" t="n">
        <v>2011</v>
      </c>
      <c r="B169" s="204" t="n">
        <v>2</v>
      </c>
      <c r="C169" s="204" t="n">
        <v>15</v>
      </c>
      <c r="D169" s="204" t="n">
        <v>1.5</v>
      </c>
      <c r="G169" s="204" t="n">
        <f aca="false">G168+D169</f>
        <v>31</v>
      </c>
      <c r="I169" s="204" t="n">
        <v>1099</v>
      </c>
      <c r="J169" s="204" t="n">
        <v>0.2</v>
      </c>
      <c r="K169" s="204" t="n">
        <v>9.4</v>
      </c>
      <c r="L169" s="204" t="n">
        <v>4</v>
      </c>
      <c r="M169" s="204" t="n">
        <v>15.1</v>
      </c>
      <c r="N169" s="206" t="n">
        <v>40589</v>
      </c>
      <c r="O169" s="204" t="n">
        <f aca="false">IF(K169&gt;0,O168+K169,O168)</f>
        <v>1474.9</v>
      </c>
      <c r="Q169" s="204" t="n">
        <f aca="false">IF(K169&gt;0,Q168+K169,Q168)</f>
        <v>290.2</v>
      </c>
      <c r="S169" s="204" t="n">
        <f aca="false">S168+I169</f>
        <v>125895</v>
      </c>
      <c r="U169" s="204" t="n">
        <f aca="false">U168+I169</f>
        <v>31394</v>
      </c>
      <c r="W169" s="204" t="n">
        <f aca="false">W168+J169</f>
        <v>231.8</v>
      </c>
      <c r="Y169" s="204" t="n">
        <v>35.4</v>
      </c>
      <c r="AB169" s="204" t="n">
        <f aca="false">IF(K169&lt;0,1,0)</f>
        <v>0</v>
      </c>
      <c r="AC169" s="204" t="n">
        <f aca="false">IF(K169&lt;4.5,1,0)</f>
        <v>0</v>
      </c>
      <c r="AD169" s="204" t="n">
        <f aca="false">AD168+D169</f>
        <v>208.1</v>
      </c>
      <c r="AE169" s="204" t="n">
        <f aca="false">I169/K169</f>
        <v>116.914893617021</v>
      </c>
    </row>
    <row r="170" customFormat="false" ht="12" hidden="false" customHeight="false" outlineLevel="0" collapsed="false">
      <c r="A170" s="204" t="n">
        <v>2011</v>
      </c>
      <c r="B170" s="204" t="n">
        <v>2</v>
      </c>
      <c r="C170" s="204" t="n">
        <v>16</v>
      </c>
      <c r="D170" s="204" t="n">
        <v>1.6</v>
      </c>
      <c r="G170" s="204" t="n">
        <f aca="false">G169+D170</f>
        <v>32.6</v>
      </c>
      <c r="I170" s="204" t="n">
        <v>1148</v>
      </c>
      <c r="J170" s="204" t="n">
        <v>0</v>
      </c>
      <c r="K170" s="204" t="n">
        <v>9</v>
      </c>
      <c r="L170" s="204" t="n">
        <v>4.8</v>
      </c>
      <c r="M170" s="204" t="n">
        <v>14</v>
      </c>
      <c r="N170" s="206" t="n">
        <v>40590</v>
      </c>
      <c r="O170" s="204" t="n">
        <f aca="false">IF(K170&gt;0,O169+K170,O169)</f>
        <v>1483.9</v>
      </c>
      <c r="Q170" s="204" t="n">
        <f aca="false">IF(K170&gt;0,Q169+K170,Q169)</f>
        <v>299.2</v>
      </c>
      <c r="S170" s="204" t="n">
        <f aca="false">S169+I170</f>
        <v>127043</v>
      </c>
      <c r="U170" s="204" t="n">
        <f aca="false">U169+I170</f>
        <v>32542</v>
      </c>
      <c r="W170" s="204" t="n">
        <f aca="false">W169+J170</f>
        <v>231.8</v>
      </c>
      <c r="Y170" s="204" t="n">
        <v>35.4</v>
      </c>
      <c r="AB170" s="204" t="n">
        <f aca="false">IF(K170&lt;0,1,0)</f>
        <v>0</v>
      </c>
      <c r="AC170" s="204" t="n">
        <f aca="false">IF(K170&lt;4.5,1,0)</f>
        <v>0</v>
      </c>
      <c r="AD170" s="204" t="n">
        <f aca="false">AD169+D170</f>
        <v>209.7</v>
      </c>
      <c r="AE170" s="204" t="n">
        <f aca="false">I170/K170</f>
        <v>127.555555555556</v>
      </c>
    </row>
    <row r="171" customFormat="false" ht="12" hidden="false" customHeight="false" outlineLevel="0" collapsed="false">
      <c r="A171" s="204" t="n">
        <v>2011</v>
      </c>
      <c r="B171" s="204" t="n">
        <v>2</v>
      </c>
      <c r="C171" s="204" t="n">
        <v>17</v>
      </c>
      <c r="D171" s="204" t="n">
        <v>0.9</v>
      </c>
      <c r="G171" s="204" t="n">
        <f aca="false">G170+D171</f>
        <v>33.5</v>
      </c>
      <c r="I171" s="204" t="n">
        <v>404</v>
      </c>
      <c r="J171" s="204" t="n">
        <v>0</v>
      </c>
      <c r="K171" s="204" t="n">
        <v>7.7</v>
      </c>
      <c r="L171" s="204" t="n">
        <v>3.6</v>
      </c>
      <c r="M171" s="204" t="n">
        <v>10.7</v>
      </c>
      <c r="N171" s="206" t="n">
        <v>40591</v>
      </c>
      <c r="O171" s="204" t="n">
        <f aca="false">IF(K171&gt;0,O170+K171,O170)</f>
        <v>1491.6</v>
      </c>
      <c r="Q171" s="204" t="n">
        <f aca="false">IF(K171&gt;0,Q170+K171,Q170)</f>
        <v>306.9</v>
      </c>
      <c r="S171" s="204" t="n">
        <f aca="false">S170+I171</f>
        <v>127447</v>
      </c>
      <c r="U171" s="204" t="n">
        <f aca="false">U170+I171</f>
        <v>32946</v>
      </c>
      <c r="W171" s="204" t="n">
        <f aca="false">W170+J171</f>
        <v>231.8</v>
      </c>
      <c r="Y171" s="204" t="n">
        <v>35.4</v>
      </c>
      <c r="AB171" s="204" t="n">
        <f aca="false">IF(K171&lt;0,1,0)</f>
        <v>0</v>
      </c>
      <c r="AC171" s="204" t="n">
        <f aca="false">IF(K171&lt;4.5,1,0)</f>
        <v>0</v>
      </c>
      <c r="AD171" s="204" t="n">
        <f aca="false">AD170+D171</f>
        <v>210.6</v>
      </c>
      <c r="AE171" s="204" t="n">
        <f aca="false">I171/K171</f>
        <v>52.4675324675325</v>
      </c>
    </row>
    <row r="172" customFormat="false" ht="12" hidden="false" customHeight="false" outlineLevel="0" collapsed="false">
      <c r="A172" s="204" t="n">
        <v>2011</v>
      </c>
      <c r="B172" s="204" t="n">
        <v>2</v>
      </c>
      <c r="C172" s="204" t="n">
        <v>18</v>
      </c>
      <c r="D172" s="204" t="n">
        <v>2.1</v>
      </c>
      <c r="G172" s="204" t="n">
        <f aca="false">G171+D172</f>
        <v>35.6</v>
      </c>
      <c r="I172" s="204" t="n">
        <v>969</v>
      </c>
      <c r="J172" s="204" t="n">
        <v>0</v>
      </c>
      <c r="K172" s="204" t="n">
        <v>9.1</v>
      </c>
      <c r="L172" s="204" t="n">
        <v>7.1</v>
      </c>
      <c r="M172" s="204" t="n">
        <v>14</v>
      </c>
      <c r="N172" s="206" t="n">
        <v>40592</v>
      </c>
      <c r="O172" s="204" t="n">
        <f aca="false">IF(K172&gt;0,O171+K172,O171)</f>
        <v>1500.7</v>
      </c>
      <c r="Q172" s="204" t="n">
        <f aca="false">IF(K172&gt;0,Q171+K172,Q171)</f>
        <v>316</v>
      </c>
      <c r="S172" s="204" t="n">
        <f aca="false">S171+I172</f>
        <v>128416</v>
      </c>
      <c r="U172" s="204" t="n">
        <f aca="false">U171+I172</f>
        <v>33915</v>
      </c>
      <c r="W172" s="204" t="n">
        <f aca="false">W171+J172</f>
        <v>231.8</v>
      </c>
      <c r="Y172" s="204" t="n">
        <v>35.4</v>
      </c>
      <c r="AB172" s="204" t="n">
        <f aca="false">IF(K172&lt;0,1,0)</f>
        <v>0</v>
      </c>
      <c r="AC172" s="204" t="n">
        <f aca="false">IF(K172&lt;4.5,1,0)</f>
        <v>0</v>
      </c>
      <c r="AD172" s="204" t="n">
        <f aca="false">AD171+D172</f>
        <v>212.7</v>
      </c>
      <c r="AE172" s="204" t="n">
        <f aca="false">I172/K172</f>
        <v>106.483516483516</v>
      </c>
    </row>
    <row r="173" customFormat="false" ht="12" hidden="false" customHeight="false" outlineLevel="0" collapsed="false">
      <c r="A173" s="204" t="n">
        <v>2011</v>
      </c>
      <c r="B173" s="204" t="n">
        <v>2</v>
      </c>
      <c r="C173" s="204" t="n">
        <v>19</v>
      </c>
      <c r="D173" s="204" t="n">
        <v>1</v>
      </c>
      <c r="G173" s="204" t="n">
        <f aca="false">G172+D173</f>
        <v>36.6</v>
      </c>
      <c r="I173" s="204" t="n">
        <v>632</v>
      </c>
      <c r="J173" s="204" t="n">
        <v>3.8</v>
      </c>
      <c r="K173" s="204" t="n">
        <v>7.3</v>
      </c>
      <c r="L173" s="204" t="n">
        <v>1.5</v>
      </c>
      <c r="M173" s="204" t="n">
        <v>14</v>
      </c>
      <c r="N173" s="206" t="n">
        <v>40593</v>
      </c>
      <c r="O173" s="204" t="n">
        <f aca="false">IF(K173&gt;0,O172+K173,O172)</f>
        <v>1508</v>
      </c>
      <c r="Q173" s="204" t="n">
        <f aca="false">IF(K173&gt;0,Q172+K173,Q172)</f>
        <v>323.3</v>
      </c>
      <c r="S173" s="204" t="n">
        <f aca="false">S172+I173</f>
        <v>129048</v>
      </c>
      <c r="U173" s="204" t="n">
        <f aca="false">U172+I173</f>
        <v>34547</v>
      </c>
      <c r="W173" s="204" t="n">
        <f aca="false">W172+J173</f>
        <v>235.6</v>
      </c>
      <c r="Y173" s="204" t="n">
        <v>39.2</v>
      </c>
      <c r="AB173" s="204" t="n">
        <f aca="false">IF(K173&lt;0,1,0)</f>
        <v>0</v>
      </c>
      <c r="AC173" s="204" t="n">
        <f aca="false">IF(K173&lt;4.5,1,0)</f>
        <v>0</v>
      </c>
      <c r="AD173" s="204" t="n">
        <f aca="false">AD172+D173</f>
        <v>213.7</v>
      </c>
      <c r="AE173" s="204" t="n">
        <f aca="false">I173/K173</f>
        <v>86.5753424657534</v>
      </c>
    </row>
    <row r="174" customFormat="false" ht="12" hidden="false" customHeight="false" outlineLevel="0" collapsed="false">
      <c r="A174" s="204" t="n">
        <v>2011</v>
      </c>
      <c r="B174" s="204" t="n">
        <v>2</v>
      </c>
      <c r="C174" s="204" t="n">
        <v>20</v>
      </c>
      <c r="D174" s="204" t="n">
        <v>1.6</v>
      </c>
      <c r="G174" s="204" t="n">
        <f aca="false">G173+D174</f>
        <v>38.2</v>
      </c>
      <c r="I174" s="204" t="n">
        <v>871</v>
      </c>
      <c r="J174" s="204" t="n">
        <v>0</v>
      </c>
      <c r="K174" s="204" t="n">
        <v>9</v>
      </c>
      <c r="L174" s="204" t="n">
        <v>7.7</v>
      </c>
      <c r="M174" s="204" t="n">
        <v>13.2</v>
      </c>
      <c r="N174" s="206" t="n">
        <v>40594</v>
      </c>
      <c r="O174" s="204" t="n">
        <f aca="false">IF(K174&gt;0,O173+K174,O173)</f>
        <v>1517</v>
      </c>
      <c r="Q174" s="204" t="n">
        <f aca="false">IF(K174&gt;0,Q173+K174,Q173)</f>
        <v>332.3</v>
      </c>
      <c r="S174" s="204" t="n">
        <f aca="false">S173+I174</f>
        <v>129919</v>
      </c>
      <c r="U174" s="204" t="n">
        <f aca="false">U173+I174</f>
        <v>35418</v>
      </c>
      <c r="W174" s="204" t="n">
        <f aca="false">W173+J174</f>
        <v>235.6</v>
      </c>
      <c r="Y174" s="204" t="n">
        <v>39.2</v>
      </c>
      <c r="AB174" s="204" t="n">
        <f aca="false">IF(K174&lt;0,1,0)</f>
        <v>0</v>
      </c>
      <c r="AC174" s="204" t="n">
        <f aca="false">IF(K174&lt;4.5,1,0)</f>
        <v>0</v>
      </c>
      <c r="AD174" s="204" t="n">
        <f aca="false">AD173+D174</f>
        <v>215.3</v>
      </c>
      <c r="AE174" s="204" t="n">
        <f aca="false">I174/K174</f>
        <v>96.7777777777778</v>
      </c>
    </row>
    <row r="175" customFormat="false" ht="12" hidden="false" customHeight="false" outlineLevel="0" collapsed="false">
      <c r="A175" s="204" t="n">
        <v>2011</v>
      </c>
      <c r="B175" s="204" t="n">
        <v>2</v>
      </c>
      <c r="C175" s="204" t="n">
        <v>21</v>
      </c>
      <c r="D175" s="204" t="n">
        <v>1</v>
      </c>
      <c r="G175" s="204" t="n">
        <f aca="false">G174+D175</f>
        <v>39.2</v>
      </c>
      <c r="I175" s="204" t="n">
        <v>562</v>
      </c>
      <c r="J175" s="204" t="n">
        <v>10.7</v>
      </c>
      <c r="K175" s="204" t="n">
        <v>9.2</v>
      </c>
      <c r="L175" s="204" t="n">
        <v>4.4</v>
      </c>
      <c r="M175" s="204" t="n">
        <v>11.8</v>
      </c>
      <c r="N175" s="206" t="n">
        <v>40595</v>
      </c>
      <c r="O175" s="204" t="n">
        <f aca="false">IF(K175&gt;0,O174+K175,O174)</f>
        <v>1526.2</v>
      </c>
      <c r="Q175" s="204" t="n">
        <f aca="false">IF(K175&gt;0,Q174+K175,Q174)</f>
        <v>341.5</v>
      </c>
      <c r="S175" s="204" t="n">
        <f aca="false">S174+I175</f>
        <v>130481</v>
      </c>
      <c r="U175" s="204" t="n">
        <f aca="false">U174+I175</f>
        <v>35980</v>
      </c>
      <c r="W175" s="204" t="n">
        <f aca="false">W174+J175</f>
        <v>246.3</v>
      </c>
      <c r="Y175" s="204" t="n">
        <v>49.9</v>
      </c>
      <c r="AB175" s="204" t="n">
        <f aca="false">IF(K175&lt;0,1,0)</f>
        <v>0</v>
      </c>
      <c r="AC175" s="204" t="n">
        <f aca="false">IF(K175&lt;4.5,1,0)</f>
        <v>0</v>
      </c>
      <c r="AD175" s="204" t="n">
        <f aca="false">AD174+D175</f>
        <v>216.3</v>
      </c>
      <c r="AE175" s="204" t="n">
        <f aca="false">I175/K175</f>
        <v>61.0869565217391</v>
      </c>
    </row>
    <row r="176" customFormat="false" ht="12" hidden="false" customHeight="false" outlineLevel="0" collapsed="false">
      <c r="A176" s="204" t="n">
        <v>2011</v>
      </c>
      <c r="B176" s="204" t="n">
        <v>2</v>
      </c>
      <c r="C176" s="204" t="n">
        <v>22</v>
      </c>
      <c r="D176" s="204" t="n">
        <v>0.8</v>
      </c>
      <c r="G176" s="204" t="n">
        <f aca="false">G175+D176</f>
        <v>40</v>
      </c>
      <c r="I176" s="204" t="n">
        <v>247</v>
      </c>
      <c r="J176" s="204" t="n">
        <v>3.2</v>
      </c>
      <c r="K176" s="204" t="n">
        <v>8.5</v>
      </c>
      <c r="L176" s="204" t="n">
        <v>7.3</v>
      </c>
      <c r="M176" s="204" t="n">
        <v>9.9</v>
      </c>
      <c r="N176" s="206" t="n">
        <v>40596</v>
      </c>
      <c r="O176" s="204" t="n">
        <f aca="false">IF(K176&gt;0,O175+K176,O175)</f>
        <v>1534.7</v>
      </c>
      <c r="Q176" s="204" t="n">
        <f aca="false">IF(K176&gt;0,Q175+K176,Q175)</f>
        <v>350</v>
      </c>
      <c r="S176" s="204" t="n">
        <f aca="false">S175+I176</f>
        <v>130728</v>
      </c>
      <c r="U176" s="204" t="n">
        <f aca="false">U175+I176</f>
        <v>36227</v>
      </c>
      <c r="W176" s="204" t="n">
        <f aca="false">W175+J176</f>
        <v>249.5</v>
      </c>
      <c r="Y176" s="204" t="n">
        <v>53.1</v>
      </c>
      <c r="AB176" s="204" t="n">
        <f aca="false">IF(K176&lt;0,1,0)</f>
        <v>0</v>
      </c>
      <c r="AC176" s="204" t="n">
        <f aca="false">IF(K176&lt;4.5,1,0)</f>
        <v>0</v>
      </c>
      <c r="AD176" s="204" t="n">
        <f aca="false">AD175+D176</f>
        <v>217.1</v>
      </c>
      <c r="AE176" s="204" t="n">
        <f aca="false">I176/K176</f>
        <v>29.0588235294118</v>
      </c>
    </row>
    <row r="177" customFormat="false" ht="12" hidden="false" customHeight="false" outlineLevel="0" collapsed="false">
      <c r="A177" s="204" t="n">
        <v>2011</v>
      </c>
      <c r="B177" s="204" t="n">
        <v>2</v>
      </c>
      <c r="C177" s="204" t="n">
        <v>23</v>
      </c>
      <c r="D177" s="204" t="n">
        <v>1.4</v>
      </c>
      <c r="G177" s="204" t="n">
        <f aca="false">G176+D177</f>
        <v>41.4</v>
      </c>
      <c r="I177" s="204" t="n">
        <v>797</v>
      </c>
      <c r="J177" s="204" t="n">
        <v>2.6</v>
      </c>
      <c r="K177" s="204" t="n">
        <v>9</v>
      </c>
      <c r="L177" s="204" t="n">
        <v>6.4</v>
      </c>
      <c r="M177" s="204" t="n">
        <v>11.9</v>
      </c>
      <c r="N177" s="206" t="n">
        <v>40597</v>
      </c>
      <c r="O177" s="204" t="n">
        <f aca="false">IF(K177&gt;0,O176+K177,O176)</f>
        <v>1543.7</v>
      </c>
      <c r="Q177" s="204" t="n">
        <f aca="false">IF(K177&gt;0,Q176+K177,Q176)</f>
        <v>359</v>
      </c>
      <c r="S177" s="204" t="n">
        <f aca="false">S176+I177</f>
        <v>131525</v>
      </c>
      <c r="U177" s="204" t="n">
        <f aca="false">U176+I177</f>
        <v>37024</v>
      </c>
      <c r="W177" s="204" t="n">
        <f aca="false">W176+J177</f>
        <v>252.1</v>
      </c>
      <c r="Y177" s="204" t="n">
        <v>55.7</v>
      </c>
      <c r="AB177" s="204" t="n">
        <f aca="false">IF(K177&lt;0,1,0)</f>
        <v>0</v>
      </c>
      <c r="AC177" s="204" t="n">
        <f aca="false">IF(K177&lt;4.5,1,0)</f>
        <v>0</v>
      </c>
      <c r="AD177" s="204" t="n">
        <f aca="false">AD176+D177</f>
        <v>218.5</v>
      </c>
      <c r="AE177" s="204" t="n">
        <f aca="false">I177/K177</f>
        <v>88.5555555555556</v>
      </c>
    </row>
    <row r="178" customFormat="false" ht="12" hidden="false" customHeight="false" outlineLevel="0" collapsed="false">
      <c r="A178" s="204" t="n">
        <v>2011</v>
      </c>
      <c r="B178" s="204" t="n">
        <v>2</v>
      </c>
      <c r="C178" s="204" t="n">
        <v>24</v>
      </c>
      <c r="D178" s="204" t="n">
        <v>1.7</v>
      </c>
      <c r="G178" s="204" t="n">
        <f aca="false">G177+D178</f>
        <v>43.1</v>
      </c>
      <c r="I178" s="204" t="n">
        <v>713</v>
      </c>
      <c r="J178" s="204" t="n">
        <v>0.6</v>
      </c>
      <c r="K178" s="204" t="n">
        <v>11.1</v>
      </c>
      <c r="L178" s="204" t="n">
        <v>9.5</v>
      </c>
      <c r="M178" s="204" t="n">
        <v>14.2</v>
      </c>
      <c r="N178" s="206" t="n">
        <v>40598</v>
      </c>
      <c r="O178" s="204" t="n">
        <f aca="false">IF(K178&gt;0,O177+K178,O177)</f>
        <v>1554.8</v>
      </c>
      <c r="Q178" s="204" t="n">
        <f aca="false">IF(K178&gt;0,Q177+K178,Q177)</f>
        <v>370.1</v>
      </c>
      <c r="S178" s="204" t="n">
        <f aca="false">S177+I178</f>
        <v>132238</v>
      </c>
      <c r="U178" s="204" t="n">
        <f aca="false">U177+I178</f>
        <v>37737</v>
      </c>
      <c r="W178" s="204" t="n">
        <f aca="false">W177+J178</f>
        <v>252.7</v>
      </c>
      <c r="Y178" s="204" t="n">
        <v>56.3</v>
      </c>
      <c r="AB178" s="204" t="n">
        <f aca="false">IF(K178&lt;0,1,0)</f>
        <v>0</v>
      </c>
      <c r="AC178" s="204" t="n">
        <f aca="false">IF(K178&lt;4.5,1,0)</f>
        <v>0</v>
      </c>
      <c r="AD178" s="204" t="n">
        <f aca="false">AD177+D178</f>
        <v>220.2</v>
      </c>
      <c r="AE178" s="204" t="n">
        <f aca="false">I178/K178</f>
        <v>64.2342342342342</v>
      </c>
    </row>
    <row r="179" customFormat="false" ht="12" hidden="false" customHeight="false" outlineLevel="0" collapsed="false">
      <c r="A179" s="204" t="n">
        <v>2011</v>
      </c>
      <c r="B179" s="204" t="n">
        <v>2</v>
      </c>
      <c r="C179" s="204" t="n">
        <v>25</v>
      </c>
      <c r="D179" s="204" t="n">
        <v>1.7</v>
      </c>
      <c r="G179" s="204" t="n">
        <f aca="false">G178+D179</f>
        <v>44.8</v>
      </c>
      <c r="I179" s="204" t="n">
        <v>541</v>
      </c>
      <c r="J179" s="204" t="n">
        <v>0</v>
      </c>
      <c r="K179" s="204" t="n">
        <v>10.7</v>
      </c>
      <c r="L179" s="204" t="n">
        <v>9.9</v>
      </c>
      <c r="M179" s="204" t="n">
        <v>13.8</v>
      </c>
      <c r="N179" s="206" t="n">
        <v>40599</v>
      </c>
      <c r="O179" s="204" t="n">
        <f aca="false">IF(K179&gt;0,O178+K179,O178)</f>
        <v>1565.5</v>
      </c>
      <c r="Q179" s="204" t="n">
        <f aca="false">IF(K179&gt;0,Q178+K179,Q178)</f>
        <v>380.8</v>
      </c>
      <c r="S179" s="204" t="n">
        <f aca="false">S178+I179</f>
        <v>132779</v>
      </c>
      <c r="U179" s="204" t="n">
        <f aca="false">U178+I179</f>
        <v>38278</v>
      </c>
      <c r="W179" s="204" t="n">
        <f aca="false">W178+J179</f>
        <v>252.7</v>
      </c>
      <c r="Y179" s="204" t="n">
        <v>56.3</v>
      </c>
      <c r="AB179" s="204" t="n">
        <f aca="false">IF(K179&lt;0,1,0)</f>
        <v>0</v>
      </c>
      <c r="AC179" s="204" t="n">
        <f aca="false">IF(K179&lt;4.5,1,0)</f>
        <v>0</v>
      </c>
      <c r="AD179" s="204" t="n">
        <f aca="false">AD178+D179</f>
        <v>221.9</v>
      </c>
      <c r="AE179" s="204" t="n">
        <f aca="false">I179/K179</f>
        <v>50.5607476635514</v>
      </c>
    </row>
    <row r="180" customFormat="false" ht="12" hidden="false" customHeight="false" outlineLevel="0" collapsed="false">
      <c r="A180" s="204" t="n">
        <v>2011</v>
      </c>
      <c r="B180" s="204" t="n">
        <v>2</v>
      </c>
      <c r="C180" s="204" t="n">
        <v>26</v>
      </c>
      <c r="D180" s="204" t="n">
        <v>0.6</v>
      </c>
      <c r="G180" s="204" t="n">
        <f aca="false">G179+D180</f>
        <v>45.4</v>
      </c>
      <c r="I180" s="204" t="n">
        <v>373</v>
      </c>
      <c r="J180" s="204" t="n">
        <v>4</v>
      </c>
      <c r="K180" s="204" t="n">
        <v>9.3</v>
      </c>
      <c r="L180" s="204" t="n">
        <v>4.1</v>
      </c>
      <c r="M180" s="204" t="n">
        <v>11.9</v>
      </c>
      <c r="N180" s="206" t="n">
        <v>40600</v>
      </c>
      <c r="O180" s="204" t="n">
        <f aca="false">IF(K180&gt;0,O179+K180,O179)</f>
        <v>1574.8</v>
      </c>
      <c r="Q180" s="204" t="n">
        <f aca="false">IF(K180&gt;0,Q179+K180,Q179)</f>
        <v>390.1</v>
      </c>
      <c r="S180" s="204" t="n">
        <f aca="false">S179+I180</f>
        <v>133152</v>
      </c>
      <c r="U180" s="204" t="n">
        <f aca="false">U179+I180</f>
        <v>38651</v>
      </c>
      <c r="W180" s="204" t="n">
        <f aca="false">W179+J180</f>
        <v>256.7</v>
      </c>
      <c r="Y180" s="204" t="n">
        <v>60.3</v>
      </c>
      <c r="AB180" s="204" t="n">
        <f aca="false">IF(K180&lt;0,1,0)</f>
        <v>0</v>
      </c>
      <c r="AC180" s="204" t="n">
        <f aca="false">IF(K180&lt;4.5,1,0)</f>
        <v>0</v>
      </c>
      <c r="AD180" s="204" t="n">
        <f aca="false">AD179+D180</f>
        <v>222.5</v>
      </c>
      <c r="AE180" s="204" t="n">
        <f aca="false">I180/K180</f>
        <v>40.1075268817204</v>
      </c>
    </row>
    <row r="181" customFormat="false" ht="12" hidden="false" customHeight="false" outlineLevel="0" collapsed="false">
      <c r="A181" s="204" t="n">
        <v>2011</v>
      </c>
      <c r="B181" s="204" t="n">
        <v>2</v>
      </c>
      <c r="C181" s="204" t="n">
        <v>27</v>
      </c>
      <c r="D181" s="204" t="n">
        <v>2.2</v>
      </c>
      <c r="G181" s="204" t="n">
        <f aca="false">G180+D181</f>
        <v>47.6</v>
      </c>
      <c r="I181" s="204" t="n">
        <v>1051</v>
      </c>
      <c r="J181" s="204" t="n">
        <v>2</v>
      </c>
      <c r="K181" s="204" t="n">
        <v>7.2</v>
      </c>
      <c r="L181" s="204" t="n">
        <v>6.2</v>
      </c>
      <c r="M181" s="204" t="n">
        <v>10.8</v>
      </c>
      <c r="N181" s="206" t="n">
        <v>40601</v>
      </c>
      <c r="O181" s="204" t="n">
        <f aca="false">IF(K181&gt;0,O180+K181,O180)</f>
        <v>1582</v>
      </c>
      <c r="Q181" s="204" t="n">
        <f aca="false">IF(K181&gt;0,Q180+K181,Q180)</f>
        <v>397.3</v>
      </c>
      <c r="S181" s="204" t="n">
        <f aca="false">S180+I181</f>
        <v>134203</v>
      </c>
      <c r="U181" s="204" t="n">
        <f aca="false">U180+I181</f>
        <v>39702</v>
      </c>
      <c r="W181" s="204" t="n">
        <f aca="false">W180+J181</f>
        <v>258.7</v>
      </c>
      <c r="Y181" s="204" t="n">
        <v>62.3</v>
      </c>
      <c r="AB181" s="204" t="n">
        <f aca="false">IF(K181&lt;0,1,0)</f>
        <v>0</v>
      </c>
      <c r="AC181" s="204" t="n">
        <f aca="false">IF(K181&lt;4.5,1,0)</f>
        <v>0</v>
      </c>
      <c r="AD181" s="204" t="n">
        <f aca="false">AD180+D181</f>
        <v>224.7</v>
      </c>
      <c r="AE181" s="204" t="n">
        <f aca="false">I181/K181</f>
        <v>145.972222222222</v>
      </c>
    </row>
    <row r="182" customFormat="false" ht="12" hidden="false" customHeight="false" outlineLevel="0" collapsed="false">
      <c r="A182" s="204" t="n">
        <v>2011</v>
      </c>
      <c r="B182" s="204" t="n">
        <v>2</v>
      </c>
      <c r="C182" s="204" t="n">
        <v>28</v>
      </c>
      <c r="D182" s="204" t="n">
        <v>1.8</v>
      </c>
      <c r="G182" s="204" t="n">
        <f aca="false">G181+D182</f>
        <v>49.4</v>
      </c>
      <c r="I182" s="204" t="n">
        <v>762</v>
      </c>
      <c r="J182" s="204" t="n">
        <v>0.6</v>
      </c>
      <c r="K182" s="204" t="n">
        <v>6.1</v>
      </c>
      <c r="L182" s="204" t="n">
        <v>3.1</v>
      </c>
      <c r="M182" s="204" t="n">
        <v>9.6</v>
      </c>
      <c r="N182" s="206" t="n">
        <v>40602</v>
      </c>
      <c r="O182" s="204" t="n">
        <f aca="false">IF(K182&gt;0,O181+K182,O181)</f>
        <v>1588.1</v>
      </c>
      <c r="Q182" s="204" t="n">
        <f aca="false">IF(K182&gt;0,Q181+K182,Q181)</f>
        <v>403.4</v>
      </c>
      <c r="S182" s="204" t="n">
        <f aca="false">S181+I182</f>
        <v>134965</v>
      </c>
      <c r="U182" s="204" t="n">
        <f aca="false">U181+I182</f>
        <v>40464</v>
      </c>
      <c r="W182" s="204" t="n">
        <f aca="false">W181+J182</f>
        <v>259.3</v>
      </c>
      <c r="Y182" s="204" t="n">
        <v>62.9</v>
      </c>
      <c r="AB182" s="204" t="n">
        <f aca="false">IF(K182&lt;0,1,0)</f>
        <v>0</v>
      </c>
      <c r="AC182" s="204" t="n">
        <f aca="false">IF(K182&lt;4.5,1,0)</f>
        <v>0</v>
      </c>
      <c r="AD182" s="204" t="n">
        <f aca="false">AD181+D182</f>
        <v>226.5</v>
      </c>
      <c r="AE182" s="204" t="n">
        <f aca="false">I182/K182</f>
        <v>124.918032786885</v>
      </c>
    </row>
    <row r="183" customFormat="false" ht="12" hidden="false" customHeight="false" outlineLevel="0" collapsed="false">
      <c r="A183" s="204" t="n">
        <v>2011</v>
      </c>
      <c r="B183" s="204" t="n">
        <v>3</v>
      </c>
      <c r="C183" s="204" t="n">
        <v>1</v>
      </c>
      <c r="D183" s="204" t="n">
        <v>1.2</v>
      </c>
      <c r="G183" s="204" t="n">
        <f aca="false">G182+D183</f>
        <v>50.6</v>
      </c>
      <c r="I183" s="204" t="n">
        <v>441</v>
      </c>
      <c r="J183" s="204" t="n">
        <v>0.2</v>
      </c>
      <c r="K183" s="204" t="n">
        <v>4.7</v>
      </c>
      <c r="L183" s="204" t="n">
        <v>3.2</v>
      </c>
      <c r="M183" s="204" t="n">
        <v>6.3</v>
      </c>
      <c r="N183" s="206" t="n">
        <v>40603</v>
      </c>
      <c r="O183" s="204" t="n">
        <f aca="false">IF(K183&gt;0,O182+K183,O182)</f>
        <v>1592.8</v>
      </c>
      <c r="Q183" s="204" t="n">
        <f aca="false">IF(K183&gt;0,Q182+K183,Q182)</f>
        <v>408.1</v>
      </c>
      <c r="S183" s="204" t="n">
        <f aca="false">S182+I183</f>
        <v>135406</v>
      </c>
      <c r="U183" s="204" t="n">
        <f aca="false">U182+I183</f>
        <v>40905</v>
      </c>
      <c r="W183" s="204" t="n">
        <f aca="false">W182+J183</f>
        <v>259.5</v>
      </c>
      <c r="Y183" s="204" t="n">
        <v>63.1</v>
      </c>
      <c r="AB183" s="204" t="n">
        <f aca="false">IF(K183&lt;0,1,0)</f>
        <v>0</v>
      </c>
      <c r="AC183" s="204" t="n">
        <f aca="false">IF(K183&lt;4.5,1,0)</f>
        <v>0</v>
      </c>
      <c r="AD183" s="204" t="n">
        <f aca="false">AD182+D183</f>
        <v>227.7</v>
      </c>
      <c r="AE183" s="204" t="n">
        <f aca="false">I183/K183</f>
        <v>93.8297872340426</v>
      </c>
    </row>
    <row r="184" customFormat="false" ht="12" hidden="false" customHeight="false" outlineLevel="0" collapsed="false">
      <c r="A184" s="204" t="n">
        <v>2011</v>
      </c>
      <c r="B184" s="204" t="n">
        <v>3</v>
      </c>
      <c r="C184" s="204" t="n">
        <v>2</v>
      </c>
      <c r="D184" s="204" t="n">
        <v>0.9</v>
      </c>
      <c r="G184" s="204" t="n">
        <f aca="false">G183+D184</f>
        <v>51.5</v>
      </c>
      <c r="I184" s="204" t="n">
        <v>202</v>
      </c>
      <c r="J184" s="204" t="n">
        <v>0</v>
      </c>
      <c r="K184" s="204" t="n">
        <v>4.7</v>
      </c>
      <c r="L184" s="204" t="n">
        <v>4.5</v>
      </c>
      <c r="M184" s="204" t="n">
        <v>6</v>
      </c>
      <c r="N184" s="206" t="n">
        <v>40604</v>
      </c>
      <c r="O184" s="204" t="n">
        <f aca="false">IF(K184&gt;0,O183+K184,O183)</f>
        <v>1597.5</v>
      </c>
      <c r="Q184" s="204" t="n">
        <f aca="false">IF(K184&gt;0,Q183+K184,Q183)</f>
        <v>412.8</v>
      </c>
      <c r="S184" s="204" t="n">
        <f aca="false">S183+I184</f>
        <v>135608</v>
      </c>
      <c r="U184" s="204" t="n">
        <f aca="false">U183+I184</f>
        <v>41107</v>
      </c>
      <c r="W184" s="204" t="n">
        <f aca="false">W183+J184</f>
        <v>259.5</v>
      </c>
      <c r="Y184" s="204" t="n">
        <v>63.1</v>
      </c>
      <c r="AB184" s="204" t="n">
        <f aca="false">IF(K184&lt;0,1,0)</f>
        <v>0</v>
      </c>
      <c r="AC184" s="204" t="n">
        <f aca="false">IF(K184&lt;4.5,1,0)</f>
        <v>0</v>
      </c>
      <c r="AD184" s="204" t="n">
        <f aca="false">AD183+D184</f>
        <v>228.6</v>
      </c>
      <c r="AE184" s="204" t="n">
        <f aca="false">I184/K184</f>
        <v>42.9787234042553</v>
      </c>
    </row>
    <row r="185" customFormat="false" ht="12" hidden="false" customHeight="false" outlineLevel="0" collapsed="false">
      <c r="A185" s="204" t="n">
        <v>2011</v>
      </c>
      <c r="B185" s="204" t="n">
        <v>3</v>
      </c>
      <c r="C185" s="204" t="n">
        <v>3</v>
      </c>
      <c r="D185" s="204" t="n">
        <v>1</v>
      </c>
      <c r="G185" s="204" t="n">
        <f aca="false">G184+D185</f>
        <v>52.5</v>
      </c>
      <c r="I185" s="204" t="n">
        <v>746</v>
      </c>
      <c r="J185" s="204" t="n">
        <v>1.8</v>
      </c>
      <c r="K185" s="204" t="n">
        <v>3.7</v>
      </c>
      <c r="L185" s="204" t="n">
        <v>1.9</v>
      </c>
      <c r="M185" s="204" t="n">
        <v>7</v>
      </c>
      <c r="N185" s="206" t="n">
        <v>40605</v>
      </c>
      <c r="O185" s="204" t="n">
        <f aca="false">IF(K185&gt;0,O184+K185,O184)</f>
        <v>1601.2</v>
      </c>
      <c r="Q185" s="204" t="n">
        <f aca="false">IF(K185&gt;0,Q184+K185,Q184)</f>
        <v>416.5</v>
      </c>
      <c r="S185" s="204" t="n">
        <f aca="false">S184+I185</f>
        <v>136354</v>
      </c>
      <c r="U185" s="204" t="n">
        <f aca="false">U184+I185</f>
        <v>41853</v>
      </c>
      <c r="W185" s="204" t="n">
        <f aca="false">W184+J185</f>
        <v>261.3</v>
      </c>
      <c r="Y185" s="204" t="n">
        <v>64.9</v>
      </c>
      <c r="AB185" s="204" t="n">
        <f aca="false">IF(K185&lt;0,1,0)</f>
        <v>0</v>
      </c>
      <c r="AC185" s="204" t="n">
        <f aca="false">IF(K185&lt;4.5,1,0)</f>
        <v>1</v>
      </c>
      <c r="AD185" s="204" t="n">
        <f aca="false">AD184+D185</f>
        <v>229.6</v>
      </c>
      <c r="AE185" s="204" t="n">
        <f aca="false">I185/K185</f>
        <v>201.621621621622</v>
      </c>
    </row>
    <row r="186" customFormat="false" ht="12" hidden="false" customHeight="false" outlineLevel="0" collapsed="false">
      <c r="A186" s="204" t="n">
        <v>2011</v>
      </c>
      <c r="B186" s="204" t="n">
        <v>3</v>
      </c>
      <c r="C186" s="204" t="n">
        <v>4</v>
      </c>
      <c r="D186" s="204" t="n">
        <v>1.3</v>
      </c>
      <c r="G186" s="204" t="n">
        <f aca="false">G185+D186</f>
        <v>53.8</v>
      </c>
      <c r="I186" s="204" t="n">
        <v>1483</v>
      </c>
      <c r="J186" s="204" t="n">
        <v>0.2</v>
      </c>
      <c r="K186" s="204" t="n">
        <v>6.8</v>
      </c>
      <c r="L186" s="204" t="n">
        <v>-0.5</v>
      </c>
      <c r="M186" s="204" t="n">
        <v>13.8</v>
      </c>
      <c r="N186" s="206" t="n">
        <v>40606</v>
      </c>
      <c r="O186" s="204" t="n">
        <f aca="false">IF(K186&gt;0,O185+K186,O185)</f>
        <v>1608</v>
      </c>
      <c r="Q186" s="204" t="n">
        <f aca="false">IF(K186&gt;0,Q185+K186,Q185)</f>
        <v>423.3</v>
      </c>
      <c r="S186" s="204" t="n">
        <f aca="false">S185+I186</f>
        <v>137837</v>
      </c>
      <c r="U186" s="204" t="n">
        <f aca="false">U185+I186</f>
        <v>43336</v>
      </c>
      <c r="W186" s="204" t="n">
        <f aca="false">W185+J186</f>
        <v>261.5</v>
      </c>
      <c r="Y186" s="204" t="n">
        <v>65.1</v>
      </c>
      <c r="AB186" s="204" t="n">
        <f aca="false">IF(K186&lt;0,1,0)</f>
        <v>0</v>
      </c>
      <c r="AC186" s="204" t="n">
        <f aca="false">IF(K186&lt;4.5,1,0)</f>
        <v>0</v>
      </c>
      <c r="AD186" s="204" t="n">
        <f aca="false">AD185+D186</f>
        <v>230.9</v>
      </c>
      <c r="AE186" s="204" t="n">
        <f aca="false">I186/K186</f>
        <v>218.088235294118</v>
      </c>
    </row>
    <row r="187" customFormat="false" ht="12" hidden="false" customHeight="false" outlineLevel="0" collapsed="false">
      <c r="A187" s="204" t="n">
        <v>2011</v>
      </c>
      <c r="B187" s="204" t="n">
        <v>3</v>
      </c>
      <c r="C187" s="204" t="n">
        <v>5</v>
      </c>
      <c r="D187" s="204" t="n">
        <v>1.4</v>
      </c>
      <c r="G187" s="204" t="n">
        <f aca="false">G186+D187</f>
        <v>55.2</v>
      </c>
      <c r="I187" s="204" t="n">
        <v>1596</v>
      </c>
      <c r="J187" s="204" t="n">
        <v>0</v>
      </c>
      <c r="K187" s="204" t="n">
        <v>8.1</v>
      </c>
      <c r="L187" s="204" t="n">
        <v>0.4</v>
      </c>
      <c r="M187" s="204" t="n">
        <v>15.3</v>
      </c>
      <c r="N187" s="206" t="n">
        <v>40607</v>
      </c>
      <c r="O187" s="204" t="n">
        <f aca="false">IF(K187&gt;0,O186+K187,O186)</f>
        <v>1616.1</v>
      </c>
      <c r="Q187" s="204" t="n">
        <f aca="false">IF(K187&gt;0,Q186+K187,Q186)</f>
        <v>431.4</v>
      </c>
      <c r="S187" s="204" t="n">
        <f aca="false">S186+I187</f>
        <v>139433</v>
      </c>
      <c r="U187" s="204" t="n">
        <f aca="false">U186+I187</f>
        <v>44932</v>
      </c>
      <c r="W187" s="204" t="n">
        <f aca="false">W186+J187</f>
        <v>261.5</v>
      </c>
      <c r="Y187" s="204" t="n">
        <v>65.1</v>
      </c>
      <c r="AB187" s="204" t="n">
        <f aca="false">IF(K187&lt;0,1,0)</f>
        <v>0</v>
      </c>
      <c r="AC187" s="204" t="n">
        <f aca="false">IF(K187&lt;4.5,1,0)</f>
        <v>0</v>
      </c>
      <c r="AD187" s="204" t="n">
        <f aca="false">AD186+D187</f>
        <v>232.3</v>
      </c>
      <c r="AE187" s="204" t="n">
        <f aca="false">I187/K187</f>
        <v>197.037037037037</v>
      </c>
    </row>
    <row r="188" customFormat="false" ht="12" hidden="false" customHeight="false" outlineLevel="0" collapsed="false">
      <c r="A188" s="204" t="n">
        <v>2011</v>
      </c>
      <c r="B188" s="204" t="n">
        <v>3</v>
      </c>
      <c r="C188" s="204" t="n">
        <v>6</v>
      </c>
      <c r="D188" s="204" t="n">
        <v>1.3</v>
      </c>
      <c r="G188" s="204" t="n">
        <f aca="false">G187+D188</f>
        <v>56.5</v>
      </c>
      <c r="I188" s="204" t="n">
        <v>1600</v>
      </c>
      <c r="J188" s="204" t="n">
        <v>0</v>
      </c>
      <c r="K188" s="204" t="n">
        <v>7.4</v>
      </c>
      <c r="L188" s="204" t="n">
        <v>-0.1</v>
      </c>
      <c r="M188" s="204" t="n">
        <v>15.2</v>
      </c>
      <c r="N188" s="206" t="n">
        <v>40608</v>
      </c>
      <c r="O188" s="204" t="n">
        <f aca="false">IF(K188&gt;0,O187+K188,O187)</f>
        <v>1623.5</v>
      </c>
      <c r="Q188" s="204" t="n">
        <f aca="false">IF(K188&gt;0,Q187+K188,Q187)</f>
        <v>438.8</v>
      </c>
      <c r="S188" s="204" t="n">
        <f aca="false">S187+I188</f>
        <v>141033</v>
      </c>
      <c r="U188" s="204" t="n">
        <f aca="false">U187+I188</f>
        <v>46532</v>
      </c>
      <c r="W188" s="204" t="n">
        <f aca="false">W187+J188</f>
        <v>261.5</v>
      </c>
      <c r="Y188" s="204" t="n">
        <v>65.1</v>
      </c>
      <c r="AB188" s="204" t="n">
        <f aca="false">IF(K188&lt;0,1,0)</f>
        <v>0</v>
      </c>
      <c r="AC188" s="204" t="n">
        <f aca="false">IF(K188&lt;4.5,1,0)</f>
        <v>0</v>
      </c>
      <c r="AD188" s="204" t="n">
        <f aca="false">AD187+D188</f>
        <v>233.6</v>
      </c>
      <c r="AE188" s="204" t="n">
        <f aca="false">I188/K188</f>
        <v>216.216216216216</v>
      </c>
    </row>
    <row r="189" customFormat="false" ht="12" hidden="false" customHeight="false" outlineLevel="0" collapsed="false">
      <c r="A189" s="204" t="n">
        <v>2011</v>
      </c>
      <c r="B189" s="204" t="n">
        <v>3</v>
      </c>
      <c r="C189" s="204" t="n">
        <v>7</v>
      </c>
      <c r="D189" s="204" t="n">
        <v>1.9</v>
      </c>
      <c r="G189" s="204" t="n">
        <f aca="false">G188+D189</f>
        <v>58.4</v>
      </c>
      <c r="I189" s="204" t="n">
        <v>1654</v>
      </c>
      <c r="J189" s="204" t="n">
        <v>0</v>
      </c>
      <c r="K189" s="204" t="n">
        <v>9.1</v>
      </c>
      <c r="L189" s="204" t="n">
        <v>0.3</v>
      </c>
      <c r="M189" s="204" t="n">
        <v>17.4</v>
      </c>
      <c r="N189" s="206" t="n">
        <v>40609</v>
      </c>
      <c r="O189" s="204" t="n">
        <f aca="false">IF(K189&gt;0,O188+K189,O188)</f>
        <v>1632.6</v>
      </c>
      <c r="Q189" s="204" t="n">
        <f aca="false">IF(K189&gt;0,Q188+K189,Q188)</f>
        <v>447.9</v>
      </c>
      <c r="S189" s="204" t="n">
        <f aca="false">S188+I189</f>
        <v>142687</v>
      </c>
      <c r="U189" s="204" t="n">
        <f aca="false">U188+I189</f>
        <v>48186</v>
      </c>
      <c r="W189" s="204" t="n">
        <f aca="false">W188+J189</f>
        <v>261.5</v>
      </c>
      <c r="Y189" s="204" t="n">
        <v>65.1</v>
      </c>
      <c r="AB189" s="204" t="n">
        <f aca="false">IF(K189&lt;0,1,0)</f>
        <v>0</v>
      </c>
      <c r="AC189" s="204" t="n">
        <f aca="false">IF(K189&lt;4.5,1,0)</f>
        <v>0</v>
      </c>
      <c r="AD189" s="204" t="n">
        <f aca="false">AD188+D189</f>
        <v>235.5</v>
      </c>
      <c r="AE189" s="204" t="n">
        <f aca="false">I189/K189</f>
        <v>181.758241758242</v>
      </c>
    </row>
    <row r="190" customFormat="false" ht="12" hidden="false" customHeight="false" outlineLevel="0" collapsed="false">
      <c r="A190" s="204" t="n">
        <v>2011</v>
      </c>
      <c r="B190" s="204" t="n">
        <v>3</v>
      </c>
      <c r="C190" s="204" t="n">
        <v>8</v>
      </c>
      <c r="D190" s="204" t="n">
        <v>3.4</v>
      </c>
      <c r="G190" s="204" t="n">
        <f aca="false">G189+D190</f>
        <v>61.8</v>
      </c>
      <c r="I190" s="204" t="n">
        <v>1596</v>
      </c>
      <c r="J190" s="204" t="n">
        <v>0</v>
      </c>
      <c r="K190" s="204" t="n">
        <v>10.2</v>
      </c>
      <c r="L190" s="204" t="n">
        <v>8.8</v>
      </c>
      <c r="M190" s="204" t="n">
        <v>13.3</v>
      </c>
      <c r="N190" s="206" t="n">
        <v>40610</v>
      </c>
      <c r="O190" s="204" t="n">
        <f aca="false">IF(K190&gt;0,O189+K190,O189)</f>
        <v>1642.8</v>
      </c>
      <c r="Q190" s="204" t="n">
        <f aca="false">IF(K190&gt;0,Q189+K190,Q189)</f>
        <v>458.1</v>
      </c>
      <c r="S190" s="204" t="n">
        <f aca="false">S189+I190</f>
        <v>144283</v>
      </c>
      <c r="U190" s="204" t="n">
        <f aca="false">U189+I190</f>
        <v>49782</v>
      </c>
      <c r="W190" s="204" t="n">
        <f aca="false">W189+J190</f>
        <v>261.5</v>
      </c>
      <c r="Y190" s="204" t="n">
        <v>65.1</v>
      </c>
      <c r="AB190" s="204" t="n">
        <f aca="false">IF(K190&lt;0,1,0)</f>
        <v>0</v>
      </c>
      <c r="AC190" s="204" t="n">
        <f aca="false">IF(K190&lt;4.5,1,0)</f>
        <v>0</v>
      </c>
      <c r="AD190" s="204" t="n">
        <f aca="false">AD189+D190</f>
        <v>238.9</v>
      </c>
      <c r="AE190" s="204" t="n">
        <f aca="false">I190/K190</f>
        <v>156.470588235294</v>
      </c>
    </row>
    <row r="191" customFormat="false" ht="12" hidden="false" customHeight="false" outlineLevel="0" collapsed="false">
      <c r="A191" s="204" t="n">
        <v>2011</v>
      </c>
      <c r="B191" s="204" t="n">
        <v>3</v>
      </c>
      <c r="C191" s="204" t="n">
        <v>9</v>
      </c>
      <c r="D191" s="204" t="n">
        <v>2.3</v>
      </c>
      <c r="G191" s="204" t="n">
        <f aca="false">G190+D191</f>
        <v>64.1</v>
      </c>
      <c r="I191" s="204" t="n">
        <v>1502</v>
      </c>
      <c r="J191" s="204" t="n">
        <v>0</v>
      </c>
      <c r="K191" s="204" t="n">
        <v>10.4</v>
      </c>
      <c r="L191" s="204" t="n">
        <v>7</v>
      </c>
      <c r="M191" s="204" t="n">
        <v>15.6</v>
      </c>
      <c r="N191" s="206" t="n">
        <v>40611</v>
      </c>
      <c r="O191" s="204" t="n">
        <f aca="false">IF(K191&gt;0,O190+K191,O190)</f>
        <v>1653.2</v>
      </c>
      <c r="Q191" s="204" t="n">
        <f aca="false">IF(K191&gt;0,Q190+K191,Q190)</f>
        <v>468.5</v>
      </c>
      <c r="S191" s="204" t="n">
        <f aca="false">S190+I191</f>
        <v>145785</v>
      </c>
      <c r="U191" s="204" t="n">
        <f aca="false">U190+I191</f>
        <v>51284</v>
      </c>
      <c r="W191" s="204" t="n">
        <f aca="false">W190+J191</f>
        <v>261.5</v>
      </c>
      <c r="Y191" s="204" t="n">
        <v>65.1</v>
      </c>
      <c r="AA191" s="204" t="n">
        <v>0</v>
      </c>
      <c r="AB191" s="204" t="n">
        <f aca="false">IF(K191&lt;0,1,0)</f>
        <v>0</v>
      </c>
      <c r="AC191" s="204" t="n">
        <f aca="false">IF(K191&lt;4.5,1,0)</f>
        <v>0</v>
      </c>
      <c r="AD191" s="204" t="n">
        <f aca="false">AD190+D191</f>
        <v>241.2</v>
      </c>
      <c r="AE191" s="204" t="n">
        <f aca="false">I191/K191</f>
        <v>144.423076923077</v>
      </c>
    </row>
    <row r="192" customFormat="false" ht="12" hidden="false" customHeight="false" outlineLevel="0" collapsed="false">
      <c r="A192" s="211" t="n">
        <v>2011</v>
      </c>
      <c r="B192" s="211" t="n">
        <v>3</v>
      </c>
      <c r="C192" s="211" t="n">
        <v>10</v>
      </c>
      <c r="D192" s="211" t="n">
        <v>1.3</v>
      </c>
      <c r="E192" s="211"/>
      <c r="F192" s="211"/>
      <c r="G192" s="204" t="n">
        <f aca="false">G191+D192</f>
        <v>65.4</v>
      </c>
      <c r="H192" s="211"/>
      <c r="I192" s="211" t="n">
        <v>1011</v>
      </c>
      <c r="J192" s="211" t="n">
        <v>0</v>
      </c>
      <c r="K192" s="211" t="n">
        <v>7.7</v>
      </c>
      <c r="L192" s="211" t="n">
        <v>2.3</v>
      </c>
      <c r="M192" s="211" t="n">
        <v>13.6</v>
      </c>
      <c r="N192" s="212" t="n">
        <v>40612</v>
      </c>
      <c r="O192" s="204" t="n">
        <f aca="false">IF(K192&gt;0,O191+K192,O191)</f>
        <v>1660.9</v>
      </c>
      <c r="Q192" s="204" t="n">
        <f aca="false">IF(K192&gt;0,Q191+K192,Q191)</f>
        <v>476.2</v>
      </c>
      <c r="S192" s="204" t="n">
        <f aca="false">S191+I192</f>
        <v>146796</v>
      </c>
      <c r="U192" s="204" t="n">
        <f aca="false">U191+I192</f>
        <v>52295</v>
      </c>
      <c r="W192" s="204" t="n">
        <f aca="false">W191+J192</f>
        <v>261.5</v>
      </c>
      <c r="Y192" s="204" t="n">
        <v>65.1</v>
      </c>
      <c r="AA192" s="204" t="n">
        <f aca="false">AA191+J192</f>
        <v>0</v>
      </c>
      <c r="AB192" s="204" t="n">
        <f aca="false">IF(K192&lt;0,1,0)</f>
        <v>0</v>
      </c>
      <c r="AC192" s="204" t="n">
        <f aca="false">IF(K192&lt;4.5,1,0)</f>
        <v>0</v>
      </c>
      <c r="AD192" s="204" t="n">
        <f aca="false">AD191+D192</f>
        <v>242.5</v>
      </c>
      <c r="AE192" s="204" t="n">
        <f aca="false">I192/K192</f>
        <v>131.298701298701</v>
      </c>
    </row>
    <row r="193" customFormat="false" ht="12" hidden="false" customHeight="false" outlineLevel="0" collapsed="false">
      <c r="A193" s="211" t="n">
        <v>2011</v>
      </c>
      <c r="B193" s="211" t="n">
        <v>3</v>
      </c>
      <c r="C193" s="211" t="n">
        <v>11</v>
      </c>
      <c r="D193" s="211" t="n">
        <v>2.2</v>
      </c>
      <c r="E193" s="211"/>
      <c r="F193" s="211"/>
      <c r="G193" s="204" t="n">
        <f aca="false">G192+D193</f>
        <v>67.6</v>
      </c>
      <c r="H193" s="211"/>
      <c r="I193" s="211" t="n">
        <v>1527</v>
      </c>
      <c r="J193" s="211" t="n">
        <v>0</v>
      </c>
      <c r="K193" s="211" t="n">
        <v>8.3</v>
      </c>
      <c r="L193" s="211" t="n">
        <v>1.4</v>
      </c>
      <c r="M193" s="211" t="n">
        <v>15.8</v>
      </c>
      <c r="N193" s="212" t="n">
        <v>40613</v>
      </c>
      <c r="O193" s="204" t="n">
        <f aca="false">IF(K193&gt;0,O192+K193,O192)</f>
        <v>1669.2</v>
      </c>
      <c r="Q193" s="204" t="n">
        <f aca="false">IF(K193&gt;0,Q192+K193,Q192)</f>
        <v>484.5</v>
      </c>
      <c r="S193" s="204" t="n">
        <f aca="false">S192+I193</f>
        <v>148323</v>
      </c>
      <c r="U193" s="204" t="n">
        <f aca="false">U192+I193</f>
        <v>53822</v>
      </c>
      <c r="W193" s="204" t="n">
        <f aca="false">W192+J193</f>
        <v>261.5</v>
      </c>
      <c r="Y193" s="204" t="n">
        <v>65.1</v>
      </c>
      <c r="AA193" s="204" t="n">
        <f aca="false">AA192+J193</f>
        <v>0</v>
      </c>
      <c r="AB193" s="204" t="n">
        <f aca="false">IF(K193&lt;0,1,0)</f>
        <v>0</v>
      </c>
      <c r="AC193" s="204" t="n">
        <f aca="false">IF(K193&lt;4.5,1,0)</f>
        <v>0</v>
      </c>
      <c r="AD193" s="204" t="n">
        <f aca="false">AD192+D193</f>
        <v>244.7</v>
      </c>
      <c r="AE193" s="204" t="n">
        <f aca="false">I193/K193</f>
        <v>183.975903614458</v>
      </c>
    </row>
    <row r="194" customFormat="false" ht="12" hidden="false" customHeight="false" outlineLevel="0" collapsed="false">
      <c r="A194" s="211" t="n">
        <v>2011</v>
      </c>
      <c r="B194" s="211" t="n">
        <v>3</v>
      </c>
      <c r="C194" s="211" t="n">
        <v>12</v>
      </c>
      <c r="D194" s="211" t="n">
        <v>1.9</v>
      </c>
      <c r="E194" s="211"/>
      <c r="F194" s="211"/>
      <c r="G194" s="204" t="n">
        <f aca="false">G193+D194</f>
        <v>69.5</v>
      </c>
      <c r="H194" s="211"/>
      <c r="I194" s="211" t="n">
        <v>282</v>
      </c>
      <c r="J194" s="211" t="n">
        <v>6.8</v>
      </c>
      <c r="K194" s="211" t="n">
        <v>10.9</v>
      </c>
      <c r="L194" s="211" t="n">
        <v>10</v>
      </c>
      <c r="M194" s="211" t="n">
        <v>11.7</v>
      </c>
      <c r="N194" s="212" t="n">
        <v>40614</v>
      </c>
      <c r="O194" s="204" t="n">
        <f aca="false">IF(K194&gt;0,O193+K194,O193)</f>
        <v>1680.1</v>
      </c>
      <c r="Q194" s="204" t="n">
        <f aca="false">IF(K194&gt;0,Q193+K194,Q193)</f>
        <v>495.4</v>
      </c>
      <c r="S194" s="204" t="n">
        <f aca="false">S193+I194</f>
        <v>148605</v>
      </c>
      <c r="U194" s="204" t="n">
        <f aca="false">U193+I194</f>
        <v>54104</v>
      </c>
      <c r="W194" s="204" t="n">
        <f aca="false">W193+J194</f>
        <v>268.3</v>
      </c>
      <c r="Y194" s="204" t="n">
        <v>71.9</v>
      </c>
      <c r="AA194" s="204" t="n">
        <f aca="false">AA193+J194</f>
        <v>6.8</v>
      </c>
      <c r="AB194" s="204" t="n">
        <f aca="false">IF(K194&lt;0,1,0)</f>
        <v>0</v>
      </c>
      <c r="AC194" s="204" t="n">
        <f aca="false">IF(K194&lt;4.5,1,0)</f>
        <v>0</v>
      </c>
      <c r="AD194" s="204" t="n">
        <f aca="false">AD193+D194</f>
        <v>246.6</v>
      </c>
      <c r="AE194" s="204" t="n">
        <f aca="false">I194/K194</f>
        <v>25.8715596330275</v>
      </c>
    </row>
    <row r="195" customFormat="false" ht="12" hidden="false" customHeight="false" outlineLevel="0" collapsed="false">
      <c r="A195" s="211" t="n">
        <v>2011</v>
      </c>
      <c r="B195" s="211" t="n">
        <v>3</v>
      </c>
      <c r="C195" s="211" t="n">
        <v>13</v>
      </c>
      <c r="D195" s="211" t="n">
        <v>2.1</v>
      </c>
      <c r="E195" s="211"/>
      <c r="F195" s="211"/>
      <c r="G195" s="204" t="n">
        <f aca="false">G194+D195</f>
        <v>71.6</v>
      </c>
      <c r="H195" s="211"/>
      <c r="I195" s="211" t="n">
        <v>1105</v>
      </c>
      <c r="J195" s="211" t="n">
        <v>0</v>
      </c>
      <c r="K195" s="211" t="n">
        <v>12.2</v>
      </c>
      <c r="L195" s="211" t="n">
        <v>8.7</v>
      </c>
      <c r="M195" s="211" t="n">
        <v>17</v>
      </c>
      <c r="N195" s="212" t="n">
        <v>40615</v>
      </c>
      <c r="O195" s="204" t="n">
        <f aca="false">IF(K195&gt;0,O194+K195,O194)</f>
        <v>1692.3</v>
      </c>
      <c r="Q195" s="204" t="n">
        <f aca="false">IF(K195&gt;0,Q194+K195,Q194)</f>
        <v>507.6</v>
      </c>
      <c r="S195" s="204" t="n">
        <f aca="false">S194+I195</f>
        <v>149710</v>
      </c>
      <c r="U195" s="204" t="n">
        <f aca="false">U194+I195</f>
        <v>55209</v>
      </c>
      <c r="W195" s="204" t="n">
        <f aca="false">W194+J195</f>
        <v>268.3</v>
      </c>
      <c r="Y195" s="204" t="n">
        <v>71.9</v>
      </c>
      <c r="AA195" s="204" t="n">
        <f aca="false">AA194+J195</f>
        <v>6.8</v>
      </c>
      <c r="AB195" s="204" t="n">
        <f aca="false">IF(K195&lt;0,1,0)</f>
        <v>0</v>
      </c>
      <c r="AC195" s="204" t="n">
        <f aca="false">IF(K195&lt;4.5,1,0)</f>
        <v>0</v>
      </c>
      <c r="AD195" s="204" t="n">
        <f aca="false">AD194+D195</f>
        <v>248.7</v>
      </c>
      <c r="AE195" s="204" t="n">
        <f aca="false">I195/K195</f>
        <v>90.5737704918033</v>
      </c>
    </row>
    <row r="196" customFormat="false" ht="12" hidden="false" customHeight="false" outlineLevel="0" collapsed="false">
      <c r="A196" s="211" t="n">
        <v>2011</v>
      </c>
      <c r="B196" s="211" t="n">
        <v>3</v>
      </c>
      <c r="C196" s="211" t="n">
        <v>14</v>
      </c>
      <c r="D196" s="211" t="n">
        <v>3.1</v>
      </c>
      <c r="E196" s="211"/>
      <c r="F196" s="211"/>
      <c r="G196" s="204" t="n">
        <f aca="false">G195+D196</f>
        <v>74.7</v>
      </c>
      <c r="H196" s="211"/>
      <c r="I196" s="211" t="n">
        <v>1404</v>
      </c>
      <c r="J196" s="211" t="n">
        <v>0</v>
      </c>
      <c r="K196" s="211" t="n">
        <v>13.3</v>
      </c>
      <c r="L196" s="211" t="n">
        <v>8.9</v>
      </c>
      <c r="M196" s="211" t="n">
        <v>16.7</v>
      </c>
      <c r="N196" s="212" t="n">
        <v>40616</v>
      </c>
      <c r="O196" s="204" t="n">
        <f aca="false">IF(K196&gt;0,O195+K196,O195)</f>
        <v>1705.6</v>
      </c>
      <c r="Q196" s="204" t="n">
        <f aca="false">IF(K196&gt;0,Q195+K196,Q195)</f>
        <v>520.9</v>
      </c>
      <c r="S196" s="204" t="n">
        <f aca="false">S195+I196</f>
        <v>151114</v>
      </c>
      <c r="U196" s="204" t="n">
        <f aca="false">U195+I196</f>
        <v>56613</v>
      </c>
      <c r="W196" s="204" t="n">
        <f aca="false">W195+J196</f>
        <v>268.3</v>
      </c>
      <c r="Y196" s="204" t="n">
        <v>71.9</v>
      </c>
      <c r="AA196" s="204" t="n">
        <f aca="false">AA195+J196</f>
        <v>6.8</v>
      </c>
      <c r="AB196" s="204" t="n">
        <f aca="false">IF(K196&lt;0,1,0)</f>
        <v>0</v>
      </c>
      <c r="AC196" s="204" t="n">
        <f aca="false">IF(K196&lt;4.5,1,0)</f>
        <v>0</v>
      </c>
      <c r="AD196" s="204" t="n">
        <f aca="false">AD195+D196</f>
        <v>251.8</v>
      </c>
      <c r="AE196" s="204" t="n">
        <f aca="false">I196/K196</f>
        <v>105.563909774436</v>
      </c>
    </row>
    <row r="197" customFormat="false" ht="12" hidden="false" customHeight="false" outlineLevel="0" collapsed="false">
      <c r="A197" s="211" t="n">
        <v>2011</v>
      </c>
      <c r="B197" s="211" t="n">
        <v>3</v>
      </c>
      <c r="C197" s="211" t="n">
        <v>15</v>
      </c>
      <c r="D197" s="211" t="n">
        <v>2.2</v>
      </c>
      <c r="E197" s="211"/>
      <c r="F197" s="211"/>
      <c r="G197" s="204" t="n">
        <f aca="false">G196+D197</f>
        <v>76.9</v>
      </c>
      <c r="H197" s="211"/>
      <c r="I197" s="211" t="n">
        <v>522</v>
      </c>
      <c r="J197" s="211" t="n">
        <v>8.8</v>
      </c>
      <c r="K197" s="211" t="n">
        <v>13.2</v>
      </c>
      <c r="L197" s="211" t="n">
        <v>12.3</v>
      </c>
      <c r="M197" s="211" t="n">
        <v>15.1</v>
      </c>
      <c r="N197" s="212" t="n">
        <v>40617</v>
      </c>
      <c r="O197" s="204" t="n">
        <f aca="false">IF(K197&gt;0,O196+K197,O196)</f>
        <v>1718.8</v>
      </c>
      <c r="Q197" s="204" t="n">
        <f aca="false">IF(K197&gt;0,Q196+K197,Q196)</f>
        <v>534.1</v>
      </c>
      <c r="S197" s="204" t="n">
        <f aca="false">S196+I197</f>
        <v>151636</v>
      </c>
      <c r="U197" s="204" t="n">
        <f aca="false">U196+I197</f>
        <v>57135</v>
      </c>
      <c r="W197" s="204" t="n">
        <f aca="false">W196+J197</f>
        <v>277.1</v>
      </c>
      <c r="Y197" s="204" t="n">
        <v>80.7</v>
      </c>
      <c r="AA197" s="204" t="n">
        <f aca="false">AA196+J197</f>
        <v>15.6</v>
      </c>
      <c r="AB197" s="204" t="n">
        <f aca="false">IF(K197&lt;0,1,0)</f>
        <v>0</v>
      </c>
      <c r="AC197" s="204" t="n">
        <f aca="false">IF(K197&lt;4.5,1,0)</f>
        <v>0</v>
      </c>
      <c r="AD197" s="204" t="n">
        <f aca="false">AD196+D197</f>
        <v>254</v>
      </c>
      <c r="AE197" s="204" t="n">
        <f aca="false">I197/K197</f>
        <v>39.5454545454546</v>
      </c>
    </row>
    <row r="198" customFormat="false" ht="12" hidden="false" customHeight="false" outlineLevel="0" collapsed="false">
      <c r="A198" s="211" t="n">
        <v>2011</v>
      </c>
      <c r="B198" s="211" t="n">
        <v>3</v>
      </c>
      <c r="C198" s="211" t="n">
        <v>16</v>
      </c>
      <c r="D198" s="211" t="n">
        <v>1.6</v>
      </c>
      <c r="E198" s="211"/>
      <c r="F198" s="211"/>
      <c r="G198" s="204" t="n">
        <f aca="false">G197+D198</f>
        <v>78.5</v>
      </c>
      <c r="H198" s="211"/>
      <c r="I198" s="211" t="n">
        <v>704</v>
      </c>
      <c r="J198" s="211" t="n">
        <v>1.6</v>
      </c>
      <c r="K198" s="211" t="n">
        <v>11.8</v>
      </c>
      <c r="L198" s="211" t="n">
        <v>10.3</v>
      </c>
      <c r="M198" s="211" t="n">
        <v>15.3</v>
      </c>
      <c r="N198" s="212" t="n">
        <v>40618</v>
      </c>
      <c r="O198" s="204" t="n">
        <f aca="false">IF(K198&gt;0,O197+K198,O197)</f>
        <v>1730.6</v>
      </c>
      <c r="Q198" s="204" t="n">
        <f aca="false">IF(K198&gt;0,Q197+K198,Q197)</f>
        <v>545.9</v>
      </c>
      <c r="S198" s="204" t="n">
        <f aca="false">S197+I198</f>
        <v>152340</v>
      </c>
      <c r="U198" s="204" t="n">
        <f aca="false">U197+I198</f>
        <v>57839</v>
      </c>
      <c r="W198" s="204" t="n">
        <f aca="false">W197+J198</f>
        <v>278.7</v>
      </c>
      <c r="Y198" s="204" t="n">
        <v>82.3</v>
      </c>
      <c r="AA198" s="204" t="n">
        <f aca="false">AA197+J198</f>
        <v>17.2</v>
      </c>
      <c r="AB198" s="204" t="n">
        <f aca="false">IF(K198&lt;0,1,0)</f>
        <v>0</v>
      </c>
      <c r="AC198" s="204" t="n">
        <f aca="false">IF(K198&lt;4.5,1,0)</f>
        <v>0</v>
      </c>
      <c r="AD198" s="204" t="n">
        <f aca="false">AD197+D198</f>
        <v>255.6</v>
      </c>
      <c r="AE198" s="204" t="n">
        <f aca="false">I198/K198</f>
        <v>59.6610169491525</v>
      </c>
    </row>
    <row r="199" customFormat="false" ht="12" hidden="false" customHeight="false" outlineLevel="0" collapsed="false">
      <c r="A199" s="211" t="n">
        <v>2011</v>
      </c>
      <c r="B199" s="211" t="n">
        <v>3</v>
      </c>
      <c r="C199" s="211" t="n">
        <v>17</v>
      </c>
      <c r="D199" s="211" t="n">
        <v>2.6</v>
      </c>
      <c r="E199" s="211"/>
      <c r="F199" s="211"/>
      <c r="G199" s="204" t="n">
        <f aca="false">G198+D199</f>
        <v>81.1</v>
      </c>
      <c r="H199" s="211"/>
      <c r="I199" s="211" t="n">
        <v>687</v>
      </c>
      <c r="J199" s="211" t="n">
        <v>0</v>
      </c>
      <c r="K199" s="211" t="n">
        <v>10.9</v>
      </c>
      <c r="L199" s="211" t="n">
        <v>9.9</v>
      </c>
      <c r="M199" s="211" t="n">
        <v>13.2</v>
      </c>
      <c r="N199" s="212" t="n">
        <v>40619</v>
      </c>
      <c r="O199" s="204" t="n">
        <f aca="false">IF(K199&gt;0,O198+K199,O198)</f>
        <v>1741.5</v>
      </c>
      <c r="Q199" s="204" t="n">
        <f aca="false">IF(K199&gt;0,Q198+K199,Q198)</f>
        <v>556.8</v>
      </c>
      <c r="S199" s="204" t="n">
        <f aca="false">S198+I199</f>
        <v>153027</v>
      </c>
      <c r="U199" s="204" t="n">
        <f aca="false">U198+I199</f>
        <v>58526</v>
      </c>
      <c r="W199" s="204" t="n">
        <f aca="false">W198+J199</f>
        <v>278.7</v>
      </c>
      <c r="Y199" s="204" t="n">
        <v>82.3</v>
      </c>
      <c r="AA199" s="204" t="n">
        <f aca="false">AA198+J199</f>
        <v>17.2</v>
      </c>
      <c r="AB199" s="204" t="n">
        <f aca="false">IF(K199&lt;0,1,0)</f>
        <v>0</v>
      </c>
      <c r="AC199" s="204" t="n">
        <f aca="false">IF(K199&lt;4.5,1,0)</f>
        <v>0</v>
      </c>
      <c r="AD199" s="204" t="n">
        <f aca="false">AD198+D199</f>
        <v>258.2</v>
      </c>
      <c r="AE199" s="204" t="n">
        <f aca="false">I199/K199</f>
        <v>63.0275229357798</v>
      </c>
    </row>
    <row r="200" customFormat="false" ht="12" hidden="false" customHeight="false" outlineLevel="0" collapsed="false">
      <c r="A200" s="211" t="n">
        <v>2011</v>
      </c>
      <c r="B200" s="211" t="n">
        <v>3</v>
      </c>
      <c r="C200" s="211" t="n">
        <v>18</v>
      </c>
      <c r="D200" s="211" t="n">
        <v>2.7</v>
      </c>
      <c r="E200" s="211"/>
      <c r="F200" s="211"/>
      <c r="G200" s="204" t="n">
        <f aca="false">G199+D200</f>
        <v>83.8</v>
      </c>
      <c r="H200" s="211"/>
      <c r="I200" s="211" t="n">
        <v>1564</v>
      </c>
      <c r="J200" s="211" t="n">
        <v>0.2</v>
      </c>
      <c r="K200" s="211" t="n">
        <v>11.1</v>
      </c>
      <c r="L200" s="211" t="n">
        <v>5.8</v>
      </c>
      <c r="M200" s="211" t="n">
        <v>15.7</v>
      </c>
      <c r="N200" s="212" t="n">
        <v>40620</v>
      </c>
      <c r="O200" s="204" t="n">
        <f aca="false">IF(K200&gt;0,O199+K200,O199)</f>
        <v>1752.6</v>
      </c>
      <c r="Q200" s="204" t="n">
        <f aca="false">IF(K200&gt;0,Q199+K200,Q199)</f>
        <v>567.9</v>
      </c>
      <c r="S200" s="204" t="n">
        <f aca="false">S199+I200</f>
        <v>154591</v>
      </c>
      <c r="U200" s="204" t="n">
        <f aca="false">U199+I200</f>
        <v>60090</v>
      </c>
      <c r="W200" s="204" t="n">
        <f aca="false">W199+J200</f>
        <v>278.9</v>
      </c>
      <c r="Y200" s="204" t="n">
        <v>82.5</v>
      </c>
      <c r="AA200" s="204" t="n">
        <f aca="false">AA199+J200</f>
        <v>17.4</v>
      </c>
      <c r="AB200" s="204" t="n">
        <f aca="false">IF(K200&lt;0,1,0)</f>
        <v>0</v>
      </c>
      <c r="AC200" s="204" t="n">
        <f aca="false">IF(K200&lt;4.5,1,0)</f>
        <v>0</v>
      </c>
      <c r="AD200" s="204" t="n">
        <f aca="false">AD199+D200</f>
        <v>260.9</v>
      </c>
      <c r="AE200" s="204" t="n">
        <f aca="false">I200/K200</f>
        <v>140.900900900901</v>
      </c>
    </row>
    <row r="201" customFormat="false" ht="12" hidden="false" customHeight="false" outlineLevel="0" collapsed="false">
      <c r="A201" s="211" t="n">
        <v>2011</v>
      </c>
      <c r="B201" s="211" t="n">
        <v>3</v>
      </c>
      <c r="C201" s="211" t="n">
        <v>19</v>
      </c>
      <c r="D201" s="211" t="n">
        <v>2.4</v>
      </c>
      <c r="E201" s="211"/>
      <c r="F201" s="211"/>
      <c r="G201" s="204" t="n">
        <f aca="false">G200+D201</f>
        <v>86.2</v>
      </c>
      <c r="H201" s="211"/>
      <c r="I201" s="211" t="n">
        <v>936</v>
      </c>
      <c r="J201" s="211" t="n">
        <v>0</v>
      </c>
      <c r="K201" s="211" t="n">
        <v>11.6</v>
      </c>
      <c r="L201" s="211" t="n">
        <v>8.8</v>
      </c>
      <c r="M201" s="211" t="n">
        <v>15.5</v>
      </c>
      <c r="N201" s="212" t="n">
        <v>40621</v>
      </c>
      <c r="O201" s="204" t="n">
        <f aca="false">IF(K201&gt;0,O200+K201,O200)</f>
        <v>1764.2</v>
      </c>
      <c r="Q201" s="204" t="n">
        <f aca="false">IF(K201&gt;0,Q200+K201,Q200)</f>
        <v>579.5</v>
      </c>
      <c r="S201" s="204" t="n">
        <f aca="false">S200+I201</f>
        <v>155527</v>
      </c>
      <c r="U201" s="204" t="n">
        <f aca="false">U200+I201</f>
        <v>61026</v>
      </c>
      <c r="W201" s="204" t="n">
        <f aca="false">W200+J201</f>
        <v>278.9</v>
      </c>
      <c r="Y201" s="204" t="n">
        <v>82.5</v>
      </c>
      <c r="AA201" s="204" t="n">
        <f aca="false">AA200+J201</f>
        <v>17.4</v>
      </c>
      <c r="AB201" s="204" t="n">
        <f aca="false">IF(K201&lt;0,1,0)</f>
        <v>0</v>
      </c>
      <c r="AC201" s="204" t="n">
        <f aca="false">IF(K201&lt;4.5,1,0)</f>
        <v>0</v>
      </c>
      <c r="AD201" s="204" t="n">
        <f aca="false">AD200+D201</f>
        <v>263.3</v>
      </c>
      <c r="AE201" s="204" t="n">
        <f aca="false">I201/K201</f>
        <v>80.6896551724138</v>
      </c>
    </row>
    <row r="202" s="207" customFormat="true" ht="12" hidden="false" customHeight="false" outlineLevel="0" collapsed="false">
      <c r="A202" s="207" t="n">
        <v>2011</v>
      </c>
      <c r="B202" s="207" t="n">
        <v>3</v>
      </c>
      <c r="C202" s="207" t="n">
        <v>20</v>
      </c>
      <c r="D202" s="207" t="n">
        <v>2.1</v>
      </c>
      <c r="G202" s="204" t="n">
        <f aca="false">G201+D202</f>
        <v>88.3</v>
      </c>
      <c r="H202" s="207" t="n">
        <v>0</v>
      </c>
      <c r="I202" s="207" t="n">
        <v>1789</v>
      </c>
      <c r="J202" s="207" t="n">
        <v>0</v>
      </c>
      <c r="K202" s="207" t="n">
        <v>10.1</v>
      </c>
      <c r="L202" s="207" t="n">
        <v>5.9</v>
      </c>
      <c r="M202" s="207" t="n">
        <v>14.8</v>
      </c>
      <c r="N202" s="208" t="n">
        <v>40622</v>
      </c>
      <c r="O202" s="207" t="n">
        <f aca="false">IF(K202&gt;0,O201+K202,O201)</f>
        <v>1774.3</v>
      </c>
      <c r="Q202" s="207" t="n">
        <f aca="false">IF(K202&gt;0,Q201+K202,Q201)</f>
        <v>589.6</v>
      </c>
      <c r="S202" s="207" t="n">
        <f aca="false">S201+I202</f>
        <v>157316</v>
      </c>
      <c r="U202" s="207" t="n">
        <f aca="false">U201+I202</f>
        <v>62815</v>
      </c>
      <c r="W202" s="207" t="n">
        <f aca="false">W201+J202</f>
        <v>278.9</v>
      </c>
      <c r="Y202" s="207" t="n">
        <v>82.5</v>
      </c>
      <c r="Z202" s="207" t="n">
        <v>0</v>
      </c>
      <c r="AA202" s="207" t="n">
        <f aca="false">AA201+J202</f>
        <v>17.4</v>
      </c>
      <c r="AB202" s="207" t="n">
        <f aca="false">IF(K202&lt;0,1,0)</f>
        <v>0</v>
      </c>
      <c r="AC202" s="207" t="n">
        <f aca="false">IF(K202&lt;4.5,1,0)</f>
        <v>0</v>
      </c>
      <c r="AD202" s="207" t="n">
        <f aca="false">AD201+D202</f>
        <v>265.4</v>
      </c>
      <c r="AE202" s="204" t="n">
        <f aca="false">I202/K202</f>
        <v>177.128712871287</v>
      </c>
      <c r="AF202" s="204" t="n">
        <v>0</v>
      </c>
    </row>
    <row r="203" customFormat="false" ht="12" hidden="false" customHeight="false" outlineLevel="0" collapsed="false">
      <c r="A203" s="211" t="n">
        <v>2011</v>
      </c>
      <c r="B203" s="211" t="n">
        <v>3</v>
      </c>
      <c r="C203" s="211" t="n">
        <v>21</v>
      </c>
      <c r="D203" s="211" t="n">
        <v>2.5</v>
      </c>
      <c r="E203" s="211"/>
      <c r="F203" s="211"/>
      <c r="G203" s="211"/>
      <c r="H203" s="211" t="n">
        <f aca="false">H202+D203</f>
        <v>2.5</v>
      </c>
      <c r="I203" s="211" t="n">
        <v>1936</v>
      </c>
      <c r="J203" s="211" t="n">
        <v>0</v>
      </c>
      <c r="K203" s="211" t="n">
        <v>10.2</v>
      </c>
      <c r="L203" s="211" t="n">
        <v>4.1</v>
      </c>
      <c r="M203" s="211" t="n">
        <v>16.8</v>
      </c>
      <c r="N203" s="212" t="n">
        <v>40623</v>
      </c>
      <c r="O203" s="204" t="n">
        <f aca="false">IF(K203&gt;0,O202+K203,O202)</f>
        <v>1784.5</v>
      </c>
      <c r="R203" s="204" t="n">
        <v>10.2</v>
      </c>
      <c r="S203" s="204" t="n">
        <f aca="false">S202+I203</f>
        <v>159252</v>
      </c>
      <c r="V203" s="204" t="n">
        <v>1936</v>
      </c>
      <c r="W203" s="204" t="n">
        <f aca="false">W202+J203</f>
        <v>278.9</v>
      </c>
      <c r="Z203" s="204" t="n">
        <f aca="false">Z202+J203</f>
        <v>0</v>
      </c>
      <c r="AA203" s="204" t="n">
        <f aca="false">AA202+J203</f>
        <v>17.4</v>
      </c>
      <c r="AB203" s="204" t="n">
        <f aca="false">IF(K203&lt;0,1,0)</f>
        <v>0</v>
      </c>
      <c r="AC203" s="204" t="n">
        <f aca="false">IF(K203&lt;4.5,1,0)</f>
        <v>0</v>
      </c>
      <c r="AD203" s="204" t="n">
        <f aca="false">AD202+D203</f>
        <v>267.9</v>
      </c>
      <c r="AE203" s="204" t="n">
        <f aca="false">I203/K203</f>
        <v>189.803921568627</v>
      </c>
      <c r="AF203" s="204" t="n">
        <f aca="false">AF202+AE203</f>
        <v>189.803921568627</v>
      </c>
    </row>
    <row r="204" customFormat="false" ht="12" hidden="false" customHeight="false" outlineLevel="0" collapsed="false">
      <c r="A204" s="211" t="n">
        <v>2011</v>
      </c>
      <c r="B204" s="211" t="n">
        <v>3</v>
      </c>
      <c r="C204" s="211" t="n">
        <v>22</v>
      </c>
      <c r="D204" s="211" t="n">
        <v>3.6</v>
      </c>
      <c r="E204" s="211"/>
      <c r="F204" s="211"/>
      <c r="G204" s="211"/>
      <c r="H204" s="211" t="n">
        <f aca="false">H203+D204</f>
        <v>6.1</v>
      </c>
      <c r="I204" s="211" t="n">
        <v>1926</v>
      </c>
      <c r="J204" s="211" t="n">
        <v>0</v>
      </c>
      <c r="K204" s="211" t="n">
        <v>11.5</v>
      </c>
      <c r="L204" s="211" t="n">
        <v>7.3</v>
      </c>
      <c r="M204" s="211" t="n">
        <v>16</v>
      </c>
      <c r="N204" s="212" t="n">
        <v>40624</v>
      </c>
      <c r="O204" s="204" t="n">
        <f aca="false">IF(K204&gt;0,O203+K204,O203)</f>
        <v>1796</v>
      </c>
      <c r="R204" s="204" t="n">
        <f aca="false">IF(K204&gt;0,R203+K204,R203)</f>
        <v>21.7</v>
      </c>
      <c r="S204" s="204" t="n">
        <f aca="false">S203+I204</f>
        <v>161178</v>
      </c>
      <c r="V204" s="204" t="n">
        <f aca="false">V203+I204</f>
        <v>3862</v>
      </c>
      <c r="W204" s="204" t="n">
        <f aca="false">W203+J204</f>
        <v>278.9</v>
      </c>
      <c r="Z204" s="204" t="n">
        <f aca="false">Z203+J204</f>
        <v>0</v>
      </c>
      <c r="AA204" s="204" t="n">
        <f aca="false">AA203+J204</f>
        <v>17.4</v>
      </c>
      <c r="AB204" s="204" t="n">
        <f aca="false">IF(K204&lt;0,1,0)</f>
        <v>0</v>
      </c>
      <c r="AC204" s="204" t="n">
        <f aca="false">IF(K204&lt;4.5,1,0)</f>
        <v>0</v>
      </c>
      <c r="AD204" s="204" t="n">
        <f aca="false">AD203+D204</f>
        <v>271.5</v>
      </c>
      <c r="AE204" s="204" t="n">
        <f aca="false">I204/K204</f>
        <v>167.478260869565</v>
      </c>
      <c r="AF204" s="204" t="n">
        <f aca="false">AF203+AE204</f>
        <v>357.282182438193</v>
      </c>
    </row>
    <row r="205" customFormat="false" ht="12" hidden="false" customHeight="false" outlineLevel="0" collapsed="false">
      <c r="A205" s="211" t="n">
        <v>2011</v>
      </c>
      <c r="B205" s="211" t="n">
        <v>3</v>
      </c>
      <c r="C205" s="211" t="n">
        <v>23</v>
      </c>
      <c r="D205" s="211" t="n">
        <v>3.5</v>
      </c>
      <c r="E205" s="211"/>
      <c r="F205" s="211"/>
      <c r="G205" s="211"/>
      <c r="H205" s="211" t="n">
        <f aca="false">H204+D205</f>
        <v>9.6</v>
      </c>
      <c r="I205" s="211" t="n">
        <v>2045</v>
      </c>
      <c r="J205" s="211" t="n">
        <v>0</v>
      </c>
      <c r="K205" s="211" t="n">
        <v>12.1</v>
      </c>
      <c r="L205" s="211" t="n">
        <v>3.3</v>
      </c>
      <c r="M205" s="211" t="n">
        <v>18.6</v>
      </c>
      <c r="N205" s="212" t="n">
        <v>40625</v>
      </c>
      <c r="O205" s="204" t="n">
        <f aca="false">IF(K205&gt;0,O204+K205,O204)</f>
        <v>1808.1</v>
      </c>
      <c r="R205" s="204" t="n">
        <f aca="false">IF(K205&gt;0,R204+K205,R204)</f>
        <v>33.8</v>
      </c>
      <c r="S205" s="204" t="n">
        <f aca="false">S204+I205</f>
        <v>163223</v>
      </c>
      <c r="V205" s="204" t="n">
        <f aca="false">V204+I205</f>
        <v>5907</v>
      </c>
      <c r="W205" s="204" t="n">
        <f aca="false">W204+J205</f>
        <v>278.9</v>
      </c>
      <c r="Z205" s="204" t="n">
        <f aca="false">Z204+J205</f>
        <v>0</v>
      </c>
      <c r="AA205" s="204" t="n">
        <f aca="false">AA204+J205</f>
        <v>17.4</v>
      </c>
      <c r="AB205" s="204" t="n">
        <f aca="false">IF(K205&lt;0,1,0)</f>
        <v>0</v>
      </c>
      <c r="AC205" s="204" t="n">
        <f aca="false">IF(K205&lt;4.5,1,0)</f>
        <v>0</v>
      </c>
      <c r="AD205" s="204" t="n">
        <f aca="false">AD204+D205</f>
        <v>275</v>
      </c>
      <c r="AE205" s="204" t="n">
        <f aca="false">I205/K205</f>
        <v>169.00826446281</v>
      </c>
      <c r="AF205" s="204" t="n">
        <f aca="false">AF204+AE205</f>
        <v>526.290446901003</v>
      </c>
    </row>
    <row r="206" customFormat="false" ht="12" hidden="false" customHeight="false" outlineLevel="0" collapsed="false">
      <c r="A206" s="211" t="n">
        <v>2011</v>
      </c>
      <c r="B206" s="211" t="n">
        <v>3</v>
      </c>
      <c r="C206" s="211" t="n">
        <v>24</v>
      </c>
      <c r="D206" s="211" t="n">
        <v>3.7</v>
      </c>
      <c r="E206" s="211"/>
      <c r="F206" s="211"/>
      <c r="G206" s="211"/>
      <c r="H206" s="211" t="n">
        <f aca="false">H205+D206</f>
        <v>13.3</v>
      </c>
      <c r="I206" s="211" t="n">
        <v>2053</v>
      </c>
      <c r="J206" s="211" t="n">
        <v>0</v>
      </c>
      <c r="K206" s="211" t="n">
        <v>12.7</v>
      </c>
      <c r="L206" s="211" t="n">
        <v>4.4</v>
      </c>
      <c r="M206" s="211" t="n">
        <v>18.9</v>
      </c>
      <c r="N206" s="212" t="n">
        <v>40626</v>
      </c>
      <c r="O206" s="204" t="n">
        <f aca="false">IF(K206&gt;0,O205+K206,O205)</f>
        <v>1820.8</v>
      </c>
      <c r="R206" s="204" t="n">
        <f aca="false">IF(K206&gt;0,R205+K206,R205)</f>
        <v>46.5</v>
      </c>
      <c r="S206" s="204" t="n">
        <f aca="false">S205+I206</f>
        <v>165276</v>
      </c>
      <c r="V206" s="204" t="n">
        <f aca="false">V205+I206</f>
        <v>7960</v>
      </c>
      <c r="W206" s="204" t="n">
        <f aca="false">W205+J206</f>
        <v>278.9</v>
      </c>
      <c r="Z206" s="204" t="n">
        <f aca="false">Z205+J206</f>
        <v>0</v>
      </c>
      <c r="AA206" s="204" t="n">
        <f aca="false">AA205+J206</f>
        <v>17.4</v>
      </c>
      <c r="AB206" s="204" t="n">
        <f aca="false">IF(K206&lt;0,1,0)</f>
        <v>0</v>
      </c>
      <c r="AC206" s="204" t="n">
        <f aca="false">IF(K206&lt;4.5,1,0)</f>
        <v>0</v>
      </c>
      <c r="AD206" s="204" t="n">
        <f aca="false">AD205+D206</f>
        <v>278.7</v>
      </c>
      <c r="AE206" s="204" t="n">
        <f aca="false">I206/K206</f>
        <v>161.653543307087</v>
      </c>
      <c r="AF206" s="204" t="n">
        <f aca="false">AF205+AE206</f>
        <v>687.943990208089</v>
      </c>
    </row>
    <row r="207" customFormat="false" ht="12" hidden="false" customHeight="false" outlineLevel="0" collapsed="false">
      <c r="A207" s="211" t="n">
        <v>2011</v>
      </c>
      <c r="B207" s="211" t="n">
        <v>3</v>
      </c>
      <c r="C207" s="211" t="n">
        <v>25</v>
      </c>
      <c r="D207" s="211" t="n">
        <v>3.3</v>
      </c>
      <c r="E207" s="211"/>
      <c r="F207" s="211"/>
      <c r="G207" s="211"/>
      <c r="H207" s="211" t="n">
        <f aca="false">H206+D207</f>
        <v>16.6</v>
      </c>
      <c r="I207" s="211" t="n">
        <v>1775</v>
      </c>
      <c r="J207" s="211" t="n">
        <v>0</v>
      </c>
      <c r="K207" s="211" t="n">
        <v>12.1</v>
      </c>
      <c r="L207" s="211" t="n">
        <v>8.4</v>
      </c>
      <c r="M207" s="211" t="n">
        <v>17.7</v>
      </c>
      <c r="N207" s="212" t="n">
        <v>40627</v>
      </c>
      <c r="O207" s="204" t="n">
        <f aca="false">IF(K207&gt;0,O206+K207,O206)</f>
        <v>1832.9</v>
      </c>
      <c r="R207" s="204" t="n">
        <f aca="false">IF(K207&gt;0,R206+K207,R206)</f>
        <v>58.6</v>
      </c>
      <c r="S207" s="204" t="n">
        <f aca="false">S206+I207</f>
        <v>167051</v>
      </c>
      <c r="V207" s="204" t="n">
        <f aca="false">V206+I207</f>
        <v>9735</v>
      </c>
      <c r="W207" s="204" t="n">
        <f aca="false">W206+J207</f>
        <v>278.9</v>
      </c>
      <c r="Z207" s="204" t="n">
        <f aca="false">Z206+J207</f>
        <v>0</v>
      </c>
      <c r="AA207" s="204" t="n">
        <f aca="false">AA206+J207</f>
        <v>17.4</v>
      </c>
      <c r="AB207" s="204" t="n">
        <f aca="false">IF(K207&lt;0,1,0)</f>
        <v>0</v>
      </c>
      <c r="AC207" s="204" t="n">
        <f aca="false">IF(K207&lt;4.5,1,0)</f>
        <v>0</v>
      </c>
      <c r="AD207" s="204" t="n">
        <f aca="false">AD206+D207</f>
        <v>282</v>
      </c>
      <c r="AE207" s="204" t="n">
        <f aca="false">I207/K207</f>
        <v>146.694214876033</v>
      </c>
      <c r="AF207" s="204" t="n">
        <f aca="false">AF206+AE207</f>
        <v>834.638205084122</v>
      </c>
    </row>
    <row r="208" customFormat="false" ht="12" hidden="false" customHeight="false" outlineLevel="0" collapsed="false">
      <c r="A208" s="211" t="n">
        <v>2011</v>
      </c>
      <c r="B208" s="211" t="n">
        <v>3</v>
      </c>
      <c r="C208" s="211" t="n">
        <v>26</v>
      </c>
      <c r="D208" s="211" t="n">
        <v>3</v>
      </c>
      <c r="E208" s="211"/>
      <c r="F208" s="211"/>
      <c r="G208" s="211"/>
      <c r="H208" s="211" t="n">
        <f aca="false">H207+D208</f>
        <v>19.6</v>
      </c>
      <c r="I208" s="211" t="n">
        <v>1802</v>
      </c>
      <c r="J208" s="211" t="n">
        <v>0</v>
      </c>
      <c r="K208" s="211" t="n">
        <v>13.6</v>
      </c>
      <c r="L208" s="211" t="n">
        <v>6.9</v>
      </c>
      <c r="M208" s="211" t="n">
        <v>20.5</v>
      </c>
      <c r="N208" s="212" t="n">
        <v>40628</v>
      </c>
      <c r="O208" s="204" t="n">
        <f aca="false">IF(K208&gt;0,O207+K208,O207)</f>
        <v>1846.5</v>
      </c>
      <c r="R208" s="204" t="n">
        <f aca="false">IF(K208&gt;0,R207+K208,R207)</f>
        <v>72.2</v>
      </c>
      <c r="S208" s="204" t="n">
        <f aca="false">S207+I208</f>
        <v>168853</v>
      </c>
      <c r="V208" s="204" t="n">
        <f aca="false">V207+I208</f>
        <v>11537</v>
      </c>
      <c r="W208" s="204" t="n">
        <f aca="false">W207+J208</f>
        <v>278.9</v>
      </c>
      <c r="Z208" s="204" t="n">
        <f aca="false">Z207+J208</f>
        <v>0</v>
      </c>
      <c r="AA208" s="204" t="n">
        <f aca="false">AA207+J208</f>
        <v>17.4</v>
      </c>
      <c r="AB208" s="204" t="n">
        <f aca="false">IF(K208&lt;0,1,0)</f>
        <v>0</v>
      </c>
      <c r="AC208" s="204" t="n">
        <f aca="false">IF(K208&lt;4.5,1,0)</f>
        <v>0</v>
      </c>
      <c r="AD208" s="204" t="n">
        <f aca="false">AD207+D208</f>
        <v>285</v>
      </c>
      <c r="AE208" s="204" t="n">
        <f aca="false">I208/K208</f>
        <v>132.5</v>
      </c>
      <c r="AF208" s="204" t="n">
        <f aca="false">AF207+AE208</f>
        <v>967.138205084122</v>
      </c>
    </row>
    <row r="209" customFormat="false" ht="12" hidden="false" customHeight="false" outlineLevel="0" collapsed="false">
      <c r="A209" s="211" t="n">
        <v>2011</v>
      </c>
      <c r="B209" s="211" t="n">
        <v>3</v>
      </c>
      <c r="C209" s="211" t="n">
        <v>27</v>
      </c>
      <c r="D209" s="211" t="n">
        <v>2.3</v>
      </c>
      <c r="E209" s="211"/>
      <c r="F209" s="211"/>
      <c r="G209" s="211"/>
      <c r="H209" s="211" t="n">
        <f aca="false">H208+D209</f>
        <v>21.9</v>
      </c>
      <c r="I209" s="211" t="n">
        <v>903</v>
      </c>
      <c r="J209" s="211" t="n">
        <v>4.2</v>
      </c>
      <c r="K209" s="211" t="n">
        <v>12.6</v>
      </c>
      <c r="L209" s="211" t="n">
        <v>10.9</v>
      </c>
      <c r="M209" s="211" t="n">
        <v>16.5</v>
      </c>
      <c r="N209" s="212" t="n">
        <v>40629</v>
      </c>
      <c r="O209" s="204" t="n">
        <f aca="false">IF(K209&gt;0,O208+K209,O208)</f>
        <v>1859.1</v>
      </c>
      <c r="R209" s="204" t="n">
        <f aca="false">IF(K209&gt;0,R208+K209,R208)</f>
        <v>84.8</v>
      </c>
      <c r="S209" s="204" t="n">
        <f aca="false">S208+I209</f>
        <v>169756</v>
      </c>
      <c r="V209" s="204" t="n">
        <f aca="false">V208+I209</f>
        <v>12440</v>
      </c>
      <c r="W209" s="204" t="n">
        <f aca="false">W208+J209</f>
        <v>283.1</v>
      </c>
      <c r="Z209" s="204" t="n">
        <f aca="false">Z208+J209</f>
        <v>4.2</v>
      </c>
      <c r="AA209" s="204" t="n">
        <f aca="false">AA208+J209</f>
        <v>21.6</v>
      </c>
      <c r="AB209" s="204" t="n">
        <f aca="false">IF(K209&lt;0,1,0)</f>
        <v>0</v>
      </c>
      <c r="AC209" s="204" t="n">
        <f aca="false">IF(K209&lt;4.5,1,0)</f>
        <v>0</v>
      </c>
      <c r="AD209" s="204" t="n">
        <f aca="false">AD208+D209</f>
        <v>287.3</v>
      </c>
      <c r="AE209" s="204" t="n">
        <f aca="false">I209/K209</f>
        <v>71.6666666666667</v>
      </c>
      <c r="AF209" s="204" t="n">
        <f aca="false">AF208+AE209</f>
        <v>1038.80487175079</v>
      </c>
    </row>
    <row r="210" customFormat="false" ht="12" hidden="false" customHeight="false" outlineLevel="0" collapsed="false">
      <c r="A210" s="211" t="n">
        <v>2011</v>
      </c>
      <c r="B210" s="211" t="n">
        <v>3</v>
      </c>
      <c r="C210" s="211" t="n">
        <v>28</v>
      </c>
      <c r="D210" s="211" t="n">
        <v>1.5</v>
      </c>
      <c r="E210" s="211"/>
      <c r="F210" s="211"/>
      <c r="G210" s="211"/>
      <c r="H210" s="211" t="n">
        <f aca="false">H209+D210</f>
        <v>23.4</v>
      </c>
      <c r="I210" s="211" t="n">
        <v>759</v>
      </c>
      <c r="J210" s="211" t="n">
        <v>2.6</v>
      </c>
      <c r="K210" s="211" t="n">
        <v>11.4</v>
      </c>
      <c r="L210" s="211" t="n">
        <v>9.5</v>
      </c>
      <c r="M210" s="211" t="n">
        <v>13.7</v>
      </c>
      <c r="N210" s="212" t="n">
        <v>40630</v>
      </c>
      <c r="O210" s="204" t="n">
        <f aca="false">IF(K210&gt;0,O209+K210,O209)</f>
        <v>1870.5</v>
      </c>
      <c r="R210" s="204" t="n">
        <f aca="false">IF(K210&gt;0,R209+K210,R209)</f>
        <v>96.2</v>
      </c>
      <c r="S210" s="204" t="n">
        <f aca="false">S209+I210</f>
        <v>170515</v>
      </c>
      <c r="V210" s="204" t="n">
        <f aca="false">V209+I210</f>
        <v>13199</v>
      </c>
      <c r="W210" s="204" t="n">
        <f aca="false">W209+J210</f>
        <v>285.7</v>
      </c>
      <c r="Z210" s="204" t="n">
        <f aca="false">Z209+J210</f>
        <v>6.8</v>
      </c>
      <c r="AA210" s="204" t="n">
        <f aca="false">AA209+J210</f>
        <v>24.2</v>
      </c>
      <c r="AB210" s="204" t="n">
        <f aca="false">IF(K210&lt;0,1,0)</f>
        <v>0</v>
      </c>
      <c r="AC210" s="204" t="n">
        <f aca="false">IF(K210&lt;4.5,1,0)</f>
        <v>0</v>
      </c>
      <c r="AD210" s="204" t="n">
        <f aca="false">AD209+D210</f>
        <v>288.8</v>
      </c>
      <c r="AE210" s="204" t="n">
        <f aca="false">I210/K210</f>
        <v>66.5789473684211</v>
      </c>
      <c r="AF210" s="204" t="n">
        <f aca="false">AF209+AE210</f>
        <v>1105.38381911921</v>
      </c>
    </row>
    <row r="211" customFormat="false" ht="12" hidden="false" customHeight="false" outlineLevel="0" collapsed="false">
      <c r="A211" s="204" t="n">
        <v>2011</v>
      </c>
      <c r="B211" s="204" t="n">
        <v>3</v>
      </c>
      <c r="C211" s="204" t="n">
        <v>29</v>
      </c>
      <c r="D211" s="204" t="n">
        <v>2.3</v>
      </c>
      <c r="H211" s="211" t="n">
        <f aca="false">H210+D211</f>
        <v>25.7</v>
      </c>
      <c r="I211" s="204" t="n">
        <v>1250</v>
      </c>
      <c r="J211" s="204" t="n">
        <v>7.2</v>
      </c>
      <c r="K211" s="204" t="n">
        <v>11.1</v>
      </c>
      <c r="L211" s="204" t="n">
        <v>7.7</v>
      </c>
      <c r="M211" s="204" t="n">
        <v>16.1</v>
      </c>
      <c r="N211" s="206" t="n">
        <v>40631</v>
      </c>
      <c r="O211" s="204" t="n">
        <f aca="false">IF(K211&gt;0,O210+K211,O210)</f>
        <v>1881.6</v>
      </c>
      <c r="R211" s="204" t="n">
        <f aca="false">IF(K211&gt;0,R210+K211,R210)</f>
        <v>107.3</v>
      </c>
      <c r="S211" s="204" t="n">
        <f aca="false">S210+I211</f>
        <v>171765</v>
      </c>
      <c r="V211" s="204" t="n">
        <f aca="false">V210+I211</f>
        <v>14449</v>
      </c>
      <c r="W211" s="204" t="n">
        <f aca="false">W210+J211</f>
        <v>292.9</v>
      </c>
      <c r="Z211" s="204" t="n">
        <f aca="false">Z210+J211</f>
        <v>14</v>
      </c>
      <c r="AA211" s="204" t="n">
        <f aca="false">AA210+J211</f>
        <v>31.4</v>
      </c>
      <c r="AB211" s="204" t="n">
        <f aca="false">IF(K211&lt;0,1,0)</f>
        <v>0</v>
      </c>
      <c r="AC211" s="204" t="n">
        <f aca="false">IF(K211&lt;4.5,1,0)</f>
        <v>0</v>
      </c>
      <c r="AD211" s="204" t="n">
        <f aca="false">AD210+D211</f>
        <v>291.1</v>
      </c>
      <c r="AE211" s="204" t="n">
        <f aca="false">I211/K211</f>
        <v>112.612612612613</v>
      </c>
      <c r="AF211" s="204" t="n">
        <f aca="false">AF210+AE211</f>
        <v>1217.99643173182</v>
      </c>
    </row>
    <row r="212" customFormat="false" ht="12" hidden="false" customHeight="false" outlineLevel="0" collapsed="false">
      <c r="A212" s="204" t="n">
        <v>2011</v>
      </c>
      <c r="B212" s="204" t="n">
        <v>3</v>
      </c>
      <c r="C212" s="204" t="n">
        <v>30</v>
      </c>
      <c r="D212" s="204" t="n">
        <v>2.6</v>
      </c>
      <c r="H212" s="211" t="n">
        <f aca="false">H211+D212</f>
        <v>28.3</v>
      </c>
      <c r="I212" s="204" t="n">
        <v>1345</v>
      </c>
      <c r="J212" s="204" t="n">
        <v>2</v>
      </c>
      <c r="K212" s="204" t="n">
        <v>11.9</v>
      </c>
      <c r="L212" s="204" t="n">
        <v>9</v>
      </c>
      <c r="M212" s="204" t="n">
        <v>15.5</v>
      </c>
      <c r="N212" s="206" t="n">
        <v>40632</v>
      </c>
      <c r="O212" s="204" t="n">
        <f aca="false">IF(K212&gt;0,O211+K212,O211)</f>
        <v>1893.5</v>
      </c>
      <c r="R212" s="204" t="n">
        <f aca="false">IF(K212&gt;0,R211+K212,R211)</f>
        <v>119.2</v>
      </c>
      <c r="S212" s="204" t="n">
        <f aca="false">S211+I212</f>
        <v>173110</v>
      </c>
      <c r="V212" s="204" t="n">
        <f aca="false">V211+I212</f>
        <v>15794</v>
      </c>
      <c r="W212" s="204" t="n">
        <f aca="false">W211+J212</f>
        <v>294.9</v>
      </c>
      <c r="Z212" s="204" t="n">
        <f aca="false">Z211+J212</f>
        <v>16</v>
      </c>
      <c r="AA212" s="204" t="n">
        <f aca="false">AA211+J212</f>
        <v>33.4</v>
      </c>
      <c r="AB212" s="204" t="n">
        <f aca="false">IF(K212&lt;0,1,0)</f>
        <v>0</v>
      </c>
      <c r="AC212" s="204" t="n">
        <f aca="false">IF(K212&lt;4.5,1,0)</f>
        <v>0</v>
      </c>
      <c r="AD212" s="204" t="n">
        <f aca="false">AD211+D212</f>
        <v>293.7</v>
      </c>
      <c r="AE212" s="204" t="n">
        <f aca="false">I212/K212</f>
        <v>113.025210084034</v>
      </c>
      <c r="AF212" s="204" t="n">
        <f aca="false">AF211+AE212</f>
        <v>1331.02164181586</v>
      </c>
    </row>
    <row r="213" customFormat="false" ht="12" hidden="false" customHeight="false" outlineLevel="0" collapsed="false">
      <c r="A213" s="204" t="n">
        <v>2011</v>
      </c>
      <c r="B213" s="204" t="n">
        <v>3</v>
      </c>
      <c r="C213" s="204" t="n">
        <v>31</v>
      </c>
      <c r="D213" s="204" t="n">
        <v>1.3</v>
      </c>
      <c r="H213" s="211" t="n">
        <f aca="false">H212+D213</f>
        <v>29.6</v>
      </c>
      <c r="I213" s="204" t="n">
        <v>511</v>
      </c>
      <c r="J213" s="204" t="n">
        <v>0.2</v>
      </c>
      <c r="K213" s="204" t="n">
        <v>13.7</v>
      </c>
      <c r="L213" s="204" t="n">
        <v>10.6</v>
      </c>
      <c r="M213" s="204" t="n">
        <v>17.7</v>
      </c>
      <c r="N213" s="206" t="n">
        <v>40633</v>
      </c>
      <c r="O213" s="204" t="n">
        <f aca="false">IF(K213&gt;0,O212+K213,O212)</f>
        <v>1907.2</v>
      </c>
      <c r="R213" s="204" t="n">
        <f aca="false">IF(K213&gt;0,R212+K213,R212)</f>
        <v>132.9</v>
      </c>
      <c r="S213" s="204" t="n">
        <f aca="false">S212+I213</f>
        <v>173621</v>
      </c>
      <c r="V213" s="204" t="n">
        <f aca="false">V212+I213</f>
        <v>16305</v>
      </c>
      <c r="W213" s="204" t="n">
        <f aca="false">W212+J213</f>
        <v>295.1</v>
      </c>
      <c r="Z213" s="204" t="n">
        <f aca="false">Z212+J213</f>
        <v>16.2</v>
      </c>
      <c r="AA213" s="204" t="n">
        <f aca="false">AA212+J213</f>
        <v>33.6</v>
      </c>
      <c r="AB213" s="204" t="n">
        <f aca="false">IF(K213&lt;0,1,0)</f>
        <v>0</v>
      </c>
      <c r="AC213" s="204" t="n">
        <f aca="false">IF(K213&lt;4.5,1,0)</f>
        <v>0</v>
      </c>
      <c r="AD213" s="204" t="n">
        <f aca="false">AD212+D213</f>
        <v>295</v>
      </c>
      <c r="AE213" s="204" t="n">
        <f aca="false">I213/K213</f>
        <v>37.2992700729927</v>
      </c>
      <c r="AF213" s="204" t="n">
        <f aca="false">AF212+AE213</f>
        <v>1368.32091188885</v>
      </c>
    </row>
    <row r="214" customFormat="false" ht="12" hidden="false" customHeight="false" outlineLevel="0" collapsed="false">
      <c r="A214" s="204" t="n">
        <v>2011</v>
      </c>
      <c r="B214" s="204" t="n">
        <v>4</v>
      </c>
      <c r="C214" s="204" t="n">
        <v>1</v>
      </c>
      <c r="D214" s="204" t="n">
        <v>3.5</v>
      </c>
      <c r="H214" s="211" t="n">
        <f aca="false">H213+D214</f>
        <v>33.1</v>
      </c>
      <c r="I214" s="204" t="n">
        <v>2164</v>
      </c>
      <c r="J214" s="204" t="n">
        <v>0.2</v>
      </c>
      <c r="K214" s="204" t="n">
        <v>15.3</v>
      </c>
      <c r="L214" s="204" t="n">
        <v>5.7</v>
      </c>
      <c r="M214" s="204" t="n">
        <v>24.3</v>
      </c>
      <c r="N214" s="206" t="n">
        <v>40634</v>
      </c>
      <c r="O214" s="204" t="n">
        <f aca="false">IF(K214&gt;0,O213+K214,O213)</f>
        <v>1922.5</v>
      </c>
      <c r="R214" s="204" t="n">
        <f aca="false">IF(K214&gt;0,R213+K214,R213)</f>
        <v>148.2</v>
      </c>
      <c r="S214" s="204" t="n">
        <f aca="false">S213+I214</f>
        <v>175785</v>
      </c>
      <c r="V214" s="204" t="n">
        <f aca="false">V213+I214</f>
        <v>18469</v>
      </c>
      <c r="W214" s="204" t="n">
        <f aca="false">W213+J214</f>
        <v>295.3</v>
      </c>
      <c r="Z214" s="204" t="n">
        <f aca="false">Z213+J214</f>
        <v>16.4</v>
      </c>
      <c r="AA214" s="204" t="n">
        <f aca="false">AA213+J214</f>
        <v>33.8</v>
      </c>
      <c r="AB214" s="204" t="n">
        <f aca="false">IF(K214&lt;0,1,0)</f>
        <v>0</v>
      </c>
      <c r="AC214" s="204" t="n">
        <f aca="false">IF(K214&lt;4.5,1,0)</f>
        <v>0</v>
      </c>
      <c r="AD214" s="204" t="n">
        <f aca="false">AD213+D214</f>
        <v>298.5</v>
      </c>
      <c r="AE214" s="204" t="n">
        <f aca="false">I214/K214</f>
        <v>141.437908496732</v>
      </c>
      <c r="AF214" s="204" t="n">
        <f aca="false">AF213+AE214</f>
        <v>1509.75882038558</v>
      </c>
    </row>
    <row r="215" customFormat="false" ht="12" hidden="false" customHeight="false" outlineLevel="0" collapsed="false">
      <c r="A215" s="204" t="n">
        <v>2011</v>
      </c>
      <c r="B215" s="204" t="n">
        <v>4</v>
      </c>
      <c r="C215" s="204" t="n">
        <v>2</v>
      </c>
      <c r="D215" s="204" t="n">
        <v>3.9</v>
      </c>
      <c r="H215" s="211" t="n">
        <f aca="false">H214+D215</f>
        <v>37</v>
      </c>
      <c r="I215" s="204" t="n">
        <v>2091</v>
      </c>
      <c r="J215" s="204" t="n">
        <v>0</v>
      </c>
      <c r="K215" s="204" t="n">
        <v>14.7</v>
      </c>
      <c r="L215" s="204" t="n">
        <v>11.3</v>
      </c>
      <c r="M215" s="204" t="n">
        <v>19.4</v>
      </c>
      <c r="N215" s="206" t="n">
        <v>40635</v>
      </c>
      <c r="O215" s="204" t="n">
        <f aca="false">IF(K215&gt;0,O214+K215,O214)</f>
        <v>1937.2</v>
      </c>
      <c r="R215" s="204" t="n">
        <f aca="false">IF(K215&gt;0,R214+K215,R214)</f>
        <v>162.9</v>
      </c>
      <c r="S215" s="204" t="n">
        <f aca="false">S214+I215</f>
        <v>177876</v>
      </c>
      <c r="V215" s="204" t="n">
        <f aca="false">V214+I215</f>
        <v>20560</v>
      </c>
      <c r="W215" s="204" t="n">
        <f aca="false">W214+J215</f>
        <v>295.3</v>
      </c>
      <c r="Z215" s="204" t="n">
        <f aca="false">Z214+J215</f>
        <v>16.4</v>
      </c>
      <c r="AA215" s="204" t="n">
        <f aca="false">AA214+J215</f>
        <v>33.8</v>
      </c>
      <c r="AB215" s="204" t="n">
        <f aca="false">IF(K215&lt;0,1,0)</f>
        <v>0</v>
      </c>
      <c r="AC215" s="204" t="n">
        <f aca="false">IF(K215&lt;4.5,1,0)</f>
        <v>0</v>
      </c>
      <c r="AD215" s="204" t="n">
        <f aca="false">AD214+D215</f>
        <v>302.4</v>
      </c>
      <c r="AE215" s="204" t="n">
        <f aca="false">I215/K215</f>
        <v>142.244897959184</v>
      </c>
      <c r="AF215" s="204" t="n">
        <f aca="false">AF214+AE215</f>
        <v>1652.00371834476</v>
      </c>
    </row>
    <row r="216" customFormat="false" ht="12" hidden="false" customHeight="false" outlineLevel="0" collapsed="false">
      <c r="A216" s="204" t="n">
        <v>2011</v>
      </c>
      <c r="B216" s="204" t="n">
        <v>4</v>
      </c>
      <c r="C216" s="204" t="n">
        <v>3</v>
      </c>
      <c r="D216" s="204" t="n">
        <v>1.2</v>
      </c>
      <c r="H216" s="211" t="n">
        <f aca="false">H215+D216</f>
        <v>38.2</v>
      </c>
      <c r="I216" s="204" t="n">
        <v>327</v>
      </c>
      <c r="J216" s="204" t="n">
        <v>0</v>
      </c>
      <c r="K216" s="204" t="n">
        <v>13.6</v>
      </c>
      <c r="L216" s="204" t="n">
        <v>12.7</v>
      </c>
      <c r="M216" s="204" t="n">
        <v>15.8</v>
      </c>
      <c r="N216" s="206" t="n">
        <v>40636</v>
      </c>
      <c r="O216" s="204" t="n">
        <f aca="false">IF(K216&gt;0,O215+K216,O215)</f>
        <v>1950.8</v>
      </c>
      <c r="R216" s="204" t="n">
        <f aca="false">IF(K216&gt;0,R215+K216,R215)</f>
        <v>176.5</v>
      </c>
      <c r="S216" s="204" t="n">
        <f aca="false">S215+I216</f>
        <v>178203</v>
      </c>
      <c r="V216" s="204" t="n">
        <f aca="false">V215+I216</f>
        <v>20887</v>
      </c>
      <c r="W216" s="204" t="n">
        <f aca="false">W215+J216</f>
        <v>295.3</v>
      </c>
      <c r="Z216" s="204" t="n">
        <f aca="false">Z215+J216</f>
        <v>16.4</v>
      </c>
      <c r="AA216" s="204" t="n">
        <f aca="false">AA215+J216</f>
        <v>33.8</v>
      </c>
      <c r="AB216" s="204" t="n">
        <f aca="false">IF(K216&lt;0,1,0)</f>
        <v>0</v>
      </c>
      <c r="AC216" s="204" t="n">
        <f aca="false">IF(K216&lt;4.5,1,0)</f>
        <v>0</v>
      </c>
      <c r="AD216" s="204" t="n">
        <f aca="false">AD215+D216</f>
        <v>303.6</v>
      </c>
      <c r="AE216" s="204" t="n">
        <f aca="false">I216/K216</f>
        <v>24.0441176470588</v>
      </c>
      <c r="AF216" s="204" t="n">
        <f aca="false">AF215+AE216</f>
        <v>1676.04783599182</v>
      </c>
    </row>
    <row r="217" customFormat="false" ht="12" hidden="false" customHeight="false" outlineLevel="0" collapsed="false">
      <c r="A217" s="204" t="n">
        <v>2011</v>
      </c>
      <c r="B217" s="204" t="n">
        <v>4</v>
      </c>
      <c r="C217" s="204" t="n">
        <v>4</v>
      </c>
      <c r="D217" s="204" t="n">
        <v>3.4</v>
      </c>
      <c r="H217" s="211" t="n">
        <f aca="false">H216+D217</f>
        <v>41.6</v>
      </c>
      <c r="I217" s="204" t="n">
        <v>1753</v>
      </c>
      <c r="J217" s="204" t="n">
        <v>0</v>
      </c>
      <c r="K217" s="204" t="n">
        <v>12.8</v>
      </c>
      <c r="L217" s="204" t="n">
        <v>10</v>
      </c>
      <c r="M217" s="204" t="n">
        <v>17.6</v>
      </c>
      <c r="N217" s="206" t="n">
        <v>40637</v>
      </c>
      <c r="O217" s="204" t="n">
        <f aca="false">IF(K217&gt;0,O216+K217,O216)</f>
        <v>1963.6</v>
      </c>
      <c r="R217" s="204" t="n">
        <f aca="false">IF(K217&gt;0,R216+K217,R216)</f>
        <v>189.3</v>
      </c>
      <c r="S217" s="204" t="n">
        <f aca="false">S216+I217</f>
        <v>179956</v>
      </c>
      <c r="V217" s="204" t="n">
        <f aca="false">V216+I217</f>
        <v>22640</v>
      </c>
      <c r="W217" s="204" t="n">
        <f aca="false">W216+J217</f>
        <v>295.3</v>
      </c>
      <c r="Z217" s="204" t="n">
        <f aca="false">Z216+J217</f>
        <v>16.4</v>
      </c>
      <c r="AA217" s="204" t="n">
        <f aca="false">AA216+J217</f>
        <v>33.8</v>
      </c>
      <c r="AB217" s="204" t="n">
        <f aca="false">IF(K217&lt;0,1,0)</f>
        <v>0</v>
      </c>
      <c r="AC217" s="204" t="n">
        <f aca="false">IF(K217&lt;4.5,1,0)</f>
        <v>0</v>
      </c>
      <c r="AD217" s="204" t="n">
        <f aca="false">AD216+D217</f>
        <v>307</v>
      </c>
      <c r="AE217" s="204" t="n">
        <f aca="false">I217/K217</f>
        <v>136.953125</v>
      </c>
      <c r="AF217" s="204" t="n">
        <f aca="false">AF216+AE217</f>
        <v>1813.00096099182</v>
      </c>
    </row>
    <row r="218" customFormat="false" ht="12" hidden="false" customHeight="false" outlineLevel="0" collapsed="false">
      <c r="A218" s="204" t="n">
        <v>2011</v>
      </c>
      <c r="B218" s="204" t="n">
        <v>4</v>
      </c>
      <c r="C218" s="204" t="n">
        <v>5</v>
      </c>
      <c r="D218" s="204" t="n">
        <v>3.1</v>
      </c>
      <c r="H218" s="211" t="n">
        <f aca="false">H217+D218</f>
        <v>44.7</v>
      </c>
      <c r="I218" s="204" t="n">
        <v>2267</v>
      </c>
      <c r="J218" s="204" t="n">
        <v>0</v>
      </c>
      <c r="K218" s="204" t="n">
        <v>13.4</v>
      </c>
      <c r="L218" s="204" t="n">
        <v>5.1</v>
      </c>
      <c r="M218" s="204" t="n">
        <v>21.6</v>
      </c>
      <c r="N218" s="206" t="n">
        <v>40638</v>
      </c>
      <c r="O218" s="204" t="n">
        <f aca="false">IF(K218&gt;0,O217+K218,O217)</f>
        <v>1977</v>
      </c>
      <c r="R218" s="204" t="n">
        <f aca="false">IF(K218&gt;0,R217+K218,R217)</f>
        <v>202.7</v>
      </c>
      <c r="S218" s="204" t="n">
        <f aca="false">S217+I218</f>
        <v>182223</v>
      </c>
      <c r="V218" s="204" t="n">
        <f aca="false">V217+I218</f>
        <v>24907</v>
      </c>
      <c r="W218" s="204" t="n">
        <f aca="false">W217+J218</f>
        <v>295.3</v>
      </c>
      <c r="Z218" s="204" t="n">
        <f aca="false">Z217+J218</f>
        <v>16.4</v>
      </c>
      <c r="AA218" s="204" t="n">
        <f aca="false">AA217+J218</f>
        <v>33.8</v>
      </c>
      <c r="AB218" s="204" t="n">
        <f aca="false">IF(K218&lt;0,1,0)</f>
        <v>0</v>
      </c>
      <c r="AC218" s="204" t="n">
        <f aca="false">IF(K218&lt;4.5,1,0)</f>
        <v>0</v>
      </c>
      <c r="AD218" s="204" t="n">
        <f aca="false">AD217+D218</f>
        <v>310.1</v>
      </c>
      <c r="AE218" s="204" t="n">
        <f aca="false">I218/K218</f>
        <v>169.179104477612</v>
      </c>
      <c r="AF218" s="204" t="n">
        <f aca="false">AF217+AE218</f>
        <v>1982.18006546944</v>
      </c>
    </row>
    <row r="219" customFormat="false" ht="12" hidden="false" customHeight="false" outlineLevel="0" collapsed="false">
      <c r="A219" s="204" t="n">
        <v>2011</v>
      </c>
      <c r="B219" s="204" t="n">
        <v>4</v>
      </c>
      <c r="C219" s="204" t="n">
        <v>6</v>
      </c>
      <c r="D219" s="204" t="n">
        <v>4.1</v>
      </c>
      <c r="H219" s="211" t="n">
        <f aca="false">H218+D219</f>
        <v>48.8</v>
      </c>
      <c r="I219" s="204" t="n">
        <v>2326</v>
      </c>
      <c r="J219" s="204" t="n">
        <v>0</v>
      </c>
      <c r="K219" s="204" t="n">
        <v>16.8</v>
      </c>
      <c r="L219" s="204" t="n">
        <v>7.1</v>
      </c>
      <c r="M219" s="204" t="n">
        <v>25.7</v>
      </c>
      <c r="N219" s="206" t="n">
        <v>40639</v>
      </c>
      <c r="O219" s="204" t="n">
        <f aca="false">IF(K219&gt;0,O218+K219,O218)</f>
        <v>1993.8</v>
      </c>
      <c r="R219" s="204" t="n">
        <f aca="false">IF(K219&gt;0,R218+K219,R218)</f>
        <v>219.5</v>
      </c>
      <c r="S219" s="204" t="n">
        <f aca="false">S218+I219</f>
        <v>184549</v>
      </c>
      <c r="V219" s="204" t="n">
        <f aca="false">V218+I219</f>
        <v>27233</v>
      </c>
      <c r="W219" s="204" t="n">
        <f aca="false">W218+J219</f>
        <v>295.3</v>
      </c>
      <c r="Z219" s="204" t="n">
        <f aca="false">Z218+J219</f>
        <v>16.4</v>
      </c>
      <c r="AA219" s="204" t="n">
        <f aca="false">AA218+J219</f>
        <v>33.8</v>
      </c>
      <c r="AB219" s="204" t="n">
        <f aca="false">IF(K219&lt;0,1,0)</f>
        <v>0</v>
      </c>
      <c r="AC219" s="204" t="n">
        <f aca="false">IF(K219&lt;4.5,1,0)</f>
        <v>0</v>
      </c>
      <c r="AD219" s="204" t="n">
        <f aca="false">AD218+D219</f>
        <v>314.2</v>
      </c>
      <c r="AE219" s="204" t="n">
        <f aca="false">I219/K219</f>
        <v>138.452380952381</v>
      </c>
      <c r="AF219" s="204" t="n">
        <f aca="false">AF218+AE219</f>
        <v>2120.63244642182</v>
      </c>
    </row>
    <row r="220" customFormat="false" ht="12" hidden="false" customHeight="false" outlineLevel="0" collapsed="false">
      <c r="A220" s="204" t="n">
        <v>2011</v>
      </c>
      <c r="B220" s="204" t="n">
        <v>4</v>
      </c>
      <c r="C220" s="204" t="n">
        <v>7</v>
      </c>
      <c r="D220" s="204" t="n">
        <v>4</v>
      </c>
      <c r="H220" s="211" t="n">
        <f aca="false">H219+D220</f>
        <v>52.8</v>
      </c>
      <c r="I220" s="204" t="n">
        <v>2294</v>
      </c>
      <c r="J220" s="204" t="n">
        <v>0</v>
      </c>
      <c r="K220" s="204" t="n">
        <v>18.9</v>
      </c>
      <c r="L220" s="204" t="n">
        <v>9.5</v>
      </c>
      <c r="M220" s="204" t="n">
        <v>28.1</v>
      </c>
      <c r="N220" s="206" t="n">
        <v>40640</v>
      </c>
      <c r="O220" s="204" t="n">
        <f aca="false">IF(K220&gt;0,O219+K220,O219)</f>
        <v>2012.7</v>
      </c>
      <c r="R220" s="204" t="n">
        <f aca="false">IF(K220&gt;0,R219+K220,R219)</f>
        <v>238.4</v>
      </c>
      <c r="S220" s="204" t="n">
        <f aca="false">S219+I220</f>
        <v>186843</v>
      </c>
      <c r="V220" s="204" t="n">
        <f aca="false">V219+I220</f>
        <v>29527</v>
      </c>
      <c r="W220" s="204" t="n">
        <f aca="false">W219+J220</f>
        <v>295.3</v>
      </c>
      <c r="Z220" s="204" t="n">
        <f aca="false">Z219+J220</f>
        <v>16.4</v>
      </c>
      <c r="AA220" s="204" t="n">
        <f aca="false">AA219+J220</f>
        <v>33.8</v>
      </c>
      <c r="AB220" s="204" t="n">
        <f aca="false">IF(K220&lt;0,1,0)</f>
        <v>0</v>
      </c>
      <c r="AC220" s="204" t="n">
        <f aca="false">IF(K220&lt;4.5,1,0)</f>
        <v>0</v>
      </c>
      <c r="AD220" s="204" t="n">
        <f aca="false">AD219+D220</f>
        <v>318.2</v>
      </c>
      <c r="AE220" s="204" t="n">
        <f aca="false">I220/K220</f>
        <v>121.375661375661</v>
      </c>
      <c r="AF220" s="204" t="n">
        <f aca="false">AF219+AE220</f>
        <v>2242.00810779748</v>
      </c>
    </row>
    <row r="221" customFormat="false" ht="12" hidden="false" customHeight="false" outlineLevel="0" collapsed="false">
      <c r="A221" s="204" t="n">
        <v>2011</v>
      </c>
      <c r="B221" s="204" t="n">
        <v>4</v>
      </c>
      <c r="C221" s="204" t="n">
        <v>8</v>
      </c>
      <c r="D221" s="204" t="n">
        <v>4</v>
      </c>
      <c r="H221" s="211" t="n">
        <f aca="false">H220+D221</f>
        <v>56.8</v>
      </c>
      <c r="I221" s="204" t="n">
        <v>2326</v>
      </c>
      <c r="J221" s="204" t="n">
        <v>0</v>
      </c>
      <c r="K221" s="204" t="n">
        <v>19.1</v>
      </c>
      <c r="L221" s="204" t="n">
        <v>10.3</v>
      </c>
      <c r="M221" s="204" t="n">
        <v>27.7</v>
      </c>
      <c r="N221" s="206" t="n">
        <v>40641</v>
      </c>
      <c r="O221" s="204" t="n">
        <f aca="false">IF(K221&gt;0,O220+K221,O220)</f>
        <v>2031.8</v>
      </c>
      <c r="R221" s="204" t="n">
        <f aca="false">IF(K221&gt;0,R220+K221,R220)</f>
        <v>257.5</v>
      </c>
      <c r="S221" s="204" t="n">
        <f aca="false">S220+I221</f>
        <v>189169</v>
      </c>
      <c r="V221" s="204" t="n">
        <f aca="false">V220+I221</f>
        <v>31853</v>
      </c>
      <c r="W221" s="204" t="n">
        <f aca="false">W220+J221</f>
        <v>295.3</v>
      </c>
      <c r="Z221" s="204" t="n">
        <f aca="false">Z220+J221</f>
        <v>16.4</v>
      </c>
      <c r="AA221" s="204" t="n">
        <f aca="false">AA220+J221</f>
        <v>33.8</v>
      </c>
      <c r="AB221" s="204" t="n">
        <f aca="false">IF(K221&lt;0,1,0)</f>
        <v>0</v>
      </c>
      <c r="AC221" s="204" t="n">
        <f aca="false">IF(K221&lt;4.5,1,0)</f>
        <v>0</v>
      </c>
      <c r="AD221" s="204" t="n">
        <f aca="false">AD220+D221</f>
        <v>322.2</v>
      </c>
      <c r="AE221" s="204" t="n">
        <f aca="false">I221/K221</f>
        <v>121.780104712042</v>
      </c>
      <c r="AF221" s="204" t="n">
        <f aca="false">AF220+AE221</f>
        <v>2363.78821250952</v>
      </c>
    </row>
    <row r="222" customFormat="false" ht="12" hidden="false" customHeight="false" outlineLevel="0" collapsed="false">
      <c r="A222" s="204" t="n">
        <v>2011</v>
      </c>
      <c r="B222" s="204" t="n">
        <v>4</v>
      </c>
      <c r="C222" s="204" t="n">
        <v>9</v>
      </c>
      <c r="D222" s="204" t="n">
        <v>4.5</v>
      </c>
      <c r="H222" s="211" t="n">
        <f aca="false">H221+D222</f>
        <v>61.3</v>
      </c>
      <c r="I222" s="204" t="n">
        <v>2296</v>
      </c>
      <c r="J222" s="204" t="n">
        <v>0</v>
      </c>
      <c r="K222" s="204" t="n">
        <v>19.1</v>
      </c>
      <c r="L222" s="204" t="n">
        <v>10.2</v>
      </c>
      <c r="M222" s="204" t="n">
        <v>28.6</v>
      </c>
      <c r="N222" s="206" t="n">
        <v>40642</v>
      </c>
      <c r="O222" s="204" t="n">
        <f aca="false">IF(K222&gt;0,O221+K222,O221)</f>
        <v>2050.9</v>
      </c>
      <c r="R222" s="204" t="n">
        <f aca="false">IF(K222&gt;0,R221+K222,R221)</f>
        <v>276.6</v>
      </c>
      <c r="S222" s="204" t="n">
        <f aca="false">S221+I222</f>
        <v>191465</v>
      </c>
      <c r="V222" s="204" t="n">
        <f aca="false">V221+I222</f>
        <v>34149</v>
      </c>
      <c r="W222" s="204" t="n">
        <f aca="false">W221+J222</f>
        <v>295.3</v>
      </c>
      <c r="Z222" s="204" t="n">
        <f aca="false">Z221+J222</f>
        <v>16.4</v>
      </c>
      <c r="AA222" s="204" t="n">
        <f aca="false">AA221+J222</f>
        <v>33.8</v>
      </c>
      <c r="AB222" s="204" t="n">
        <f aca="false">IF(K222&lt;0,1,0)</f>
        <v>0</v>
      </c>
      <c r="AC222" s="204" t="n">
        <f aca="false">IF(K222&lt;4.5,1,0)</f>
        <v>0</v>
      </c>
      <c r="AD222" s="204" t="n">
        <f aca="false">AD221+D222</f>
        <v>326.7</v>
      </c>
      <c r="AE222" s="204" t="n">
        <f aca="false">I222/K222</f>
        <v>120.20942408377</v>
      </c>
      <c r="AF222" s="204" t="n">
        <f aca="false">AF221+AE222</f>
        <v>2483.99763659329</v>
      </c>
    </row>
    <row r="223" customFormat="false" ht="12" hidden="false" customHeight="false" outlineLevel="0" collapsed="false">
      <c r="A223" s="209" t="n">
        <v>2011</v>
      </c>
      <c r="B223" s="209" t="n">
        <v>4</v>
      </c>
      <c r="C223" s="209" t="n">
        <v>10</v>
      </c>
      <c r="D223" s="209" t="n">
        <v>2.6</v>
      </c>
      <c r="E223" s="209"/>
      <c r="F223" s="209"/>
      <c r="G223" s="209"/>
      <c r="H223" s="211" t="n">
        <f aca="false">H222+D223</f>
        <v>63.9</v>
      </c>
      <c r="I223" s="209" t="n">
        <v>657</v>
      </c>
      <c r="J223" s="209" t="n">
        <v>0</v>
      </c>
      <c r="K223" s="209" t="n">
        <v>14.9</v>
      </c>
      <c r="L223" s="209" t="n">
        <v>14</v>
      </c>
      <c r="M223" s="209" t="n">
        <v>18.2</v>
      </c>
      <c r="N223" s="210" t="n">
        <v>40643</v>
      </c>
      <c r="O223" s="204" t="n">
        <f aca="false">IF(K223&gt;0,O222+K223,O222)</f>
        <v>2065.8</v>
      </c>
      <c r="R223" s="204" t="n">
        <f aca="false">IF(K223&gt;0,R222+K223,R222)</f>
        <v>291.5</v>
      </c>
      <c r="S223" s="204" t="n">
        <f aca="false">S222+I223</f>
        <v>192122</v>
      </c>
      <c r="V223" s="204" t="n">
        <f aca="false">V222+I223</f>
        <v>34806</v>
      </c>
      <c r="W223" s="204" t="n">
        <f aca="false">W222+J223</f>
        <v>295.3</v>
      </c>
      <c r="Z223" s="204" t="n">
        <f aca="false">Z222+J223</f>
        <v>16.4</v>
      </c>
      <c r="AA223" s="204" t="n">
        <f aca="false">AA222+J223</f>
        <v>33.8</v>
      </c>
      <c r="AB223" s="204" t="n">
        <f aca="false">IF(K223&lt;0,1,0)</f>
        <v>0</v>
      </c>
      <c r="AC223" s="204" t="n">
        <f aca="false">IF(K223&lt;4.5,1,0)</f>
        <v>0</v>
      </c>
      <c r="AD223" s="204" t="n">
        <f aca="false">AD222+D223</f>
        <v>329.3</v>
      </c>
      <c r="AE223" s="204" t="n">
        <f aca="false">I223/K223</f>
        <v>44.0939597315436</v>
      </c>
      <c r="AF223" s="204" t="n">
        <f aca="false">AF222+AE223</f>
        <v>2528.09159632483</v>
      </c>
    </row>
    <row r="224" customFormat="false" ht="12" hidden="false" customHeight="false" outlineLevel="0" collapsed="false">
      <c r="A224" s="209" t="n">
        <v>2011</v>
      </c>
      <c r="B224" s="209" t="n">
        <v>4</v>
      </c>
      <c r="C224" s="209" t="n">
        <v>11</v>
      </c>
      <c r="D224" s="209" t="n">
        <v>3.8</v>
      </c>
      <c r="E224" s="209"/>
      <c r="F224" s="209"/>
      <c r="G224" s="209"/>
      <c r="H224" s="211" t="n">
        <f aca="false">H223+D224</f>
        <v>67.7</v>
      </c>
      <c r="I224" s="209" t="n">
        <v>1507</v>
      </c>
      <c r="J224" s="209" t="n">
        <v>0.2</v>
      </c>
      <c r="K224" s="209" t="n">
        <v>15.3</v>
      </c>
      <c r="L224" s="209" t="n">
        <v>12.7</v>
      </c>
      <c r="M224" s="209" t="n">
        <v>19.9</v>
      </c>
      <c r="N224" s="210" t="n">
        <v>40644</v>
      </c>
      <c r="O224" s="204" t="n">
        <f aca="false">IF(K224&gt;0,O223+K224,O223)</f>
        <v>2081.1</v>
      </c>
      <c r="R224" s="204" t="n">
        <f aca="false">IF(K224&gt;0,R223+K224,R223)</f>
        <v>306.8</v>
      </c>
      <c r="S224" s="204" t="n">
        <f aca="false">S223+I224</f>
        <v>193629</v>
      </c>
      <c r="V224" s="204" t="n">
        <f aca="false">V223+I224</f>
        <v>36313</v>
      </c>
      <c r="W224" s="204" t="n">
        <f aca="false">W223+J224</f>
        <v>295.5</v>
      </c>
      <c r="Z224" s="204" t="n">
        <f aca="false">Z223+J224</f>
        <v>16.6</v>
      </c>
      <c r="AA224" s="204" t="n">
        <f aca="false">AA223+J224</f>
        <v>34</v>
      </c>
      <c r="AB224" s="204" t="n">
        <f aca="false">IF(K224&lt;0,1,0)</f>
        <v>0</v>
      </c>
      <c r="AC224" s="204" t="n">
        <f aca="false">IF(K224&lt;4.5,1,0)</f>
        <v>0</v>
      </c>
      <c r="AD224" s="204" t="n">
        <f aca="false">AD223+D224</f>
        <v>333.1</v>
      </c>
      <c r="AE224" s="204" t="n">
        <f aca="false">I224/K224</f>
        <v>98.4967320261438</v>
      </c>
      <c r="AF224" s="204" t="n">
        <f aca="false">AF223+AE224</f>
        <v>2626.58832835098</v>
      </c>
    </row>
    <row r="225" customFormat="false" ht="12" hidden="false" customHeight="false" outlineLevel="0" collapsed="false">
      <c r="A225" s="209" t="n">
        <v>2011</v>
      </c>
      <c r="B225" s="209" t="n">
        <v>4</v>
      </c>
      <c r="C225" s="209" t="n">
        <v>12</v>
      </c>
      <c r="D225" s="209" t="n">
        <v>3.4</v>
      </c>
      <c r="E225" s="209"/>
      <c r="F225" s="209"/>
      <c r="G225" s="209"/>
      <c r="H225" s="211" t="n">
        <f aca="false">H224+D225</f>
        <v>71.1</v>
      </c>
      <c r="I225" s="209" t="n">
        <v>1252</v>
      </c>
      <c r="J225" s="209" t="n">
        <v>1.8</v>
      </c>
      <c r="K225" s="209" t="n">
        <v>13.2</v>
      </c>
      <c r="L225" s="209" t="n">
        <v>11.6</v>
      </c>
      <c r="M225" s="209" t="n">
        <v>18.6</v>
      </c>
      <c r="N225" s="210" t="n">
        <v>40645</v>
      </c>
      <c r="O225" s="204" t="n">
        <f aca="false">IF(K225&gt;0,O224+K225,O224)</f>
        <v>2094.3</v>
      </c>
      <c r="R225" s="204" t="n">
        <f aca="false">IF(K225&gt;0,R224+K225,R224)</f>
        <v>320</v>
      </c>
      <c r="S225" s="204" t="n">
        <f aca="false">S224+I225</f>
        <v>194881</v>
      </c>
      <c r="V225" s="204" t="n">
        <f aca="false">V224+I225</f>
        <v>37565</v>
      </c>
      <c r="W225" s="204" t="n">
        <f aca="false">W224+J225</f>
        <v>297.3</v>
      </c>
      <c r="Z225" s="204" t="n">
        <f aca="false">Z224+J225</f>
        <v>18.4</v>
      </c>
      <c r="AA225" s="204" t="n">
        <f aca="false">AA224+J225</f>
        <v>35.8</v>
      </c>
      <c r="AB225" s="204" t="n">
        <f aca="false">IF(K225&lt;0,1,0)</f>
        <v>0</v>
      </c>
      <c r="AC225" s="204" t="n">
        <f aca="false">IF(K225&lt;4.5,1,0)</f>
        <v>0</v>
      </c>
      <c r="AD225" s="204" t="n">
        <f aca="false">AD224+D225</f>
        <v>336.5</v>
      </c>
      <c r="AE225" s="204" t="n">
        <f aca="false">I225/K225</f>
        <v>94.8484848484849</v>
      </c>
      <c r="AF225" s="204" t="n">
        <f aca="false">AF224+AE225</f>
        <v>2721.43681319946</v>
      </c>
    </row>
    <row r="226" customFormat="false" ht="12" hidden="false" customHeight="false" outlineLevel="0" collapsed="false">
      <c r="A226" s="209" t="n">
        <v>2011</v>
      </c>
      <c r="B226" s="209" t="n">
        <v>4</v>
      </c>
      <c r="C226" s="209" t="n">
        <v>13</v>
      </c>
      <c r="D226" s="209" t="n">
        <v>3.1</v>
      </c>
      <c r="E226" s="209"/>
      <c r="F226" s="209"/>
      <c r="G226" s="209"/>
      <c r="H226" s="211" t="n">
        <f aca="false">H225+D226</f>
        <v>74.2</v>
      </c>
      <c r="I226" s="209" t="n">
        <v>2286</v>
      </c>
      <c r="J226" s="209" t="n">
        <v>0</v>
      </c>
      <c r="K226" s="209" t="n">
        <v>11.9</v>
      </c>
      <c r="L226" s="209" t="n">
        <v>4.6</v>
      </c>
      <c r="M226" s="209" t="n">
        <v>18.1</v>
      </c>
      <c r="N226" s="210" t="n">
        <v>40646</v>
      </c>
      <c r="O226" s="204" t="n">
        <f aca="false">IF(K226&gt;0,O225+K226,O225)</f>
        <v>2106.2</v>
      </c>
      <c r="R226" s="204" t="n">
        <f aca="false">IF(K226&gt;0,R225+K226,R225)</f>
        <v>331.9</v>
      </c>
      <c r="S226" s="204" t="n">
        <f aca="false">S225+I226</f>
        <v>197167</v>
      </c>
      <c r="V226" s="204" t="n">
        <f aca="false">V225+I226</f>
        <v>39851</v>
      </c>
      <c r="W226" s="204" t="n">
        <f aca="false">W225+J226</f>
        <v>297.3</v>
      </c>
      <c r="Z226" s="204" t="n">
        <f aca="false">Z225+J226</f>
        <v>18.4</v>
      </c>
      <c r="AA226" s="204" t="n">
        <f aca="false">AA225+J226</f>
        <v>35.8</v>
      </c>
      <c r="AB226" s="204" t="n">
        <f aca="false">IF(K226&lt;0,1,0)</f>
        <v>0</v>
      </c>
      <c r="AC226" s="204" t="n">
        <f aca="false">IF(K226&lt;4.5,1,0)</f>
        <v>0</v>
      </c>
      <c r="AD226" s="204" t="n">
        <f aca="false">AD225+D226</f>
        <v>339.6</v>
      </c>
      <c r="AE226" s="204" t="n">
        <f aca="false">I226/K226</f>
        <v>192.100840336134</v>
      </c>
      <c r="AF226" s="204" t="n">
        <f aca="false">AF225+AE226</f>
        <v>2913.5376535356</v>
      </c>
    </row>
    <row r="227" customFormat="false" ht="12" hidden="false" customHeight="false" outlineLevel="0" collapsed="false">
      <c r="A227" s="209" t="n">
        <v>2011</v>
      </c>
      <c r="B227" s="209" t="n">
        <v>4</v>
      </c>
      <c r="C227" s="209" t="n">
        <v>14</v>
      </c>
      <c r="D227" s="209" t="n">
        <v>4.4</v>
      </c>
      <c r="E227" s="209"/>
      <c r="F227" s="209"/>
      <c r="G227" s="209"/>
      <c r="H227" s="211" t="n">
        <f aca="false">H226+D227</f>
        <v>78.6</v>
      </c>
      <c r="I227" s="209" t="n">
        <v>2435</v>
      </c>
      <c r="J227" s="209" t="n">
        <v>0</v>
      </c>
      <c r="K227" s="209" t="n">
        <v>13.7</v>
      </c>
      <c r="L227" s="209" t="n">
        <v>6.3</v>
      </c>
      <c r="M227" s="209" t="n">
        <v>20.3</v>
      </c>
      <c r="N227" s="210" t="n">
        <v>40647</v>
      </c>
      <c r="O227" s="204" t="n">
        <f aca="false">IF(K227&gt;0,O226+K227,O226)</f>
        <v>2119.9</v>
      </c>
      <c r="R227" s="204" t="n">
        <f aca="false">IF(K227&gt;0,R226+K227,R226)</f>
        <v>345.6</v>
      </c>
      <c r="S227" s="204" t="n">
        <f aca="false">S226+I227</f>
        <v>199602</v>
      </c>
      <c r="V227" s="204" t="n">
        <f aca="false">V226+I227</f>
        <v>42286</v>
      </c>
      <c r="W227" s="204" t="n">
        <f aca="false">W226+J227</f>
        <v>297.3</v>
      </c>
      <c r="Z227" s="204" t="n">
        <f aca="false">Z226+J227</f>
        <v>18.4</v>
      </c>
      <c r="AA227" s="204" t="n">
        <f aca="false">AA226+J227</f>
        <v>35.8</v>
      </c>
      <c r="AB227" s="204" t="n">
        <f aca="false">IF(K227&lt;0,1,0)</f>
        <v>0</v>
      </c>
      <c r="AC227" s="204" t="n">
        <f aca="false">IF(K227&lt;4.5,1,0)</f>
        <v>0</v>
      </c>
      <c r="AD227" s="204" t="n">
        <f aca="false">AD226+D227</f>
        <v>344</v>
      </c>
      <c r="AE227" s="204" t="n">
        <f aca="false">I227/K227</f>
        <v>177.737226277372</v>
      </c>
      <c r="AF227" s="204" t="n">
        <f aca="false">AF226+AE227</f>
        <v>3091.27487981297</v>
      </c>
    </row>
    <row r="228" customFormat="false" ht="12" hidden="false" customHeight="false" outlineLevel="0" collapsed="false">
      <c r="A228" s="209" t="n">
        <v>2011</v>
      </c>
      <c r="B228" s="209" t="n">
        <v>4</v>
      </c>
      <c r="C228" s="209" t="n">
        <v>15</v>
      </c>
      <c r="D228" s="209" t="n">
        <v>4</v>
      </c>
      <c r="E228" s="209"/>
      <c r="F228" s="209"/>
      <c r="G228" s="209"/>
      <c r="H228" s="211" t="n">
        <f aca="false">H227+D228</f>
        <v>82.6</v>
      </c>
      <c r="I228" s="209" t="n">
        <v>2446</v>
      </c>
      <c r="J228" s="209" t="n">
        <v>0</v>
      </c>
      <c r="K228" s="209" t="n">
        <v>12.9</v>
      </c>
      <c r="L228" s="209" t="n">
        <v>6.9</v>
      </c>
      <c r="M228" s="209" t="n">
        <v>18.6</v>
      </c>
      <c r="N228" s="210" t="n">
        <v>40648</v>
      </c>
      <c r="O228" s="204" t="n">
        <f aca="false">IF(K228&gt;0,O227+K228,O227)</f>
        <v>2132.8</v>
      </c>
      <c r="R228" s="204" t="n">
        <f aca="false">IF(K228&gt;0,R227+K228,R227)</f>
        <v>358.5</v>
      </c>
      <c r="S228" s="204" t="n">
        <f aca="false">S227+I228</f>
        <v>202048</v>
      </c>
      <c r="V228" s="204" t="n">
        <f aca="false">V227+I228</f>
        <v>44732</v>
      </c>
      <c r="W228" s="204" t="n">
        <f aca="false">W227+J228</f>
        <v>297.3</v>
      </c>
      <c r="Z228" s="204" t="n">
        <f aca="false">Z227+J228</f>
        <v>18.4</v>
      </c>
      <c r="AA228" s="204" t="n">
        <f aca="false">AA227+J228</f>
        <v>35.8</v>
      </c>
      <c r="AB228" s="204" t="n">
        <f aca="false">IF(K228&lt;0,1,0)</f>
        <v>0</v>
      </c>
      <c r="AC228" s="204" t="n">
        <f aca="false">IF(K228&lt;4.5,1,0)</f>
        <v>0</v>
      </c>
      <c r="AD228" s="204" t="n">
        <f aca="false">AD227+D228</f>
        <v>348</v>
      </c>
      <c r="AE228" s="204" t="n">
        <f aca="false">I228/K228</f>
        <v>189.612403100775</v>
      </c>
      <c r="AF228" s="204" t="n">
        <f aca="false">AF227+AE228</f>
        <v>3280.88728291374</v>
      </c>
    </row>
    <row r="229" customFormat="false" ht="12" hidden="false" customHeight="false" outlineLevel="0" collapsed="false">
      <c r="A229" s="209" t="n">
        <v>2011</v>
      </c>
      <c r="B229" s="209" t="n">
        <v>4</v>
      </c>
      <c r="C229" s="209" t="n">
        <v>16</v>
      </c>
      <c r="D229" s="209" t="n">
        <v>3.6</v>
      </c>
      <c r="E229" s="209"/>
      <c r="F229" s="209"/>
      <c r="G229" s="209"/>
      <c r="H229" s="211" t="n">
        <f aca="false">H228+D229</f>
        <v>86.2</v>
      </c>
      <c r="I229" s="209" t="n">
        <v>2467</v>
      </c>
      <c r="J229" s="209" t="n">
        <v>0</v>
      </c>
      <c r="K229" s="209" t="n">
        <v>13.4</v>
      </c>
      <c r="L229" s="209" t="n">
        <v>4.9</v>
      </c>
      <c r="M229" s="209" t="n">
        <v>20.9</v>
      </c>
      <c r="N229" s="210" t="n">
        <v>40649</v>
      </c>
      <c r="O229" s="204" t="n">
        <f aca="false">IF(K229&gt;0,O228+K229,O228)</f>
        <v>2146.2</v>
      </c>
      <c r="R229" s="204" t="n">
        <f aca="false">IF(K229&gt;0,R228+K229,R228)</f>
        <v>371.9</v>
      </c>
      <c r="S229" s="204" t="n">
        <f aca="false">S228+I229</f>
        <v>204515</v>
      </c>
      <c r="V229" s="204" t="n">
        <f aca="false">V228+I229</f>
        <v>47199</v>
      </c>
      <c r="W229" s="204" t="n">
        <f aca="false">W228+J229</f>
        <v>297.3</v>
      </c>
      <c r="Z229" s="204" t="n">
        <f aca="false">Z228+J229</f>
        <v>18.4</v>
      </c>
      <c r="AA229" s="204" t="n">
        <f aca="false">AA228+J229</f>
        <v>35.8</v>
      </c>
      <c r="AB229" s="204" t="n">
        <f aca="false">IF(K229&lt;0,1,0)</f>
        <v>0</v>
      </c>
      <c r="AC229" s="204" t="n">
        <f aca="false">IF(K229&lt;4.5,1,0)</f>
        <v>0</v>
      </c>
      <c r="AD229" s="204" t="n">
        <f aca="false">AD228+D229</f>
        <v>351.6</v>
      </c>
      <c r="AE229" s="204" t="n">
        <f aca="false">I229/K229</f>
        <v>184.10447761194</v>
      </c>
      <c r="AF229" s="204" t="n">
        <f aca="false">AF228+AE229</f>
        <v>3464.99176052568</v>
      </c>
    </row>
    <row r="230" customFormat="false" ht="12" hidden="false" customHeight="false" outlineLevel="0" collapsed="false">
      <c r="A230" s="209" t="n">
        <v>2011</v>
      </c>
      <c r="B230" s="209" t="n">
        <v>4</v>
      </c>
      <c r="C230" s="209" t="n">
        <v>17</v>
      </c>
      <c r="D230" s="209" t="n">
        <v>4.4</v>
      </c>
      <c r="E230" s="209"/>
      <c r="F230" s="209"/>
      <c r="G230" s="209"/>
      <c r="H230" s="211" t="n">
        <f aca="false">H229+D230</f>
        <v>90.6</v>
      </c>
      <c r="I230" s="209" t="n">
        <v>2474</v>
      </c>
      <c r="J230" s="209" t="n">
        <v>0</v>
      </c>
      <c r="K230" s="209" t="n">
        <v>14.8</v>
      </c>
      <c r="L230" s="209" t="n">
        <v>6</v>
      </c>
      <c r="M230" s="209" t="n">
        <v>22.6</v>
      </c>
      <c r="N230" s="210" t="n">
        <v>40650</v>
      </c>
      <c r="O230" s="204" t="n">
        <f aca="false">IF(K230&gt;0,O229+K230,O229)</f>
        <v>2161</v>
      </c>
      <c r="R230" s="204" t="n">
        <f aca="false">IF(K230&gt;0,R229+K230,R229)</f>
        <v>386.7</v>
      </c>
      <c r="S230" s="204" t="n">
        <f aca="false">S229+I230</f>
        <v>206989</v>
      </c>
      <c r="V230" s="204" t="n">
        <f aca="false">V229+I230</f>
        <v>49673</v>
      </c>
      <c r="W230" s="204" t="n">
        <f aca="false">W229+J230</f>
        <v>297.3</v>
      </c>
      <c r="Z230" s="204" t="n">
        <f aca="false">Z229+J230</f>
        <v>18.4</v>
      </c>
      <c r="AA230" s="204" t="n">
        <f aca="false">AA229+J230</f>
        <v>35.8</v>
      </c>
      <c r="AB230" s="204" t="n">
        <f aca="false">IF(K230&lt;0,1,0)</f>
        <v>0</v>
      </c>
      <c r="AC230" s="204" t="n">
        <f aca="false">IF(K230&lt;4.5,1,0)</f>
        <v>0</v>
      </c>
      <c r="AD230" s="204" t="n">
        <f aca="false">AD229+D230</f>
        <v>356</v>
      </c>
      <c r="AE230" s="204" t="n">
        <f aca="false">I230/K230</f>
        <v>167.162162162162</v>
      </c>
      <c r="AF230" s="204" t="n">
        <f aca="false">AF229+AE230</f>
        <v>3632.15392268785</v>
      </c>
    </row>
    <row r="231" customFormat="false" ht="12" hidden="false" customHeight="false" outlineLevel="0" collapsed="false">
      <c r="A231" s="209" t="n">
        <v>2011</v>
      </c>
      <c r="B231" s="209" t="n">
        <v>4</v>
      </c>
      <c r="C231" s="209" t="n">
        <v>18</v>
      </c>
      <c r="D231" s="209" t="n">
        <v>5.4</v>
      </c>
      <c r="E231" s="209"/>
      <c r="F231" s="209"/>
      <c r="G231" s="209"/>
      <c r="H231" s="211" t="n">
        <f aca="false">H230+D231</f>
        <v>96</v>
      </c>
      <c r="I231" s="209" t="n">
        <v>2474</v>
      </c>
      <c r="J231" s="209" t="n">
        <v>0</v>
      </c>
      <c r="K231" s="209" t="n">
        <v>16.1</v>
      </c>
      <c r="L231" s="209" t="n">
        <v>11.1</v>
      </c>
      <c r="M231" s="209" t="n">
        <v>22.8</v>
      </c>
      <c r="N231" s="210" t="n">
        <v>40651</v>
      </c>
      <c r="O231" s="204" t="n">
        <f aca="false">IF(K231&gt;0,O230+K231,O230)</f>
        <v>2177.1</v>
      </c>
      <c r="R231" s="204" t="n">
        <f aca="false">IF(K231&gt;0,R230+K231,R230)</f>
        <v>402.8</v>
      </c>
      <c r="S231" s="204" t="n">
        <f aca="false">S230+I231</f>
        <v>209463</v>
      </c>
      <c r="V231" s="204" t="n">
        <f aca="false">V230+I231</f>
        <v>52147</v>
      </c>
      <c r="W231" s="204" t="n">
        <f aca="false">W230+J231</f>
        <v>297.3</v>
      </c>
      <c r="Z231" s="204" t="n">
        <f aca="false">Z230+J231</f>
        <v>18.4</v>
      </c>
      <c r="AA231" s="204" t="n">
        <f aca="false">AA230+J231</f>
        <v>35.8</v>
      </c>
      <c r="AB231" s="204" t="n">
        <f aca="false">IF(K231&lt;0,1,0)</f>
        <v>0</v>
      </c>
      <c r="AC231" s="204" t="n">
        <f aca="false">IF(K231&lt;4.5,1,0)</f>
        <v>0</v>
      </c>
      <c r="AD231" s="204" t="n">
        <f aca="false">AD230+D231</f>
        <v>361.4</v>
      </c>
      <c r="AE231" s="204" t="n">
        <f aca="false">I231/K231</f>
        <v>153.664596273292</v>
      </c>
      <c r="AF231" s="204" t="n">
        <f aca="false">AF230+AE231</f>
        <v>3785.81851896114</v>
      </c>
    </row>
    <row r="232" customFormat="false" ht="12" hidden="false" customHeight="false" outlineLevel="0" collapsed="false">
      <c r="A232" s="209" t="n">
        <v>2011</v>
      </c>
      <c r="B232" s="209" t="n">
        <v>4</v>
      </c>
      <c r="C232" s="209" t="n">
        <v>19</v>
      </c>
      <c r="D232" s="209" t="n">
        <v>5.4</v>
      </c>
      <c r="E232" s="209"/>
      <c r="F232" s="209"/>
      <c r="G232" s="209"/>
      <c r="H232" s="211" t="n">
        <f aca="false">H231+D232</f>
        <v>101.4</v>
      </c>
      <c r="I232" s="209" t="n">
        <v>2050</v>
      </c>
      <c r="J232" s="209" t="n">
        <v>0</v>
      </c>
      <c r="K232" s="209" t="n">
        <v>14.9</v>
      </c>
      <c r="L232" s="209" t="n">
        <v>9.9</v>
      </c>
      <c r="M232" s="209" t="n">
        <v>20.2</v>
      </c>
      <c r="N232" s="210" t="n">
        <v>40652</v>
      </c>
      <c r="O232" s="204" t="n">
        <f aca="false">IF(K232&gt;0,O231+K232,O231)</f>
        <v>2192</v>
      </c>
      <c r="R232" s="204" t="n">
        <f aca="false">IF(K232&gt;0,R231+K232,R231)</f>
        <v>417.7</v>
      </c>
      <c r="S232" s="204" t="n">
        <f aca="false">S231+I232</f>
        <v>211513</v>
      </c>
      <c r="V232" s="204" t="n">
        <f aca="false">V231+I232</f>
        <v>54197</v>
      </c>
      <c r="W232" s="204" t="n">
        <f aca="false">W231+J232</f>
        <v>297.3</v>
      </c>
      <c r="Z232" s="204" t="n">
        <f aca="false">Z231+J232</f>
        <v>18.4</v>
      </c>
      <c r="AA232" s="204" t="n">
        <f aca="false">AA231+J232</f>
        <v>35.8</v>
      </c>
      <c r="AB232" s="204" t="n">
        <f aca="false">IF(K232&lt;0,1,0)</f>
        <v>0</v>
      </c>
      <c r="AC232" s="204" t="n">
        <f aca="false">IF(K232&lt;4.5,1,0)</f>
        <v>0</v>
      </c>
      <c r="AD232" s="204" t="n">
        <f aca="false">AD231+D232</f>
        <v>366.8</v>
      </c>
      <c r="AE232" s="204" t="n">
        <f aca="false">I232/K232</f>
        <v>137.58389261745</v>
      </c>
      <c r="AF232" s="204" t="n">
        <f aca="false">AF231+AE232</f>
        <v>3923.40241157859</v>
      </c>
    </row>
    <row r="233" customFormat="false" ht="12" hidden="false" customHeight="false" outlineLevel="0" collapsed="false">
      <c r="A233" s="209" t="n">
        <v>2011</v>
      </c>
      <c r="B233" s="209" t="n">
        <v>4</v>
      </c>
      <c r="C233" s="209" t="n">
        <v>20</v>
      </c>
      <c r="D233" s="209" t="n">
        <v>6.1</v>
      </c>
      <c r="E233" s="209"/>
      <c r="F233" s="209"/>
      <c r="G233" s="209"/>
      <c r="H233" s="211" t="n">
        <f aca="false">H232+D233</f>
        <v>107.5</v>
      </c>
      <c r="I233" s="209" t="n">
        <v>2412</v>
      </c>
      <c r="J233" s="209" t="n">
        <v>0.4</v>
      </c>
      <c r="K233" s="209" t="n">
        <v>15.8</v>
      </c>
      <c r="L233" s="209" t="n">
        <v>11.6</v>
      </c>
      <c r="M233" s="209" t="n">
        <v>21.1</v>
      </c>
      <c r="N233" s="210" t="n">
        <v>40653</v>
      </c>
      <c r="O233" s="204" t="n">
        <f aca="false">IF(K233&gt;0,O232+K233,O232)</f>
        <v>2207.8</v>
      </c>
      <c r="R233" s="204" t="n">
        <f aca="false">IF(K233&gt;0,R232+K233,R232)</f>
        <v>433.5</v>
      </c>
      <c r="S233" s="204" t="n">
        <f aca="false">S232+I233</f>
        <v>213925</v>
      </c>
      <c r="V233" s="204" t="n">
        <f aca="false">V232+I233</f>
        <v>56609</v>
      </c>
      <c r="W233" s="204" t="n">
        <f aca="false">W232+J233</f>
        <v>297.7</v>
      </c>
      <c r="Z233" s="204" t="n">
        <f aca="false">Z232+J233</f>
        <v>18.8</v>
      </c>
      <c r="AA233" s="204" t="n">
        <f aca="false">AA232+J233</f>
        <v>36.2</v>
      </c>
      <c r="AB233" s="204" t="n">
        <f aca="false">IF(K233&lt;0,1,0)</f>
        <v>0</v>
      </c>
      <c r="AC233" s="204" t="n">
        <f aca="false">IF(K233&lt;4.5,1,0)</f>
        <v>0</v>
      </c>
      <c r="AD233" s="204" t="n">
        <f aca="false">AD232+D233</f>
        <v>372.9</v>
      </c>
      <c r="AE233" s="204" t="n">
        <f aca="false">I233/K233</f>
        <v>152.658227848101</v>
      </c>
      <c r="AF233" s="204" t="n">
        <f aca="false">AF232+AE233</f>
        <v>4076.06063942669</v>
      </c>
    </row>
    <row r="234" customFormat="false" ht="12" hidden="false" customHeight="false" outlineLevel="0" collapsed="false">
      <c r="A234" s="209" t="n">
        <v>2011</v>
      </c>
      <c r="B234" s="209" t="n">
        <v>4</v>
      </c>
      <c r="C234" s="209" t="n">
        <v>21</v>
      </c>
      <c r="D234" s="209" t="n">
        <v>6.2</v>
      </c>
      <c r="E234" s="209"/>
      <c r="F234" s="209"/>
      <c r="G234" s="209"/>
      <c r="H234" s="211" t="n">
        <f aca="false">H233+D234</f>
        <v>113.7</v>
      </c>
      <c r="I234" s="209" t="n">
        <v>2485</v>
      </c>
      <c r="J234" s="209" t="n">
        <v>0</v>
      </c>
      <c r="K234" s="209" t="n">
        <v>16.7</v>
      </c>
      <c r="L234" s="209" t="n">
        <v>12.7</v>
      </c>
      <c r="M234" s="209" t="n">
        <v>22</v>
      </c>
      <c r="N234" s="210" t="n">
        <v>40654</v>
      </c>
      <c r="O234" s="204" t="n">
        <f aca="false">IF(K234&gt;0,O233+K234,O233)</f>
        <v>2224.5</v>
      </c>
      <c r="R234" s="204" t="n">
        <f aca="false">IF(K234&gt;0,R233+K234,R233)</f>
        <v>450.2</v>
      </c>
      <c r="S234" s="204" t="n">
        <f aca="false">S233+I234</f>
        <v>216410</v>
      </c>
      <c r="V234" s="204" t="n">
        <f aca="false">V233+I234</f>
        <v>59094</v>
      </c>
      <c r="W234" s="204" t="n">
        <f aca="false">W233+J234</f>
        <v>297.7</v>
      </c>
      <c r="Z234" s="204" t="n">
        <f aca="false">Z233+J234</f>
        <v>18.8</v>
      </c>
      <c r="AA234" s="204" t="n">
        <f aca="false">AA233+J234</f>
        <v>36.2</v>
      </c>
      <c r="AB234" s="204" t="n">
        <f aca="false">IF(K234&lt;0,1,0)</f>
        <v>0</v>
      </c>
      <c r="AC234" s="204" t="n">
        <f aca="false">IF(K234&lt;4.5,1,0)</f>
        <v>0</v>
      </c>
      <c r="AD234" s="204" t="n">
        <f aca="false">AD233+D234</f>
        <v>379.1</v>
      </c>
      <c r="AE234" s="204" t="n">
        <f aca="false">I234/K234</f>
        <v>148.802395209581</v>
      </c>
      <c r="AF234" s="204" t="n">
        <f aca="false">AF233+AE234</f>
        <v>4224.86303463627</v>
      </c>
    </row>
    <row r="235" customFormat="false" ht="12" hidden="false" customHeight="false" outlineLevel="0" collapsed="false">
      <c r="A235" s="209" t="n">
        <v>2011</v>
      </c>
      <c r="B235" s="209" t="n">
        <v>4</v>
      </c>
      <c r="C235" s="209" t="n">
        <v>22</v>
      </c>
      <c r="D235" s="209" t="n">
        <v>6.3</v>
      </c>
      <c r="E235" s="209"/>
      <c r="F235" s="209"/>
      <c r="G235" s="209"/>
      <c r="H235" s="211" t="n">
        <f aca="false">H234+D235</f>
        <v>120</v>
      </c>
      <c r="I235" s="209" t="n">
        <v>2146</v>
      </c>
      <c r="J235" s="209" t="n">
        <v>0</v>
      </c>
      <c r="K235" s="209" t="n">
        <v>15.6</v>
      </c>
      <c r="L235" s="209" t="n">
        <v>12.9</v>
      </c>
      <c r="M235" s="209" t="n">
        <v>20</v>
      </c>
      <c r="N235" s="210" t="n">
        <v>40655</v>
      </c>
      <c r="O235" s="204" t="n">
        <f aca="false">IF(K235&gt;0,O234+K235,O234)</f>
        <v>2240.1</v>
      </c>
      <c r="R235" s="204" t="n">
        <f aca="false">IF(K235&gt;0,R234+K235,R234)</f>
        <v>465.8</v>
      </c>
      <c r="S235" s="204" t="n">
        <f aca="false">S234+I235</f>
        <v>218556</v>
      </c>
      <c r="V235" s="204" t="n">
        <f aca="false">V234+I235</f>
        <v>61240</v>
      </c>
      <c r="W235" s="204" t="n">
        <f aca="false">W234+J235</f>
        <v>297.7</v>
      </c>
      <c r="Z235" s="204" t="n">
        <f aca="false">Z234+J235</f>
        <v>18.8</v>
      </c>
      <c r="AA235" s="204" t="n">
        <f aca="false">AA234+J235</f>
        <v>36.2</v>
      </c>
      <c r="AB235" s="204" t="n">
        <f aca="false">IF(K235&lt;0,1,0)</f>
        <v>0</v>
      </c>
      <c r="AC235" s="204" t="n">
        <f aca="false">IF(K235&lt;4.5,1,0)</f>
        <v>0</v>
      </c>
      <c r="AD235" s="204" t="n">
        <f aca="false">AD234+D235</f>
        <v>385.4</v>
      </c>
      <c r="AE235" s="204" t="n">
        <f aca="false">I235/K235</f>
        <v>137.564102564103</v>
      </c>
      <c r="AF235" s="204" t="n">
        <f aca="false">AF234+AE235</f>
        <v>4362.42713720037</v>
      </c>
    </row>
    <row r="236" customFormat="false" ht="12" hidden="false" customHeight="false" outlineLevel="0" collapsed="false">
      <c r="A236" s="209" t="n">
        <v>2011</v>
      </c>
      <c r="B236" s="209" t="n">
        <v>4</v>
      </c>
      <c r="C236" s="209" t="n">
        <v>23</v>
      </c>
      <c r="D236" s="209" t="n">
        <v>1.9</v>
      </c>
      <c r="E236" s="209"/>
      <c r="F236" s="209"/>
      <c r="G236" s="209"/>
      <c r="H236" s="211" t="n">
        <f aca="false">H235+D236</f>
        <v>121.9</v>
      </c>
      <c r="I236" s="209" t="n">
        <v>785</v>
      </c>
      <c r="J236" s="209" t="n">
        <v>4.2</v>
      </c>
      <c r="K236" s="209" t="n">
        <v>13.4</v>
      </c>
      <c r="L236" s="209" t="n">
        <v>11.4</v>
      </c>
      <c r="M236" s="209" t="n">
        <v>17.4</v>
      </c>
      <c r="N236" s="210" t="n">
        <v>40656</v>
      </c>
      <c r="O236" s="204" t="n">
        <f aca="false">IF(K236&gt;0,O235+K236,O235)</f>
        <v>2253.5</v>
      </c>
      <c r="R236" s="204" t="n">
        <f aca="false">IF(K236&gt;0,R235+K236,R235)</f>
        <v>479.2</v>
      </c>
      <c r="S236" s="204" t="n">
        <f aca="false">S235+I236</f>
        <v>219341</v>
      </c>
      <c r="V236" s="204" t="n">
        <f aca="false">V235+I236</f>
        <v>62025</v>
      </c>
      <c r="W236" s="204" t="n">
        <f aca="false">W235+J236</f>
        <v>301.9</v>
      </c>
      <c r="Z236" s="204" t="n">
        <f aca="false">Z235+J236</f>
        <v>23</v>
      </c>
      <c r="AA236" s="204" t="n">
        <f aca="false">AA235+J236</f>
        <v>40.4</v>
      </c>
      <c r="AB236" s="204" t="n">
        <f aca="false">IF(K236&lt;0,1,0)</f>
        <v>0</v>
      </c>
      <c r="AC236" s="204" t="n">
        <f aca="false">IF(K236&lt;4.5,1,0)</f>
        <v>0</v>
      </c>
      <c r="AD236" s="204" t="n">
        <f aca="false">AD235+D236</f>
        <v>387.3</v>
      </c>
      <c r="AE236" s="204" t="n">
        <f aca="false">I236/K236</f>
        <v>58.5820895522388</v>
      </c>
      <c r="AF236" s="204" t="n">
        <f aca="false">AF235+AE236</f>
        <v>4421.00922675261</v>
      </c>
    </row>
    <row r="237" customFormat="false" ht="12" hidden="false" customHeight="false" outlineLevel="0" collapsed="false">
      <c r="A237" s="209" t="n">
        <v>2011</v>
      </c>
      <c r="B237" s="209" t="n">
        <v>4</v>
      </c>
      <c r="C237" s="209" t="n">
        <v>24</v>
      </c>
      <c r="D237" s="209" t="n">
        <v>4.3</v>
      </c>
      <c r="E237" s="209"/>
      <c r="F237" s="209"/>
      <c r="G237" s="209"/>
      <c r="H237" s="211" t="n">
        <f aca="false">H236+D237</f>
        <v>126.2</v>
      </c>
      <c r="I237" s="209" t="n">
        <v>1764</v>
      </c>
      <c r="J237" s="209" t="n">
        <v>0</v>
      </c>
      <c r="K237" s="209" t="n">
        <v>16.3</v>
      </c>
      <c r="L237" s="209" t="n">
        <v>12.5</v>
      </c>
      <c r="M237" s="209" t="n">
        <v>21.7</v>
      </c>
      <c r="N237" s="210" t="n">
        <v>40657</v>
      </c>
      <c r="O237" s="204" t="n">
        <f aca="false">IF(K237&gt;0,O236+K237,O236)</f>
        <v>2269.8</v>
      </c>
      <c r="R237" s="204" t="n">
        <f aca="false">IF(K237&gt;0,R236+K237,R236)</f>
        <v>495.5</v>
      </c>
      <c r="S237" s="204" t="n">
        <f aca="false">S236+I237</f>
        <v>221105</v>
      </c>
      <c r="V237" s="204" t="n">
        <f aca="false">V236+I237</f>
        <v>63789</v>
      </c>
      <c r="W237" s="204" t="n">
        <f aca="false">W236+J237</f>
        <v>301.9</v>
      </c>
      <c r="Z237" s="204" t="n">
        <f aca="false">Z236+J237</f>
        <v>23</v>
      </c>
      <c r="AA237" s="204" t="n">
        <f aca="false">AA236+J237</f>
        <v>40.4</v>
      </c>
      <c r="AB237" s="204" t="n">
        <f aca="false">IF(K237&lt;0,1,0)</f>
        <v>0</v>
      </c>
      <c r="AC237" s="204" t="n">
        <f aca="false">IF(K237&lt;4.5,1,0)</f>
        <v>0</v>
      </c>
      <c r="AD237" s="204" t="n">
        <f aca="false">AD236+D237</f>
        <v>391.6</v>
      </c>
      <c r="AE237" s="204" t="n">
        <f aca="false">I237/K237</f>
        <v>108.220858895706</v>
      </c>
      <c r="AF237" s="204" t="n">
        <f aca="false">AF236+AE237</f>
        <v>4529.23008564832</v>
      </c>
    </row>
    <row r="238" customFormat="false" ht="12" hidden="false" customHeight="false" outlineLevel="0" collapsed="false">
      <c r="A238" s="209" t="n">
        <v>2011</v>
      </c>
      <c r="B238" s="209" t="n">
        <v>4</v>
      </c>
      <c r="C238" s="209" t="n">
        <v>25</v>
      </c>
      <c r="D238" s="209" t="n">
        <v>4.2</v>
      </c>
      <c r="E238" s="209"/>
      <c r="F238" s="209"/>
      <c r="G238" s="209"/>
      <c r="H238" s="211" t="n">
        <f aca="false">H237+D238</f>
        <v>130.4</v>
      </c>
      <c r="I238" s="209" t="n">
        <v>1786</v>
      </c>
      <c r="J238" s="209" t="n">
        <v>29.7</v>
      </c>
      <c r="K238" s="209" t="n">
        <v>15.8</v>
      </c>
      <c r="L238" s="209" t="n">
        <v>11.3</v>
      </c>
      <c r="M238" s="209" t="n">
        <v>23</v>
      </c>
      <c r="N238" s="210" t="n">
        <v>40658</v>
      </c>
      <c r="O238" s="204" t="n">
        <f aca="false">IF(K238&gt;0,O237+K238,O237)</f>
        <v>2285.6</v>
      </c>
      <c r="R238" s="204" t="n">
        <f aca="false">IF(K238&gt;0,R237+K238,R237)</f>
        <v>511.3</v>
      </c>
      <c r="S238" s="204" t="n">
        <f aca="false">S237+I238</f>
        <v>222891</v>
      </c>
      <c r="V238" s="204" t="n">
        <f aca="false">V237+I238</f>
        <v>65575</v>
      </c>
      <c r="W238" s="204" t="n">
        <f aca="false">W237+J238</f>
        <v>331.6</v>
      </c>
      <c r="Z238" s="204" t="n">
        <f aca="false">Z237+J238</f>
        <v>52.7</v>
      </c>
      <c r="AA238" s="204" t="n">
        <f aca="false">AA237+J238</f>
        <v>70.1</v>
      </c>
      <c r="AB238" s="204" t="n">
        <f aca="false">IF(K238&lt;0,1,0)</f>
        <v>0</v>
      </c>
      <c r="AC238" s="204" t="n">
        <f aca="false">IF(K238&lt;4.5,1,0)</f>
        <v>0</v>
      </c>
      <c r="AD238" s="204" t="n">
        <f aca="false">AD237+D238</f>
        <v>395.8</v>
      </c>
      <c r="AE238" s="204" t="n">
        <f aca="false">I238/K238</f>
        <v>113.037974683544</v>
      </c>
      <c r="AF238" s="204" t="n">
        <f aca="false">AF237+AE238</f>
        <v>4642.26806033186</v>
      </c>
    </row>
    <row r="239" customFormat="false" ht="12" hidden="false" customHeight="false" outlineLevel="0" collapsed="false">
      <c r="A239" s="209" t="n">
        <v>2011</v>
      </c>
      <c r="B239" s="209" t="n">
        <v>4</v>
      </c>
      <c r="C239" s="209" t="n">
        <v>26</v>
      </c>
      <c r="D239" s="209" t="n">
        <v>5.2</v>
      </c>
      <c r="E239" s="209"/>
      <c r="F239" s="209"/>
      <c r="G239" s="209"/>
      <c r="H239" s="211" t="n">
        <f aca="false">H238+D239</f>
        <v>135.6</v>
      </c>
      <c r="I239" s="209" t="n">
        <v>2091</v>
      </c>
      <c r="J239" s="209" t="n">
        <v>0</v>
      </c>
      <c r="K239" s="209" t="n">
        <v>17.2</v>
      </c>
      <c r="L239" s="209" t="n">
        <v>13.2</v>
      </c>
      <c r="M239" s="209" t="n">
        <v>23</v>
      </c>
      <c r="N239" s="210" t="n">
        <v>40659</v>
      </c>
      <c r="O239" s="204" t="n">
        <f aca="false">IF(K239&gt;0,O238+K239,O238)</f>
        <v>2302.8</v>
      </c>
      <c r="R239" s="204" t="n">
        <f aca="false">IF(K239&gt;0,R238+K239,R238)</f>
        <v>528.5</v>
      </c>
      <c r="S239" s="204" t="n">
        <f aca="false">S238+I239</f>
        <v>224982</v>
      </c>
      <c r="V239" s="204" t="n">
        <f aca="false">V238+I239</f>
        <v>67666</v>
      </c>
      <c r="W239" s="204" t="n">
        <f aca="false">W238+J239</f>
        <v>331.6</v>
      </c>
      <c r="Z239" s="204" t="n">
        <f aca="false">Z238+J239</f>
        <v>52.7</v>
      </c>
      <c r="AA239" s="204" t="n">
        <f aca="false">AA238+J239</f>
        <v>70.1</v>
      </c>
      <c r="AB239" s="204" t="n">
        <f aca="false">IF(K239&lt;0,1,0)</f>
        <v>0</v>
      </c>
      <c r="AC239" s="204" t="n">
        <f aca="false">IF(K239&lt;4.5,1,0)</f>
        <v>0</v>
      </c>
      <c r="AD239" s="204" t="n">
        <f aca="false">AD238+D239</f>
        <v>401</v>
      </c>
      <c r="AE239" s="204" t="n">
        <f aca="false">I239/K239</f>
        <v>121.56976744186</v>
      </c>
      <c r="AF239" s="204" t="n">
        <f aca="false">AF238+AE239</f>
        <v>4763.83782777372</v>
      </c>
    </row>
    <row r="240" customFormat="false" ht="12" hidden="false" customHeight="false" outlineLevel="0" collapsed="false">
      <c r="A240" s="209" t="n">
        <v>2011</v>
      </c>
      <c r="B240" s="209" t="n">
        <v>4</v>
      </c>
      <c r="C240" s="209" t="n">
        <v>27</v>
      </c>
      <c r="D240" s="209" t="n">
        <v>4.9</v>
      </c>
      <c r="E240" s="209"/>
      <c r="F240" s="209"/>
      <c r="G240" s="209"/>
      <c r="H240" s="211" t="n">
        <f aca="false">H239+D240</f>
        <v>140.5</v>
      </c>
      <c r="I240" s="209" t="n">
        <v>2213</v>
      </c>
      <c r="J240" s="209" t="n">
        <v>0</v>
      </c>
      <c r="K240" s="209" t="n">
        <v>16.8</v>
      </c>
      <c r="L240" s="209" t="n">
        <v>12.2</v>
      </c>
      <c r="M240" s="209" t="n">
        <v>22.5</v>
      </c>
      <c r="N240" s="210" t="n">
        <v>40660</v>
      </c>
      <c r="O240" s="204" t="n">
        <f aca="false">IF(K240&gt;0,O239+K240,O239)</f>
        <v>2319.6</v>
      </c>
      <c r="R240" s="204" t="n">
        <f aca="false">IF(K240&gt;0,R239+K240,R239)</f>
        <v>545.3</v>
      </c>
      <c r="S240" s="204" t="n">
        <f aca="false">S239+I240</f>
        <v>227195</v>
      </c>
      <c r="V240" s="204" t="n">
        <f aca="false">V239+I240</f>
        <v>69879</v>
      </c>
      <c r="W240" s="204" t="n">
        <f aca="false">W239+J240</f>
        <v>331.6</v>
      </c>
      <c r="Z240" s="204" t="n">
        <f aca="false">Z239+J240</f>
        <v>52.7</v>
      </c>
      <c r="AA240" s="204" t="n">
        <f aca="false">AA239+J240</f>
        <v>70.1</v>
      </c>
      <c r="AB240" s="204" t="n">
        <f aca="false">IF(K240&lt;0,1,0)</f>
        <v>0</v>
      </c>
      <c r="AC240" s="204" t="n">
        <f aca="false">IF(K240&lt;4.5,1,0)</f>
        <v>0</v>
      </c>
      <c r="AD240" s="204" t="n">
        <f aca="false">AD239+D240</f>
        <v>405.9</v>
      </c>
      <c r="AE240" s="204" t="n">
        <f aca="false">I240/K240</f>
        <v>131.72619047619</v>
      </c>
      <c r="AF240" s="204" t="n">
        <f aca="false">AF239+AE240</f>
        <v>4895.56401824991</v>
      </c>
    </row>
    <row r="241" customFormat="false" ht="12" hidden="false" customHeight="false" outlineLevel="0" collapsed="false">
      <c r="A241" s="209" t="n">
        <v>2011</v>
      </c>
      <c r="B241" s="209" t="n">
        <v>4</v>
      </c>
      <c r="C241" s="209" t="n">
        <v>28</v>
      </c>
      <c r="D241" s="209" t="n">
        <v>4.3</v>
      </c>
      <c r="E241" s="209"/>
      <c r="F241" s="209"/>
      <c r="G241" s="209"/>
      <c r="H241" s="211" t="n">
        <f aca="false">H240+D241</f>
        <v>144.8</v>
      </c>
      <c r="I241" s="209" t="n">
        <v>2446</v>
      </c>
      <c r="J241" s="209" t="n">
        <v>0</v>
      </c>
      <c r="K241" s="209" t="n">
        <v>15.6</v>
      </c>
      <c r="L241" s="209" t="n">
        <v>9.8</v>
      </c>
      <c r="M241" s="209" t="n">
        <v>21.6</v>
      </c>
      <c r="N241" s="210" t="n">
        <v>40661</v>
      </c>
      <c r="O241" s="204" t="n">
        <f aca="false">IF(K241&gt;0,O240+K241,O240)</f>
        <v>2335.2</v>
      </c>
      <c r="R241" s="204" t="n">
        <f aca="false">IF(K241&gt;0,R240+K241,R240)</f>
        <v>560.9</v>
      </c>
      <c r="S241" s="204" t="n">
        <f aca="false">S240+I241</f>
        <v>229641</v>
      </c>
      <c r="V241" s="204" t="n">
        <f aca="false">V240+I241</f>
        <v>72325</v>
      </c>
      <c r="W241" s="204" t="n">
        <f aca="false">W240+J241</f>
        <v>331.6</v>
      </c>
      <c r="Z241" s="204" t="n">
        <f aca="false">Z240+J241</f>
        <v>52.7</v>
      </c>
      <c r="AA241" s="204" t="n">
        <f aca="false">AA240+J241</f>
        <v>70.1</v>
      </c>
      <c r="AB241" s="204" t="n">
        <f aca="false">IF(K241&lt;0,1,0)</f>
        <v>0</v>
      </c>
      <c r="AC241" s="204" t="n">
        <f aca="false">IF(K241&lt;4.5,1,0)</f>
        <v>0</v>
      </c>
      <c r="AD241" s="204" t="n">
        <f aca="false">AD240+D241</f>
        <v>410.2</v>
      </c>
      <c r="AE241" s="204" t="n">
        <f aca="false">I241/K241</f>
        <v>156.794871794872</v>
      </c>
      <c r="AF241" s="204" t="n">
        <f aca="false">AF240+AE241</f>
        <v>5052.35889004478</v>
      </c>
    </row>
    <row r="242" customFormat="false" ht="12" hidden="false" customHeight="false" outlineLevel="0" collapsed="false">
      <c r="A242" s="204" t="n">
        <v>2011</v>
      </c>
      <c r="B242" s="204" t="n">
        <v>4</v>
      </c>
      <c r="C242" s="204" t="n">
        <v>29</v>
      </c>
      <c r="D242" s="204" t="n">
        <v>4.1</v>
      </c>
      <c r="H242" s="211" t="n">
        <f aca="false">H241+D242</f>
        <v>148.9</v>
      </c>
      <c r="I242" s="204" t="n">
        <v>2318</v>
      </c>
      <c r="J242" s="204" t="n">
        <v>0</v>
      </c>
      <c r="K242" s="204" t="n">
        <v>15.2</v>
      </c>
      <c r="L242" s="204" t="n">
        <v>8.3</v>
      </c>
      <c r="M242" s="204" t="n">
        <v>21.5</v>
      </c>
      <c r="N242" s="206" t="n">
        <v>40662</v>
      </c>
      <c r="O242" s="204" t="n">
        <f aca="false">IF(K242&gt;0,O241+K242,O241)</f>
        <v>2350.4</v>
      </c>
      <c r="R242" s="204" t="n">
        <f aca="false">IF(K242&gt;0,R241+K242,R241)</f>
        <v>576.1</v>
      </c>
      <c r="S242" s="204" t="n">
        <f aca="false">S241+I242</f>
        <v>231959</v>
      </c>
      <c r="V242" s="204" t="n">
        <f aca="false">V241+I242</f>
        <v>74643</v>
      </c>
      <c r="W242" s="204" t="n">
        <f aca="false">W241+J242</f>
        <v>331.6</v>
      </c>
      <c r="Z242" s="204" t="n">
        <f aca="false">Z241+J242</f>
        <v>52.7</v>
      </c>
      <c r="AA242" s="204" t="n">
        <f aca="false">AA241+J242</f>
        <v>70.1</v>
      </c>
      <c r="AB242" s="204" t="n">
        <f aca="false">IF(K242&lt;0,1,0)</f>
        <v>0</v>
      </c>
      <c r="AC242" s="204" t="n">
        <f aca="false">IF(K242&lt;4.5,1,0)</f>
        <v>0</v>
      </c>
      <c r="AD242" s="204" t="n">
        <f aca="false">AD241+D242</f>
        <v>414.3</v>
      </c>
      <c r="AE242" s="204" t="n">
        <f aca="false">I242/K242</f>
        <v>152.5</v>
      </c>
      <c r="AF242" s="204" t="n">
        <f aca="false">AF241+AE242</f>
        <v>5204.85889004478</v>
      </c>
    </row>
    <row r="243" customFormat="false" ht="12" hidden="false" customHeight="false" outlineLevel="0" collapsed="false">
      <c r="A243" s="204" t="n">
        <v>2011</v>
      </c>
      <c r="B243" s="204" t="n">
        <v>4</v>
      </c>
      <c r="C243" s="204" t="n">
        <v>30</v>
      </c>
      <c r="D243" s="204" t="n">
        <v>5.4</v>
      </c>
      <c r="H243" s="211" t="n">
        <f aca="false">H242+D243</f>
        <v>154.3</v>
      </c>
      <c r="I243" s="204" t="n">
        <v>2639</v>
      </c>
      <c r="J243" s="204" t="n">
        <v>0</v>
      </c>
      <c r="K243" s="204" t="n">
        <v>16.7</v>
      </c>
      <c r="L243" s="204" t="n">
        <v>11.7</v>
      </c>
      <c r="M243" s="204" t="n">
        <v>21.9</v>
      </c>
      <c r="N243" s="206" t="n">
        <v>40663</v>
      </c>
      <c r="O243" s="204" t="n">
        <f aca="false">IF(K243&gt;0,O242+K243,O242)</f>
        <v>2367.1</v>
      </c>
      <c r="R243" s="204" t="n">
        <f aca="false">IF(K243&gt;0,R242+K243,R242)</f>
        <v>592.8</v>
      </c>
      <c r="S243" s="204" t="n">
        <f aca="false">S242+I243</f>
        <v>234598</v>
      </c>
      <c r="V243" s="204" t="n">
        <f aca="false">V242+I243</f>
        <v>77282</v>
      </c>
      <c r="W243" s="204" t="n">
        <f aca="false">W242+J243</f>
        <v>331.6</v>
      </c>
      <c r="Z243" s="204" t="n">
        <f aca="false">Z242+J243</f>
        <v>52.7</v>
      </c>
      <c r="AA243" s="204" t="n">
        <f aca="false">AA242+J243</f>
        <v>70.1</v>
      </c>
      <c r="AB243" s="204" t="n">
        <f aca="false">IF(K243&lt;0,1,0)</f>
        <v>0</v>
      </c>
      <c r="AC243" s="204" t="n">
        <f aca="false">IF(K243&lt;4.5,1,0)</f>
        <v>0</v>
      </c>
      <c r="AD243" s="204" t="n">
        <f aca="false">AD242+D243</f>
        <v>419.7</v>
      </c>
      <c r="AE243" s="204" t="n">
        <f aca="false">I243/K243</f>
        <v>158.023952095808</v>
      </c>
      <c r="AF243" s="204" t="n">
        <f aca="false">AF242+AE243</f>
        <v>5362.88284214059</v>
      </c>
    </row>
    <row r="244" customFormat="false" ht="12" hidden="false" customHeight="false" outlineLevel="0" collapsed="false">
      <c r="A244" s="204" t="n">
        <v>2011</v>
      </c>
      <c r="B244" s="204" t="n">
        <v>5</v>
      </c>
      <c r="C244" s="204" t="n">
        <v>1</v>
      </c>
      <c r="D244" s="204" t="n">
        <v>5.4</v>
      </c>
      <c r="H244" s="211" t="n">
        <f aca="false">H243+D244</f>
        <v>159.7</v>
      </c>
      <c r="I244" s="204" t="n">
        <v>2415</v>
      </c>
      <c r="J244" s="204" t="n">
        <v>0</v>
      </c>
      <c r="K244" s="204" t="n">
        <v>17.4</v>
      </c>
      <c r="L244" s="204" t="n">
        <v>11.7</v>
      </c>
      <c r="M244" s="204" t="n">
        <v>23.5</v>
      </c>
      <c r="N244" s="206" t="n">
        <v>40664</v>
      </c>
      <c r="O244" s="204" t="n">
        <f aca="false">IF(K244&gt;0,O243+K244,O243)</f>
        <v>2384.5</v>
      </c>
      <c r="R244" s="204" t="n">
        <f aca="false">IF(K244&gt;0,R243+K244,R243)</f>
        <v>610.2</v>
      </c>
      <c r="S244" s="204" t="n">
        <f aca="false">S243+I244</f>
        <v>237013</v>
      </c>
      <c r="V244" s="204" t="n">
        <f aca="false">V243+I244</f>
        <v>79697</v>
      </c>
      <c r="W244" s="204" t="n">
        <f aca="false">W243+J244</f>
        <v>331.6</v>
      </c>
      <c r="Z244" s="204" t="n">
        <f aca="false">Z243+J244</f>
        <v>52.7</v>
      </c>
      <c r="AA244" s="204" t="n">
        <f aca="false">AA243+J244</f>
        <v>70.1</v>
      </c>
      <c r="AB244" s="204" t="n">
        <f aca="false">IF(K244&lt;0,1,0)</f>
        <v>0</v>
      </c>
      <c r="AC244" s="204" t="n">
        <f aca="false">IF(K244&lt;4.5,1,0)</f>
        <v>0</v>
      </c>
      <c r="AD244" s="204" t="n">
        <f aca="false">AD243+D244</f>
        <v>425.1</v>
      </c>
      <c r="AE244" s="204" t="n">
        <f aca="false">I244/K244</f>
        <v>138.793103448276</v>
      </c>
      <c r="AF244" s="204" t="n">
        <f aca="false">AF243+AE244</f>
        <v>5501.67594558887</v>
      </c>
    </row>
    <row r="245" customFormat="false" ht="12" hidden="false" customHeight="false" outlineLevel="0" collapsed="false">
      <c r="A245" s="204" t="n">
        <v>2011</v>
      </c>
      <c r="B245" s="204" t="n">
        <v>5</v>
      </c>
      <c r="C245" s="204" t="n">
        <v>2</v>
      </c>
      <c r="D245" s="204" t="n">
        <v>4.5</v>
      </c>
      <c r="H245" s="211" t="n">
        <f aca="false">H244+D245</f>
        <v>164.2</v>
      </c>
      <c r="I245" s="204" t="n">
        <v>1709</v>
      </c>
      <c r="J245" s="204" t="n">
        <v>2.2</v>
      </c>
      <c r="K245" s="204" t="n">
        <v>16.8</v>
      </c>
      <c r="L245" s="204" t="n">
        <v>13</v>
      </c>
      <c r="M245" s="204" t="n">
        <v>22.1</v>
      </c>
      <c r="N245" s="206" t="n">
        <v>40665</v>
      </c>
      <c r="O245" s="204" t="n">
        <f aca="false">IF(K245&gt;0,O244+K245,O244)</f>
        <v>2401.3</v>
      </c>
      <c r="R245" s="204" t="n">
        <f aca="false">IF(K245&gt;0,R244+K245,R244)</f>
        <v>627</v>
      </c>
      <c r="S245" s="204" t="n">
        <f aca="false">S244+I245</f>
        <v>238722</v>
      </c>
      <c r="V245" s="204" t="n">
        <f aca="false">V244+I245</f>
        <v>81406</v>
      </c>
      <c r="W245" s="204" t="n">
        <f aca="false">W244+J245</f>
        <v>333.8</v>
      </c>
      <c r="Z245" s="204" t="n">
        <f aca="false">Z244+J245</f>
        <v>54.9</v>
      </c>
      <c r="AA245" s="204" t="n">
        <f aca="false">AA244+J245</f>
        <v>72.3</v>
      </c>
      <c r="AB245" s="204" t="n">
        <f aca="false">IF(K245&lt;0,1,0)</f>
        <v>0</v>
      </c>
      <c r="AC245" s="204" t="n">
        <f aca="false">IF(K245&lt;4.5,1,0)</f>
        <v>0</v>
      </c>
      <c r="AD245" s="204" t="n">
        <f aca="false">AD244+D245</f>
        <v>429.6</v>
      </c>
      <c r="AE245" s="204" t="n">
        <f aca="false">I245/K245</f>
        <v>101.72619047619</v>
      </c>
      <c r="AF245" s="204" t="n">
        <f aca="false">AF244+AE245</f>
        <v>5603.40213606506</v>
      </c>
    </row>
    <row r="246" customFormat="false" ht="12" hidden="false" customHeight="false" outlineLevel="0" collapsed="false">
      <c r="A246" s="204" t="n">
        <v>2011</v>
      </c>
      <c r="B246" s="204" t="n">
        <v>5</v>
      </c>
      <c r="C246" s="204" t="n">
        <v>3</v>
      </c>
      <c r="D246" s="204" t="n">
        <v>3</v>
      </c>
      <c r="H246" s="211" t="n">
        <f aca="false">H245+D246</f>
        <v>167.2</v>
      </c>
      <c r="I246" s="204" t="n">
        <v>1022</v>
      </c>
      <c r="J246" s="204" t="n">
        <v>2.4</v>
      </c>
      <c r="K246" s="204" t="n">
        <v>15.9</v>
      </c>
      <c r="L246" s="204" t="n">
        <v>13.2</v>
      </c>
      <c r="M246" s="204" t="n">
        <v>20.1</v>
      </c>
      <c r="N246" s="206" t="n">
        <v>40666</v>
      </c>
      <c r="O246" s="204" t="n">
        <f aca="false">IF(K246&gt;0,O245+K246,O245)</f>
        <v>2417.2</v>
      </c>
      <c r="R246" s="204" t="n">
        <f aca="false">IF(K246&gt;0,R245+K246,R245)</f>
        <v>642.9</v>
      </c>
      <c r="S246" s="204" t="n">
        <f aca="false">S245+I246</f>
        <v>239744</v>
      </c>
      <c r="V246" s="204" t="n">
        <f aca="false">V245+I246</f>
        <v>82428</v>
      </c>
      <c r="W246" s="204" t="n">
        <f aca="false">W245+J246</f>
        <v>336.2</v>
      </c>
      <c r="Z246" s="204" t="n">
        <f aca="false">Z245+J246</f>
        <v>57.3</v>
      </c>
      <c r="AA246" s="204" t="n">
        <f aca="false">AA245+J246</f>
        <v>74.7</v>
      </c>
      <c r="AB246" s="204" t="n">
        <f aca="false">IF(K246&lt;0,1,0)</f>
        <v>0</v>
      </c>
      <c r="AC246" s="204" t="n">
        <f aca="false">IF(K246&lt;4.5,1,0)</f>
        <v>0</v>
      </c>
      <c r="AD246" s="204" t="n">
        <f aca="false">AD245+D246</f>
        <v>432.6</v>
      </c>
      <c r="AE246" s="204" t="n">
        <f aca="false">I246/K246</f>
        <v>64.2767295597484</v>
      </c>
      <c r="AF246" s="204" t="n">
        <f aca="false">AF245+AE246</f>
        <v>5667.67886562481</v>
      </c>
    </row>
    <row r="247" customFormat="false" ht="12" hidden="false" customHeight="false" outlineLevel="0" collapsed="false">
      <c r="A247" s="204" t="n">
        <v>2011</v>
      </c>
      <c r="B247" s="204" t="n">
        <v>5</v>
      </c>
      <c r="C247" s="204" t="n">
        <v>4</v>
      </c>
      <c r="D247" s="204" t="n">
        <v>3.9</v>
      </c>
      <c r="H247" s="211" t="n">
        <f aca="false">H246+D247</f>
        <v>171.1</v>
      </c>
      <c r="I247" s="204" t="n">
        <v>1754</v>
      </c>
      <c r="J247" s="204" t="n">
        <v>0</v>
      </c>
      <c r="K247" s="204" t="n">
        <v>16</v>
      </c>
      <c r="L247" s="204" t="n">
        <v>11.6</v>
      </c>
      <c r="M247" s="204" t="n">
        <v>21.6</v>
      </c>
      <c r="N247" s="206" t="n">
        <v>40667</v>
      </c>
      <c r="O247" s="204" t="n">
        <f aca="false">IF(K247&gt;0,O246+K247,O246)</f>
        <v>2433.2</v>
      </c>
      <c r="R247" s="204" t="n">
        <f aca="false">IF(K247&gt;0,R246+K247,R246)</f>
        <v>658.9</v>
      </c>
      <c r="S247" s="204" t="n">
        <f aca="false">S246+I247</f>
        <v>241498</v>
      </c>
      <c r="V247" s="204" t="n">
        <f aca="false">V246+I247</f>
        <v>84182</v>
      </c>
      <c r="W247" s="204" t="n">
        <f aca="false">W246+J247</f>
        <v>336.2</v>
      </c>
      <c r="Z247" s="204" t="n">
        <f aca="false">Z246+J247</f>
        <v>57.3</v>
      </c>
      <c r="AA247" s="204" t="n">
        <f aca="false">AA246+J247</f>
        <v>74.7</v>
      </c>
      <c r="AB247" s="204" t="n">
        <f aca="false">IF(K247&lt;0,1,0)</f>
        <v>0</v>
      </c>
      <c r="AC247" s="204" t="n">
        <f aca="false">IF(K247&lt;4.5,1,0)</f>
        <v>0</v>
      </c>
      <c r="AD247" s="204" t="n">
        <f aca="false">AD246+D247</f>
        <v>436.5</v>
      </c>
      <c r="AE247" s="204" t="n">
        <f aca="false">I247/K247</f>
        <v>109.625</v>
      </c>
      <c r="AF247" s="204" t="n">
        <f aca="false">AF246+AE247</f>
        <v>5777.30386562481</v>
      </c>
    </row>
    <row r="248" customFormat="false" ht="12" hidden="false" customHeight="false" outlineLevel="0" collapsed="false">
      <c r="A248" s="204" t="n">
        <v>2011</v>
      </c>
      <c r="B248" s="204" t="n">
        <v>5</v>
      </c>
      <c r="C248" s="204" t="n">
        <v>5</v>
      </c>
      <c r="D248" s="204" t="n">
        <v>5.3</v>
      </c>
      <c r="H248" s="211" t="n">
        <f aca="false">H247+D248</f>
        <v>176.4</v>
      </c>
      <c r="I248" s="204" t="n">
        <v>2628</v>
      </c>
      <c r="J248" s="204" t="n">
        <v>0</v>
      </c>
      <c r="K248" s="204" t="n">
        <v>17.7</v>
      </c>
      <c r="L248" s="204" t="n">
        <v>10.3</v>
      </c>
      <c r="M248" s="204" t="n">
        <v>24.8</v>
      </c>
      <c r="N248" s="206" t="n">
        <v>40668</v>
      </c>
      <c r="O248" s="204" t="n">
        <f aca="false">IF(K248&gt;0,O247+K248,O247)</f>
        <v>2450.9</v>
      </c>
      <c r="R248" s="204" t="n">
        <f aca="false">IF(K248&gt;0,R247+K248,R247)</f>
        <v>676.6</v>
      </c>
      <c r="S248" s="204" t="n">
        <f aca="false">S247+I248</f>
        <v>244126</v>
      </c>
      <c r="V248" s="204" t="n">
        <f aca="false">V247+I248</f>
        <v>86810</v>
      </c>
      <c r="W248" s="204" t="n">
        <f aca="false">W247+J248</f>
        <v>336.2</v>
      </c>
      <c r="Z248" s="204" t="n">
        <f aca="false">Z247+J248</f>
        <v>57.3</v>
      </c>
      <c r="AA248" s="204" t="n">
        <f aca="false">AA247+J248</f>
        <v>74.7</v>
      </c>
      <c r="AB248" s="204" t="n">
        <f aca="false">IF(K248&lt;0,1,0)</f>
        <v>0</v>
      </c>
      <c r="AC248" s="204" t="n">
        <f aca="false">IF(K248&lt;4.5,1,0)</f>
        <v>0</v>
      </c>
      <c r="AD248" s="204" t="n">
        <f aca="false">AD247+D248</f>
        <v>441.8</v>
      </c>
      <c r="AE248" s="204" t="n">
        <f aca="false">I248/K248</f>
        <v>148.474576271186</v>
      </c>
      <c r="AF248" s="204" t="n">
        <f aca="false">AF247+AE248</f>
        <v>5925.778441896</v>
      </c>
    </row>
    <row r="249" customFormat="false" ht="12" hidden="false" customHeight="false" outlineLevel="0" collapsed="false">
      <c r="A249" s="204" t="n">
        <v>2011</v>
      </c>
      <c r="B249" s="204" t="n">
        <v>5</v>
      </c>
      <c r="C249" s="204" t="n">
        <v>6</v>
      </c>
      <c r="D249" s="204" t="n">
        <v>6.4</v>
      </c>
      <c r="H249" s="211" t="n">
        <f aca="false">H248+D249</f>
        <v>182.8</v>
      </c>
      <c r="I249" s="204" t="n">
        <v>2509</v>
      </c>
      <c r="J249" s="204" t="n">
        <v>0</v>
      </c>
      <c r="K249" s="204" t="n">
        <v>18.2</v>
      </c>
      <c r="L249" s="204" t="n">
        <v>14.7</v>
      </c>
      <c r="M249" s="204" t="n">
        <v>22.5</v>
      </c>
      <c r="N249" s="206" t="n">
        <v>40669</v>
      </c>
      <c r="O249" s="204" t="n">
        <f aca="false">IF(K249&gt;0,O248+K249,O248)</f>
        <v>2469.1</v>
      </c>
      <c r="R249" s="204" t="n">
        <f aca="false">IF(K249&gt;0,R248+K249,R248)</f>
        <v>694.8</v>
      </c>
      <c r="S249" s="204" t="n">
        <f aca="false">S248+I249</f>
        <v>246635</v>
      </c>
      <c r="V249" s="204" t="n">
        <f aca="false">V248+I249</f>
        <v>89319</v>
      </c>
      <c r="W249" s="204" t="n">
        <f aca="false">W248+J249</f>
        <v>336.2</v>
      </c>
      <c r="Z249" s="204" t="n">
        <f aca="false">Z248+J249</f>
        <v>57.3</v>
      </c>
      <c r="AA249" s="204" t="n">
        <f aca="false">AA248+J249</f>
        <v>74.7</v>
      </c>
      <c r="AB249" s="204" t="n">
        <f aca="false">IF(K249&lt;0,1,0)</f>
        <v>0</v>
      </c>
      <c r="AC249" s="204" t="n">
        <f aca="false">IF(K249&lt;4.5,1,0)</f>
        <v>0</v>
      </c>
      <c r="AD249" s="204" t="n">
        <f aca="false">AD248+D249</f>
        <v>448.2</v>
      </c>
      <c r="AE249" s="204" t="n">
        <f aca="false">I249/K249</f>
        <v>137.857142857143</v>
      </c>
      <c r="AF249" s="204" t="n">
        <f aca="false">AF248+AE249</f>
        <v>6063.63558475314</v>
      </c>
    </row>
    <row r="250" customFormat="false" ht="12" hidden="false" customHeight="false" outlineLevel="0" collapsed="false">
      <c r="A250" s="204" t="n">
        <v>2011</v>
      </c>
      <c r="B250" s="204" t="n">
        <v>5</v>
      </c>
      <c r="C250" s="204" t="n">
        <v>7</v>
      </c>
      <c r="D250" s="204" t="n">
        <v>3.7</v>
      </c>
      <c r="H250" s="211" t="n">
        <f aca="false">H249+D250</f>
        <v>186.5</v>
      </c>
      <c r="I250" s="204" t="n">
        <v>812</v>
      </c>
      <c r="J250" s="204" t="n">
        <v>0</v>
      </c>
      <c r="K250" s="204" t="n">
        <v>17</v>
      </c>
      <c r="L250" s="204" t="n">
        <v>15.9</v>
      </c>
      <c r="M250" s="204" t="n">
        <v>18.9</v>
      </c>
      <c r="N250" s="206" t="n">
        <v>40670</v>
      </c>
      <c r="O250" s="204" t="n">
        <f aca="false">IF(K250&gt;0,O249+K250,O249)</f>
        <v>2486.1</v>
      </c>
      <c r="R250" s="204" t="n">
        <f aca="false">IF(K250&gt;0,R249+K250,R249)</f>
        <v>711.8</v>
      </c>
      <c r="S250" s="204" t="n">
        <f aca="false">S249+I250</f>
        <v>247447</v>
      </c>
      <c r="V250" s="204" t="n">
        <f aca="false">V249+I250</f>
        <v>90131</v>
      </c>
      <c r="W250" s="204" t="n">
        <f aca="false">W249+J250</f>
        <v>336.2</v>
      </c>
      <c r="Z250" s="204" t="n">
        <f aca="false">Z249+J250</f>
        <v>57.3</v>
      </c>
      <c r="AA250" s="204" t="n">
        <f aca="false">AA249+J250</f>
        <v>74.7</v>
      </c>
      <c r="AB250" s="204" t="n">
        <f aca="false">IF(K250&lt;0,1,0)</f>
        <v>0</v>
      </c>
      <c r="AC250" s="204" t="n">
        <f aca="false">IF(K250&lt;4.5,1,0)</f>
        <v>0</v>
      </c>
      <c r="AD250" s="204" t="n">
        <f aca="false">AD249+D250</f>
        <v>451.9</v>
      </c>
      <c r="AE250" s="204" t="n">
        <f aca="false">I250/K250</f>
        <v>47.7647058823529</v>
      </c>
      <c r="AF250" s="204" t="n">
        <f aca="false">AF249+AE250</f>
        <v>6111.40029063549</v>
      </c>
    </row>
    <row r="251" customFormat="false" ht="12" hidden="false" customHeight="false" outlineLevel="0" collapsed="false">
      <c r="A251" s="204" t="n">
        <v>2011</v>
      </c>
      <c r="B251" s="204" t="n">
        <v>5</v>
      </c>
      <c r="C251" s="204" t="n">
        <v>8</v>
      </c>
      <c r="D251" s="204" t="n">
        <v>4.9</v>
      </c>
      <c r="H251" s="211" t="n">
        <f aca="false">H250+D251</f>
        <v>191.4</v>
      </c>
      <c r="I251" s="204" t="n">
        <v>2219</v>
      </c>
      <c r="J251" s="204" t="n">
        <v>0</v>
      </c>
      <c r="K251" s="204" t="n">
        <v>19.5</v>
      </c>
      <c r="L251" s="204" t="n">
        <v>14.1</v>
      </c>
      <c r="M251" s="204" t="n">
        <v>24.7</v>
      </c>
      <c r="N251" s="206" t="n">
        <v>40671</v>
      </c>
      <c r="O251" s="204" t="n">
        <f aca="false">IF(K251&gt;0,O250+K251,O250)</f>
        <v>2505.6</v>
      </c>
      <c r="R251" s="204" t="n">
        <f aca="false">IF(K251&gt;0,R250+K251,R250)</f>
        <v>731.3</v>
      </c>
      <c r="S251" s="204" t="n">
        <f aca="false">S250+I251</f>
        <v>249666</v>
      </c>
      <c r="V251" s="204" t="n">
        <f aca="false">V250+I251</f>
        <v>92350</v>
      </c>
      <c r="W251" s="204" t="n">
        <f aca="false">W250+J251</f>
        <v>336.2</v>
      </c>
      <c r="Z251" s="204" t="n">
        <f aca="false">Z250+J251</f>
        <v>57.3</v>
      </c>
      <c r="AA251" s="204" t="n">
        <f aca="false">AA250+J251</f>
        <v>74.7</v>
      </c>
      <c r="AB251" s="204" t="n">
        <f aca="false">IF(K251&lt;0,1,0)</f>
        <v>0</v>
      </c>
      <c r="AC251" s="204" t="n">
        <f aca="false">IF(K251&lt;4.5,1,0)</f>
        <v>0</v>
      </c>
      <c r="AD251" s="204" t="n">
        <f aca="false">AD250+D251</f>
        <v>456.8</v>
      </c>
      <c r="AE251" s="204" t="n">
        <f aca="false">I251/K251</f>
        <v>113.794871794872</v>
      </c>
      <c r="AF251" s="204" t="n">
        <f aca="false">AF250+AE251</f>
        <v>6225.19516243036</v>
      </c>
    </row>
    <row r="252" customFormat="false" ht="12" hidden="false" customHeight="false" outlineLevel="0" collapsed="false">
      <c r="A252" s="204" t="n">
        <v>2011</v>
      </c>
      <c r="B252" s="204" t="n">
        <v>5</v>
      </c>
      <c r="C252" s="204" t="n">
        <v>9</v>
      </c>
      <c r="D252" s="204" t="n">
        <v>5.7</v>
      </c>
      <c r="H252" s="211" t="n">
        <f aca="false">H251+D252</f>
        <v>197.1</v>
      </c>
      <c r="I252" s="204" t="n">
        <v>2763</v>
      </c>
      <c r="J252" s="204" t="n">
        <v>0</v>
      </c>
      <c r="K252" s="204" t="n">
        <v>19.6</v>
      </c>
      <c r="L252" s="204" t="n">
        <v>12.9</v>
      </c>
      <c r="M252" s="204" t="n">
        <v>27.2</v>
      </c>
      <c r="N252" s="206" t="n">
        <v>40672</v>
      </c>
      <c r="O252" s="204" t="n">
        <f aca="false">IF(K252&gt;0,O251+K252,O251)</f>
        <v>2525.2</v>
      </c>
      <c r="R252" s="204" t="n">
        <f aca="false">IF(K252&gt;0,R251+K252,R251)</f>
        <v>750.9</v>
      </c>
      <c r="S252" s="204" t="n">
        <f aca="false">S251+I252</f>
        <v>252429</v>
      </c>
      <c r="V252" s="204" t="n">
        <f aca="false">V251+I252</f>
        <v>95113</v>
      </c>
      <c r="W252" s="204" t="n">
        <f aca="false">W251+J252</f>
        <v>336.2</v>
      </c>
      <c r="Z252" s="204" t="n">
        <f aca="false">Z251+J252</f>
        <v>57.3</v>
      </c>
      <c r="AA252" s="204" t="n">
        <f aca="false">AA251+J252</f>
        <v>74.7</v>
      </c>
      <c r="AB252" s="204" t="n">
        <f aca="false">IF(K252&lt;0,1,0)</f>
        <v>0</v>
      </c>
      <c r="AC252" s="204" t="n">
        <f aca="false">IF(K252&lt;4.5,1,0)</f>
        <v>0</v>
      </c>
      <c r="AD252" s="204" t="n">
        <f aca="false">AD251+D252</f>
        <v>462.5</v>
      </c>
      <c r="AE252" s="204" t="n">
        <f aca="false">I252/K252</f>
        <v>140.969387755102</v>
      </c>
      <c r="AF252" s="204" t="n">
        <f aca="false">AF251+AE252</f>
        <v>6366.16455018547</v>
      </c>
    </row>
    <row r="253" customFormat="false" ht="12" hidden="false" customHeight="false" outlineLevel="0" collapsed="false">
      <c r="A253" s="204" t="n">
        <v>2011</v>
      </c>
      <c r="B253" s="204" t="n">
        <v>5</v>
      </c>
      <c r="C253" s="204" t="n">
        <v>10</v>
      </c>
      <c r="D253" s="204" t="n">
        <v>5.9</v>
      </c>
      <c r="H253" s="211" t="n">
        <f aca="false">H252+D253</f>
        <v>203</v>
      </c>
      <c r="I253" s="204" t="n">
        <v>2282</v>
      </c>
      <c r="J253" s="204" t="n">
        <v>0</v>
      </c>
      <c r="K253" s="204" t="n">
        <v>19</v>
      </c>
      <c r="L253" s="204" t="n">
        <v>13.8</v>
      </c>
      <c r="M253" s="204" t="n">
        <v>25.9</v>
      </c>
      <c r="N253" s="206" t="n">
        <v>40673</v>
      </c>
      <c r="O253" s="204" t="n">
        <f aca="false">IF(K253&gt;0,O252+K253,O252)</f>
        <v>2544.2</v>
      </c>
      <c r="R253" s="204" t="n">
        <f aca="false">IF(K253&gt;0,R252+K253,R252)</f>
        <v>769.9</v>
      </c>
      <c r="S253" s="204" t="n">
        <f aca="false">S252+I253</f>
        <v>254711</v>
      </c>
      <c r="V253" s="204" t="n">
        <f aca="false">V252+I253</f>
        <v>97395</v>
      </c>
      <c r="W253" s="204" t="n">
        <f aca="false">W252+J253</f>
        <v>336.2</v>
      </c>
      <c r="Z253" s="204" t="n">
        <f aca="false">Z252+J253</f>
        <v>57.3</v>
      </c>
      <c r="AA253" s="204" t="n">
        <f aca="false">AA252+J253</f>
        <v>74.7</v>
      </c>
      <c r="AB253" s="204" t="n">
        <f aca="false">IF(K253&lt;0,1,0)</f>
        <v>0</v>
      </c>
      <c r="AC253" s="204" t="n">
        <f aca="false">IF(K253&lt;4.5,1,0)</f>
        <v>0</v>
      </c>
      <c r="AD253" s="204" t="n">
        <f aca="false">AD252+D253</f>
        <v>468.4</v>
      </c>
      <c r="AE253" s="204" t="n">
        <f aca="false">I253/K253</f>
        <v>120.105263157895</v>
      </c>
      <c r="AF253" s="204" t="n">
        <f aca="false">AF252+AE253</f>
        <v>6486.26981334336</v>
      </c>
    </row>
    <row r="254" customFormat="false" ht="12" hidden="false" customHeight="false" outlineLevel="0" collapsed="false">
      <c r="A254" s="204" t="n">
        <v>2011</v>
      </c>
      <c r="B254" s="204" t="n">
        <v>5</v>
      </c>
      <c r="C254" s="204" t="n">
        <v>11</v>
      </c>
      <c r="D254" s="204" t="n">
        <v>5.6</v>
      </c>
      <c r="H254" s="211" t="n">
        <f aca="false">H253+D254</f>
        <v>208.6</v>
      </c>
      <c r="I254" s="204" t="n">
        <v>2789</v>
      </c>
      <c r="J254" s="204" t="n">
        <v>0</v>
      </c>
      <c r="K254" s="204" t="n">
        <v>20.9</v>
      </c>
      <c r="L254" s="204" t="n">
        <v>12.3</v>
      </c>
      <c r="M254" s="204" t="n">
        <v>28.9</v>
      </c>
      <c r="N254" s="206" t="n">
        <v>40674</v>
      </c>
      <c r="O254" s="204" t="n">
        <f aca="false">IF(K254&gt;0,O253+K254,O253)</f>
        <v>2565.1</v>
      </c>
      <c r="R254" s="204" t="n">
        <f aca="false">IF(K254&gt;0,R253+K254,R253)</f>
        <v>790.8</v>
      </c>
      <c r="S254" s="204" t="n">
        <f aca="false">S253+I254</f>
        <v>257500</v>
      </c>
      <c r="V254" s="204" t="n">
        <f aca="false">V253+I254</f>
        <v>100184</v>
      </c>
      <c r="W254" s="204" t="n">
        <f aca="false">W253+J254</f>
        <v>336.2</v>
      </c>
      <c r="Z254" s="204" t="n">
        <f aca="false">Z253+J254</f>
        <v>57.3</v>
      </c>
      <c r="AA254" s="204" t="n">
        <f aca="false">AA253+J254</f>
        <v>74.7</v>
      </c>
      <c r="AB254" s="204" t="n">
        <f aca="false">IF(K254&lt;0,1,0)</f>
        <v>0</v>
      </c>
      <c r="AC254" s="204" t="n">
        <f aca="false">IF(K254&lt;4.5,1,0)</f>
        <v>0</v>
      </c>
      <c r="AD254" s="204" t="n">
        <f aca="false">AD253+D254</f>
        <v>474</v>
      </c>
      <c r="AE254" s="204" t="n">
        <f aca="false">I254/K254</f>
        <v>133.444976076555</v>
      </c>
      <c r="AF254" s="204" t="n">
        <f aca="false">AF253+AE254</f>
        <v>6619.71478941991</v>
      </c>
    </row>
    <row r="255" customFormat="false" ht="12" hidden="false" customHeight="false" outlineLevel="0" collapsed="false">
      <c r="A255" s="204" t="n">
        <v>2011</v>
      </c>
      <c r="B255" s="204" t="n">
        <v>5</v>
      </c>
      <c r="C255" s="204" t="n">
        <v>12</v>
      </c>
      <c r="D255" s="204" t="n">
        <v>3.4</v>
      </c>
      <c r="H255" s="211" t="n">
        <f aca="false">H254+D255</f>
        <v>212</v>
      </c>
      <c r="I255" s="204" t="n">
        <v>1340</v>
      </c>
      <c r="J255" s="204" t="n">
        <v>0</v>
      </c>
      <c r="K255" s="204" t="n">
        <v>18.8</v>
      </c>
      <c r="L255" s="204" t="n">
        <v>15.8</v>
      </c>
      <c r="M255" s="204" t="n">
        <v>21.8</v>
      </c>
      <c r="N255" s="206" t="n">
        <v>40675</v>
      </c>
      <c r="O255" s="204" t="n">
        <f aca="false">IF(K255&gt;0,O254+K255,O254)</f>
        <v>2583.9</v>
      </c>
      <c r="R255" s="204" t="n">
        <f aca="false">IF(K255&gt;0,R254+K255,R254)</f>
        <v>809.6</v>
      </c>
      <c r="S255" s="204" t="n">
        <f aca="false">S254+I255</f>
        <v>258840</v>
      </c>
      <c r="V255" s="204" t="n">
        <f aca="false">V254+I255</f>
        <v>101524</v>
      </c>
      <c r="W255" s="204" t="n">
        <f aca="false">W254+J255</f>
        <v>336.2</v>
      </c>
      <c r="Z255" s="204" t="n">
        <f aca="false">Z254+J255</f>
        <v>57.3</v>
      </c>
      <c r="AA255" s="204" t="n">
        <f aca="false">AA254+J255</f>
        <v>74.7</v>
      </c>
      <c r="AB255" s="204" t="n">
        <f aca="false">IF(K255&lt;0,1,0)</f>
        <v>0</v>
      </c>
      <c r="AC255" s="204" t="n">
        <f aca="false">IF(K255&lt;4.5,1,0)</f>
        <v>0</v>
      </c>
      <c r="AD255" s="204" t="n">
        <f aca="false">AD254+D255</f>
        <v>477.4</v>
      </c>
      <c r="AE255" s="204" t="n">
        <f aca="false">I255/K255</f>
        <v>71.2765957446809</v>
      </c>
      <c r="AF255" s="204" t="n">
        <f aca="false">AF254+AE255</f>
        <v>6690.9913851646</v>
      </c>
    </row>
    <row r="256" customFormat="false" ht="12" hidden="false" customHeight="false" outlineLevel="0" collapsed="false">
      <c r="A256" s="204" t="n">
        <v>2011</v>
      </c>
      <c r="B256" s="204" t="n">
        <v>5</v>
      </c>
      <c r="C256" s="204" t="n">
        <v>13</v>
      </c>
      <c r="D256" s="204" t="n">
        <v>5.2</v>
      </c>
      <c r="H256" s="211" t="n">
        <f aca="false">H255+D256</f>
        <v>217.2</v>
      </c>
      <c r="I256" s="204" t="n">
        <v>2325</v>
      </c>
      <c r="J256" s="204" t="n">
        <v>0</v>
      </c>
      <c r="K256" s="204" t="n">
        <v>21</v>
      </c>
      <c r="L256" s="204" t="n">
        <v>15.9</v>
      </c>
      <c r="M256" s="204" t="n">
        <v>27.3</v>
      </c>
      <c r="N256" s="206" t="n">
        <v>40676</v>
      </c>
      <c r="O256" s="204" t="n">
        <f aca="false">IF(K256&gt;0,O255+K256,O255)</f>
        <v>2604.9</v>
      </c>
      <c r="R256" s="204" t="n">
        <f aca="false">IF(K256&gt;0,R255+K256,R255)</f>
        <v>830.6</v>
      </c>
      <c r="S256" s="204" t="n">
        <f aca="false">S255+I256</f>
        <v>261165</v>
      </c>
      <c r="V256" s="204" t="n">
        <f aca="false">V255+I256</f>
        <v>103849</v>
      </c>
      <c r="W256" s="204" t="n">
        <f aca="false">W255+J256</f>
        <v>336.2</v>
      </c>
      <c r="Z256" s="204" t="n">
        <f aca="false">Z255+J256</f>
        <v>57.3</v>
      </c>
      <c r="AA256" s="204" t="n">
        <f aca="false">AA255+J256</f>
        <v>74.7</v>
      </c>
      <c r="AB256" s="204" t="n">
        <f aca="false">IF(K256&lt;0,1,0)</f>
        <v>0</v>
      </c>
      <c r="AC256" s="204" t="n">
        <f aca="false">IF(K256&lt;4.5,1,0)</f>
        <v>0</v>
      </c>
      <c r="AD256" s="204" t="n">
        <f aca="false">AD255+D256</f>
        <v>482.6</v>
      </c>
      <c r="AE256" s="204" t="n">
        <f aca="false">I256/K256</f>
        <v>110.714285714286</v>
      </c>
      <c r="AF256" s="204" t="n">
        <f aca="false">AF255+AE256</f>
        <v>6801.70567087888</v>
      </c>
    </row>
    <row r="257" customFormat="false" ht="12" hidden="false" customHeight="false" outlineLevel="0" collapsed="false">
      <c r="A257" s="204" t="n">
        <v>2011</v>
      </c>
      <c r="B257" s="204" t="n">
        <v>5</v>
      </c>
      <c r="C257" s="204" t="n">
        <v>14</v>
      </c>
      <c r="D257" s="204" t="n">
        <v>1.6</v>
      </c>
      <c r="H257" s="211" t="n">
        <f aca="false">H256+D257</f>
        <v>218.8</v>
      </c>
      <c r="I257" s="204" t="n">
        <v>397</v>
      </c>
      <c r="J257" s="204" t="n">
        <v>4.8</v>
      </c>
      <c r="K257" s="204" t="n">
        <v>15.1</v>
      </c>
      <c r="L257" s="204" t="n">
        <v>14.3</v>
      </c>
      <c r="M257" s="204" t="n">
        <v>17</v>
      </c>
      <c r="N257" s="206" t="n">
        <v>40677</v>
      </c>
      <c r="O257" s="204" t="n">
        <f aca="false">IF(K257&gt;0,O256+K257,O256)</f>
        <v>2620</v>
      </c>
      <c r="R257" s="204" t="n">
        <f aca="false">IF(K257&gt;0,R256+K257,R256)</f>
        <v>845.7</v>
      </c>
      <c r="S257" s="204" t="n">
        <f aca="false">S256+I257</f>
        <v>261562</v>
      </c>
      <c r="V257" s="204" t="n">
        <f aca="false">V256+I257</f>
        <v>104246</v>
      </c>
      <c r="W257" s="204" t="n">
        <f aca="false">W256+J257</f>
        <v>341</v>
      </c>
      <c r="Z257" s="204" t="n">
        <f aca="false">Z256+J257</f>
        <v>62.1</v>
      </c>
      <c r="AA257" s="204" t="n">
        <f aca="false">AA256+J257</f>
        <v>79.5</v>
      </c>
      <c r="AB257" s="204" t="n">
        <f aca="false">IF(K257&lt;0,1,0)</f>
        <v>0</v>
      </c>
      <c r="AC257" s="204" t="n">
        <f aca="false">IF(K257&lt;4.5,1,0)</f>
        <v>0</v>
      </c>
      <c r="AD257" s="204" t="n">
        <f aca="false">AD256+D257</f>
        <v>484.2</v>
      </c>
      <c r="AE257" s="204" t="n">
        <f aca="false">I257/K257</f>
        <v>26.2913907284768</v>
      </c>
      <c r="AF257" s="204" t="n">
        <f aca="false">AF256+AE257</f>
        <v>6827.99706160736</v>
      </c>
    </row>
    <row r="258" customFormat="false" ht="13.8" hidden="false" customHeight="false" outlineLevel="0" collapsed="false">
      <c r="A258" s="204" t="n">
        <v>2011</v>
      </c>
      <c r="B258" s="204" t="n">
        <v>5</v>
      </c>
      <c r="C258" s="204" t="n">
        <v>15</v>
      </c>
      <c r="D258" s="205" t="s">
        <v>768</v>
      </c>
      <c r="E258" s="205"/>
      <c r="F258" s="205"/>
      <c r="G258" s="205"/>
      <c r="H258" s="211" t="n">
        <f aca="false">H257</f>
        <v>218.8</v>
      </c>
      <c r="I258" s="205" t="s">
        <v>768</v>
      </c>
      <c r="J258" s="205" t="n">
        <v>0</v>
      </c>
      <c r="K258" s="205" t="n">
        <v>0</v>
      </c>
      <c r="L258" s="205" t="s">
        <v>768</v>
      </c>
      <c r="M258" s="205" t="s">
        <v>768</v>
      </c>
      <c r="N258" s="206" t="n">
        <v>40678</v>
      </c>
      <c r="O258" s="204" t="n">
        <f aca="false">IF(K258&gt;0,O257+K258,O257)</f>
        <v>2620</v>
      </c>
      <c r="R258" s="204" t="n">
        <f aca="false">IF(K258&gt;0,R257+K258,R257)</f>
        <v>845.7</v>
      </c>
      <c r="S258" s="204" t="n">
        <v>261562</v>
      </c>
      <c r="V258" s="204" t="n">
        <v>104246</v>
      </c>
      <c r="W258" s="204" t="n">
        <f aca="false">W257+J258</f>
        <v>341</v>
      </c>
      <c r="Z258" s="204" t="n">
        <f aca="false">Z257+J258</f>
        <v>62.1</v>
      </c>
      <c r="AA258" s="204" t="n">
        <f aca="false">AA257+J258</f>
        <v>79.5</v>
      </c>
      <c r="AB258" s="204" t="n">
        <f aca="false">IF(K258&lt;0,1,0)</f>
        <v>0</v>
      </c>
      <c r="AC258" s="204" t="n">
        <f aca="false">IF(K258&lt;4.5,1,0)</f>
        <v>1</v>
      </c>
      <c r="AD258" s="204" t="n">
        <v>484.2</v>
      </c>
      <c r="AE258" s="205" t="s">
        <v>768</v>
      </c>
      <c r="AF258" s="204" t="n">
        <v>22962.7842143095</v>
      </c>
    </row>
    <row r="259" customFormat="false" ht="12" hidden="false" customHeight="false" outlineLevel="0" collapsed="false">
      <c r="A259" s="204" t="n">
        <v>2011</v>
      </c>
      <c r="B259" s="204" t="n">
        <v>5</v>
      </c>
      <c r="C259" s="204" t="n">
        <v>16</v>
      </c>
      <c r="D259" s="204" t="n">
        <v>4.6</v>
      </c>
      <c r="H259" s="211" t="n">
        <f aca="false">H258+D259</f>
        <v>223.4</v>
      </c>
      <c r="I259" s="204" t="n">
        <v>2856</v>
      </c>
      <c r="J259" s="204" t="n">
        <v>0</v>
      </c>
      <c r="K259" s="204" t="n">
        <v>16.1</v>
      </c>
      <c r="L259" s="204" t="n">
        <v>7.5</v>
      </c>
      <c r="M259" s="204" t="n">
        <v>22.4</v>
      </c>
      <c r="N259" s="206" t="n">
        <v>40679</v>
      </c>
      <c r="O259" s="204" t="n">
        <f aca="false">IF(K259&gt;0,O258+K259,O258)</f>
        <v>2636.1</v>
      </c>
      <c r="R259" s="204" t="n">
        <f aca="false">IF(K259&gt;0,R258+K259,R258)</f>
        <v>861.8</v>
      </c>
      <c r="S259" s="204" t="n">
        <f aca="false">S258+I259</f>
        <v>264418</v>
      </c>
      <c r="V259" s="204" t="n">
        <f aca="false">V258+I259</f>
        <v>107102</v>
      </c>
      <c r="W259" s="204" t="n">
        <f aca="false">W258+J259</f>
        <v>341</v>
      </c>
      <c r="Z259" s="204" t="n">
        <f aca="false">Z258+J259</f>
        <v>62.1</v>
      </c>
      <c r="AA259" s="204" t="n">
        <f aca="false">AA258+J259</f>
        <v>79.5</v>
      </c>
      <c r="AB259" s="204" t="n">
        <f aca="false">IF(K259&lt;0,1,0)</f>
        <v>0</v>
      </c>
      <c r="AC259" s="204" t="n">
        <f aca="false">IF(K259&lt;4.5,1,0)</f>
        <v>0</v>
      </c>
      <c r="AD259" s="204" t="n">
        <f aca="false">AD258+D259</f>
        <v>488.8</v>
      </c>
      <c r="AE259" s="204" t="n">
        <f aca="false">I259/K259</f>
        <v>177.391304347826</v>
      </c>
      <c r="AF259" s="204" t="n">
        <f aca="false">AF258+AE259</f>
        <v>23140.1755186573</v>
      </c>
    </row>
    <row r="260" customFormat="false" ht="12" hidden="false" customHeight="false" outlineLevel="0" collapsed="false">
      <c r="A260" s="204" t="n">
        <v>2011</v>
      </c>
      <c r="B260" s="204" t="n">
        <v>5</v>
      </c>
      <c r="C260" s="204" t="n">
        <v>17</v>
      </c>
      <c r="D260" s="204" t="n">
        <v>5.1</v>
      </c>
      <c r="H260" s="211" t="n">
        <f aca="false">H259+D260</f>
        <v>228.5</v>
      </c>
      <c r="I260" s="204" t="n">
        <v>2936</v>
      </c>
      <c r="J260" s="204" t="n">
        <v>0</v>
      </c>
      <c r="K260" s="204" t="n">
        <v>19.2</v>
      </c>
      <c r="L260" s="204" t="n">
        <v>9.6</v>
      </c>
      <c r="M260" s="204" t="n">
        <v>26.6</v>
      </c>
      <c r="N260" s="206" t="n">
        <v>40680</v>
      </c>
      <c r="O260" s="204" t="n">
        <f aca="false">IF(K260&gt;0,O259+K260,O259)</f>
        <v>2655.3</v>
      </c>
      <c r="R260" s="204" t="n">
        <f aca="false">IF(K260&gt;0,R259+K260,R259)</f>
        <v>881</v>
      </c>
      <c r="S260" s="204" t="n">
        <f aca="false">S259+I260</f>
        <v>267354</v>
      </c>
      <c r="V260" s="204" t="n">
        <f aca="false">V259+I260</f>
        <v>110038</v>
      </c>
      <c r="W260" s="204" t="n">
        <f aca="false">W259+J260</f>
        <v>341</v>
      </c>
      <c r="Z260" s="204" t="n">
        <f aca="false">Z259+J260</f>
        <v>62.1</v>
      </c>
      <c r="AA260" s="204" t="n">
        <f aca="false">AA259+J260</f>
        <v>79.5</v>
      </c>
      <c r="AB260" s="204" t="n">
        <f aca="false">IF(K260&lt;0,1,0)</f>
        <v>0</v>
      </c>
      <c r="AC260" s="204" t="n">
        <f aca="false">IF(K260&lt;4.5,1,0)</f>
        <v>0</v>
      </c>
      <c r="AD260" s="204" t="n">
        <f aca="false">AD259+D260</f>
        <v>493.9</v>
      </c>
      <c r="AE260" s="204" t="n">
        <f aca="false">I260/K260</f>
        <v>152.916666666667</v>
      </c>
      <c r="AF260" s="204" t="n">
        <f aca="false">AF259+AE260</f>
        <v>23293.092185324</v>
      </c>
    </row>
    <row r="261" customFormat="false" ht="12" hidden="false" customHeight="false" outlineLevel="0" collapsed="false">
      <c r="A261" s="204" t="n">
        <v>2011</v>
      </c>
      <c r="B261" s="204" t="n">
        <v>5</v>
      </c>
      <c r="C261" s="204" t="n">
        <v>18</v>
      </c>
      <c r="D261" s="204" t="n">
        <v>6.5</v>
      </c>
      <c r="H261" s="211" t="n">
        <f aca="false">H260+D261</f>
        <v>235</v>
      </c>
      <c r="I261" s="204" t="n">
        <v>2916</v>
      </c>
      <c r="J261" s="204" t="n">
        <v>0</v>
      </c>
      <c r="K261" s="204" t="n">
        <v>20.1</v>
      </c>
      <c r="L261" s="204" t="n">
        <v>11.2</v>
      </c>
      <c r="M261" s="204" t="n">
        <v>28.1</v>
      </c>
      <c r="N261" s="206" t="n">
        <v>40681</v>
      </c>
      <c r="O261" s="204" t="n">
        <f aca="false">IF(K261&gt;0,O260+K261,O260)</f>
        <v>2675.4</v>
      </c>
      <c r="R261" s="204" t="n">
        <f aca="false">IF(K261&gt;0,R260+K261,R260)</f>
        <v>901.1</v>
      </c>
      <c r="S261" s="204" t="n">
        <f aca="false">S260+I261</f>
        <v>270270</v>
      </c>
      <c r="V261" s="204" t="n">
        <f aca="false">V260+I261</f>
        <v>112954</v>
      </c>
      <c r="W261" s="204" t="n">
        <f aca="false">W260+J261</f>
        <v>341</v>
      </c>
      <c r="Z261" s="204" t="n">
        <f aca="false">Z260+J261</f>
        <v>62.1</v>
      </c>
      <c r="AA261" s="204" t="n">
        <f aca="false">AA260+J261</f>
        <v>79.5</v>
      </c>
      <c r="AB261" s="204" t="n">
        <f aca="false">IF(K261&lt;0,1,0)</f>
        <v>0</v>
      </c>
      <c r="AC261" s="204" t="n">
        <f aca="false">IF(K261&lt;4.5,1,0)</f>
        <v>0</v>
      </c>
      <c r="AD261" s="204" t="n">
        <f aca="false">AD260+D261</f>
        <v>500.4</v>
      </c>
      <c r="AE261" s="204" t="n">
        <f aca="false">I261/K261</f>
        <v>145.074626865672</v>
      </c>
      <c r="AF261" s="204" t="n">
        <f aca="false">AF260+AE261</f>
        <v>23438.1668121896</v>
      </c>
    </row>
    <row r="262" customFormat="false" ht="12" hidden="false" customHeight="false" outlineLevel="0" collapsed="false">
      <c r="A262" s="204" t="n">
        <v>2011</v>
      </c>
      <c r="B262" s="204" t="n">
        <v>5</v>
      </c>
      <c r="C262" s="204" t="n">
        <v>19</v>
      </c>
      <c r="D262" s="204" t="n">
        <v>6.2</v>
      </c>
      <c r="H262" s="211" t="n">
        <f aca="false">H261+D262</f>
        <v>241.2</v>
      </c>
      <c r="I262" s="204" t="n">
        <v>2833</v>
      </c>
      <c r="J262" s="204" t="n">
        <v>0</v>
      </c>
      <c r="K262" s="204" t="n">
        <v>19.5</v>
      </c>
      <c r="L262" s="204" t="n">
        <v>13.2</v>
      </c>
      <c r="M262" s="204" t="n">
        <v>27.2</v>
      </c>
      <c r="N262" s="206" t="n">
        <v>40682</v>
      </c>
      <c r="O262" s="204" t="n">
        <f aca="false">IF(K262&gt;0,O261+K262,O261)</f>
        <v>2694.9</v>
      </c>
      <c r="R262" s="204" t="n">
        <f aca="false">IF(K262&gt;0,R261+K262,R261)</f>
        <v>920.6</v>
      </c>
      <c r="S262" s="204" t="n">
        <f aca="false">S261+I262</f>
        <v>273103</v>
      </c>
      <c r="V262" s="204" t="n">
        <f aca="false">V261+I262</f>
        <v>115787</v>
      </c>
      <c r="W262" s="204" t="n">
        <f aca="false">W261+J262</f>
        <v>341</v>
      </c>
      <c r="Z262" s="204" t="n">
        <f aca="false">Z261+J262</f>
        <v>62.1</v>
      </c>
      <c r="AA262" s="204" t="n">
        <f aca="false">AA261+J262</f>
        <v>79.5</v>
      </c>
      <c r="AB262" s="204" t="n">
        <f aca="false">IF(K262&lt;0,1,0)</f>
        <v>0</v>
      </c>
      <c r="AC262" s="204" t="n">
        <f aca="false">IF(K262&lt;4.5,1,0)</f>
        <v>0</v>
      </c>
      <c r="AD262" s="204" t="n">
        <f aca="false">AD261+D262</f>
        <v>506.6</v>
      </c>
      <c r="AE262" s="204" t="n">
        <f aca="false">I262/K262</f>
        <v>145.282051282051</v>
      </c>
      <c r="AF262" s="204" t="n">
        <f aca="false">AF261+AE262</f>
        <v>23583.4488634717</v>
      </c>
    </row>
    <row r="263" customFormat="false" ht="12" hidden="false" customHeight="false" outlineLevel="0" collapsed="false">
      <c r="A263" s="204" t="n">
        <v>2011</v>
      </c>
      <c r="B263" s="204" t="n">
        <v>5</v>
      </c>
      <c r="C263" s="204" t="n">
        <v>20</v>
      </c>
      <c r="D263" s="204" t="n">
        <v>5.2</v>
      </c>
      <c r="H263" s="211" t="n">
        <f aca="false">H262+D263</f>
        <v>246.4</v>
      </c>
      <c r="I263" s="204" t="n">
        <v>2611</v>
      </c>
      <c r="J263" s="204" t="n">
        <v>0</v>
      </c>
      <c r="K263" s="204" t="n">
        <v>20.7</v>
      </c>
      <c r="L263" s="204" t="n">
        <v>11.8</v>
      </c>
      <c r="M263" s="204" t="n">
        <v>28.1</v>
      </c>
      <c r="N263" s="206" t="n">
        <v>40683</v>
      </c>
      <c r="O263" s="204" t="n">
        <f aca="false">IF(K263&gt;0,O262+K263,O262)</f>
        <v>2715.6</v>
      </c>
      <c r="R263" s="204" t="n">
        <f aca="false">IF(K263&gt;0,R262+K263,R262)</f>
        <v>941.3</v>
      </c>
      <c r="S263" s="204" t="n">
        <f aca="false">S262+I263</f>
        <v>275714</v>
      </c>
      <c r="V263" s="204" t="n">
        <f aca="false">V262+I263</f>
        <v>118398</v>
      </c>
      <c r="W263" s="204" t="n">
        <f aca="false">W262+J263</f>
        <v>341</v>
      </c>
      <c r="Z263" s="204" t="n">
        <f aca="false">Z262+J263</f>
        <v>62.1</v>
      </c>
      <c r="AA263" s="204" t="n">
        <f aca="false">AA262+J263</f>
        <v>79.5</v>
      </c>
      <c r="AB263" s="204" t="n">
        <f aca="false">IF(K263&lt;0,1,0)</f>
        <v>0</v>
      </c>
      <c r="AC263" s="204" t="n">
        <f aca="false">IF(K263&lt;4.5,1,0)</f>
        <v>0</v>
      </c>
      <c r="AD263" s="204" t="n">
        <f aca="false">AD262+D263</f>
        <v>511.8</v>
      </c>
      <c r="AE263" s="204" t="n">
        <f aca="false">I263/K263</f>
        <v>126.135265700483</v>
      </c>
      <c r="AF263" s="204" t="n">
        <f aca="false">AF262+AE263</f>
        <v>23709.5841291722</v>
      </c>
    </row>
    <row r="264" customFormat="false" ht="12" hidden="false" customHeight="false" outlineLevel="0" collapsed="false">
      <c r="A264" s="204" t="n">
        <v>2011</v>
      </c>
      <c r="B264" s="204" t="n">
        <v>5</v>
      </c>
      <c r="C264" s="204" t="n">
        <v>21</v>
      </c>
      <c r="D264" s="204" t="n">
        <v>5.9</v>
      </c>
      <c r="H264" s="211" t="n">
        <f aca="false">H263+D264</f>
        <v>252.3</v>
      </c>
      <c r="I264" s="204" t="n">
        <v>2750</v>
      </c>
      <c r="J264" s="204" t="n">
        <v>0</v>
      </c>
      <c r="K264" s="204" t="n">
        <v>21.7</v>
      </c>
      <c r="L264" s="204" t="n">
        <v>14.4</v>
      </c>
      <c r="M264" s="204" t="n">
        <v>28.4</v>
      </c>
      <c r="N264" s="206" t="n">
        <v>40684</v>
      </c>
      <c r="O264" s="204" t="n">
        <f aca="false">IF(K264&gt;0,O263+K264,O263)</f>
        <v>2737.3</v>
      </c>
      <c r="R264" s="204" t="n">
        <f aca="false">IF(K264&gt;0,R263+K264,R263)</f>
        <v>963</v>
      </c>
      <c r="S264" s="204" t="n">
        <f aca="false">S263+I264</f>
        <v>278464</v>
      </c>
      <c r="V264" s="204" t="n">
        <f aca="false">V263+I264</f>
        <v>121148</v>
      </c>
      <c r="W264" s="204" t="n">
        <f aca="false">W263+J264</f>
        <v>341</v>
      </c>
      <c r="Z264" s="204" t="n">
        <f aca="false">Z263+J264</f>
        <v>62.1</v>
      </c>
      <c r="AA264" s="204" t="n">
        <f aca="false">AA263+J264</f>
        <v>79.5</v>
      </c>
      <c r="AB264" s="204" t="n">
        <f aca="false">IF(K264&lt;0,1,0)</f>
        <v>0</v>
      </c>
      <c r="AC264" s="204" t="n">
        <f aca="false">IF(K264&lt;4.5,1,0)</f>
        <v>0</v>
      </c>
      <c r="AD264" s="204" t="n">
        <f aca="false">AD263+D264</f>
        <v>517.7</v>
      </c>
      <c r="AE264" s="204" t="n">
        <f aca="false">I264/K264</f>
        <v>126.728110599078</v>
      </c>
      <c r="AF264" s="204" t="n">
        <f aca="false">AF263+AE264</f>
        <v>23836.3122397712</v>
      </c>
    </row>
    <row r="265" customFormat="false" ht="12" hidden="false" customHeight="false" outlineLevel="0" collapsed="false">
      <c r="A265" s="204" t="n">
        <v>2011</v>
      </c>
      <c r="B265" s="204" t="n">
        <v>5</v>
      </c>
      <c r="C265" s="204" t="n">
        <v>22</v>
      </c>
      <c r="D265" s="204" t="n">
        <v>3.1</v>
      </c>
      <c r="H265" s="211" t="n">
        <f aca="false">H264+D265</f>
        <v>255.4</v>
      </c>
      <c r="I265" s="204" t="n">
        <v>823</v>
      </c>
      <c r="J265" s="204" t="n">
        <v>0</v>
      </c>
      <c r="K265" s="204" t="n">
        <v>18.2</v>
      </c>
      <c r="L265" s="204" t="n">
        <v>15.1</v>
      </c>
      <c r="M265" s="204" t="n">
        <v>21.2</v>
      </c>
      <c r="N265" s="206" t="n">
        <v>40685</v>
      </c>
      <c r="O265" s="204" t="n">
        <f aca="false">IF(K265&gt;0,O264+K265,O264)</f>
        <v>2755.5</v>
      </c>
      <c r="R265" s="204" t="n">
        <f aca="false">IF(K265&gt;0,R264+K265,R264)</f>
        <v>981.2</v>
      </c>
      <c r="S265" s="204" t="n">
        <f aca="false">S264+I265</f>
        <v>279287</v>
      </c>
      <c r="V265" s="204" t="n">
        <f aca="false">V264+I265</f>
        <v>121971</v>
      </c>
      <c r="W265" s="204" t="n">
        <f aca="false">W264+J265</f>
        <v>341</v>
      </c>
      <c r="Z265" s="204" t="n">
        <f aca="false">Z264+J265</f>
        <v>62.1</v>
      </c>
      <c r="AA265" s="204" t="n">
        <f aca="false">AA264+J265</f>
        <v>79.5</v>
      </c>
      <c r="AB265" s="204" t="n">
        <f aca="false">IF(K265&lt;0,1,0)</f>
        <v>0</v>
      </c>
      <c r="AC265" s="204" t="n">
        <f aca="false">IF(K265&lt;4.5,1,0)</f>
        <v>0</v>
      </c>
      <c r="AD265" s="204" t="n">
        <f aca="false">AD264+D265</f>
        <v>520.8</v>
      </c>
      <c r="AE265" s="204" t="n">
        <f aca="false">I265/K265</f>
        <v>45.2197802197802</v>
      </c>
      <c r="AF265" s="204" t="n">
        <f aca="false">AF264+AE265</f>
        <v>23881.532019991</v>
      </c>
    </row>
    <row r="266" customFormat="false" ht="12" hidden="false" customHeight="false" outlineLevel="0" collapsed="false">
      <c r="A266" s="204" t="n">
        <v>2011</v>
      </c>
      <c r="B266" s="204" t="n">
        <v>5</v>
      </c>
      <c r="C266" s="204" t="n">
        <v>23</v>
      </c>
      <c r="D266" s="204" t="n">
        <v>5.7</v>
      </c>
      <c r="H266" s="211" t="n">
        <f aca="false">H265+D266</f>
        <v>261.1</v>
      </c>
      <c r="I266" s="204" t="n">
        <v>3028</v>
      </c>
      <c r="J266" s="204" t="n">
        <v>0</v>
      </c>
      <c r="K266" s="204" t="n">
        <v>21</v>
      </c>
      <c r="L266" s="204" t="n">
        <v>12.1</v>
      </c>
      <c r="M266" s="204" t="n">
        <v>28.9</v>
      </c>
      <c r="N266" s="206" t="n">
        <v>40686</v>
      </c>
      <c r="O266" s="204" t="n">
        <f aca="false">IF(K266&gt;0,O265+K266,O265)</f>
        <v>2776.5</v>
      </c>
      <c r="R266" s="204" t="n">
        <f aca="false">IF(K266&gt;0,R265+K266,R265)</f>
        <v>1002.2</v>
      </c>
      <c r="S266" s="204" t="n">
        <f aca="false">S265+I266</f>
        <v>282315</v>
      </c>
      <c r="V266" s="204" t="n">
        <f aca="false">V265+I266</f>
        <v>124999</v>
      </c>
      <c r="W266" s="204" t="n">
        <f aca="false">W265+J266</f>
        <v>341</v>
      </c>
      <c r="Z266" s="204" t="n">
        <f aca="false">Z265+J266</f>
        <v>62.1</v>
      </c>
      <c r="AA266" s="204" t="n">
        <f aca="false">AA265+J266</f>
        <v>79.5</v>
      </c>
      <c r="AB266" s="204" t="n">
        <f aca="false">IF(K266&lt;0,1,0)</f>
        <v>0</v>
      </c>
      <c r="AC266" s="204" t="n">
        <f aca="false">IF(K266&lt;4.5,1,0)</f>
        <v>0</v>
      </c>
      <c r="AD266" s="204" t="n">
        <f aca="false">AD265+D266</f>
        <v>526.5</v>
      </c>
      <c r="AE266" s="204" t="n">
        <f aca="false">I266/K266</f>
        <v>144.190476190476</v>
      </c>
      <c r="AF266" s="204" t="n">
        <f aca="false">AF265+AE266</f>
        <v>24025.7224961815</v>
      </c>
    </row>
    <row r="267" customFormat="false" ht="12" hidden="false" customHeight="false" outlineLevel="0" collapsed="false">
      <c r="A267" s="204" t="n">
        <v>2011</v>
      </c>
      <c r="B267" s="204" t="n">
        <v>5</v>
      </c>
      <c r="C267" s="204" t="n">
        <v>24</v>
      </c>
      <c r="D267" s="204" t="n">
        <v>6.6</v>
      </c>
      <c r="H267" s="211" t="n">
        <f aca="false">H266+D267</f>
        <v>267.7</v>
      </c>
      <c r="I267" s="204" t="n">
        <v>2968</v>
      </c>
      <c r="J267" s="204" t="n">
        <v>0</v>
      </c>
      <c r="K267" s="204" t="n">
        <v>20.9</v>
      </c>
      <c r="L267" s="204" t="n">
        <v>13.7</v>
      </c>
      <c r="M267" s="204" t="n">
        <v>27.3</v>
      </c>
      <c r="N267" s="206" t="n">
        <v>40687</v>
      </c>
      <c r="O267" s="204" t="n">
        <f aca="false">IF(K267&gt;0,O266+K267,O266)</f>
        <v>2797.4</v>
      </c>
      <c r="R267" s="204" t="n">
        <f aca="false">IF(K267&gt;0,R266+K267,R266)</f>
        <v>1023.1</v>
      </c>
      <c r="S267" s="204" t="n">
        <f aca="false">S266+I267</f>
        <v>285283</v>
      </c>
      <c r="V267" s="204" t="n">
        <f aca="false">V266+I267</f>
        <v>127967</v>
      </c>
      <c r="W267" s="204" t="n">
        <f aca="false">W266+J267</f>
        <v>341</v>
      </c>
      <c r="Z267" s="204" t="n">
        <f aca="false">Z266+J267</f>
        <v>62.1</v>
      </c>
      <c r="AA267" s="204" t="n">
        <f aca="false">AA266+J267</f>
        <v>79.5</v>
      </c>
      <c r="AB267" s="204" t="n">
        <f aca="false">IF(K267&lt;0,1,0)</f>
        <v>0</v>
      </c>
      <c r="AC267" s="204" t="n">
        <f aca="false">IF(K267&lt;4.5,1,0)</f>
        <v>0</v>
      </c>
      <c r="AD267" s="204" t="n">
        <f aca="false">AD266+D267</f>
        <v>533.1</v>
      </c>
      <c r="AE267" s="204" t="n">
        <f aca="false">I267/K267</f>
        <v>142.00956937799</v>
      </c>
      <c r="AF267" s="204" t="n">
        <f aca="false">AF266+AE267</f>
        <v>24167.7320655595</v>
      </c>
    </row>
    <row r="268" customFormat="false" ht="12" hidden="false" customHeight="false" outlineLevel="0" collapsed="false">
      <c r="A268" s="204" t="n">
        <v>2011</v>
      </c>
      <c r="B268" s="204" t="n">
        <v>5</v>
      </c>
      <c r="C268" s="204" t="n">
        <v>25</v>
      </c>
      <c r="D268" s="204" t="n">
        <v>5.8</v>
      </c>
      <c r="H268" s="211" t="n">
        <f aca="false">H267+D268</f>
        <v>273.5</v>
      </c>
      <c r="I268" s="204" t="n">
        <v>2993</v>
      </c>
      <c r="J268" s="204" t="n">
        <v>0</v>
      </c>
      <c r="K268" s="204" t="n">
        <v>22.9</v>
      </c>
      <c r="L268" s="204" t="n">
        <v>13.7</v>
      </c>
      <c r="M268" s="204" t="n">
        <v>30.9</v>
      </c>
      <c r="N268" s="206" t="n">
        <v>40688</v>
      </c>
      <c r="O268" s="204" t="n">
        <f aca="false">IF(K268&gt;0,O267+K268,O267)</f>
        <v>2820.3</v>
      </c>
      <c r="R268" s="204" t="n">
        <f aca="false">IF(K268&gt;0,R267+K268,R267)</f>
        <v>1046</v>
      </c>
      <c r="S268" s="204" t="n">
        <f aca="false">S267+I268</f>
        <v>288276</v>
      </c>
      <c r="V268" s="204" t="n">
        <f aca="false">V267+I268</f>
        <v>130960</v>
      </c>
      <c r="W268" s="204" t="n">
        <f aca="false">W267+J268</f>
        <v>341</v>
      </c>
      <c r="Z268" s="204" t="n">
        <f aca="false">Z267+J268</f>
        <v>62.1</v>
      </c>
      <c r="AA268" s="204" t="n">
        <f aca="false">AA267+J268</f>
        <v>79.5</v>
      </c>
      <c r="AB268" s="204" t="n">
        <f aca="false">IF(K268&lt;0,1,0)</f>
        <v>0</v>
      </c>
      <c r="AC268" s="204" t="n">
        <f aca="false">IF(K268&lt;4.5,1,0)</f>
        <v>0</v>
      </c>
      <c r="AD268" s="204" t="n">
        <f aca="false">AD267+D268</f>
        <v>538.9</v>
      </c>
      <c r="AE268" s="204" t="n">
        <f aca="false">I268/K268</f>
        <v>130.698689956332</v>
      </c>
      <c r="AF268" s="204" t="n">
        <f aca="false">AF267+AE268</f>
        <v>24298.4307555158</v>
      </c>
    </row>
    <row r="269" customFormat="false" ht="12" hidden="false" customHeight="false" outlineLevel="0" collapsed="false">
      <c r="A269" s="204" t="n">
        <v>2011</v>
      </c>
      <c r="B269" s="204" t="n">
        <v>5</v>
      </c>
      <c r="C269" s="204" t="n">
        <v>26</v>
      </c>
      <c r="D269" s="204" t="n">
        <v>3.7</v>
      </c>
      <c r="H269" s="211" t="n">
        <f aca="false">H268+D269</f>
        <v>277.2</v>
      </c>
      <c r="I269" s="204" t="n">
        <v>860</v>
      </c>
      <c r="J269" s="204" t="n">
        <v>0</v>
      </c>
      <c r="K269" s="204" t="n">
        <v>19.6</v>
      </c>
      <c r="L269" s="204" t="n">
        <v>17.4</v>
      </c>
      <c r="M269" s="204" t="n">
        <v>22.4</v>
      </c>
      <c r="N269" s="206" t="n">
        <v>40689</v>
      </c>
      <c r="O269" s="204" t="n">
        <f aca="false">IF(K269&gt;0,O268+K269,O268)</f>
        <v>2839.9</v>
      </c>
      <c r="R269" s="204" t="n">
        <f aca="false">IF(K269&gt;0,R268+K269,R268)</f>
        <v>1065.6</v>
      </c>
      <c r="S269" s="204" t="n">
        <f aca="false">S268+I269</f>
        <v>289136</v>
      </c>
      <c r="V269" s="204" t="n">
        <f aca="false">V268+I269</f>
        <v>131820</v>
      </c>
      <c r="W269" s="204" t="n">
        <f aca="false">W268+J269</f>
        <v>341</v>
      </c>
      <c r="Z269" s="204" t="n">
        <f aca="false">Z268+J269</f>
        <v>62.1</v>
      </c>
      <c r="AA269" s="204" t="n">
        <f aca="false">AA268+J269</f>
        <v>79.5</v>
      </c>
      <c r="AB269" s="204" t="n">
        <f aca="false">IF(K269&lt;0,1,0)</f>
        <v>0</v>
      </c>
      <c r="AC269" s="204" t="n">
        <f aca="false">IF(K269&lt;4.5,1,0)</f>
        <v>0</v>
      </c>
      <c r="AD269" s="204" t="n">
        <f aca="false">AD268+D269</f>
        <v>542.6</v>
      </c>
      <c r="AE269" s="204" t="n">
        <f aca="false">I269/K269</f>
        <v>43.8775510204082</v>
      </c>
      <c r="AF269" s="204" t="n">
        <f aca="false">AF268+AE269</f>
        <v>24342.3083065362</v>
      </c>
    </row>
    <row r="270" customFormat="false" ht="12" hidden="false" customHeight="false" outlineLevel="0" collapsed="false">
      <c r="A270" s="204" t="n">
        <v>2011</v>
      </c>
      <c r="B270" s="204" t="n">
        <v>5</v>
      </c>
      <c r="C270" s="204" t="n">
        <v>27</v>
      </c>
      <c r="D270" s="204" t="n">
        <v>4.5</v>
      </c>
      <c r="H270" s="211" t="n">
        <f aca="false">H269+D270</f>
        <v>281.7</v>
      </c>
      <c r="I270" s="204" t="n">
        <v>1302</v>
      </c>
      <c r="J270" s="204" t="n">
        <v>0</v>
      </c>
      <c r="K270" s="204" t="n">
        <v>16.3</v>
      </c>
      <c r="L270" s="204" t="n">
        <v>12.9</v>
      </c>
      <c r="M270" s="204" t="n">
        <v>20.5</v>
      </c>
      <c r="N270" s="206" t="n">
        <v>40690</v>
      </c>
      <c r="O270" s="204" t="n">
        <f aca="false">IF(K270&gt;0,O269+K270,O269)</f>
        <v>2856.2</v>
      </c>
      <c r="R270" s="204" t="n">
        <f aca="false">IF(K270&gt;0,R269+K270,R269)</f>
        <v>1081.9</v>
      </c>
      <c r="S270" s="204" t="n">
        <f aca="false">S269+I270</f>
        <v>290438</v>
      </c>
      <c r="V270" s="204" t="n">
        <f aca="false">V269+I270</f>
        <v>133122</v>
      </c>
      <c r="W270" s="204" t="n">
        <f aca="false">W269+J270</f>
        <v>341</v>
      </c>
      <c r="Z270" s="204" t="n">
        <f aca="false">Z269+J270</f>
        <v>62.1</v>
      </c>
      <c r="AA270" s="204" t="n">
        <f aca="false">AA269+J270</f>
        <v>79.5</v>
      </c>
      <c r="AB270" s="204" t="n">
        <f aca="false">IF(K270&lt;0,1,0)</f>
        <v>0</v>
      </c>
      <c r="AC270" s="204" t="n">
        <f aca="false">IF(K270&lt;4.5,1,0)</f>
        <v>0</v>
      </c>
      <c r="AD270" s="204" t="n">
        <f aca="false">AD269+D270</f>
        <v>547.1</v>
      </c>
      <c r="AE270" s="204" t="n">
        <f aca="false">I270/K270</f>
        <v>79.8773006134969</v>
      </c>
      <c r="AF270" s="204" t="n">
        <f aca="false">AF269+AE270</f>
        <v>24422.1856071497</v>
      </c>
    </row>
    <row r="271" customFormat="false" ht="12" hidden="false" customHeight="false" outlineLevel="0" collapsed="false">
      <c r="A271" s="204" t="n">
        <v>2011</v>
      </c>
      <c r="B271" s="204" t="n">
        <v>5</v>
      </c>
      <c r="C271" s="204" t="n">
        <v>28</v>
      </c>
      <c r="D271" s="204" t="n">
        <v>5.6</v>
      </c>
      <c r="H271" s="211" t="n">
        <f aca="false">H270+D271</f>
        <v>287.3</v>
      </c>
      <c r="I271" s="204" t="n">
        <v>3036</v>
      </c>
      <c r="J271" s="204" t="n">
        <v>0</v>
      </c>
      <c r="K271" s="204" t="n">
        <v>18</v>
      </c>
      <c r="L271" s="204" t="n">
        <v>10.1</v>
      </c>
      <c r="M271" s="204" t="n">
        <v>24.6</v>
      </c>
      <c r="N271" s="206" t="n">
        <v>40691</v>
      </c>
      <c r="O271" s="204" t="n">
        <f aca="false">IF(K271&gt;0,O270+K271,O270)</f>
        <v>2874.2</v>
      </c>
      <c r="R271" s="204" t="n">
        <f aca="false">IF(K271&gt;0,R270+K271,R270)</f>
        <v>1099.9</v>
      </c>
      <c r="S271" s="204" t="n">
        <f aca="false">S270+I271</f>
        <v>293474</v>
      </c>
      <c r="V271" s="204" t="n">
        <f aca="false">V270+I271</f>
        <v>136158</v>
      </c>
      <c r="W271" s="204" t="n">
        <f aca="false">W270+J271</f>
        <v>341</v>
      </c>
      <c r="Z271" s="204" t="n">
        <f aca="false">Z270+J271</f>
        <v>62.1</v>
      </c>
      <c r="AA271" s="204" t="n">
        <f aca="false">AA270+J271</f>
        <v>79.5</v>
      </c>
      <c r="AB271" s="204" t="n">
        <f aca="false">IF(K271&lt;0,1,0)</f>
        <v>0</v>
      </c>
      <c r="AC271" s="204" t="n">
        <f aca="false">IF(K271&lt;4.5,1,0)</f>
        <v>0</v>
      </c>
      <c r="AD271" s="204" t="n">
        <f aca="false">AD270+D271</f>
        <v>552.7</v>
      </c>
      <c r="AE271" s="204" t="n">
        <f aca="false">I271/K271</f>
        <v>168.666666666667</v>
      </c>
      <c r="AF271" s="204" t="n">
        <f aca="false">AF270+AE271</f>
        <v>24590.8522738164</v>
      </c>
    </row>
    <row r="272" customFormat="false" ht="12" hidden="false" customHeight="false" outlineLevel="0" collapsed="false">
      <c r="A272" s="204" t="n">
        <v>2011</v>
      </c>
      <c r="B272" s="204" t="n">
        <v>5</v>
      </c>
      <c r="C272" s="204" t="n">
        <v>29</v>
      </c>
      <c r="D272" s="204" t="n">
        <v>6.1</v>
      </c>
      <c r="H272" s="211" t="n">
        <f aca="false">H271+D272</f>
        <v>293.4</v>
      </c>
      <c r="I272" s="204" t="n">
        <v>3061</v>
      </c>
      <c r="J272" s="204" t="n">
        <v>0</v>
      </c>
      <c r="K272" s="204" t="n">
        <v>21</v>
      </c>
      <c r="L272" s="204" t="n">
        <v>9.6</v>
      </c>
      <c r="M272" s="204" t="n">
        <v>30</v>
      </c>
      <c r="N272" s="206" t="n">
        <v>40692</v>
      </c>
      <c r="O272" s="204" t="n">
        <f aca="false">IF(K272&gt;0,O271+K272,O271)</f>
        <v>2895.2</v>
      </c>
      <c r="R272" s="204" t="n">
        <f aca="false">IF(K272&gt;0,R271+K272,R271)</f>
        <v>1120.9</v>
      </c>
      <c r="S272" s="204" t="n">
        <f aca="false">S271+I272</f>
        <v>296535</v>
      </c>
      <c r="V272" s="204" t="n">
        <f aca="false">V271+I272</f>
        <v>139219</v>
      </c>
      <c r="W272" s="204" t="n">
        <f aca="false">W271+J272</f>
        <v>341</v>
      </c>
      <c r="Z272" s="204" t="n">
        <f aca="false">Z271+J272</f>
        <v>62.1</v>
      </c>
      <c r="AA272" s="204" t="n">
        <f aca="false">AA271+J272</f>
        <v>79.5</v>
      </c>
      <c r="AB272" s="204" t="n">
        <f aca="false">IF(K272&lt;0,1,0)</f>
        <v>0</v>
      </c>
      <c r="AC272" s="204" t="n">
        <f aca="false">IF(K272&lt;4.5,1,0)</f>
        <v>0</v>
      </c>
      <c r="AD272" s="204" t="n">
        <f aca="false">AD271+D272</f>
        <v>558.8</v>
      </c>
      <c r="AE272" s="204" t="n">
        <f aca="false">I272/K272</f>
        <v>145.761904761905</v>
      </c>
      <c r="AF272" s="204" t="n">
        <f aca="false">AF271+AE272</f>
        <v>24736.6141785783</v>
      </c>
    </row>
    <row r="273" customFormat="false" ht="12" hidden="false" customHeight="false" outlineLevel="0" collapsed="false">
      <c r="A273" s="204" t="n">
        <v>2011</v>
      </c>
      <c r="B273" s="204" t="n">
        <v>5</v>
      </c>
      <c r="C273" s="204" t="n">
        <v>30</v>
      </c>
      <c r="D273" s="204" t="n">
        <v>5.1</v>
      </c>
      <c r="H273" s="211" t="n">
        <f aca="false">H272+D273</f>
        <v>298.5</v>
      </c>
      <c r="I273" s="204" t="n">
        <v>1843</v>
      </c>
      <c r="J273" s="204" t="n">
        <v>9.7</v>
      </c>
      <c r="K273" s="204" t="n">
        <v>20.1</v>
      </c>
      <c r="L273" s="204" t="n">
        <v>16.9</v>
      </c>
      <c r="M273" s="204" t="n">
        <v>26</v>
      </c>
      <c r="N273" s="206" t="n">
        <v>40693</v>
      </c>
      <c r="O273" s="204" t="n">
        <f aca="false">IF(K273&gt;0,O272+K273,O272)</f>
        <v>2915.3</v>
      </c>
      <c r="R273" s="204" t="n">
        <f aca="false">IF(K273&gt;0,R272+K273,R272)</f>
        <v>1141</v>
      </c>
      <c r="S273" s="204" t="n">
        <f aca="false">S272+I273</f>
        <v>298378</v>
      </c>
      <c r="V273" s="204" t="n">
        <f aca="false">V272+I273</f>
        <v>141062</v>
      </c>
      <c r="W273" s="204" t="n">
        <f aca="false">W272+J273</f>
        <v>350.7</v>
      </c>
      <c r="Z273" s="204" t="n">
        <f aca="false">Z272+J273</f>
        <v>71.8</v>
      </c>
      <c r="AA273" s="204" t="n">
        <f aca="false">AA272+J273</f>
        <v>89.2</v>
      </c>
      <c r="AB273" s="204" t="n">
        <f aca="false">IF(K273&lt;0,1,0)</f>
        <v>0</v>
      </c>
      <c r="AC273" s="204" t="n">
        <f aca="false">IF(K273&lt;4.5,1,0)</f>
        <v>0</v>
      </c>
      <c r="AD273" s="204" t="n">
        <f aca="false">AD272+D273</f>
        <v>563.9</v>
      </c>
      <c r="AE273" s="204" t="n">
        <f aca="false">I273/K273</f>
        <v>91.6915422885572</v>
      </c>
      <c r="AF273" s="204" t="n">
        <f aca="false">AF272+AE273</f>
        <v>24828.3057208669</v>
      </c>
    </row>
    <row r="274" customFormat="false" ht="12" hidden="false" customHeight="false" outlineLevel="0" collapsed="false">
      <c r="A274" s="204" t="n">
        <v>2011</v>
      </c>
      <c r="B274" s="204" t="n">
        <v>5</v>
      </c>
      <c r="C274" s="204" t="n">
        <v>31</v>
      </c>
      <c r="D274" s="204" t="n">
        <v>4.2</v>
      </c>
      <c r="H274" s="211" t="n">
        <f aca="false">H273+D274</f>
        <v>302.7</v>
      </c>
      <c r="I274" s="204" t="n">
        <v>1189</v>
      </c>
      <c r="J274" s="204" t="n">
        <v>2.4</v>
      </c>
      <c r="K274" s="204" t="n">
        <v>15.3</v>
      </c>
      <c r="L274" s="204" t="n">
        <v>13.5</v>
      </c>
      <c r="M274" s="204" t="n">
        <v>19.3</v>
      </c>
      <c r="N274" s="206" t="n">
        <v>40694</v>
      </c>
      <c r="O274" s="204" t="n">
        <f aca="false">IF(K274&gt;0,O273+K274,O273)</f>
        <v>2930.6</v>
      </c>
      <c r="R274" s="204" t="n">
        <f aca="false">IF(K274&gt;0,R273+K274,R273)</f>
        <v>1156.3</v>
      </c>
      <c r="S274" s="204" t="n">
        <f aca="false">S273+I274</f>
        <v>299567</v>
      </c>
      <c r="V274" s="204" t="n">
        <f aca="false">V273+I274</f>
        <v>142251</v>
      </c>
      <c r="W274" s="204" t="n">
        <f aca="false">W273+J274</f>
        <v>353.1</v>
      </c>
      <c r="Z274" s="204" t="n">
        <f aca="false">Z273+J274</f>
        <v>74.2</v>
      </c>
      <c r="AA274" s="204" t="n">
        <f aca="false">AA273+J274</f>
        <v>91.6</v>
      </c>
      <c r="AB274" s="204" t="n">
        <f aca="false">IF(K274&lt;0,1,0)</f>
        <v>0</v>
      </c>
      <c r="AC274" s="204" t="n">
        <f aca="false">IF(K274&lt;4.5,1,0)</f>
        <v>0</v>
      </c>
      <c r="AD274" s="204" t="n">
        <f aca="false">AD273+D274</f>
        <v>568.1</v>
      </c>
      <c r="AE274" s="204" t="n">
        <f aca="false">I274/K274</f>
        <v>77.7124183006536</v>
      </c>
      <c r="AF274" s="204" t="n">
        <f aca="false">AF273+AE274</f>
        <v>24906.0181391675</v>
      </c>
    </row>
    <row r="275" customFormat="false" ht="12" hidden="false" customHeight="false" outlineLevel="0" collapsed="false">
      <c r="A275" s="204" t="n">
        <v>2011</v>
      </c>
      <c r="B275" s="204" t="n">
        <v>6</v>
      </c>
      <c r="C275" s="204" t="n">
        <v>1</v>
      </c>
      <c r="D275" s="204" t="n">
        <v>4.4</v>
      </c>
      <c r="H275" s="211" t="n">
        <f aca="false">H274+D275</f>
        <v>307.1</v>
      </c>
      <c r="I275" s="204" t="n">
        <v>1614</v>
      </c>
      <c r="J275" s="204" t="n">
        <v>5</v>
      </c>
      <c r="K275" s="204" t="n">
        <v>12.9</v>
      </c>
      <c r="L275" s="204" t="n">
        <v>9.3</v>
      </c>
      <c r="M275" s="204" t="n">
        <v>17.5</v>
      </c>
      <c r="N275" s="206" t="n">
        <v>40695</v>
      </c>
      <c r="O275" s="204" t="n">
        <f aca="false">IF(K275&gt;0,O274+K275,O274)</f>
        <v>2943.5</v>
      </c>
      <c r="R275" s="204" t="n">
        <f aca="false">IF(K275&gt;0,R274+K275,R274)</f>
        <v>1169.2</v>
      </c>
      <c r="S275" s="204" t="n">
        <f aca="false">S274+I275</f>
        <v>301181</v>
      </c>
      <c r="V275" s="204" t="n">
        <f aca="false">V274+I275</f>
        <v>143865</v>
      </c>
      <c r="W275" s="204" t="n">
        <f aca="false">W274+J275</f>
        <v>358.1</v>
      </c>
      <c r="Z275" s="204" t="n">
        <f aca="false">Z274+J275</f>
        <v>79.2</v>
      </c>
      <c r="AA275" s="204" t="n">
        <f aca="false">AA274+J275</f>
        <v>96.6</v>
      </c>
      <c r="AB275" s="204" t="n">
        <f aca="false">IF(K275&lt;0,1,0)</f>
        <v>0</v>
      </c>
      <c r="AC275" s="204" t="n">
        <f aca="false">IF(K275&lt;4.5,1,0)</f>
        <v>0</v>
      </c>
      <c r="AD275" s="204" t="n">
        <f aca="false">AD274+D275</f>
        <v>572.5</v>
      </c>
      <c r="AE275" s="204" t="n">
        <f aca="false">I275/K275</f>
        <v>125.116279069767</v>
      </c>
      <c r="AF275" s="204" t="n">
        <f aca="false">AF274+AE275</f>
        <v>25031.1344182373</v>
      </c>
    </row>
    <row r="276" customFormat="false" ht="12" hidden="false" customHeight="false" outlineLevel="0" collapsed="false">
      <c r="A276" s="204" t="n">
        <v>2011</v>
      </c>
      <c r="B276" s="204" t="n">
        <v>6</v>
      </c>
      <c r="C276" s="204" t="n">
        <v>2</v>
      </c>
      <c r="D276" s="204" t="n">
        <v>2.4</v>
      </c>
      <c r="H276" s="211" t="n">
        <f aca="false">H275+D276</f>
        <v>309.5</v>
      </c>
      <c r="I276" s="204" t="n">
        <v>978</v>
      </c>
      <c r="J276" s="204" t="n">
        <v>1.8</v>
      </c>
      <c r="K276" s="204" t="n">
        <v>13.3</v>
      </c>
      <c r="L276" s="204" t="n">
        <v>10.7</v>
      </c>
      <c r="M276" s="204" t="n">
        <v>16.9</v>
      </c>
      <c r="N276" s="206" t="n">
        <v>40696</v>
      </c>
      <c r="O276" s="204" t="n">
        <f aca="false">IF(K276&gt;0,O275+K276,O275)</f>
        <v>2956.8</v>
      </c>
      <c r="R276" s="204" t="n">
        <f aca="false">IF(K276&gt;0,R275+K276,R275)</f>
        <v>1182.5</v>
      </c>
      <c r="S276" s="204" t="n">
        <f aca="false">S275+I276</f>
        <v>302159</v>
      </c>
      <c r="V276" s="204" t="n">
        <f aca="false">V275+I276</f>
        <v>144843</v>
      </c>
      <c r="W276" s="204" t="n">
        <f aca="false">W275+J276</f>
        <v>359.9</v>
      </c>
      <c r="Z276" s="204" t="n">
        <f aca="false">Z275+J276</f>
        <v>81</v>
      </c>
      <c r="AA276" s="204" t="n">
        <f aca="false">AA275+J276</f>
        <v>98.4</v>
      </c>
      <c r="AB276" s="204" t="n">
        <f aca="false">IF(K276&lt;0,1,0)</f>
        <v>0</v>
      </c>
      <c r="AC276" s="204" t="n">
        <f aca="false">IF(K276&lt;4.5,1,0)</f>
        <v>0</v>
      </c>
      <c r="AD276" s="204" t="n">
        <f aca="false">AD275+D276</f>
        <v>574.9</v>
      </c>
      <c r="AE276" s="204" t="n">
        <f aca="false">I276/K276</f>
        <v>73.5338345864662</v>
      </c>
      <c r="AF276" s="204" t="n">
        <f aca="false">AF275+AE276</f>
        <v>25104.6682528237</v>
      </c>
    </row>
    <row r="277" customFormat="false" ht="12" hidden="false" customHeight="false" outlineLevel="0" collapsed="false">
      <c r="A277" s="204" t="n">
        <v>2011</v>
      </c>
      <c r="B277" s="204" t="n">
        <v>6</v>
      </c>
      <c r="C277" s="204" t="n">
        <v>3</v>
      </c>
      <c r="D277" s="204" t="n">
        <v>4.1</v>
      </c>
      <c r="H277" s="211" t="n">
        <f aca="false">H276+D277</f>
        <v>313.6</v>
      </c>
      <c r="I277" s="204" t="n">
        <v>2241</v>
      </c>
      <c r="J277" s="204" t="n">
        <v>0</v>
      </c>
      <c r="K277" s="204" t="n">
        <v>17.2</v>
      </c>
      <c r="L277" s="204" t="n">
        <v>10.1</v>
      </c>
      <c r="M277" s="204" t="n">
        <v>24.2</v>
      </c>
      <c r="N277" s="206" t="n">
        <v>40697</v>
      </c>
      <c r="O277" s="204" t="n">
        <f aca="false">IF(K277&gt;0,O276+K277,O276)</f>
        <v>2974</v>
      </c>
      <c r="R277" s="204" t="n">
        <f aca="false">IF(K277&gt;0,R276+K277,R276)</f>
        <v>1199.7</v>
      </c>
      <c r="S277" s="204" t="n">
        <f aca="false">S276+I277</f>
        <v>304400</v>
      </c>
      <c r="V277" s="204" t="n">
        <f aca="false">V276+I277</f>
        <v>147084</v>
      </c>
      <c r="W277" s="204" t="n">
        <f aca="false">W276+J277</f>
        <v>359.9</v>
      </c>
      <c r="Z277" s="204" t="n">
        <f aca="false">Z276+J277</f>
        <v>81</v>
      </c>
      <c r="AA277" s="204" t="n">
        <f aca="false">AA276+J277</f>
        <v>98.4</v>
      </c>
      <c r="AB277" s="204" t="n">
        <f aca="false">IF(K277&lt;0,1,0)</f>
        <v>0</v>
      </c>
      <c r="AC277" s="204" t="n">
        <f aca="false">IF(K277&lt;4.5,1,0)</f>
        <v>0</v>
      </c>
      <c r="AD277" s="204" t="n">
        <f aca="false">AD276+D277</f>
        <v>579</v>
      </c>
      <c r="AE277" s="204" t="n">
        <f aca="false">I277/K277</f>
        <v>130.290697674419</v>
      </c>
      <c r="AF277" s="204" t="n">
        <f aca="false">AF276+AE277</f>
        <v>25234.9589504982</v>
      </c>
    </row>
    <row r="278" customFormat="false" ht="12" hidden="false" customHeight="false" outlineLevel="0" collapsed="false">
      <c r="A278" s="204" t="n">
        <v>2011</v>
      </c>
      <c r="B278" s="204" t="n">
        <v>6</v>
      </c>
      <c r="C278" s="204" t="n">
        <v>4</v>
      </c>
      <c r="D278" s="204" t="n">
        <v>2.8</v>
      </c>
      <c r="H278" s="211" t="n">
        <f aca="false">H277+D278</f>
        <v>316.4</v>
      </c>
      <c r="I278" s="204" t="n">
        <v>1212</v>
      </c>
      <c r="J278" s="204" t="n">
        <v>2.2</v>
      </c>
      <c r="K278" s="204" t="n">
        <v>17.6</v>
      </c>
      <c r="L278" s="204" t="n">
        <v>13.3</v>
      </c>
      <c r="M278" s="204" t="n">
        <v>22.2</v>
      </c>
      <c r="N278" s="206" t="n">
        <v>40698</v>
      </c>
      <c r="O278" s="204" t="n">
        <f aca="false">IF(K278&gt;0,O277+K278,O277)</f>
        <v>2991.6</v>
      </c>
      <c r="R278" s="204" t="n">
        <f aca="false">IF(K278&gt;0,R277+K278,R277)</f>
        <v>1217.3</v>
      </c>
      <c r="S278" s="204" t="n">
        <f aca="false">S277+I278</f>
        <v>305612</v>
      </c>
      <c r="V278" s="204" t="n">
        <f aca="false">V277+I278</f>
        <v>148296</v>
      </c>
      <c r="W278" s="204" t="n">
        <f aca="false">W277+J278</f>
        <v>362.1</v>
      </c>
      <c r="Z278" s="204" t="n">
        <f aca="false">Z277+J278</f>
        <v>83.2</v>
      </c>
      <c r="AA278" s="204" t="n">
        <f aca="false">AA277+J278</f>
        <v>100.6</v>
      </c>
      <c r="AB278" s="204" t="n">
        <f aca="false">IF(K278&lt;0,1,0)</f>
        <v>0</v>
      </c>
      <c r="AC278" s="204" t="n">
        <f aca="false">IF(K278&lt;4.5,1,0)</f>
        <v>0</v>
      </c>
      <c r="AD278" s="204" t="n">
        <f aca="false">AD277+D278</f>
        <v>581.8</v>
      </c>
      <c r="AE278" s="204" t="n">
        <f aca="false">I278/K278</f>
        <v>68.8636363636364</v>
      </c>
      <c r="AF278" s="204" t="n">
        <f aca="false">AF277+AE278</f>
        <v>25303.8225868618</v>
      </c>
    </row>
    <row r="279" customFormat="false" ht="12" hidden="false" customHeight="false" outlineLevel="0" collapsed="false">
      <c r="A279" s="204" t="n">
        <v>2011</v>
      </c>
      <c r="B279" s="204" t="n">
        <v>6</v>
      </c>
      <c r="C279" s="204" t="n">
        <v>5</v>
      </c>
      <c r="D279" s="204" t="n">
        <v>5.1</v>
      </c>
      <c r="H279" s="211" t="n">
        <f aca="false">H278+D279</f>
        <v>321.5</v>
      </c>
      <c r="I279" s="204" t="n">
        <v>2251</v>
      </c>
      <c r="J279" s="204" t="n">
        <v>0</v>
      </c>
      <c r="K279" s="204" t="n">
        <v>19</v>
      </c>
      <c r="L279" s="204" t="n">
        <v>13.7</v>
      </c>
      <c r="M279" s="204" t="n">
        <v>25.2</v>
      </c>
      <c r="N279" s="206" t="n">
        <v>40699</v>
      </c>
      <c r="O279" s="204" t="n">
        <f aca="false">IF(K279&gt;0,O278+K279,O278)</f>
        <v>3010.6</v>
      </c>
      <c r="R279" s="204" t="n">
        <f aca="false">IF(K279&gt;0,R278+K279,R278)</f>
        <v>1236.3</v>
      </c>
      <c r="S279" s="204" t="n">
        <f aca="false">S278+I279</f>
        <v>307863</v>
      </c>
      <c r="V279" s="204" t="n">
        <f aca="false">V278+I279</f>
        <v>150547</v>
      </c>
      <c r="W279" s="204" t="n">
        <f aca="false">W278+J279</f>
        <v>362.1</v>
      </c>
      <c r="Z279" s="204" t="n">
        <f aca="false">Z278+J279</f>
        <v>83.2</v>
      </c>
      <c r="AA279" s="204" t="n">
        <f aca="false">AA278+J279</f>
        <v>100.6</v>
      </c>
      <c r="AB279" s="204" t="n">
        <f aca="false">IF(K279&lt;0,1,0)</f>
        <v>0</v>
      </c>
      <c r="AC279" s="204" t="n">
        <f aca="false">IF(K279&lt;4.5,1,0)</f>
        <v>0</v>
      </c>
      <c r="AD279" s="204" t="n">
        <f aca="false">AD278+D279</f>
        <v>586.9</v>
      </c>
      <c r="AE279" s="204" t="n">
        <f aca="false">I279/K279</f>
        <v>118.473684210526</v>
      </c>
      <c r="AF279" s="204" t="n">
        <f aca="false">AF278+AE279</f>
        <v>25422.2962710723</v>
      </c>
    </row>
    <row r="280" customFormat="false" ht="12" hidden="false" customHeight="false" outlineLevel="0" collapsed="false">
      <c r="A280" s="204" t="n">
        <v>2011</v>
      </c>
      <c r="B280" s="204" t="n">
        <v>6</v>
      </c>
      <c r="C280" s="204" t="n">
        <v>6</v>
      </c>
      <c r="D280" s="204" t="n">
        <v>5.5</v>
      </c>
      <c r="H280" s="211" t="n">
        <f aca="false">H279+D280</f>
        <v>327</v>
      </c>
      <c r="I280" s="204" t="n">
        <v>2054</v>
      </c>
      <c r="J280" s="204" t="n">
        <v>0</v>
      </c>
      <c r="K280" s="204" t="n">
        <v>19.6</v>
      </c>
      <c r="L280" s="204" t="n">
        <v>15.4</v>
      </c>
      <c r="M280" s="204" t="n">
        <v>25.8</v>
      </c>
      <c r="N280" s="206" t="n">
        <v>40700</v>
      </c>
      <c r="O280" s="204" t="n">
        <f aca="false">IF(K280&gt;0,O279+K280,O279)</f>
        <v>3030.2</v>
      </c>
      <c r="R280" s="204" t="n">
        <f aca="false">IF(K280&gt;0,R279+K280,R279)</f>
        <v>1255.9</v>
      </c>
      <c r="S280" s="204" t="n">
        <f aca="false">S279+I280</f>
        <v>309917</v>
      </c>
      <c r="V280" s="204" t="n">
        <f aca="false">V279+I280</f>
        <v>152601</v>
      </c>
      <c r="W280" s="204" t="n">
        <f aca="false">W279+J280</f>
        <v>362.1</v>
      </c>
      <c r="Z280" s="204" t="n">
        <f aca="false">Z279+J280</f>
        <v>83.2</v>
      </c>
      <c r="AA280" s="204" t="n">
        <f aca="false">AA279+J280</f>
        <v>100.6</v>
      </c>
      <c r="AB280" s="204" t="n">
        <f aca="false">IF(K280&lt;0,1,0)</f>
        <v>0</v>
      </c>
      <c r="AC280" s="204" t="n">
        <f aca="false">IF(K280&lt;4.5,1,0)</f>
        <v>0</v>
      </c>
      <c r="AD280" s="204" t="n">
        <f aca="false">AD279+D280</f>
        <v>592.4</v>
      </c>
      <c r="AE280" s="204" t="n">
        <f aca="false">I280/K280</f>
        <v>104.795918367347</v>
      </c>
      <c r="AF280" s="204" t="n">
        <f aca="false">AF279+AE280</f>
        <v>25527.0921894397</v>
      </c>
    </row>
    <row r="281" customFormat="false" ht="12" hidden="false" customHeight="false" outlineLevel="0" collapsed="false">
      <c r="A281" s="204" t="n">
        <v>2011</v>
      </c>
      <c r="B281" s="204" t="n">
        <v>6</v>
      </c>
      <c r="C281" s="204" t="n">
        <v>7</v>
      </c>
      <c r="D281" s="204" t="n">
        <v>1.7</v>
      </c>
      <c r="H281" s="211" t="n">
        <f aca="false">H280+D281</f>
        <v>328.7</v>
      </c>
      <c r="I281" s="204" t="n">
        <v>476</v>
      </c>
      <c r="J281" s="204" t="n">
        <v>18</v>
      </c>
      <c r="K281" s="204" t="n">
        <v>15.4</v>
      </c>
      <c r="L281" s="204" t="n">
        <v>13.6</v>
      </c>
      <c r="M281" s="204" t="n">
        <v>18.8</v>
      </c>
      <c r="N281" s="206" t="n">
        <v>40701</v>
      </c>
      <c r="O281" s="204" t="n">
        <f aca="false">IF(K281&gt;0,O280+K281,O280)</f>
        <v>3045.6</v>
      </c>
      <c r="R281" s="204" t="n">
        <f aca="false">IF(K281&gt;0,R280+K281,R280)</f>
        <v>1271.3</v>
      </c>
      <c r="S281" s="204" t="n">
        <f aca="false">S280+I281</f>
        <v>310393</v>
      </c>
      <c r="V281" s="204" t="n">
        <f aca="false">V280+I281</f>
        <v>153077</v>
      </c>
      <c r="W281" s="204" t="n">
        <f aca="false">W280+J281</f>
        <v>380.1</v>
      </c>
      <c r="Z281" s="204" t="n">
        <f aca="false">Z280+J281</f>
        <v>101.2</v>
      </c>
      <c r="AA281" s="204" t="n">
        <f aca="false">AA280+J281</f>
        <v>118.6</v>
      </c>
      <c r="AB281" s="204" t="n">
        <f aca="false">IF(K281&lt;0,1,0)</f>
        <v>0</v>
      </c>
      <c r="AC281" s="204" t="n">
        <f aca="false">IF(K281&lt;4.5,1,0)</f>
        <v>0</v>
      </c>
      <c r="AD281" s="204" t="n">
        <f aca="false">AD280+D281</f>
        <v>594.1</v>
      </c>
      <c r="AE281" s="204" t="n">
        <f aca="false">I281/K281</f>
        <v>30.9090909090909</v>
      </c>
      <c r="AF281" s="204" t="n">
        <f aca="false">AF280+AE281</f>
        <v>25558.0012803488</v>
      </c>
    </row>
    <row r="282" customFormat="false" ht="12" hidden="false" customHeight="false" outlineLevel="0" collapsed="false">
      <c r="A282" s="204" t="n">
        <v>2011</v>
      </c>
      <c r="B282" s="204" t="n">
        <v>6</v>
      </c>
      <c r="C282" s="204" t="n">
        <v>8</v>
      </c>
      <c r="D282" s="204" t="n">
        <v>3.5</v>
      </c>
      <c r="H282" s="211" t="n">
        <f aca="false">H281+D282</f>
        <v>332.2</v>
      </c>
      <c r="I282" s="204" t="n">
        <v>1313</v>
      </c>
      <c r="J282" s="204" t="n">
        <v>3.2</v>
      </c>
      <c r="K282" s="204" t="n">
        <v>15.1</v>
      </c>
      <c r="L282" s="204" t="n">
        <v>12.7</v>
      </c>
      <c r="M282" s="204" t="n">
        <v>19.1</v>
      </c>
      <c r="N282" s="206" t="n">
        <v>40702</v>
      </c>
      <c r="O282" s="204" t="n">
        <f aca="false">IF(K282&gt;0,O281+K282,O281)</f>
        <v>3060.7</v>
      </c>
      <c r="R282" s="204" t="n">
        <f aca="false">IF(K282&gt;0,R281+K282,R281)</f>
        <v>1286.4</v>
      </c>
      <c r="S282" s="204" t="n">
        <f aca="false">S281+I282</f>
        <v>311706</v>
      </c>
      <c r="V282" s="204" t="n">
        <f aca="false">V281+I282</f>
        <v>154390</v>
      </c>
      <c r="W282" s="204" t="n">
        <f aca="false">W281+J282</f>
        <v>383.3</v>
      </c>
      <c r="Z282" s="204" t="n">
        <f aca="false">Z281+J282</f>
        <v>104.4</v>
      </c>
      <c r="AA282" s="204" t="n">
        <f aca="false">AA281+J282</f>
        <v>121.8</v>
      </c>
      <c r="AB282" s="204" t="n">
        <f aca="false">IF(K282&lt;0,1,0)</f>
        <v>0</v>
      </c>
      <c r="AC282" s="204" t="n">
        <f aca="false">IF(K282&lt;4.5,1,0)</f>
        <v>0</v>
      </c>
      <c r="AD282" s="204" t="n">
        <f aca="false">AD281+D282</f>
        <v>597.6</v>
      </c>
      <c r="AE282" s="204" t="n">
        <f aca="false">I282/K282</f>
        <v>86.953642384106</v>
      </c>
      <c r="AF282" s="204" t="n">
        <f aca="false">AF281+AE282</f>
        <v>25644.9549227329</v>
      </c>
    </row>
    <row r="283" s="207" customFormat="true" ht="12" hidden="false" customHeight="false" outlineLevel="0" collapsed="false">
      <c r="A283" s="207" t="n">
        <v>2011</v>
      </c>
      <c r="B283" s="207" t="n">
        <v>6</v>
      </c>
      <c r="C283" s="207" t="n">
        <v>9</v>
      </c>
      <c r="D283" s="207" t="n">
        <v>4.4</v>
      </c>
      <c r="H283" s="211" t="n">
        <f aca="false">H282+D283</f>
        <v>336.6</v>
      </c>
      <c r="I283" s="207" t="n">
        <v>1944</v>
      </c>
      <c r="J283" s="207" t="n">
        <v>0.4</v>
      </c>
      <c r="K283" s="207" t="n">
        <v>17</v>
      </c>
      <c r="L283" s="207" t="n">
        <v>12</v>
      </c>
      <c r="M283" s="207" t="n">
        <v>21.4</v>
      </c>
      <c r="N283" s="208" t="n">
        <v>40703</v>
      </c>
      <c r="O283" s="207" t="n">
        <f aca="false">IF(K283&gt;0,O282+K283,O282)</f>
        <v>3077.7</v>
      </c>
      <c r="R283" s="207" t="n">
        <f aca="false">IF(K283&gt;0,R282+K283,R282)</f>
        <v>1303.4</v>
      </c>
      <c r="S283" s="207" t="n">
        <f aca="false">S282+I283</f>
        <v>313650</v>
      </c>
      <c r="V283" s="207" t="n">
        <f aca="false">V282+I283</f>
        <v>156334</v>
      </c>
      <c r="W283" s="207" t="n">
        <f aca="false">W282+J283</f>
        <v>383.7</v>
      </c>
      <c r="Z283" s="207" t="n">
        <f aca="false">Z282+J283</f>
        <v>104.8</v>
      </c>
      <c r="AA283" s="207" t="n">
        <f aca="false">AA282+J283</f>
        <v>122.2</v>
      </c>
      <c r="AB283" s="207" t="n">
        <f aca="false">IF(K283&lt;0,1,0)</f>
        <v>0</v>
      </c>
      <c r="AC283" s="207" t="n">
        <f aca="false">IF(K283&lt;4.5,1,0)</f>
        <v>0</v>
      </c>
      <c r="AD283" s="207" t="n">
        <f aca="false">AD282+D283</f>
        <v>602</v>
      </c>
      <c r="AE283" s="204" t="n">
        <f aca="false">I283/K283</f>
        <v>114.352941176471</v>
      </c>
      <c r="AF283" s="204" t="n">
        <f aca="false">AF282+AE283</f>
        <v>25759.3078639093</v>
      </c>
    </row>
    <row r="284" customFormat="false" ht="12" hidden="false" customHeight="false" outlineLevel="0" collapsed="false">
      <c r="A284" s="204" t="n">
        <v>2011</v>
      </c>
      <c r="B284" s="204" t="n">
        <v>6</v>
      </c>
      <c r="C284" s="204" t="n">
        <v>10</v>
      </c>
      <c r="D284" s="204" t="n">
        <v>2.9</v>
      </c>
      <c r="I284" s="204" t="n">
        <v>1023</v>
      </c>
      <c r="J284" s="204" t="n">
        <v>0.6</v>
      </c>
      <c r="K284" s="204" t="n">
        <v>15.7</v>
      </c>
      <c r="L284" s="204" t="n">
        <v>13.1</v>
      </c>
      <c r="M284" s="204" t="n">
        <v>19.1</v>
      </c>
      <c r="N284" s="206" t="n">
        <v>40704</v>
      </c>
      <c r="O284" s="204" t="n">
        <f aca="false">IF(K284&gt;0,O283+K284,O283)</f>
        <v>3093.4</v>
      </c>
      <c r="S284" s="204" t="n">
        <f aca="false">S283+I284</f>
        <v>314673</v>
      </c>
      <c r="W284" s="204" t="n">
        <f aca="false">W283+J284</f>
        <v>384.3</v>
      </c>
      <c r="AA284" s="204" t="n">
        <f aca="false">AA283+J284</f>
        <v>122.8</v>
      </c>
      <c r="AB284" s="204" t="n">
        <f aca="false">IF(K284&lt;0,1,0)</f>
        <v>0</v>
      </c>
      <c r="AC284" s="204" t="n">
        <f aca="false">IF(K284&lt;4.5,1,0)</f>
        <v>0</v>
      </c>
      <c r="AD284" s="204" t="n">
        <f aca="false">AD283+D284</f>
        <v>604.9</v>
      </c>
      <c r="AE284" s="204" t="n">
        <f aca="false">I284/K284</f>
        <v>65.1592356687898</v>
      </c>
      <c r="AF284" s="204" t="n">
        <f aca="false">AF283+AE284</f>
        <v>25824.4670995781</v>
      </c>
    </row>
    <row r="286" customFormat="false" ht="12" hidden="false" customHeight="false" outlineLevel="0" collapsed="false">
      <c r="I286" s="204" t="n">
        <f aca="false">AVERAGE(I9:I106)</f>
        <v>912.459183673469</v>
      </c>
      <c r="J286" s="204" t="n">
        <f aca="false">AVERAGE(J9:J106)</f>
        <v>1.77040816326531</v>
      </c>
      <c r="K286" s="204" t="n">
        <f aca="false">AVERAGE(K9:K106)</f>
        <v>11.6622448979592</v>
      </c>
      <c r="L286" s="204" t="n">
        <f aca="false">AVERAGE(L9:L106)</f>
        <v>7.86734693877551</v>
      </c>
      <c r="M286" s="204" t="n">
        <f aca="false">AVERAGE(M9:M106)</f>
        <v>16.3489795918367</v>
      </c>
      <c r="N286" s="206" t="n">
        <f aca="false">AVERAGE(N9:N106)</f>
        <v>40477.5</v>
      </c>
      <c r="O286" s="204" t="n">
        <f aca="false">AVERAGE(O9:O106)</f>
        <v>715.44693877551</v>
      </c>
      <c r="P286" s="204" t="n">
        <f aca="false">AVERAGE(P9:P106)</f>
        <v>0</v>
      </c>
      <c r="Q286" s="204" t="e">
        <f aca="false">AVERAGE(Q9:Q106)</f>
        <v>#DIV/0!</v>
      </c>
      <c r="R286" s="204" t="e">
        <f aca="false">AVERAGE(R9:R106)</f>
        <v>#DIV/0!</v>
      </c>
      <c r="S286" s="204" t="n">
        <f aca="false">AVERAGE(S9:S106)</f>
        <v>56134.1836734694</v>
      </c>
      <c r="T286" s="204" t="e">
        <f aca="false">AVERAGE(T9:T106)</f>
        <v>#DIV/0!</v>
      </c>
      <c r="U286" s="204" t="e">
        <f aca="false">AVERAGE(U9:U106)</f>
        <v>#DIV/0!</v>
      </c>
      <c r="V286" s="204" t="e">
        <f aca="false">AVERAGE(V9:V106)</f>
        <v>#DIV/0!</v>
      </c>
      <c r="W286" s="204" t="n">
        <f aca="false">AVERAGE(W9:W106)</f>
        <v>97.3428571428571</v>
      </c>
      <c r="AA286" s="204" t="e">
        <f aca="false">AVERAGE(AA9:AA106)</f>
        <v>#DIV/0!</v>
      </c>
      <c r="AB286" s="204" t="n">
        <f aca="false">AVERAGE(AB9:AB106)</f>
        <v>0.0102040816326531</v>
      </c>
      <c r="AC286" s="204" t="n">
        <f aca="false">AVERAGE(AC9:AC106)</f>
        <v>0.142857142857143</v>
      </c>
      <c r="AD286" s="204" t="n">
        <f aca="false">AVERAGE(AD9:AD106)</f>
        <v>117.779591836735</v>
      </c>
      <c r="AE286" s="204" t="n">
        <f aca="false">AVERAGE(AE9:AE106)</f>
        <v>108.014798224317</v>
      </c>
      <c r="AF286" s="204" t="e">
        <f aca="false">AVERAGE(AF9:AF106)</f>
        <v>#DIV/0!</v>
      </c>
    </row>
    <row r="287" customFormat="false" ht="12" hidden="false" customHeight="false" outlineLevel="0" collapsed="false">
      <c r="I287" s="204" t="n">
        <f aca="false">AVERAGE(I106:I118)</f>
        <v>401.230769230769</v>
      </c>
      <c r="J287" s="204" t="n">
        <f aca="false">AVERAGE(J106:J118)</f>
        <v>1.76153846153846</v>
      </c>
      <c r="K287" s="204" t="n">
        <f aca="false">AVERAGE(K106:K118)</f>
        <v>2.69230769230769</v>
      </c>
      <c r="L287" s="204" t="n">
        <f aca="false">AVERAGE(L106:L118)</f>
        <v>-0.592307692307692</v>
      </c>
      <c r="M287" s="204" t="n">
        <f aca="false">AVERAGE(M106:M118)</f>
        <v>6.86923076923077</v>
      </c>
      <c r="N287" s="206" t="n">
        <f aca="false">AVERAGE(N106:N118)</f>
        <v>40532</v>
      </c>
      <c r="O287" s="204" t="n">
        <f aca="false">AVERAGE(O106:O118)</f>
        <v>1162.3</v>
      </c>
      <c r="P287" s="204" t="n">
        <f aca="false">AVERAGE(P106:P118)</f>
        <v>19</v>
      </c>
      <c r="Q287" s="204" t="e">
        <f aca="false">AVERAGE(Q106:Q118)</f>
        <v>#DIV/0!</v>
      </c>
      <c r="R287" s="204" t="e">
        <f aca="false">AVERAGE(R106:R118)</f>
        <v>#DIV/0!</v>
      </c>
      <c r="S287" s="204" t="n">
        <f aca="false">AVERAGE(S106:S118)</f>
        <v>91590.7692307692</v>
      </c>
      <c r="T287" s="204" t="n">
        <f aca="false">AVERAGE(T106:T118)</f>
        <v>2350.58333333333</v>
      </c>
      <c r="U287" s="204" t="e">
        <f aca="false">AVERAGE(U106:U118)</f>
        <v>#DIV/0!</v>
      </c>
      <c r="V287" s="204" t="e">
        <f aca="false">AVERAGE(V106:V118)</f>
        <v>#DIV/0!</v>
      </c>
      <c r="W287" s="204" t="n">
        <f aca="false">AVERAGE(W106:W118)</f>
        <v>182.992307692308</v>
      </c>
      <c r="AA287" s="204" t="e">
        <f aca="false">AVERAGE(AA106:AA118)</f>
        <v>#DIV/0!</v>
      </c>
      <c r="AB287" s="204" t="n">
        <f aca="false">AVERAGE(AB106:AB118)</f>
        <v>0.307692307692308</v>
      </c>
      <c r="AC287" s="204" t="n">
        <f aca="false">AVERAGE(AC106:AC118)</f>
        <v>0.692307692307692</v>
      </c>
      <c r="AD287" s="204" t="n">
        <f aca="false">AVERAGE(AD106:AD118)</f>
        <v>173.430769230769</v>
      </c>
      <c r="AE287" s="204" t="n">
        <f aca="false">AVERAGE(AE106:AE118)</f>
        <v>-56.3060448136872</v>
      </c>
      <c r="AF287" s="204" t="e">
        <f aca="false">AVERAGE(AF106:AF118)</f>
        <v>#DIV/0!</v>
      </c>
    </row>
    <row r="288" customFormat="false" ht="12" hidden="false" customHeight="false" outlineLevel="0" collapsed="false">
      <c r="I288" s="204" t="n">
        <f aca="false">AVERAGE(I119:I201)</f>
        <v>743.048192771084</v>
      </c>
      <c r="J288" s="204" t="n">
        <f aca="false">AVERAGE(J119:J201)</f>
        <v>0.993975903614458</v>
      </c>
      <c r="K288" s="204" t="n">
        <f aca="false">AVERAGE(K119:K201)</f>
        <v>6.92771084337349</v>
      </c>
      <c r="L288" s="204" t="n">
        <f aca="false">AVERAGE(L119:L201)</f>
        <v>3.31084337349398</v>
      </c>
      <c r="M288" s="204" t="n">
        <f aca="false">AVERAGE(M119:M201)</f>
        <v>11.1722891566265</v>
      </c>
      <c r="N288" s="206" t="n">
        <f aca="false">AVERAGE(N119:N201)</f>
        <v>40580</v>
      </c>
      <c r="O288" s="204" t="n">
        <f aca="false">AVERAGE(O119:O201)</f>
        <v>1443.75542168675</v>
      </c>
      <c r="P288" s="204" t="n">
        <f aca="false">AVERAGE(P119:P201)</f>
        <v>41.4</v>
      </c>
      <c r="Q288" s="204" t="n">
        <f aca="false">AVERAGE(Q119:Q201)</f>
        <v>262.214634146341</v>
      </c>
      <c r="R288" s="204" t="e">
        <f aca="false">AVERAGE(R119:R201)</f>
        <v>#DIV/0!</v>
      </c>
      <c r="S288" s="204" t="n">
        <f aca="false">AVERAGE(S119:S201)</f>
        <v>120069.313253012</v>
      </c>
      <c r="T288" s="204" t="n">
        <f aca="false">AVERAGE(T119:T201)</f>
        <v>5080</v>
      </c>
      <c r="U288" s="204" t="n">
        <f aca="false">AVERAGE(U119:U201)</f>
        <v>25880.1219512195</v>
      </c>
      <c r="V288" s="204" t="e">
        <f aca="false">AVERAGE(V119:V201)</f>
        <v>#DIV/0!</v>
      </c>
      <c r="W288" s="204" t="n">
        <f aca="false">AVERAGE(W119:W201)</f>
        <v>232.225301204819</v>
      </c>
      <c r="AA288" s="204" t="n">
        <f aca="false">AVERAGE(AA119:AA201)</f>
        <v>9.56363636363636</v>
      </c>
      <c r="AB288" s="204" t="n">
        <f aca="false">AVERAGE(AB119:AB201)</f>
        <v>0.0602409638554217</v>
      </c>
      <c r="AC288" s="204" t="n">
        <f aca="false">AVERAGE(AC119:AC201)</f>
        <v>0.228915662650602</v>
      </c>
      <c r="AD288" s="204" t="n">
        <f aca="false">AVERAGE(AD119:AD201)</f>
        <v>207.019277108434</v>
      </c>
      <c r="AE288" s="204" t="n">
        <f aca="false">AVERAGE(AE119:AE201)</f>
        <v>49.9600818846464</v>
      </c>
      <c r="AF288" s="204" t="e">
        <f aca="false">AVERAGE(AF119:AF201)</f>
        <v>#DIV/0!</v>
      </c>
    </row>
    <row r="289" customFormat="false" ht="12" hidden="false" customHeight="false" outlineLevel="0" collapsed="false">
      <c r="I289" s="204" t="n">
        <f aca="false">AVERAGE(I202:I283)</f>
        <v>1952.13580246914</v>
      </c>
      <c r="J289" s="204" t="n">
        <f aca="false">AVERAGE(J202:J283)</f>
        <v>1.27804878048781</v>
      </c>
      <c r="K289" s="204" t="n">
        <f aca="false">AVERAGE(K202:K283)</f>
        <v>16.0182926829268</v>
      </c>
      <c r="L289" s="204" t="n">
        <f aca="false">AVERAGE(L202:L283)</f>
        <v>10.9691358024691</v>
      </c>
      <c r="M289" s="204" t="n">
        <f aca="false">AVERAGE(M202:M283)</f>
        <v>21.9358024691358</v>
      </c>
      <c r="N289" s="206" t="n">
        <f aca="false">AVERAGE(N202:N283)</f>
        <v>40662.5</v>
      </c>
      <c r="O289" s="204" t="n">
        <f aca="false">AVERAGE(O202:O283)</f>
        <v>2385.67926829268</v>
      </c>
      <c r="P289" s="204" t="e">
        <f aca="false">AVERAGE(P202:P283)</f>
        <v>#DIV/0!</v>
      </c>
      <c r="Q289" s="204" t="n">
        <f aca="false">AVERAGE(Q202:Q283)</f>
        <v>589.6</v>
      </c>
      <c r="R289" s="204" t="n">
        <f aca="false">AVERAGE(R202:R283)</f>
        <v>618.927160493827</v>
      </c>
      <c r="S289" s="204" t="n">
        <f aca="false">AVERAGE(S202:S283)</f>
        <v>233793.048780488</v>
      </c>
      <c r="T289" s="204" t="e">
        <f aca="false">AVERAGE(T202:T283)</f>
        <v>#DIV/0!</v>
      </c>
      <c r="U289" s="204" t="n">
        <f aca="false">AVERAGE(U202:U283)</f>
        <v>62815</v>
      </c>
      <c r="V289" s="204" t="n">
        <f aca="false">AVERAGE(V202:V283)</f>
        <v>77421.2098765432</v>
      </c>
      <c r="W289" s="204" t="n">
        <f aca="false">AVERAGE(W202:W283)</f>
        <v>321.367073170732</v>
      </c>
      <c r="AA289" s="204" t="n">
        <f aca="false">AVERAGE(AA202:AA283)</f>
        <v>59.8670731707317</v>
      </c>
      <c r="AB289" s="204" t="n">
        <f aca="false">AVERAGE(AB202:AB283)</f>
        <v>0</v>
      </c>
      <c r="AC289" s="204" t="n">
        <f aca="false">AVERAGE(AC202:AC283)</f>
        <v>0.0121951219512195</v>
      </c>
      <c r="AD289" s="204" t="n">
        <f aca="false">AVERAGE(AD202:AD283)</f>
        <v>422.225609756098</v>
      </c>
      <c r="AE289" s="204" t="n">
        <f aca="false">AVERAGE(AE202:AE283)</f>
        <v>121.008017581216</v>
      </c>
      <c r="AF289" s="204" t="n">
        <f aca="false">AVERAGE(AF202:AF283)</f>
        <v>10175.4878302151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4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N1" activeCellId="0" sqref="N1"/>
    </sheetView>
  </sheetViews>
  <sheetFormatPr defaultColWidth="11.43359375" defaultRowHeight="12.75" customHeight="true" zeroHeight="false" outlineLevelRow="0" outlineLevelCol="0"/>
  <cols>
    <col collapsed="false" customWidth="false" hidden="false" outlineLevel="0" max="3" min="1" style="213" width="11.43"/>
    <col collapsed="false" customWidth="true" hidden="false" outlineLevel="0" max="4" min="4" style="213" width="12.29"/>
    <col collapsed="false" customWidth="false" hidden="false" outlineLevel="0" max="12" min="5" style="213" width="11.43"/>
    <col collapsed="false" customWidth="true" hidden="false" outlineLevel="0" max="13" min="13" style="213" width="16.86"/>
    <col collapsed="false" customWidth="false" hidden="false" outlineLevel="0" max="22" min="14" style="213" width="11.43"/>
    <col collapsed="false" customWidth="true" hidden="false" outlineLevel="0" max="23" min="23" style="213" width="17.43"/>
    <col collapsed="false" customWidth="true" hidden="false" outlineLevel="0" max="24" min="24" style="213" width="6.14"/>
    <col collapsed="false" customWidth="true" hidden="false" outlineLevel="0" max="25" min="25" style="213" width="6.57"/>
    <col collapsed="false" customWidth="false" hidden="false" outlineLevel="0" max="16384" min="26" style="213" width="11.43"/>
  </cols>
  <sheetData>
    <row r="1" customFormat="false" ht="13.8" hidden="false" customHeight="false" outlineLevel="0" collapsed="false">
      <c r="A1" s="213" t="s">
        <v>213</v>
      </c>
      <c r="B1" s="213" t="s">
        <v>7978</v>
      </c>
      <c r="D1" s="213" t="s">
        <v>7979</v>
      </c>
      <c r="F1" s="213" t="s">
        <v>7980</v>
      </c>
      <c r="H1" s="213" t="s">
        <v>7981</v>
      </c>
      <c r="L1" s="213" t="s">
        <v>213</v>
      </c>
      <c r="M1" s="214" t="s">
        <v>7982</v>
      </c>
      <c r="N1" s="214" t="s">
        <v>7983</v>
      </c>
      <c r="O1" s="214" t="s">
        <v>7984</v>
      </c>
      <c r="P1" s="214" t="s">
        <v>7985</v>
      </c>
      <c r="S1" s="213" t="s">
        <v>213</v>
      </c>
      <c r="T1" s="214" t="s">
        <v>7986</v>
      </c>
      <c r="U1" s="214" t="s">
        <v>7987</v>
      </c>
      <c r="V1" s="214" t="s">
        <v>7984</v>
      </c>
      <c r="W1" s="214" t="s">
        <v>7985</v>
      </c>
      <c r="X1" s="214" t="s">
        <v>7955</v>
      </c>
      <c r="Y1" s="214" t="s">
        <v>7956</v>
      </c>
    </row>
    <row r="2" customFormat="false" ht="13.8" hidden="false" customHeight="false" outlineLevel="0" collapsed="false">
      <c r="A2" s="215" t="n">
        <v>40429</v>
      </c>
      <c r="B2" s="214" t="s">
        <v>768</v>
      </c>
      <c r="C2" s="214" t="s">
        <v>768</v>
      </c>
      <c r="D2" s="214" t="s">
        <v>768</v>
      </c>
      <c r="E2" s="214" t="s">
        <v>768</v>
      </c>
      <c r="F2" s="214" t="s">
        <v>768</v>
      </c>
      <c r="G2" s="214" t="s">
        <v>768</v>
      </c>
      <c r="H2" s="214" t="s">
        <v>768</v>
      </c>
      <c r="I2" s="214" t="s">
        <v>768</v>
      </c>
      <c r="L2" s="215" t="n">
        <v>40429</v>
      </c>
      <c r="M2" s="214" t="s">
        <v>768</v>
      </c>
      <c r="N2" s="214" t="s">
        <v>768</v>
      </c>
      <c r="O2" s="214" t="s">
        <v>768</v>
      </c>
      <c r="P2" s="214" t="s">
        <v>768</v>
      </c>
      <c r="S2" s="215" t="n">
        <v>40429</v>
      </c>
      <c r="T2" s="214" t="s">
        <v>768</v>
      </c>
      <c r="U2" s="214" t="s">
        <v>768</v>
      </c>
      <c r="V2" s="214" t="s">
        <v>768</v>
      </c>
      <c r="W2" s="214" t="s">
        <v>768</v>
      </c>
      <c r="X2" s="204" t="n">
        <v>1.8</v>
      </c>
      <c r="Y2" s="204" t="n">
        <v>18.2</v>
      </c>
    </row>
    <row r="3" customFormat="false" ht="13.8" hidden="false" customHeight="false" outlineLevel="0" collapsed="false">
      <c r="A3" s="215" t="n">
        <v>40430</v>
      </c>
      <c r="B3" s="214" t="s">
        <v>768</v>
      </c>
      <c r="C3" s="214" t="s">
        <v>768</v>
      </c>
      <c r="D3" s="214" t="s">
        <v>768</v>
      </c>
      <c r="E3" s="214" t="s">
        <v>768</v>
      </c>
      <c r="F3" s="214" t="s">
        <v>768</v>
      </c>
      <c r="G3" s="214" t="s">
        <v>768</v>
      </c>
      <c r="H3" s="214" t="s">
        <v>768</v>
      </c>
      <c r="I3" s="214" t="s">
        <v>768</v>
      </c>
      <c r="L3" s="215" t="n">
        <v>40430</v>
      </c>
      <c r="M3" s="214" t="s">
        <v>768</v>
      </c>
      <c r="N3" s="214" t="s">
        <v>768</v>
      </c>
      <c r="O3" s="214" t="s">
        <v>768</v>
      </c>
      <c r="P3" s="214" t="s">
        <v>768</v>
      </c>
      <c r="S3" s="215" t="n">
        <v>40430</v>
      </c>
      <c r="T3" s="214" t="s">
        <v>768</v>
      </c>
      <c r="U3" s="214" t="s">
        <v>768</v>
      </c>
      <c r="V3" s="214" t="s">
        <v>768</v>
      </c>
      <c r="W3" s="214" t="s">
        <v>768</v>
      </c>
      <c r="X3" s="204" t="n">
        <v>0.2</v>
      </c>
      <c r="Y3" s="204" t="n">
        <v>18.5</v>
      </c>
    </row>
    <row r="4" customFormat="false" ht="13.8" hidden="false" customHeight="false" outlineLevel="0" collapsed="false">
      <c r="A4" s="215" t="n">
        <v>40431</v>
      </c>
      <c r="B4" s="214" t="s">
        <v>768</v>
      </c>
      <c r="C4" s="214" t="s">
        <v>768</v>
      </c>
      <c r="D4" s="214" t="s">
        <v>768</v>
      </c>
      <c r="E4" s="214" t="s">
        <v>768</v>
      </c>
      <c r="F4" s="214" t="s">
        <v>768</v>
      </c>
      <c r="G4" s="214" t="s">
        <v>768</v>
      </c>
      <c r="H4" s="214" t="s">
        <v>768</v>
      </c>
      <c r="I4" s="214" t="s">
        <v>768</v>
      </c>
      <c r="L4" s="215" t="n">
        <v>40431</v>
      </c>
      <c r="M4" s="214" t="s">
        <v>768</v>
      </c>
      <c r="N4" s="214" t="s">
        <v>768</v>
      </c>
      <c r="O4" s="214" t="s">
        <v>768</v>
      </c>
      <c r="P4" s="214" t="s">
        <v>768</v>
      </c>
      <c r="S4" s="215" t="n">
        <v>40431</v>
      </c>
      <c r="T4" s="214" t="s">
        <v>768</v>
      </c>
      <c r="U4" s="214" t="s">
        <v>768</v>
      </c>
      <c r="V4" s="214" t="s">
        <v>768</v>
      </c>
      <c r="W4" s="214" t="s">
        <v>768</v>
      </c>
      <c r="X4" s="204" t="n">
        <v>0</v>
      </c>
      <c r="Y4" s="204" t="n">
        <v>19.4</v>
      </c>
    </row>
    <row r="5" customFormat="false" ht="13.8" hidden="false" customHeight="false" outlineLevel="0" collapsed="false">
      <c r="A5" s="215" t="n">
        <v>40432</v>
      </c>
      <c r="B5" s="214" t="s">
        <v>768</v>
      </c>
      <c r="C5" s="214" t="s">
        <v>768</v>
      </c>
      <c r="D5" s="214" t="s">
        <v>768</v>
      </c>
      <c r="E5" s="214" t="s">
        <v>768</v>
      </c>
      <c r="F5" s="214" t="s">
        <v>768</v>
      </c>
      <c r="G5" s="214" t="s">
        <v>768</v>
      </c>
      <c r="H5" s="214" t="s">
        <v>768</v>
      </c>
      <c r="I5" s="214" t="s">
        <v>768</v>
      </c>
      <c r="L5" s="215" t="n">
        <v>40432</v>
      </c>
      <c r="M5" s="214" t="s">
        <v>768</v>
      </c>
      <c r="N5" s="214" t="s">
        <v>768</v>
      </c>
      <c r="O5" s="214" t="s">
        <v>768</v>
      </c>
      <c r="P5" s="214" t="s">
        <v>768</v>
      </c>
      <c r="S5" s="215" t="n">
        <v>40432</v>
      </c>
      <c r="T5" s="214" t="s">
        <v>768</v>
      </c>
      <c r="U5" s="214" t="s">
        <v>768</v>
      </c>
      <c r="V5" s="214" t="s">
        <v>768</v>
      </c>
      <c r="W5" s="214" t="s">
        <v>768</v>
      </c>
      <c r="X5" s="204" t="n">
        <v>0</v>
      </c>
      <c r="Y5" s="204" t="n">
        <v>20.9</v>
      </c>
    </row>
    <row r="6" customFormat="false" ht="13.8" hidden="false" customHeight="false" outlineLevel="0" collapsed="false">
      <c r="A6" s="215" t="n">
        <v>40433</v>
      </c>
      <c r="B6" s="214" t="s">
        <v>768</v>
      </c>
      <c r="C6" s="214" t="s">
        <v>768</v>
      </c>
      <c r="D6" s="214" t="s">
        <v>768</v>
      </c>
      <c r="E6" s="214" t="s">
        <v>768</v>
      </c>
      <c r="F6" s="214" t="s">
        <v>768</v>
      </c>
      <c r="G6" s="214" t="s">
        <v>768</v>
      </c>
      <c r="H6" s="214" t="s">
        <v>768</v>
      </c>
      <c r="I6" s="214" t="s">
        <v>768</v>
      </c>
      <c r="L6" s="215" t="n">
        <v>40433</v>
      </c>
      <c r="M6" s="214" t="s">
        <v>768</v>
      </c>
      <c r="N6" s="214" t="s">
        <v>768</v>
      </c>
      <c r="O6" s="214" t="s">
        <v>768</v>
      </c>
      <c r="P6" s="214" t="s">
        <v>768</v>
      </c>
      <c r="S6" s="215" t="n">
        <v>40433</v>
      </c>
      <c r="T6" s="214" t="s">
        <v>768</v>
      </c>
      <c r="U6" s="214" t="s">
        <v>768</v>
      </c>
      <c r="V6" s="214" t="s">
        <v>768</v>
      </c>
      <c r="W6" s="214" t="s">
        <v>768</v>
      </c>
      <c r="X6" s="204" t="n">
        <v>0</v>
      </c>
      <c r="Y6" s="204" t="n">
        <v>21.1</v>
      </c>
    </row>
    <row r="7" customFormat="false" ht="13.8" hidden="false" customHeight="false" outlineLevel="0" collapsed="false">
      <c r="A7" s="215" t="n">
        <v>40434</v>
      </c>
      <c r="B7" s="214" t="s">
        <v>768</v>
      </c>
      <c r="C7" s="214" t="s">
        <v>768</v>
      </c>
      <c r="D7" s="214" t="s">
        <v>768</v>
      </c>
      <c r="E7" s="214" t="s">
        <v>768</v>
      </c>
      <c r="F7" s="214" t="s">
        <v>768</v>
      </c>
      <c r="G7" s="214" t="s">
        <v>768</v>
      </c>
      <c r="H7" s="214" t="s">
        <v>768</v>
      </c>
      <c r="I7" s="214" t="s">
        <v>768</v>
      </c>
      <c r="L7" s="215" t="n">
        <v>40434</v>
      </c>
      <c r="M7" s="214" t="s">
        <v>768</v>
      </c>
      <c r="N7" s="214" t="s">
        <v>768</v>
      </c>
      <c r="O7" s="214" t="s">
        <v>768</v>
      </c>
      <c r="P7" s="214" t="s">
        <v>768</v>
      </c>
      <c r="S7" s="215" t="n">
        <v>40434</v>
      </c>
      <c r="T7" s="214" t="s">
        <v>768</v>
      </c>
      <c r="U7" s="214" t="s">
        <v>768</v>
      </c>
      <c r="V7" s="214" t="s">
        <v>768</v>
      </c>
      <c r="W7" s="214" t="s">
        <v>768</v>
      </c>
      <c r="X7" s="204" t="n">
        <v>0</v>
      </c>
      <c r="Y7" s="204" t="n">
        <v>19.1</v>
      </c>
    </row>
    <row r="8" customFormat="false" ht="13.8" hidden="false" customHeight="false" outlineLevel="0" collapsed="false">
      <c r="A8" s="215" t="n">
        <v>40435</v>
      </c>
      <c r="B8" s="214" t="s">
        <v>768</v>
      </c>
      <c r="C8" s="214" t="s">
        <v>768</v>
      </c>
      <c r="D8" s="214" t="s">
        <v>768</v>
      </c>
      <c r="E8" s="214" t="s">
        <v>768</v>
      </c>
      <c r="F8" s="214" t="s">
        <v>768</v>
      </c>
      <c r="G8" s="214" t="s">
        <v>768</v>
      </c>
      <c r="H8" s="214" t="s">
        <v>768</v>
      </c>
      <c r="I8" s="214" t="s">
        <v>768</v>
      </c>
      <c r="L8" s="215" t="n">
        <v>40435</v>
      </c>
      <c r="M8" s="214" t="s">
        <v>768</v>
      </c>
      <c r="N8" s="214" t="s">
        <v>768</v>
      </c>
      <c r="O8" s="214" t="s">
        <v>768</v>
      </c>
      <c r="P8" s="214" t="s">
        <v>768</v>
      </c>
      <c r="S8" s="215" t="n">
        <v>40435</v>
      </c>
      <c r="T8" s="214" t="s">
        <v>768</v>
      </c>
      <c r="U8" s="214" t="s">
        <v>768</v>
      </c>
      <c r="V8" s="214" t="s">
        <v>768</v>
      </c>
      <c r="W8" s="214" t="s">
        <v>768</v>
      </c>
      <c r="X8" s="204" t="n">
        <v>0</v>
      </c>
      <c r="Y8" s="204" t="n">
        <v>18.9</v>
      </c>
    </row>
    <row r="9" customFormat="false" ht="13.8" hidden="false" customHeight="false" outlineLevel="0" collapsed="false">
      <c r="A9" s="215" t="n">
        <v>40436</v>
      </c>
      <c r="B9" s="214" t="s">
        <v>768</v>
      </c>
      <c r="C9" s="214" t="s">
        <v>768</v>
      </c>
      <c r="D9" s="214" t="s">
        <v>768</v>
      </c>
      <c r="E9" s="214" t="s">
        <v>768</v>
      </c>
      <c r="F9" s="214" t="s">
        <v>768</v>
      </c>
      <c r="G9" s="214" t="s">
        <v>768</v>
      </c>
      <c r="H9" s="214" t="s">
        <v>768</v>
      </c>
      <c r="I9" s="214" t="s">
        <v>768</v>
      </c>
      <c r="L9" s="215" t="n">
        <v>40436</v>
      </c>
      <c r="M9" s="214" t="s">
        <v>768</v>
      </c>
      <c r="N9" s="214" t="s">
        <v>768</v>
      </c>
      <c r="O9" s="214" t="s">
        <v>768</v>
      </c>
      <c r="P9" s="214" t="s">
        <v>768</v>
      </c>
      <c r="S9" s="215" t="n">
        <v>40436</v>
      </c>
      <c r="T9" s="214" t="s">
        <v>768</v>
      </c>
      <c r="U9" s="214" t="s">
        <v>768</v>
      </c>
      <c r="V9" s="214" t="s">
        <v>768</v>
      </c>
      <c r="W9" s="214" t="s">
        <v>768</v>
      </c>
      <c r="X9" s="204" t="n">
        <v>0</v>
      </c>
      <c r="Y9" s="204" t="n">
        <v>20.7</v>
      </c>
    </row>
    <row r="10" customFormat="false" ht="13.8" hidden="false" customHeight="false" outlineLevel="0" collapsed="false">
      <c r="A10" s="215" t="n">
        <v>40437</v>
      </c>
      <c r="B10" s="214" t="s">
        <v>768</v>
      </c>
      <c r="C10" s="214" t="s">
        <v>768</v>
      </c>
      <c r="D10" s="214" t="s">
        <v>768</v>
      </c>
      <c r="E10" s="214" t="s">
        <v>768</v>
      </c>
      <c r="F10" s="214" t="s">
        <v>768</v>
      </c>
      <c r="G10" s="214" t="s">
        <v>768</v>
      </c>
      <c r="H10" s="214" t="s">
        <v>768</v>
      </c>
      <c r="I10" s="214" t="s">
        <v>768</v>
      </c>
      <c r="L10" s="215" t="n">
        <v>40437</v>
      </c>
      <c r="M10" s="214" t="s">
        <v>768</v>
      </c>
      <c r="N10" s="214" t="s">
        <v>768</v>
      </c>
      <c r="O10" s="214" t="s">
        <v>768</v>
      </c>
      <c r="P10" s="214" t="s">
        <v>768</v>
      </c>
      <c r="S10" s="215" t="n">
        <v>40437</v>
      </c>
      <c r="T10" s="214" t="s">
        <v>768</v>
      </c>
      <c r="U10" s="214" t="s">
        <v>768</v>
      </c>
      <c r="V10" s="214" t="s">
        <v>768</v>
      </c>
      <c r="W10" s="214" t="s">
        <v>768</v>
      </c>
      <c r="X10" s="204" t="n">
        <v>3.6</v>
      </c>
      <c r="Y10" s="204" t="n">
        <v>16.1</v>
      </c>
    </row>
    <row r="11" customFormat="false" ht="13.8" hidden="false" customHeight="false" outlineLevel="0" collapsed="false">
      <c r="A11" s="215" t="n">
        <v>40438</v>
      </c>
      <c r="B11" s="214" t="s">
        <v>768</v>
      </c>
      <c r="C11" s="214" t="s">
        <v>768</v>
      </c>
      <c r="D11" s="214" t="s">
        <v>768</v>
      </c>
      <c r="E11" s="214" t="s">
        <v>768</v>
      </c>
      <c r="F11" s="214" t="s">
        <v>768</v>
      </c>
      <c r="G11" s="214" t="s">
        <v>768</v>
      </c>
      <c r="H11" s="214" t="s">
        <v>768</v>
      </c>
      <c r="I11" s="214" t="s">
        <v>768</v>
      </c>
      <c r="L11" s="215" t="n">
        <v>40438</v>
      </c>
      <c r="M11" s="214" t="s">
        <v>768</v>
      </c>
      <c r="N11" s="214" t="s">
        <v>768</v>
      </c>
      <c r="O11" s="214" t="s">
        <v>768</v>
      </c>
      <c r="P11" s="214" t="s">
        <v>768</v>
      </c>
      <c r="S11" s="215" t="n">
        <v>40438</v>
      </c>
      <c r="T11" s="214" t="s">
        <v>768</v>
      </c>
      <c r="U11" s="214" t="s">
        <v>768</v>
      </c>
      <c r="V11" s="214" t="s">
        <v>768</v>
      </c>
      <c r="W11" s="214" t="s">
        <v>768</v>
      </c>
      <c r="X11" s="204" t="n">
        <v>3.8</v>
      </c>
      <c r="Y11" s="204" t="n">
        <v>17.4</v>
      </c>
    </row>
    <row r="12" customFormat="false" ht="13.8" hidden="false" customHeight="false" outlineLevel="0" collapsed="false">
      <c r="A12" s="215" t="n">
        <v>40439</v>
      </c>
      <c r="B12" s="214" t="s">
        <v>768</v>
      </c>
      <c r="C12" s="214" t="s">
        <v>768</v>
      </c>
      <c r="D12" s="214" t="s">
        <v>768</v>
      </c>
      <c r="E12" s="214" t="s">
        <v>768</v>
      </c>
      <c r="F12" s="214" t="s">
        <v>768</v>
      </c>
      <c r="G12" s="214" t="s">
        <v>768</v>
      </c>
      <c r="H12" s="214" t="s">
        <v>768</v>
      </c>
      <c r="I12" s="214" t="s">
        <v>768</v>
      </c>
      <c r="L12" s="215" t="n">
        <v>40439</v>
      </c>
      <c r="M12" s="214" t="s">
        <v>768</v>
      </c>
      <c r="N12" s="214" t="s">
        <v>768</v>
      </c>
      <c r="O12" s="214" t="s">
        <v>768</v>
      </c>
      <c r="P12" s="214" t="s">
        <v>768</v>
      </c>
      <c r="S12" s="215" t="n">
        <v>40439</v>
      </c>
      <c r="T12" s="214" t="s">
        <v>768</v>
      </c>
      <c r="U12" s="214" t="s">
        <v>768</v>
      </c>
      <c r="V12" s="214" t="s">
        <v>768</v>
      </c>
      <c r="W12" s="214" t="s">
        <v>768</v>
      </c>
      <c r="X12" s="204" t="n">
        <v>0.4</v>
      </c>
      <c r="Y12" s="204" t="n">
        <v>16.3</v>
      </c>
    </row>
    <row r="13" customFormat="false" ht="13.8" hidden="false" customHeight="false" outlineLevel="0" collapsed="false">
      <c r="A13" s="215" t="n">
        <v>40440</v>
      </c>
      <c r="B13" s="214" t="s">
        <v>768</v>
      </c>
      <c r="C13" s="214" t="s">
        <v>768</v>
      </c>
      <c r="D13" s="214" t="s">
        <v>768</v>
      </c>
      <c r="E13" s="214" t="s">
        <v>768</v>
      </c>
      <c r="F13" s="214" t="s">
        <v>768</v>
      </c>
      <c r="G13" s="214" t="s">
        <v>768</v>
      </c>
      <c r="H13" s="214" t="s">
        <v>768</v>
      </c>
      <c r="I13" s="214" t="s">
        <v>768</v>
      </c>
      <c r="L13" s="215" t="n">
        <v>40440</v>
      </c>
      <c r="M13" s="214" t="s">
        <v>768</v>
      </c>
      <c r="N13" s="214" t="s">
        <v>768</v>
      </c>
      <c r="O13" s="214" t="s">
        <v>768</v>
      </c>
      <c r="P13" s="214" t="s">
        <v>768</v>
      </c>
      <c r="S13" s="215" t="n">
        <v>40440</v>
      </c>
      <c r="T13" s="214" t="s">
        <v>768</v>
      </c>
      <c r="U13" s="214" t="s">
        <v>768</v>
      </c>
      <c r="V13" s="214" t="s">
        <v>768</v>
      </c>
      <c r="W13" s="214" t="s">
        <v>768</v>
      </c>
      <c r="X13" s="204" t="n">
        <v>0</v>
      </c>
      <c r="Y13" s="204" t="n">
        <v>15.4</v>
      </c>
    </row>
    <row r="14" customFormat="false" ht="13.8" hidden="false" customHeight="false" outlineLevel="0" collapsed="false">
      <c r="A14" s="215" t="n">
        <v>40441</v>
      </c>
      <c r="B14" s="214" t="s">
        <v>768</v>
      </c>
      <c r="C14" s="214" t="s">
        <v>768</v>
      </c>
      <c r="D14" s="214" t="s">
        <v>768</v>
      </c>
      <c r="E14" s="214" t="s">
        <v>768</v>
      </c>
      <c r="F14" s="214" t="s">
        <v>768</v>
      </c>
      <c r="G14" s="214" t="s">
        <v>768</v>
      </c>
      <c r="H14" s="214" t="s">
        <v>768</v>
      </c>
      <c r="I14" s="214" t="s">
        <v>768</v>
      </c>
      <c r="L14" s="215" t="n">
        <v>40441</v>
      </c>
      <c r="M14" s="214" t="s">
        <v>768</v>
      </c>
      <c r="N14" s="214" t="s">
        <v>768</v>
      </c>
      <c r="O14" s="214" t="s">
        <v>768</v>
      </c>
      <c r="P14" s="214" t="s">
        <v>768</v>
      </c>
      <c r="S14" s="215" t="n">
        <v>40441</v>
      </c>
      <c r="T14" s="214" t="s">
        <v>768</v>
      </c>
      <c r="U14" s="214" t="s">
        <v>768</v>
      </c>
      <c r="V14" s="214" t="s">
        <v>768</v>
      </c>
      <c r="W14" s="214" t="s">
        <v>768</v>
      </c>
      <c r="X14" s="204" t="n">
        <v>0</v>
      </c>
      <c r="Y14" s="204" t="n">
        <v>18</v>
      </c>
    </row>
    <row r="15" customFormat="false" ht="13.8" hidden="false" customHeight="false" outlineLevel="0" collapsed="false">
      <c r="A15" s="215" t="n">
        <v>40442</v>
      </c>
      <c r="B15" s="214" t="s">
        <v>768</v>
      </c>
      <c r="C15" s="214" t="s">
        <v>768</v>
      </c>
      <c r="D15" s="214" t="s">
        <v>768</v>
      </c>
      <c r="E15" s="214" t="s">
        <v>768</v>
      </c>
      <c r="F15" s="214" t="s">
        <v>768</v>
      </c>
      <c r="G15" s="214" t="s">
        <v>768</v>
      </c>
      <c r="H15" s="214" t="s">
        <v>768</v>
      </c>
      <c r="I15" s="214" t="s">
        <v>768</v>
      </c>
      <c r="L15" s="215" t="n">
        <v>40442</v>
      </c>
      <c r="M15" s="214" t="s">
        <v>768</v>
      </c>
      <c r="N15" s="214" t="s">
        <v>768</v>
      </c>
      <c r="O15" s="214" t="s">
        <v>768</v>
      </c>
      <c r="P15" s="214" t="s">
        <v>768</v>
      </c>
      <c r="S15" s="215" t="n">
        <v>40442</v>
      </c>
      <c r="T15" s="214" t="s">
        <v>768</v>
      </c>
      <c r="U15" s="214" t="s">
        <v>768</v>
      </c>
      <c r="V15" s="214" t="s">
        <v>768</v>
      </c>
      <c r="W15" s="214" t="s">
        <v>768</v>
      </c>
      <c r="X15" s="204" t="n">
        <v>0</v>
      </c>
      <c r="Y15" s="204" t="n">
        <v>19.4</v>
      </c>
    </row>
    <row r="16" customFormat="false" ht="13.8" hidden="false" customHeight="false" outlineLevel="0" collapsed="false">
      <c r="A16" s="215" t="n">
        <v>40443</v>
      </c>
      <c r="B16" s="214" t="s">
        <v>768</v>
      </c>
      <c r="C16" s="214" t="s">
        <v>768</v>
      </c>
      <c r="D16" s="214" t="s">
        <v>768</v>
      </c>
      <c r="E16" s="214" t="s">
        <v>768</v>
      </c>
      <c r="F16" s="214" t="s">
        <v>768</v>
      </c>
      <c r="G16" s="214" t="s">
        <v>768</v>
      </c>
      <c r="H16" s="214" t="s">
        <v>768</v>
      </c>
      <c r="I16" s="214" t="s">
        <v>768</v>
      </c>
      <c r="L16" s="215" t="n">
        <v>40443</v>
      </c>
      <c r="M16" s="214" t="s">
        <v>768</v>
      </c>
      <c r="N16" s="214" t="s">
        <v>768</v>
      </c>
      <c r="O16" s="214" t="s">
        <v>768</v>
      </c>
      <c r="P16" s="214" t="s">
        <v>768</v>
      </c>
      <c r="S16" s="215" t="n">
        <v>40443</v>
      </c>
      <c r="T16" s="214" t="s">
        <v>768</v>
      </c>
      <c r="U16" s="214" t="s">
        <v>768</v>
      </c>
      <c r="V16" s="214" t="s">
        <v>768</v>
      </c>
      <c r="W16" s="214" t="s">
        <v>768</v>
      </c>
      <c r="X16" s="204" t="n">
        <v>0</v>
      </c>
      <c r="Y16" s="204" t="n">
        <v>21.2</v>
      </c>
    </row>
    <row r="17" customFormat="false" ht="13.8" hidden="false" customHeight="false" outlineLevel="0" collapsed="false">
      <c r="A17" s="215" t="n">
        <v>40444</v>
      </c>
      <c r="B17" s="214" t="s">
        <v>768</v>
      </c>
      <c r="C17" s="214" t="s">
        <v>768</v>
      </c>
      <c r="D17" s="214" t="s">
        <v>768</v>
      </c>
      <c r="E17" s="214" t="s">
        <v>768</v>
      </c>
      <c r="F17" s="214" t="s">
        <v>768</v>
      </c>
      <c r="G17" s="214" t="s">
        <v>768</v>
      </c>
      <c r="H17" s="214" t="s">
        <v>768</v>
      </c>
      <c r="I17" s="214" t="s">
        <v>768</v>
      </c>
      <c r="L17" s="215" t="n">
        <v>40444</v>
      </c>
      <c r="M17" s="214" t="s">
        <v>768</v>
      </c>
      <c r="N17" s="214" t="s">
        <v>768</v>
      </c>
      <c r="O17" s="214" t="s">
        <v>768</v>
      </c>
      <c r="P17" s="214" t="s">
        <v>768</v>
      </c>
      <c r="S17" s="215" t="n">
        <v>40444</v>
      </c>
      <c r="T17" s="214" t="s">
        <v>768</v>
      </c>
      <c r="U17" s="214" t="s">
        <v>768</v>
      </c>
      <c r="V17" s="214" t="s">
        <v>768</v>
      </c>
      <c r="W17" s="214" t="s">
        <v>768</v>
      </c>
      <c r="X17" s="204" t="n">
        <v>10.3</v>
      </c>
      <c r="Y17" s="204" t="n">
        <v>19.7</v>
      </c>
    </row>
    <row r="18" customFormat="false" ht="13.8" hidden="false" customHeight="false" outlineLevel="0" collapsed="false">
      <c r="A18" s="215" t="n">
        <v>40445</v>
      </c>
      <c r="B18" s="214" t="s">
        <v>768</v>
      </c>
      <c r="C18" s="214" t="s">
        <v>768</v>
      </c>
      <c r="D18" s="214" t="s">
        <v>768</v>
      </c>
      <c r="E18" s="214" t="s">
        <v>768</v>
      </c>
      <c r="F18" s="214" t="s">
        <v>768</v>
      </c>
      <c r="G18" s="214" t="s">
        <v>768</v>
      </c>
      <c r="H18" s="214" t="s">
        <v>768</v>
      </c>
      <c r="I18" s="214" t="s">
        <v>768</v>
      </c>
      <c r="L18" s="215" t="n">
        <v>40445</v>
      </c>
      <c r="M18" s="214" t="s">
        <v>768</v>
      </c>
      <c r="N18" s="214" t="s">
        <v>768</v>
      </c>
      <c r="O18" s="214" t="s">
        <v>768</v>
      </c>
      <c r="P18" s="214" t="s">
        <v>768</v>
      </c>
      <c r="S18" s="215" t="n">
        <v>40445</v>
      </c>
      <c r="T18" s="214" t="s">
        <v>768</v>
      </c>
      <c r="U18" s="214" t="s">
        <v>768</v>
      </c>
      <c r="V18" s="214" t="s">
        <v>768</v>
      </c>
      <c r="W18" s="214" t="s">
        <v>768</v>
      </c>
      <c r="X18" s="204" t="n">
        <v>6.4</v>
      </c>
      <c r="Y18" s="204" t="n">
        <v>16.3</v>
      </c>
    </row>
    <row r="19" customFormat="false" ht="13.8" hidden="false" customHeight="false" outlineLevel="0" collapsed="false">
      <c r="A19" s="215" t="n">
        <v>40446</v>
      </c>
      <c r="B19" s="214" t="s">
        <v>768</v>
      </c>
      <c r="C19" s="214" t="s">
        <v>768</v>
      </c>
      <c r="D19" s="214" t="s">
        <v>768</v>
      </c>
      <c r="E19" s="214" t="s">
        <v>768</v>
      </c>
      <c r="F19" s="214" t="s">
        <v>768</v>
      </c>
      <c r="G19" s="214" t="s">
        <v>768</v>
      </c>
      <c r="H19" s="214" t="s">
        <v>768</v>
      </c>
      <c r="I19" s="214" t="s">
        <v>768</v>
      </c>
      <c r="L19" s="215" t="n">
        <v>40446</v>
      </c>
      <c r="M19" s="214" t="s">
        <v>768</v>
      </c>
      <c r="N19" s="214" t="s">
        <v>768</v>
      </c>
      <c r="O19" s="214" t="s">
        <v>768</v>
      </c>
      <c r="P19" s="214" t="s">
        <v>768</v>
      </c>
      <c r="S19" s="215" t="n">
        <v>40446</v>
      </c>
      <c r="T19" s="214" t="s">
        <v>768</v>
      </c>
      <c r="U19" s="214" t="s">
        <v>768</v>
      </c>
      <c r="V19" s="214" t="s">
        <v>768</v>
      </c>
      <c r="W19" s="214" t="s">
        <v>768</v>
      </c>
      <c r="X19" s="204" t="n">
        <v>0</v>
      </c>
      <c r="Y19" s="204" t="n">
        <v>14.9</v>
      </c>
    </row>
    <row r="20" customFormat="false" ht="13.8" hidden="false" customHeight="false" outlineLevel="0" collapsed="false">
      <c r="A20" s="215" t="n">
        <v>40447</v>
      </c>
      <c r="B20" s="214" t="s">
        <v>768</v>
      </c>
      <c r="C20" s="214" t="s">
        <v>768</v>
      </c>
      <c r="D20" s="214" t="s">
        <v>768</v>
      </c>
      <c r="E20" s="214" t="s">
        <v>768</v>
      </c>
      <c r="F20" s="214" t="s">
        <v>768</v>
      </c>
      <c r="G20" s="214" t="s">
        <v>768</v>
      </c>
      <c r="H20" s="214" t="s">
        <v>768</v>
      </c>
      <c r="I20" s="214" t="s">
        <v>768</v>
      </c>
      <c r="L20" s="215" t="n">
        <v>40447</v>
      </c>
      <c r="M20" s="214" t="s">
        <v>768</v>
      </c>
      <c r="N20" s="214" t="s">
        <v>768</v>
      </c>
      <c r="O20" s="214" t="s">
        <v>768</v>
      </c>
      <c r="P20" s="214" t="s">
        <v>768</v>
      </c>
      <c r="S20" s="215" t="n">
        <v>40447</v>
      </c>
      <c r="T20" s="214" t="s">
        <v>768</v>
      </c>
      <c r="U20" s="214" t="s">
        <v>768</v>
      </c>
      <c r="V20" s="214" t="s">
        <v>768</v>
      </c>
      <c r="W20" s="214" t="s">
        <v>768</v>
      </c>
      <c r="X20" s="204" t="n">
        <v>0</v>
      </c>
      <c r="Y20" s="204" t="n">
        <v>12.7</v>
      </c>
    </row>
    <row r="21" customFormat="false" ht="13.8" hidden="false" customHeight="false" outlineLevel="0" collapsed="false">
      <c r="A21" s="215" t="n">
        <v>40448</v>
      </c>
      <c r="B21" s="214" t="s">
        <v>768</v>
      </c>
      <c r="C21" s="214" t="s">
        <v>768</v>
      </c>
      <c r="D21" s="214" t="s">
        <v>768</v>
      </c>
      <c r="E21" s="214" t="s">
        <v>768</v>
      </c>
      <c r="F21" s="214" t="s">
        <v>768</v>
      </c>
      <c r="G21" s="214" t="s">
        <v>768</v>
      </c>
      <c r="H21" s="214" t="s">
        <v>768</v>
      </c>
      <c r="I21" s="214" t="s">
        <v>768</v>
      </c>
      <c r="L21" s="215" t="n">
        <v>40448</v>
      </c>
      <c r="M21" s="214" t="s">
        <v>768</v>
      </c>
      <c r="N21" s="214" t="s">
        <v>768</v>
      </c>
      <c r="O21" s="214" t="s">
        <v>768</v>
      </c>
      <c r="P21" s="214" t="s">
        <v>768</v>
      </c>
      <c r="S21" s="215" t="n">
        <v>40448</v>
      </c>
      <c r="T21" s="214" t="s">
        <v>768</v>
      </c>
      <c r="U21" s="214" t="s">
        <v>768</v>
      </c>
      <c r="V21" s="214" t="s">
        <v>768</v>
      </c>
      <c r="W21" s="214" t="s">
        <v>768</v>
      </c>
      <c r="X21" s="204" t="n">
        <v>0</v>
      </c>
      <c r="Y21" s="204" t="n">
        <v>12.5</v>
      </c>
    </row>
    <row r="22" customFormat="false" ht="13.8" hidden="false" customHeight="false" outlineLevel="0" collapsed="false">
      <c r="A22" s="215" t="n">
        <v>40449</v>
      </c>
      <c r="B22" s="214" t="s">
        <v>768</v>
      </c>
      <c r="C22" s="214" t="s">
        <v>768</v>
      </c>
      <c r="D22" s="214" t="s">
        <v>768</v>
      </c>
      <c r="E22" s="214" t="s">
        <v>768</v>
      </c>
      <c r="F22" s="214" t="s">
        <v>768</v>
      </c>
      <c r="G22" s="214" t="s">
        <v>768</v>
      </c>
      <c r="H22" s="214" t="s">
        <v>768</v>
      </c>
      <c r="I22" s="214" t="s">
        <v>768</v>
      </c>
      <c r="L22" s="215" t="n">
        <v>40449</v>
      </c>
      <c r="M22" s="214" t="s">
        <v>768</v>
      </c>
      <c r="N22" s="214" t="s">
        <v>768</v>
      </c>
      <c r="O22" s="214" t="s">
        <v>768</v>
      </c>
      <c r="P22" s="214" t="s">
        <v>768</v>
      </c>
      <c r="S22" s="215" t="n">
        <v>40449</v>
      </c>
      <c r="T22" s="214" t="s">
        <v>768</v>
      </c>
      <c r="U22" s="214" t="s">
        <v>768</v>
      </c>
      <c r="V22" s="214" t="s">
        <v>768</v>
      </c>
      <c r="W22" s="214" t="s">
        <v>768</v>
      </c>
      <c r="X22" s="204" t="n">
        <v>0</v>
      </c>
      <c r="Y22" s="204" t="n">
        <v>13.9</v>
      </c>
    </row>
    <row r="23" customFormat="false" ht="13.8" hidden="false" customHeight="false" outlineLevel="0" collapsed="false">
      <c r="A23" s="215" t="n">
        <v>40450</v>
      </c>
      <c r="B23" s="214" t="s">
        <v>768</v>
      </c>
      <c r="C23" s="214" t="s">
        <v>768</v>
      </c>
      <c r="D23" s="214" t="s">
        <v>768</v>
      </c>
      <c r="E23" s="214" t="s">
        <v>768</v>
      </c>
      <c r="F23" s="214" t="s">
        <v>768</v>
      </c>
      <c r="G23" s="214" t="s">
        <v>768</v>
      </c>
      <c r="H23" s="214" t="s">
        <v>768</v>
      </c>
      <c r="I23" s="214" t="s">
        <v>768</v>
      </c>
      <c r="L23" s="215" t="n">
        <v>40450</v>
      </c>
      <c r="M23" s="214" t="s">
        <v>768</v>
      </c>
      <c r="N23" s="214" t="s">
        <v>768</v>
      </c>
      <c r="O23" s="214" t="s">
        <v>768</v>
      </c>
      <c r="P23" s="214" t="s">
        <v>768</v>
      </c>
      <c r="S23" s="215" t="n">
        <v>40450</v>
      </c>
      <c r="T23" s="214" t="s">
        <v>768</v>
      </c>
      <c r="U23" s="214" t="s">
        <v>768</v>
      </c>
      <c r="V23" s="214" t="s">
        <v>768</v>
      </c>
      <c r="W23" s="214" t="s">
        <v>768</v>
      </c>
      <c r="X23" s="204" t="n">
        <v>0</v>
      </c>
      <c r="Y23" s="204" t="n">
        <v>14.3</v>
      </c>
    </row>
    <row r="24" customFormat="false" ht="13.8" hidden="false" customHeight="false" outlineLevel="0" collapsed="false">
      <c r="A24" s="215" t="n">
        <v>40451</v>
      </c>
      <c r="B24" s="214" t="s">
        <v>768</v>
      </c>
      <c r="C24" s="214" t="s">
        <v>768</v>
      </c>
      <c r="D24" s="214" t="s">
        <v>768</v>
      </c>
      <c r="E24" s="214" t="s">
        <v>768</v>
      </c>
      <c r="F24" s="214" t="s">
        <v>768</v>
      </c>
      <c r="G24" s="214" t="s">
        <v>768</v>
      </c>
      <c r="H24" s="214" t="s">
        <v>768</v>
      </c>
      <c r="I24" s="214" t="s">
        <v>768</v>
      </c>
      <c r="L24" s="215" t="n">
        <v>40451</v>
      </c>
      <c r="M24" s="214" t="s">
        <v>768</v>
      </c>
      <c r="N24" s="214" t="s">
        <v>768</v>
      </c>
      <c r="O24" s="214" t="s">
        <v>768</v>
      </c>
      <c r="P24" s="214" t="s">
        <v>768</v>
      </c>
      <c r="S24" s="215" t="n">
        <v>40451</v>
      </c>
      <c r="T24" s="214" t="s">
        <v>768</v>
      </c>
      <c r="U24" s="214" t="s">
        <v>768</v>
      </c>
      <c r="V24" s="214" t="s">
        <v>768</v>
      </c>
      <c r="W24" s="214" t="s">
        <v>768</v>
      </c>
      <c r="X24" s="204" t="n">
        <v>0</v>
      </c>
      <c r="Y24" s="204" t="n">
        <v>14.2</v>
      </c>
    </row>
    <row r="25" customFormat="false" ht="13.8" hidden="false" customHeight="false" outlineLevel="0" collapsed="false">
      <c r="A25" s="215" t="n">
        <v>40452</v>
      </c>
      <c r="B25" s="214" t="s">
        <v>768</v>
      </c>
      <c r="C25" s="214" t="s">
        <v>768</v>
      </c>
      <c r="D25" s="214" t="s">
        <v>768</v>
      </c>
      <c r="E25" s="214" t="s">
        <v>768</v>
      </c>
      <c r="F25" s="214" t="s">
        <v>768</v>
      </c>
      <c r="G25" s="214" t="s">
        <v>768</v>
      </c>
      <c r="H25" s="214" t="s">
        <v>768</v>
      </c>
      <c r="I25" s="214" t="s">
        <v>768</v>
      </c>
      <c r="L25" s="215" t="n">
        <v>40452</v>
      </c>
      <c r="M25" s="214" t="s">
        <v>768</v>
      </c>
      <c r="N25" s="214" t="s">
        <v>768</v>
      </c>
      <c r="O25" s="214" t="s">
        <v>768</v>
      </c>
      <c r="P25" s="214" t="s">
        <v>768</v>
      </c>
      <c r="S25" s="215" t="n">
        <v>40452</v>
      </c>
      <c r="T25" s="214" t="s">
        <v>768</v>
      </c>
      <c r="U25" s="214" t="s">
        <v>768</v>
      </c>
      <c r="V25" s="214" t="s">
        <v>768</v>
      </c>
      <c r="W25" s="214" t="s">
        <v>768</v>
      </c>
      <c r="X25" s="204" t="n">
        <v>0.2</v>
      </c>
      <c r="Y25" s="204" t="n">
        <v>16.1</v>
      </c>
    </row>
    <row r="26" customFormat="false" ht="13.8" hidden="false" customHeight="false" outlineLevel="0" collapsed="false">
      <c r="A26" s="215" t="n">
        <v>40453</v>
      </c>
      <c r="B26" s="214" t="s">
        <v>768</v>
      </c>
      <c r="C26" s="214" t="s">
        <v>768</v>
      </c>
      <c r="D26" s="214" t="s">
        <v>768</v>
      </c>
      <c r="E26" s="214" t="s">
        <v>768</v>
      </c>
      <c r="F26" s="214" t="s">
        <v>768</v>
      </c>
      <c r="G26" s="214" t="s">
        <v>768</v>
      </c>
      <c r="H26" s="214" t="s">
        <v>768</v>
      </c>
      <c r="I26" s="214" t="s">
        <v>768</v>
      </c>
      <c r="L26" s="215" t="n">
        <v>40453</v>
      </c>
      <c r="M26" s="214" t="s">
        <v>768</v>
      </c>
      <c r="N26" s="214" t="s">
        <v>768</v>
      </c>
      <c r="O26" s="214" t="s">
        <v>768</v>
      </c>
      <c r="P26" s="214" t="s">
        <v>768</v>
      </c>
      <c r="S26" s="215" t="n">
        <v>40453</v>
      </c>
      <c r="T26" s="214" t="s">
        <v>768</v>
      </c>
      <c r="U26" s="214" t="s">
        <v>768</v>
      </c>
      <c r="V26" s="214" t="s">
        <v>768</v>
      </c>
      <c r="W26" s="214" t="s">
        <v>768</v>
      </c>
      <c r="X26" s="204" t="n">
        <v>0</v>
      </c>
      <c r="Y26" s="204" t="n">
        <v>18.3</v>
      </c>
    </row>
    <row r="27" customFormat="false" ht="13.8" hidden="false" customHeight="false" outlineLevel="0" collapsed="false">
      <c r="A27" s="215" t="n">
        <v>40454</v>
      </c>
      <c r="B27" s="214" t="s">
        <v>768</v>
      </c>
      <c r="C27" s="214" t="s">
        <v>768</v>
      </c>
      <c r="D27" s="214" t="s">
        <v>768</v>
      </c>
      <c r="E27" s="214" t="s">
        <v>768</v>
      </c>
      <c r="F27" s="214" t="s">
        <v>768</v>
      </c>
      <c r="G27" s="214" t="s">
        <v>768</v>
      </c>
      <c r="H27" s="214" t="s">
        <v>768</v>
      </c>
      <c r="I27" s="214" t="s">
        <v>768</v>
      </c>
      <c r="L27" s="215" t="n">
        <v>40454</v>
      </c>
      <c r="M27" s="214" t="s">
        <v>768</v>
      </c>
      <c r="N27" s="214" t="s">
        <v>768</v>
      </c>
      <c r="O27" s="214" t="s">
        <v>768</v>
      </c>
      <c r="P27" s="214" t="s">
        <v>768</v>
      </c>
      <c r="S27" s="215" t="n">
        <v>40454</v>
      </c>
      <c r="T27" s="214" t="s">
        <v>768</v>
      </c>
      <c r="U27" s="214" t="s">
        <v>768</v>
      </c>
      <c r="V27" s="214" t="s">
        <v>768</v>
      </c>
      <c r="W27" s="214" t="s">
        <v>768</v>
      </c>
      <c r="X27" s="204" t="n">
        <v>0</v>
      </c>
      <c r="Y27" s="204" t="n">
        <v>21.5</v>
      </c>
    </row>
    <row r="28" customFormat="false" ht="13.8" hidden="false" customHeight="false" outlineLevel="0" collapsed="false">
      <c r="A28" s="215" t="n">
        <v>40455</v>
      </c>
      <c r="B28" s="214" t="s">
        <v>768</v>
      </c>
      <c r="C28" s="214" t="s">
        <v>768</v>
      </c>
      <c r="D28" s="214" t="s">
        <v>768</v>
      </c>
      <c r="E28" s="214" t="s">
        <v>768</v>
      </c>
      <c r="F28" s="214" t="s">
        <v>768</v>
      </c>
      <c r="G28" s="214" t="s">
        <v>768</v>
      </c>
      <c r="H28" s="214" t="s">
        <v>768</v>
      </c>
      <c r="I28" s="214" t="s">
        <v>768</v>
      </c>
      <c r="L28" s="215" t="n">
        <v>40455</v>
      </c>
      <c r="M28" s="214" t="s">
        <v>768</v>
      </c>
      <c r="N28" s="214" t="s">
        <v>768</v>
      </c>
      <c r="O28" s="214" t="s">
        <v>768</v>
      </c>
      <c r="P28" s="214" t="s">
        <v>768</v>
      </c>
      <c r="S28" s="215" t="n">
        <v>40455</v>
      </c>
      <c r="T28" s="214" t="s">
        <v>768</v>
      </c>
      <c r="U28" s="214" t="s">
        <v>768</v>
      </c>
      <c r="V28" s="214" t="s">
        <v>768</v>
      </c>
      <c r="W28" s="214" t="s">
        <v>768</v>
      </c>
      <c r="X28" s="204" t="n">
        <v>2.6</v>
      </c>
      <c r="Y28" s="204" t="n">
        <v>16.7</v>
      </c>
    </row>
    <row r="29" customFormat="false" ht="13.8" hidden="false" customHeight="false" outlineLevel="0" collapsed="false">
      <c r="A29" s="215" t="n">
        <v>40456</v>
      </c>
      <c r="B29" s="214" t="s">
        <v>768</v>
      </c>
      <c r="C29" s="214" t="s">
        <v>768</v>
      </c>
      <c r="D29" s="214" t="s">
        <v>768</v>
      </c>
      <c r="E29" s="214" t="s">
        <v>768</v>
      </c>
      <c r="F29" s="214" t="s">
        <v>768</v>
      </c>
      <c r="G29" s="214" t="s">
        <v>768</v>
      </c>
      <c r="H29" s="214" t="s">
        <v>768</v>
      </c>
      <c r="I29" s="214" t="s">
        <v>768</v>
      </c>
      <c r="L29" s="215" t="n">
        <v>40456</v>
      </c>
      <c r="M29" s="214" t="s">
        <v>768</v>
      </c>
      <c r="N29" s="214" t="s">
        <v>768</v>
      </c>
      <c r="O29" s="214" t="s">
        <v>768</v>
      </c>
      <c r="P29" s="214" t="s">
        <v>768</v>
      </c>
      <c r="S29" s="215" t="n">
        <v>40456</v>
      </c>
      <c r="T29" s="214" t="s">
        <v>768</v>
      </c>
      <c r="U29" s="214" t="s">
        <v>768</v>
      </c>
      <c r="V29" s="214" t="s">
        <v>768</v>
      </c>
      <c r="W29" s="214" t="s">
        <v>768</v>
      </c>
      <c r="X29" s="204" t="n">
        <v>0</v>
      </c>
      <c r="Y29" s="204" t="n">
        <v>17.3</v>
      </c>
    </row>
    <row r="30" customFormat="false" ht="13.8" hidden="false" customHeight="false" outlineLevel="0" collapsed="false">
      <c r="A30" s="215" t="n">
        <v>40457</v>
      </c>
      <c r="B30" s="214" t="s">
        <v>768</v>
      </c>
      <c r="C30" s="214" t="s">
        <v>768</v>
      </c>
      <c r="D30" s="214" t="s">
        <v>768</v>
      </c>
      <c r="E30" s="214" t="s">
        <v>768</v>
      </c>
      <c r="F30" s="214" t="s">
        <v>768</v>
      </c>
      <c r="G30" s="214" t="s">
        <v>768</v>
      </c>
      <c r="H30" s="214" t="s">
        <v>768</v>
      </c>
      <c r="I30" s="214" t="s">
        <v>768</v>
      </c>
      <c r="L30" s="215" t="n">
        <v>40457</v>
      </c>
      <c r="M30" s="214" t="s">
        <v>768</v>
      </c>
      <c r="N30" s="214" t="s">
        <v>768</v>
      </c>
      <c r="O30" s="214" t="s">
        <v>768</v>
      </c>
      <c r="P30" s="214" t="s">
        <v>768</v>
      </c>
      <c r="S30" s="215" t="n">
        <v>40457</v>
      </c>
      <c r="T30" s="214" t="s">
        <v>768</v>
      </c>
      <c r="U30" s="214" t="s">
        <v>768</v>
      </c>
      <c r="V30" s="214" t="s">
        <v>768</v>
      </c>
      <c r="W30" s="214" t="s">
        <v>768</v>
      </c>
      <c r="X30" s="204" t="n">
        <v>0</v>
      </c>
      <c r="Y30" s="204" t="n">
        <v>19.2</v>
      </c>
    </row>
    <row r="31" customFormat="false" ht="12.75" hidden="false" customHeight="false" outlineLevel="0" collapsed="false">
      <c r="A31" s="215" t="n">
        <v>40458</v>
      </c>
      <c r="B31" s="213" t="n">
        <v>34.7</v>
      </c>
      <c r="D31" s="213" t="n">
        <v>32.4</v>
      </c>
      <c r="F31" s="213" t="n">
        <v>20.2</v>
      </c>
      <c r="H31" s="213" t="n">
        <v>17.8</v>
      </c>
      <c r="L31" s="215" t="n">
        <v>40458</v>
      </c>
      <c r="S31" s="215" t="n">
        <v>40458</v>
      </c>
      <c r="T31" s="213" t="n">
        <v>34.75</v>
      </c>
      <c r="U31" s="213" t="n">
        <v>32.55</v>
      </c>
      <c r="V31" s="213" t="n">
        <v>20.1</v>
      </c>
      <c r="W31" s="213" t="n">
        <v>8.9</v>
      </c>
      <c r="X31" s="204" t="n">
        <v>0</v>
      </c>
      <c r="Y31" s="204" t="n">
        <v>20</v>
      </c>
    </row>
    <row r="32" customFormat="false" ht="12.75" hidden="false" customHeight="false" outlineLevel="0" collapsed="false">
      <c r="A32" s="215" t="n">
        <v>40458</v>
      </c>
      <c r="B32" s="213" t="n">
        <v>34.8</v>
      </c>
      <c r="C32" s="213" t="n">
        <f aca="false">AVERAGE(B31:B32)</f>
        <v>34.75</v>
      </c>
      <c r="D32" s="213" t="n">
        <v>32.7</v>
      </c>
      <c r="E32" s="213" t="n">
        <f aca="false">AVERAGE(D31:D32)</f>
        <v>32.55</v>
      </c>
      <c r="F32" s="213" t="n">
        <v>20</v>
      </c>
      <c r="G32" s="213" t="n">
        <f aca="false">AVERAGE(F31:F32)</f>
        <v>20.1</v>
      </c>
      <c r="H32" s="213" t="n">
        <v>0</v>
      </c>
      <c r="I32" s="213" t="n">
        <f aca="false">AVERAGE(H31:H32)</f>
        <v>8.9</v>
      </c>
      <c r="L32" s="215" t="n">
        <v>40458</v>
      </c>
      <c r="M32" s="213" t="n">
        <v>34.75</v>
      </c>
      <c r="N32" s="213" t="n">
        <v>32.55</v>
      </c>
      <c r="O32" s="213" t="n">
        <v>20.1</v>
      </c>
      <c r="P32" s="213" t="n">
        <v>8.9</v>
      </c>
      <c r="S32" s="215" t="n">
        <v>40459</v>
      </c>
      <c r="T32" s="213" t="n">
        <v>34.85</v>
      </c>
      <c r="U32" s="213" t="n">
        <v>33.1666666666667</v>
      </c>
      <c r="V32" s="213" t="n">
        <v>19.15</v>
      </c>
      <c r="W32" s="213" t="n">
        <v>18.25</v>
      </c>
      <c r="X32" s="204" t="n">
        <v>0</v>
      </c>
      <c r="Y32" s="204" t="n">
        <v>20.4</v>
      </c>
    </row>
    <row r="33" customFormat="false" ht="12.75" hidden="false" customHeight="false" outlineLevel="0" collapsed="false">
      <c r="A33" s="215" t="n">
        <v>40459</v>
      </c>
      <c r="B33" s="213" t="n">
        <v>34.8</v>
      </c>
      <c r="C33" s="213" t="n">
        <f aca="false">AVERAGEIFS($B$33:$B$1494,$A$33:$A$1494,A33)</f>
        <v>34.85</v>
      </c>
      <c r="D33" s="213" t="n">
        <v>32.9</v>
      </c>
      <c r="E33" s="213" t="n">
        <f aca="false">AVERAGEIFS($D$33:$D$1494,$A$33:$A$1494,A33)</f>
        <v>33.1666666666667</v>
      </c>
      <c r="F33" s="213" t="n">
        <v>19</v>
      </c>
      <c r="G33" s="213" t="n">
        <f aca="false">AVERAGEIFS($F$33:$F$1494,$A$33:$A$1494,A33)</f>
        <v>19.15</v>
      </c>
      <c r="H33" s="213" t="n">
        <v>18.4</v>
      </c>
      <c r="I33" s="213" t="n">
        <f aca="false">AVERAGEIFS($H$33:$H$1494,$A$33:$A$1494,A33)</f>
        <v>18.25</v>
      </c>
      <c r="L33" s="215" t="n">
        <v>40459</v>
      </c>
      <c r="M33" s="213" t="n">
        <v>34.85</v>
      </c>
      <c r="N33" s="213" t="n">
        <v>33.1666666666667</v>
      </c>
      <c r="O33" s="213" t="n">
        <v>19.15</v>
      </c>
      <c r="P33" s="213" t="n">
        <v>18.25</v>
      </c>
      <c r="S33" s="215" t="n">
        <v>40460</v>
      </c>
      <c r="T33" s="213" t="n">
        <v>34.8333333333333</v>
      </c>
      <c r="U33" s="213" t="n">
        <v>33.4</v>
      </c>
      <c r="V33" s="213" t="n">
        <v>19.15</v>
      </c>
      <c r="W33" s="213" t="n">
        <v>18.4666666666667</v>
      </c>
      <c r="X33" s="204" t="n">
        <v>6.7</v>
      </c>
      <c r="Y33" s="204" t="n">
        <v>19.3</v>
      </c>
    </row>
    <row r="34" customFormat="false" ht="12.75" hidden="false" customHeight="false" outlineLevel="0" collapsed="false">
      <c r="A34" s="215" t="n">
        <v>40459</v>
      </c>
      <c r="B34" s="213" t="n">
        <v>34.8</v>
      </c>
      <c r="C34" s="213" t="n">
        <f aca="false">AVERAGEIFS($B$33:$B$1494,$A$33:$A$1494,A34)</f>
        <v>34.85</v>
      </c>
      <c r="D34" s="213" t="n">
        <v>33.1</v>
      </c>
      <c r="E34" s="213" t="n">
        <f aca="false">AVERAGEIFS($D$33:$D$1494,$A$33:$A$1494,A34)</f>
        <v>33.1666666666667</v>
      </c>
      <c r="F34" s="213" t="n">
        <v>18.4</v>
      </c>
      <c r="G34" s="213" t="n">
        <f aca="false">AVERAGEIFS($F$33:$F$1494,$A$33:$A$1494,A34)</f>
        <v>19.15</v>
      </c>
      <c r="H34" s="213" t="n">
        <v>18.3</v>
      </c>
      <c r="I34" s="213" t="n">
        <f aca="false">AVERAGEIFS($H$33:$H$1494,$A$33:$A$1494,A34)</f>
        <v>18.25</v>
      </c>
      <c r="L34" s="215" t="n">
        <v>40459</v>
      </c>
      <c r="M34" s="213" t="n">
        <v>34.85</v>
      </c>
      <c r="N34" s="213" t="n">
        <v>33.1666666666667</v>
      </c>
      <c r="O34" s="213" t="n">
        <v>19.15</v>
      </c>
      <c r="P34" s="213" t="n">
        <v>18.25</v>
      </c>
      <c r="S34" s="215" t="n">
        <v>40461</v>
      </c>
      <c r="T34" s="213" t="n">
        <v>48.9166666666667</v>
      </c>
      <c r="U34" s="213" t="n">
        <v>45.5666666666667</v>
      </c>
      <c r="V34" s="213" t="n">
        <v>18.0333333333333</v>
      </c>
      <c r="W34" s="213" t="n">
        <v>18.25</v>
      </c>
      <c r="X34" s="204" t="n">
        <v>57.3</v>
      </c>
      <c r="Y34" s="204" t="n">
        <v>15.5</v>
      </c>
    </row>
    <row r="35" customFormat="false" ht="12.75" hidden="false" customHeight="false" outlineLevel="0" collapsed="false">
      <c r="A35" s="215" t="n">
        <v>40459</v>
      </c>
      <c r="B35" s="213" t="n">
        <v>34.9</v>
      </c>
      <c r="C35" s="213" t="n">
        <f aca="false">AVERAGEIFS($B$33:$B$1494,$A$33:$A$1494,A35)</f>
        <v>34.85</v>
      </c>
      <c r="D35" s="213" t="n">
        <v>33.2</v>
      </c>
      <c r="E35" s="213" t="n">
        <f aca="false">AVERAGEIFS($D$33:$D$1494,$A$33:$A$1494,A35)</f>
        <v>33.1666666666667</v>
      </c>
      <c r="F35" s="213" t="n">
        <v>17.9</v>
      </c>
      <c r="G35" s="213" t="n">
        <f aca="false">AVERAGEIFS($F$33:$F$1494,$A$33:$A$1494,A35)</f>
        <v>19.15</v>
      </c>
      <c r="H35" s="213" t="n">
        <v>18.2</v>
      </c>
      <c r="I35" s="213" t="n">
        <f aca="false">AVERAGEIFS($H$33:$H$1494,$A$33:$A$1494,A35)</f>
        <v>18.25</v>
      </c>
      <c r="L35" s="215" t="n">
        <v>40459</v>
      </c>
      <c r="M35" s="213" t="n">
        <v>34.85</v>
      </c>
      <c r="N35" s="213" t="n">
        <v>33.1666666666667</v>
      </c>
      <c r="O35" s="213" t="n">
        <v>19.15</v>
      </c>
      <c r="P35" s="213" t="n">
        <v>18.25</v>
      </c>
      <c r="S35" s="215" t="n">
        <v>40462</v>
      </c>
      <c r="T35" s="213" t="n">
        <v>68.1166666666667</v>
      </c>
      <c r="U35" s="213" t="n">
        <v>69.7</v>
      </c>
      <c r="V35" s="213" t="n">
        <v>16.45</v>
      </c>
      <c r="W35" s="213" t="n">
        <v>17</v>
      </c>
      <c r="X35" s="204" t="n">
        <v>1</v>
      </c>
      <c r="Y35" s="204" t="n">
        <v>15.3</v>
      </c>
    </row>
    <row r="36" customFormat="false" ht="12.75" hidden="false" customHeight="false" outlineLevel="0" collapsed="false">
      <c r="A36" s="215" t="n">
        <v>40459</v>
      </c>
      <c r="B36" s="213" t="n">
        <v>34.9</v>
      </c>
      <c r="C36" s="213" t="n">
        <f aca="false">AVERAGEIFS($B$33:$B$1494,$A$33:$A$1494,A36)</f>
        <v>34.85</v>
      </c>
      <c r="D36" s="213" t="n">
        <v>33.2</v>
      </c>
      <c r="E36" s="213" t="n">
        <f aca="false">AVERAGEIFS($D$33:$D$1494,$A$33:$A$1494,A36)</f>
        <v>33.1666666666667</v>
      </c>
      <c r="F36" s="213" t="n">
        <v>18.6</v>
      </c>
      <c r="G36" s="213" t="n">
        <f aca="false">AVERAGEIFS($F$33:$F$1494,$A$33:$A$1494,A36)</f>
        <v>19.15</v>
      </c>
      <c r="H36" s="213" t="n">
        <v>18</v>
      </c>
      <c r="I36" s="213" t="n">
        <f aca="false">AVERAGEIFS($H$33:$H$1494,$A$33:$A$1494,A36)</f>
        <v>18.25</v>
      </c>
      <c r="L36" s="215" t="n">
        <v>40459</v>
      </c>
      <c r="M36" s="213" t="n">
        <v>34.85</v>
      </c>
      <c r="N36" s="213" t="n">
        <v>33.1666666666667</v>
      </c>
      <c r="O36" s="213" t="n">
        <v>19.15</v>
      </c>
      <c r="P36" s="213" t="n">
        <v>18.25</v>
      </c>
      <c r="S36" s="215" t="n">
        <v>40463</v>
      </c>
      <c r="T36" s="213" t="n">
        <v>48.2166666666667</v>
      </c>
      <c r="U36" s="213" t="n">
        <v>62.8166666666667</v>
      </c>
      <c r="V36" s="213" t="n">
        <v>15.9166666666667</v>
      </c>
      <c r="W36" s="213" t="n">
        <v>16.3333333333333</v>
      </c>
      <c r="X36" s="204" t="n">
        <v>0</v>
      </c>
      <c r="Y36" s="204" t="n">
        <v>16.3</v>
      </c>
    </row>
    <row r="37" customFormat="false" ht="12.75" hidden="false" customHeight="false" outlineLevel="0" collapsed="false">
      <c r="A37" s="215" t="n">
        <v>40459</v>
      </c>
      <c r="B37" s="213" t="n">
        <v>34.8</v>
      </c>
      <c r="C37" s="213" t="n">
        <f aca="false">AVERAGEIFS($B$33:$B$1494,$A$33:$A$1494,A37)</f>
        <v>34.85</v>
      </c>
      <c r="D37" s="213" t="n">
        <v>33.3</v>
      </c>
      <c r="E37" s="213" t="n">
        <f aca="false">AVERAGEIFS($D$33:$D$1494,$A$33:$A$1494,A37)</f>
        <v>33.1666666666667</v>
      </c>
      <c r="F37" s="213" t="n">
        <v>20.6</v>
      </c>
      <c r="G37" s="213" t="n">
        <f aca="false">AVERAGEIFS($F$33:$F$1494,$A$33:$A$1494,A37)</f>
        <v>19.15</v>
      </c>
      <c r="H37" s="213" t="n">
        <v>18.1</v>
      </c>
      <c r="I37" s="213" t="n">
        <f aca="false">AVERAGEIFS($H$33:$H$1494,$A$33:$A$1494,A37)</f>
        <v>18.25</v>
      </c>
      <c r="L37" s="215" t="n">
        <v>40459</v>
      </c>
      <c r="M37" s="213" t="n">
        <v>34.85</v>
      </c>
      <c r="N37" s="213" t="n">
        <v>33.1666666666667</v>
      </c>
      <c r="O37" s="213" t="n">
        <v>19.15</v>
      </c>
      <c r="P37" s="213" t="n">
        <v>18.25</v>
      </c>
      <c r="S37" s="215" t="n">
        <v>40464</v>
      </c>
      <c r="T37" s="213" t="n">
        <v>44.8166666666667</v>
      </c>
      <c r="U37" s="213" t="n">
        <v>47.5833333333333</v>
      </c>
      <c r="V37" s="213" t="n">
        <v>16.4333333333333</v>
      </c>
      <c r="W37" s="213" t="n">
        <v>16.4</v>
      </c>
      <c r="X37" s="204" t="n">
        <v>0</v>
      </c>
      <c r="Y37" s="204" t="n">
        <v>16</v>
      </c>
    </row>
    <row r="38" customFormat="false" ht="12.75" hidden="false" customHeight="false" outlineLevel="0" collapsed="false">
      <c r="A38" s="215" t="n">
        <v>40459</v>
      </c>
      <c r="B38" s="213" t="n">
        <v>34.9</v>
      </c>
      <c r="C38" s="213" t="n">
        <f aca="false">AVERAGEIFS($B$33:$B$1494,$A$33:$A$1494,A38)</f>
        <v>34.85</v>
      </c>
      <c r="D38" s="213" t="n">
        <v>33.3</v>
      </c>
      <c r="E38" s="213" t="n">
        <f aca="false">AVERAGEIFS($D$33:$D$1494,$A$33:$A$1494,A38)</f>
        <v>33.1666666666667</v>
      </c>
      <c r="F38" s="213" t="n">
        <v>20.4</v>
      </c>
      <c r="G38" s="213" t="n">
        <f aca="false">AVERAGEIFS($F$33:$F$1494,$A$33:$A$1494,A38)</f>
        <v>19.15</v>
      </c>
      <c r="H38" s="213" t="n">
        <v>18.5</v>
      </c>
      <c r="I38" s="213" t="n">
        <f aca="false">AVERAGEIFS($H$33:$H$1494,$A$33:$A$1494,A38)</f>
        <v>18.25</v>
      </c>
      <c r="L38" s="215" t="n">
        <v>40459</v>
      </c>
      <c r="M38" s="213" t="n">
        <v>34.85</v>
      </c>
      <c r="N38" s="213" t="n">
        <v>33.1666666666667</v>
      </c>
      <c r="O38" s="213" t="n">
        <v>19.15</v>
      </c>
      <c r="P38" s="213" t="n">
        <v>18.25</v>
      </c>
      <c r="S38" s="215" t="n">
        <v>40465</v>
      </c>
      <c r="T38" s="213" t="n">
        <v>43.85</v>
      </c>
      <c r="U38" s="213" t="n">
        <v>45.9333333333333</v>
      </c>
      <c r="V38" s="213" t="n">
        <v>15.65</v>
      </c>
      <c r="W38" s="213" t="n">
        <v>16.2</v>
      </c>
      <c r="X38" s="204" t="n">
        <v>0.2</v>
      </c>
      <c r="Y38" s="204" t="n">
        <v>13.5</v>
      </c>
    </row>
    <row r="39" customFormat="false" ht="12.75" hidden="false" customHeight="false" outlineLevel="0" collapsed="false">
      <c r="A39" s="215" t="n">
        <v>40460</v>
      </c>
      <c r="B39" s="213" t="n">
        <v>34.9</v>
      </c>
      <c r="C39" s="213" t="n">
        <f aca="false">AVERAGEIFS($B$33:$B$1494,$A$33:$A$1494,A39)</f>
        <v>34.8333333333333</v>
      </c>
      <c r="D39" s="213" t="n">
        <v>33.4</v>
      </c>
      <c r="E39" s="213" t="n">
        <f aca="false">AVERAGEIFS($D$33:$D$1494,$A$33:$A$1494,A39)</f>
        <v>33.4</v>
      </c>
      <c r="F39" s="213" t="n">
        <v>19.5</v>
      </c>
      <c r="G39" s="213" t="n">
        <f aca="false">AVERAGEIFS($F$33:$F$1494,$A$33:$A$1494,A39)</f>
        <v>19.15</v>
      </c>
      <c r="H39" s="213" t="n">
        <v>18.7</v>
      </c>
      <c r="I39" s="213" t="n">
        <f aca="false">AVERAGEIFS($H$33:$H$1494,$A$33:$A$1494,A39)</f>
        <v>18.4666666666667</v>
      </c>
      <c r="L39" s="215" t="n">
        <v>40460</v>
      </c>
      <c r="M39" s="213" t="n">
        <v>34.8333333333333</v>
      </c>
      <c r="N39" s="213" t="n">
        <v>33.4</v>
      </c>
      <c r="O39" s="213" t="n">
        <v>19.15</v>
      </c>
      <c r="P39" s="213" t="n">
        <v>18.4666666666667</v>
      </c>
      <c r="S39" s="215" t="n">
        <v>40466</v>
      </c>
      <c r="T39" s="213" t="n">
        <v>43.1666666666667</v>
      </c>
      <c r="U39" s="213" t="n">
        <v>45.15</v>
      </c>
      <c r="V39" s="213" t="n">
        <v>13.4666666666667</v>
      </c>
      <c r="W39" s="213" t="n">
        <v>15.1166666666667</v>
      </c>
      <c r="X39" s="204" t="n">
        <v>0</v>
      </c>
      <c r="Y39" s="204" t="n">
        <v>9.5</v>
      </c>
    </row>
    <row r="40" customFormat="false" ht="12.75" hidden="false" customHeight="false" outlineLevel="0" collapsed="false">
      <c r="A40" s="215" t="n">
        <v>40460</v>
      </c>
      <c r="B40" s="213" t="n">
        <v>34.8</v>
      </c>
      <c r="C40" s="213" t="n">
        <f aca="false">AVERAGEIFS($B$33:$B$1494,$A$33:$A$1494,A40)</f>
        <v>34.8333333333333</v>
      </c>
      <c r="D40" s="213" t="n">
        <v>33.4</v>
      </c>
      <c r="E40" s="213" t="n">
        <f aca="false">AVERAGEIFS($D$33:$D$1494,$A$33:$A$1494,A40)</f>
        <v>33.4</v>
      </c>
      <c r="F40" s="213" t="n">
        <v>18.7</v>
      </c>
      <c r="G40" s="213" t="n">
        <f aca="false">AVERAGEIFS($F$33:$F$1494,$A$33:$A$1494,A40)</f>
        <v>19.15</v>
      </c>
      <c r="H40" s="213" t="n">
        <v>18.6</v>
      </c>
      <c r="I40" s="213" t="n">
        <f aca="false">AVERAGEIFS($H$33:$H$1494,$A$33:$A$1494,A40)</f>
        <v>18.4666666666667</v>
      </c>
      <c r="L40" s="215" t="n">
        <v>40460</v>
      </c>
      <c r="M40" s="213" t="n">
        <v>34.8333333333333</v>
      </c>
      <c r="N40" s="213" t="n">
        <v>33.4</v>
      </c>
      <c r="O40" s="213" t="n">
        <v>19.15</v>
      </c>
      <c r="P40" s="213" t="n">
        <v>18.4666666666667</v>
      </c>
      <c r="S40" s="215" t="n">
        <v>40467</v>
      </c>
      <c r="T40" s="213" t="n">
        <v>42.7</v>
      </c>
      <c r="U40" s="213" t="n">
        <v>44.6666666666667</v>
      </c>
      <c r="V40" s="213" t="n">
        <v>11.9</v>
      </c>
      <c r="W40" s="213" t="n">
        <v>13.8666666666667</v>
      </c>
      <c r="X40" s="204" t="n">
        <v>0.2</v>
      </c>
      <c r="Y40" s="204" t="n">
        <v>9.7</v>
      </c>
    </row>
    <row r="41" customFormat="false" ht="12.75" hidden="false" customHeight="false" outlineLevel="0" collapsed="false">
      <c r="A41" s="215" t="n">
        <v>40460</v>
      </c>
      <c r="B41" s="213" t="n">
        <v>34.9</v>
      </c>
      <c r="C41" s="213" t="n">
        <f aca="false">AVERAGEIFS($B$33:$B$1494,$A$33:$A$1494,A41)</f>
        <v>34.8333333333333</v>
      </c>
      <c r="D41" s="213" t="n">
        <v>33.4</v>
      </c>
      <c r="E41" s="213" t="n">
        <f aca="false">AVERAGEIFS($D$33:$D$1494,$A$33:$A$1494,A41)</f>
        <v>33.4</v>
      </c>
      <c r="F41" s="213" t="n">
        <v>18.2</v>
      </c>
      <c r="G41" s="213" t="n">
        <f aca="false">AVERAGEIFS($F$33:$F$1494,$A$33:$A$1494,A41)</f>
        <v>19.15</v>
      </c>
      <c r="H41" s="213" t="n">
        <v>18.4</v>
      </c>
      <c r="I41" s="213" t="n">
        <f aca="false">AVERAGEIFS($H$33:$H$1494,$A$33:$A$1494,A41)</f>
        <v>18.4666666666667</v>
      </c>
      <c r="L41" s="215" t="n">
        <v>40460</v>
      </c>
      <c r="M41" s="213" t="n">
        <v>34.8333333333333</v>
      </c>
      <c r="N41" s="213" t="n">
        <v>33.4</v>
      </c>
      <c r="O41" s="213" t="n">
        <v>19.15</v>
      </c>
      <c r="P41" s="213" t="n">
        <v>18.4666666666667</v>
      </c>
      <c r="S41" s="215" t="n">
        <v>40468</v>
      </c>
      <c r="T41" s="213" t="n">
        <v>42.3333333333333</v>
      </c>
      <c r="U41" s="213" t="n">
        <v>44.3166666666667</v>
      </c>
      <c r="V41" s="213" t="n">
        <v>11.9166666666667</v>
      </c>
      <c r="W41" s="213" t="n">
        <v>13.2166666666667</v>
      </c>
      <c r="X41" s="204" t="n">
        <v>0</v>
      </c>
      <c r="Y41" s="204" t="n">
        <v>9.2</v>
      </c>
    </row>
    <row r="42" customFormat="false" ht="12.75" hidden="false" customHeight="false" outlineLevel="0" collapsed="false">
      <c r="A42" s="215" t="n">
        <v>40460</v>
      </c>
      <c r="B42" s="213" t="n">
        <v>34.8</v>
      </c>
      <c r="C42" s="213" t="n">
        <f aca="false">AVERAGEIFS($B$33:$B$1494,$A$33:$A$1494,A42)</f>
        <v>34.8333333333333</v>
      </c>
      <c r="D42" s="213" t="n">
        <v>33.4</v>
      </c>
      <c r="E42" s="213" t="n">
        <f aca="false">AVERAGEIFS($D$33:$D$1494,$A$33:$A$1494,A42)</f>
        <v>33.4</v>
      </c>
      <c r="F42" s="213" t="n">
        <v>18.7</v>
      </c>
      <c r="G42" s="213" t="n">
        <f aca="false">AVERAGEIFS($F$33:$F$1494,$A$33:$A$1494,A42)</f>
        <v>19.15</v>
      </c>
      <c r="H42" s="213" t="n">
        <v>18.3</v>
      </c>
      <c r="I42" s="213" t="n">
        <f aca="false">AVERAGEIFS($H$33:$H$1494,$A$33:$A$1494,A42)</f>
        <v>18.4666666666667</v>
      </c>
      <c r="L42" s="215" t="n">
        <v>40460</v>
      </c>
      <c r="M42" s="213" t="n">
        <v>34.8333333333333</v>
      </c>
      <c r="N42" s="213" t="n">
        <v>33.4</v>
      </c>
      <c r="O42" s="213" t="n">
        <v>19.15</v>
      </c>
      <c r="P42" s="213" t="n">
        <v>18.4666666666667</v>
      </c>
      <c r="S42" s="215" t="n">
        <v>40469</v>
      </c>
      <c r="T42" s="213" t="n">
        <v>42.1833333333333</v>
      </c>
      <c r="U42" s="213" t="n">
        <v>43.9666666666667</v>
      </c>
      <c r="V42" s="213" t="n">
        <v>10.7166666666667</v>
      </c>
      <c r="W42" s="213" t="n">
        <v>12.55</v>
      </c>
      <c r="X42" s="204" t="n">
        <v>0</v>
      </c>
      <c r="Y42" s="204" t="n">
        <v>6.7</v>
      </c>
    </row>
    <row r="43" customFormat="false" ht="12.75" hidden="false" customHeight="false" outlineLevel="0" collapsed="false">
      <c r="A43" s="215" t="n">
        <v>40460</v>
      </c>
      <c r="B43" s="213" t="n">
        <v>34.8</v>
      </c>
      <c r="C43" s="213" t="n">
        <f aca="false">AVERAGEIFS($B$33:$B$1494,$A$33:$A$1494,A43)</f>
        <v>34.8333333333333</v>
      </c>
      <c r="D43" s="213" t="n">
        <v>33.4</v>
      </c>
      <c r="E43" s="213" t="n">
        <f aca="false">AVERAGEIFS($D$33:$D$1494,$A$33:$A$1494,A43)</f>
        <v>33.4</v>
      </c>
      <c r="F43" s="213" t="n">
        <v>20.1</v>
      </c>
      <c r="G43" s="213" t="n">
        <f aca="false">AVERAGEIFS($F$33:$F$1494,$A$33:$A$1494,A43)</f>
        <v>19.15</v>
      </c>
      <c r="H43" s="213" t="n">
        <v>18.3</v>
      </c>
      <c r="I43" s="213" t="n">
        <f aca="false">AVERAGEIFS($H$33:$H$1494,$A$33:$A$1494,A43)</f>
        <v>18.4666666666667</v>
      </c>
      <c r="L43" s="215" t="n">
        <v>40460</v>
      </c>
      <c r="M43" s="213" t="n">
        <v>34.8333333333333</v>
      </c>
      <c r="N43" s="213" t="n">
        <v>33.4</v>
      </c>
      <c r="O43" s="213" t="n">
        <v>19.15</v>
      </c>
      <c r="P43" s="213" t="n">
        <v>18.4666666666667</v>
      </c>
      <c r="S43" s="215" t="n">
        <v>40470</v>
      </c>
      <c r="T43" s="213" t="n">
        <v>41.5666666666667</v>
      </c>
      <c r="U43" s="213" t="n">
        <v>43.7166666666667</v>
      </c>
      <c r="V43" s="213" t="n">
        <v>10.1166666666667</v>
      </c>
      <c r="W43" s="213" t="n">
        <v>11.6833333333333</v>
      </c>
      <c r="X43" s="204" t="n">
        <v>0</v>
      </c>
      <c r="Y43" s="204" t="n">
        <v>10.6</v>
      </c>
    </row>
    <row r="44" customFormat="false" ht="12.75" hidden="false" customHeight="false" outlineLevel="0" collapsed="false">
      <c r="A44" s="215" t="n">
        <v>40460</v>
      </c>
      <c r="B44" s="213" t="n">
        <v>34.8</v>
      </c>
      <c r="C44" s="213" t="n">
        <f aca="false">AVERAGEIFS($B$33:$B$1494,$A$33:$A$1494,A44)</f>
        <v>34.8333333333333</v>
      </c>
      <c r="D44" s="213" t="n">
        <v>33.4</v>
      </c>
      <c r="E44" s="213" t="n">
        <f aca="false">AVERAGEIFS($D$33:$D$1494,$A$33:$A$1494,A44)</f>
        <v>33.4</v>
      </c>
      <c r="F44" s="213" t="n">
        <v>19.7</v>
      </c>
      <c r="G44" s="213" t="n">
        <f aca="false">AVERAGEIFS($F$33:$F$1494,$A$33:$A$1494,A44)</f>
        <v>19.15</v>
      </c>
      <c r="H44" s="213" t="n">
        <v>18.5</v>
      </c>
      <c r="I44" s="213" t="n">
        <f aca="false">AVERAGEIFS($H$33:$H$1494,$A$33:$A$1494,A44)</f>
        <v>18.4666666666667</v>
      </c>
      <c r="L44" s="215" t="n">
        <v>40460</v>
      </c>
      <c r="M44" s="213" t="n">
        <v>34.8333333333333</v>
      </c>
      <c r="N44" s="213" t="n">
        <v>33.4</v>
      </c>
      <c r="O44" s="213" t="n">
        <v>19.15</v>
      </c>
      <c r="P44" s="213" t="n">
        <v>18.4666666666667</v>
      </c>
      <c r="S44" s="215" t="n">
        <v>40471</v>
      </c>
      <c r="T44" s="213" t="n">
        <v>41.2</v>
      </c>
      <c r="U44" s="213" t="n">
        <v>43.4833333333333</v>
      </c>
      <c r="V44" s="213" t="n">
        <v>11.7166666666667</v>
      </c>
      <c r="W44" s="213" t="n">
        <v>12.1833333333333</v>
      </c>
      <c r="X44" s="204" t="n">
        <v>0.2</v>
      </c>
      <c r="Y44" s="204" t="n">
        <v>11.2</v>
      </c>
    </row>
    <row r="45" customFormat="false" ht="12.75" hidden="false" customHeight="false" outlineLevel="0" collapsed="false">
      <c r="A45" s="215" t="n">
        <v>40461</v>
      </c>
      <c r="B45" s="213" t="n">
        <v>34.8</v>
      </c>
      <c r="C45" s="213" t="n">
        <f aca="false">AVERAGEIFS($B$33:$B$1494,$A$33:$A$1494,A45)</f>
        <v>48.9166666666667</v>
      </c>
      <c r="D45" s="213" t="n">
        <v>33.4</v>
      </c>
      <c r="E45" s="213" t="n">
        <f aca="false">AVERAGEIFS($D$33:$D$1494,$A$33:$A$1494,A45)</f>
        <v>45.5666666666667</v>
      </c>
      <c r="F45" s="213" t="n">
        <v>19.2</v>
      </c>
      <c r="G45" s="213" t="n">
        <f aca="false">AVERAGEIFS($F$33:$F$1494,$A$33:$A$1494,A45)</f>
        <v>18.0333333333333</v>
      </c>
      <c r="H45" s="213" t="n">
        <v>18.6</v>
      </c>
      <c r="I45" s="213" t="n">
        <f aca="false">AVERAGEIFS($H$33:$H$1494,$A$33:$A$1494,A45)</f>
        <v>18.25</v>
      </c>
      <c r="L45" s="215" t="n">
        <v>40461</v>
      </c>
      <c r="M45" s="213" t="n">
        <v>48.9166666666667</v>
      </c>
      <c r="N45" s="213" t="n">
        <v>45.5666666666667</v>
      </c>
      <c r="O45" s="213" t="n">
        <v>18.0333333333333</v>
      </c>
      <c r="P45" s="213" t="n">
        <v>18.25</v>
      </c>
      <c r="S45" s="215" t="n">
        <v>40472</v>
      </c>
      <c r="T45" s="213" t="n">
        <v>40.8166666666667</v>
      </c>
      <c r="U45" s="213" t="n">
        <v>43.2333333333333</v>
      </c>
      <c r="V45" s="213" t="n">
        <v>10.85</v>
      </c>
      <c r="W45" s="213" t="n">
        <v>12.0833333333333</v>
      </c>
      <c r="X45" s="204" t="n">
        <v>0</v>
      </c>
      <c r="Y45" s="204" t="n">
        <v>8.4</v>
      </c>
    </row>
    <row r="46" customFormat="false" ht="12.75" hidden="false" customHeight="false" outlineLevel="0" collapsed="false">
      <c r="A46" s="215" t="n">
        <v>40461</v>
      </c>
      <c r="B46" s="213" t="n">
        <v>34.8</v>
      </c>
      <c r="C46" s="213" t="n">
        <f aca="false">AVERAGEIFS($B$33:$B$1494,$A$33:$A$1494,A46)</f>
        <v>48.9166666666667</v>
      </c>
      <c r="D46" s="213" t="n">
        <v>33.4</v>
      </c>
      <c r="E46" s="213" t="n">
        <f aca="false">AVERAGEIFS($D$33:$D$1494,$A$33:$A$1494,A46)</f>
        <v>45.5666666666667</v>
      </c>
      <c r="F46" s="213" t="n">
        <v>18.7</v>
      </c>
      <c r="G46" s="213" t="n">
        <f aca="false">AVERAGEIFS($F$33:$F$1494,$A$33:$A$1494,A46)</f>
        <v>18.0333333333333</v>
      </c>
      <c r="H46" s="213" t="n">
        <v>18.5</v>
      </c>
      <c r="I46" s="213" t="n">
        <f aca="false">AVERAGEIFS($H$33:$H$1494,$A$33:$A$1494,A46)</f>
        <v>18.25</v>
      </c>
      <c r="L46" s="215" t="n">
        <v>40461</v>
      </c>
      <c r="M46" s="213" t="n">
        <v>48.9166666666667</v>
      </c>
      <c r="N46" s="213" t="n">
        <v>45.5666666666667</v>
      </c>
      <c r="O46" s="213" t="n">
        <v>18.0333333333333</v>
      </c>
      <c r="P46" s="213" t="n">
        <v>18.25</v>
      </c>
      <c r="S46" s="215" t="n">
        <v>40473</v>
      </c>
      <c r="T46" s="213" t="n">
        <v>40.4166666666667</v>
      </c>
      <c r="U46" s="213" t="n">
        <v>43.0166666666667</v>
      </c>
      <c r="V46" s="213" t="n">
        <v>10.6833333333333</v>
      </c>
      <c r="W46" s="213" t="n">
        <v>11.7333333333333</v>
      </c>
      <c r="X46" s="204" t="n">
        <v>0</v>
      </c>
      <c r="Y46" s="204" t="n">
        <v>11.5</v>
      </c>
    </row>
    <row r="47" customFormat="false" ht="12.75" hidden="false" customHeight="false" outlineLevel="0" collapsed="false">
      <c r="A47" s="215" t="n">
        <v>40461</v>
      </c>
      <c r="B47" s="213" t="n">
        <v>34.9</v>
      </c>
      <c r="C47" s="213" t="n">
        <f aca="false">AVERAGEIFS($B$33:$B$1494,$A$33:$A$1494,A47)</f>
        <v>48.9166666666667</v>
      </c>
      <c r="D47" s="213" t="n">
        <v>33.5</v>
      </c>
      <c r="E47" s="213" t="n">
        <f aca="false">AVERAGEIFS($D$33:$D$1494,$A$33:$A$1494,A47)</f>
        <v>45.5666666666667</v>
      </c>
      <c r="F47" s="213" t="n">
        <v>18</v>
      </c>
      <c r="G47" s="213" t="n">
        <f aca="false">AVERAGEIFS($F$33:$F$1494,$A$33:$A$1494,A47)</f>
        <v>18.0333333333333</v>
      </c>
      <c r="H47" s="213" t="n">
        <v>18.4</v>
      </c>
      <c r="I47" s="213" t="n">
        <f aca="false">AVERAGEIFS($H$33:$H$1494,$A$33:$A$1494,A47)</f>
        <v>18.25</v>
      </c>
      <c r="L47" s="215" t="n">
        <v>40461</v>
      </c>
      <c r="M47" s="213" t="n">
        <v>48.9166666666667</v>
      </c>
      <c r="N47" s="213" t="n">
        <v>45.5666666666667</v>
      </c>
      <c r="O47" s="213" t="n">
        <v>18.0333333333333</v>
      </c>
      <c r="P47" s="213" t="n">
        <v>18.25</v>
      </c>
      <c r="S47" s="215" t="n">
        <v>40474</v>
      </c>
      <c r="T47" s="213" t="n">
        <v>39.9166666666667</v>
      </c>
      <c r="U47" s="213" t="n">
        <v>42.8</v>
      </c>
      <c r="V47" s="213" t="n">
        <v>12.4</v>
      </c>
      <c r="W47" s="213" t="n">
        <v>12.2666666666667</v>
      </c>
      <c r="X47" s="204" t="n">
        <v>1.8</v>
      </c>
      <c r="Y47" s="204" t="n">
        <v>12.9</v>
      </c>
    </row>
    <row r="48" customFormat="false" ht="12.75" hidden="false" customHeight="false" outlineLevel="0" collapsed="false">
      <c r="A48" s="215" t="n">
        <v>40461</v>
      </c>
      <c r="B48" s="213" t="n">
        <v>56.6</v>
      </c>
      <c r="C48" s="213" t="n">
        <f aca="false">AVERAGEIFS($B$33:$B$1494,$A$33:$A$1494,A48)</f>
        <v>48.9166666666667</v>
      </c>
      <c r="D48" s="213" t="n">
        <v>35.7</v>
      </c>
      <c r="E48" s="213" t="n">
        <f aca="false">AVERAGEIFS($D$33:$D$1494,$A$33:$A$1494,A48)</f>
        <v>45.5666666666667</v>
      </c>
      <c r="F48" s="213" t="n">
        <v>17.7</v>
      </c>
      <c r="G48" s="213" t="n">
        <f aca="false">AVERAGEIFS($F$33:$F$1494,$A$33:$A$1494,A48)</f>
        <v>18.0333333333333</v>
      </c>
      <c r="H48" s="213" t="n">
        <v>18.2</v>
      </c>
      <c r="I48" s="213" t="n">
        <f aca="false">AVERAGEIFS($H$33:$H$1494,$A$33:$A$1494,A48)</f>
        <v>18.25</v>
      </c>
      <c r="L48" s="215" t="n">
        <v>40461</v>
      </c>
      <c r="M48" s="213" t="n">
        <v>48.9166666666667</v>
      </c>
      <c r="N48" s="213" t="n">
        <v>45.5666666666667</v>
      </c>
      <c r="O48" s="213" t="n">
        <v>18.0333333333333</v>
      </c>
      <c r="P48" s="213" t="n">
        <v>18.25</v>
      </c>
      <c r="S48" s="215" t="n">
        <v>40475</v>
      </c>
      <c r="T48" s="213" t="n">
        <v>41.4833333333333</v>
      </c>
      <c r="U48" s="213" t="n">
        <v>43.1166666666667</v>
      </c>
      <c r="V48" s="213" t="n">
        <v>12.6</v>
      </c>
      <c r="W48" s="213" t="n">
        <v>12.8333333333333</v>
      </c>
      <c r="X48" s="204" t="n">
        <v>11.1</v>
      </c>
      <c r="Y48" s="204" t="n">
        <v>11.1</v>
      </c>
    </row>
    <row r="49" customFormat="false" ht="12.75" hidden="false" customHeight="false" outlineLevel="0" collapsed="false">
      <c r="A49" s="215" t="n">
        <v>40461</v>
      </c>
      <c r="B49" s="213" t="n">
        <v>65.7</v>
      </c>
      <c r="C49" s="213" t="n">
        <f aca="false">AVERAGEIFS($B$33:$B$1494,$A$33:$A$1494,A49)</f>
        <v>48.9166666666667</v>
      </c>
      <c r="D49" s="213" t="n">
        <v>68.5</v>
      </c>
      <c r="E49" s="213" t="n">
        <f aca="false">AVERAGEIFS($D$33:$D$1494,$A$33:$A$1494,A49)</f>
        <v>45.5666666666667</v>
      </c>
      <c r="F49" s="213" t="n">
        <v>17.5</v>
      </c>
      <c r="G49" s="213" t="n">
        <f aca="false">AVERAGEIFS($F$33:$F$1494,$A$33:$A$1494,A49)</f>
        <v>18.0333333333333</v>
      </c>
      <c r="H49" s="213" t="n">
        <v>18</v>
      </c>
      <c r="I49" s="213" t="n">
        <f aca="false">AVERAGEIFS($H$33:$H$1494,$A$33:$A$1494,A49)</f>
        <v>18.25</v>
      </c>
      <c r="L49" s="215" t="n">
        <v>40461</v>
      </c>
      <c r="M49" s="213" t="n">
        <v>48.9166666666667</v>
      </c>
      <c r="N49" s="213" t="n">
        <v>45.5666666666667</v>
      </c>
      <c r="O49" s="213" t="n">
        <v>18.0333333333333</v>
      </c>
      <c r="P49" s="213" t="n">
        <v>18.25</v>
      </c>
      <c r="S49" s="215" t="n">
        <v>40476</v>
      </c>
      <c r="T49" s="213" t="n">
        <v>44.7833333333333</v>
      </c>
      <c r="U49" s="213" t="n">
        <v>44.45</v>
      </c>
      <c r="V49" s="213" t="n">
        <v>11.0833333333333</v>
      </c>
      <c r="W49" s="213" t="n">
        <v>12.3</v>
      </c>
      <c r="X49" s="204" t="n">
        <v>0</v>
      </c>
      <c r="Y49" s="204" t="n">
        <v>8.4</v>
      </c>
    </row>
    <row r="50" customFormat="false" ht="12.75" hidden="false" customHeight="false" outlineLevel="0" collapsed="false">
      <c r="A50" s="215" t="n">
        <v>40461</v>
      </c>
      <c r="B50" s="213" t="n">
        <v>66.7</v>
      </c>
      <c r="C50" s="213" t="n">
        <f aca="false">AVERAGEIFS($B$33:$B$1494,$A$33:$A$1494,A50)</f>
        <v>48.9166666666667</v>
      </c>
      <c r="D50" s="213" t="n">
        <v>68.9</v>
      </c>
      <c r="E50" s="213" t="n">
        <f aca="false">AVERAGEIFS($D$33:$D$1494,$A$33:$A$1494,A50)</f>
        <v>45.5666666666667</v>
      </c>
      <c r="F50" s="213" t="n">
        <v>17.1</v>
      </c>
      <c r="G50" s="213" t="n">
        <f aca="false">AVERAGEIFS($F$33:$F$1494,$A$33:$A$1494,A50)</f>
        <v>18.0333333333333</v>
      </c>
      <c r="H50" s="213" t="n">
        <v>17.8</v>
      </c>
      <c r="I50" s="213" t="n">
        <f aca="false">AVERAGEIFS($H$33:$H$1494,$A$33:$A$1494,A50)</f>
        <v>18.25</v>
      </c>
      <c r="L50" s="215" t="n">
        <v>40461</v>
      </c>
      <c r="M50" s="213" t="n">
        <v>48.9166666666667</v>
      </c>
      <c r="N50" s="213" t="n">
        <v>45.5666666666667</v>
      </c>
      <c r="O50" s="213" t="n">
        <v>18.0333333333333</v>
      </c>
      <c r="P50" s="213" t="n">
        <v>18.25</v>
      </c>
      <c r="S50" s="215" t="n">
        <v>40477</v>
      </c>
      <c r="T50" s="213" t="n">
        <v>43.65</v>
      </c>
      <c r="U50" s="213" t="n">
        <v>43.85</v>
      </c>
      <c r="V50" s="213" t="n">
        <v>9.25</v>
      </c>
      <c r="W50" s="213" t="n">
        <v>11.05</v>
      </c>
      <c r="X50" s="204" t="n">
        <v>0</v>
      </c>
      <c r="Y50" s="204" t="n">
        <v>7.1</v>
      </c>
    </row>
    <row r="51" customFormat="false" ht="12.75" hidden="false" customHeight="false" outlineLevel="0" collapsed="false">
      <c r="A51" s="215" t="n">
        <v>40462</v>
      </c>
      <c r="B51" s="213" t="n">
        <v>67.8</v>
      </c>
      <c r="C51" s="213" t="n">
        <f aca="false">AVERAGEIFS($B$33:$B$1494,$A$33:$A$1494,A51)</f>
        <v>68.1166666666667</v>
      </c>
      <c r="D51" s="213" t="n">
        <v>69.2</v>
      </c>
      <c r="E51" s="213" t="n">
        <f aca="false">AVERAGEIFS($D$33:$D$1494,$A$33:$A$1494,A51)</f>
        <v>69.7</v>
      </c>
      <c r="F51" s="213" t="n">
        <v>16.6</v>
      </c>
      <c r="G51" s="213" t="n">
        <f aca="false">AVERAGEIFS($F$33:$F$1494,$A$33:$A$1494,A51)</f>
        <v>16.45</v>
      </c>
      <c r="H51" s="213" t="n">
        <v>17.5</v>
      </c>
      <c r="I51" s="213" t="n">
        <f aca="false">AVERAGEIFS($H$33:$H$1494,$A$33:$A$1494,A51)</f>
        <v>17</v>
      </c>
      <c r="L51" s="215" t="n">
        <v>40462</v>
      </c>
      <c r="M51" s="213" t="n">
        <v>68.1166666666667</v>
      </c>
      <c r="N51" s="213" t="n">
        <v>69.7</v>
      </c>
      <c r="O51" s="213" t="n">
        <v>16.45</v>
      </c>
      <c r="P51" s="213" t="n">
        <v>17</v>
      </c>
      <c r="S51" s="215" t="n">
        <v>40478</v>
      </c>
      <c r="T51" s="213" t="n">
        <v>42.65</v>
      </c>
      <c r="U51" s="213" t="n">
        <v>43.4</v>
      </c>
      <c r="V51" s="213" t="n">
        <v>8.88333333333333</v>
      </c>
      <c r="W51" s="213" t="n">
        <v>10.3166666666667</v>
      </c>
      <c r="X51" s="204" t="n">
        <v>0</v>
      </c>
      <c r="Y51" s="204" t="n">
        <v>7.5</v>
      </c>
    </row>
    <row r="52" customFormat="false" ht="12.75" hidden="false" customHeight="false" outlineLevel="0" collapsed="false">
      <c r="A52" s="215" t="n">
        <v>40462</v>
      </c>
      <c r="B52" s="213" t="n">
        <v>68.1</v>
      </c>
      <c r="C52" s="213" t="n">
        <f aca="false">AVERAGEIFS($B$33:$B$1494,$A$33:$A$1494,A52)</f>
        <v>68.1166666666667</v>
      </c>
      <c r="D52" s="213" t="n">
        <v>69.5</v>
      </c>
      <c r="E52" s="213" t="n">
        <f aca="false">AVERAGEIFS($D$33:$D$1494,$A$33:$A$1494,A52)</f>
        <v>69.7</v>
      </c>
      <c r="F52" s="213" t="n">
        <v>16.3</v>
      </c>
      <c r="G52" s="213" t="n">
        <f aca="false">AVERAGEIFS($F$33:$F$1494,$A$33:$A$1494,A52)</f>
        <v>16.45</v>
      </c>
      <c r="H52" s="213" t="n">
        <v>17.2</v>
      </c>
      <c r="I52" s="213" t="n">
        <f aca="false">AVERAGEIFS($H$33:$H$1494,$A$33:$A$1494,A52)</f>
        <v>17</v>
      </c>
      <c r="L52" s="215" t="n">
        <v>40462</v>
      </c>
      <c r="M52" s="213" t="n">
        <v>68.1166666666667</v>
      </c>
      <c r="N52" s="213" t="n">
        <v>69.7</v>
      </c>
      <c r="O52" s="213" t="n">
        <v>16.45</v>
      </c>
      <c r="P52" s="213" t="n">
        <v>17</v>
      </c>
      <c r="S52" s="215" t="n">
        <v>40479</v>
      </c>
      <c r="T52" s="213" t="n">
        <v>42.2</v>
      </c>
      <c r="U52" s="213" t="n">
        <v>43.4333333333333</v>
      </c>
      <c r="V52" s="213" t="n">
        <v>9.8</v>
      </c>
      <c r="W52" s="213" t="n">
        <v>10.5</v>
      </c>
      <c r="X52" s="204" t="n">
        <v>0</v>
      </c>
      <c r="Y52" s="204" t="n">
        <v>9.6</v>
      </c>
    </row>
    <row r="53" customFormat="false" ht="12.75" hidden="false" customHeight="false" outlineLevel="0" collapsed="false">
      <c r="A53" s="215" t="n">
        <v>40462</v>
      </c>
      <c r="B53" s="213" t="n">
        <v>68.3</v>
      </c>
      <c r="C53" s="213" t="n">
        <f aca="false">AVERAGEIFS($B$33:$B$1494,$A$33:$A$1494,A53)</f>
        <v>68.1166666666667</v>
      </c>
      <c r="D53" s="213" t="n">
        <v>69.7</v>
      </c>
      <c r="E53" s="213" t="n">
        <f aca="false">AVERAGEIFS($D$33:$D$1494,$A$33:$A$1494,A53)</f>
        <v>69.7</v>
      </c>
      <c r="F53" s="213" t="n">
        <v>16.1</v>
      </c>
      <c r="G53" s="213" t="n">
        <f aca="false">AVERAGEIFS($F$33:$F$1494,$A$33:$A$1494,A53)</f>
        <v>16.45</v>
      </c>
      <c r="H53" s="213" t="n">
        <v>17</v>
      </c>
      <c r="I53" s="213" t="n">
        <f aca="false">AVERAGEIFS($H$33:$H$1494,$A$33:$A$1494,A53)</f>
        <v>17</v>
      </c>
      <c r="L53" s="215" t="n">
        <v>40462</v>
      </c>
      <c r="M53" s="213" t="n">
        <v>68.1166666666667</v>
      </c>
      <c r="N53" s="213" t="n">
        <v>69.7</v>
      </c>
      <c r="O53" s="213" t="n">
        <v>16.45</v>
      </c>
      <c r="P53" s="213" t="n">
        <v>17</v>
      </c>
      <c r="S53" s="215" t="n">
        <v>40480</v>
      </c>
      <c r="T53" s="213" t="n">
        <v>41.8666666666667</v>
      </c>
      <c r="U53" s="213" t="n">
        <v>43.3166666666667</v>
      </c>
      <c r="V53" s="213" t="n">
        <v>11.05</v>
      </c>
      <c r="W53" s="213" t="n">
        <v>11.0833333333333</v>
      </c>
      <c r="X53" s="204" t="n">
        <v>0</v>
      </c>
      <c r="Y53" s="204" t="n">
        <v>15.2</v>
      </c>
    </row>
    <row r="54" customFormat="false" ht="12.75" hidden="false" customHeight="false" outlineLevel="0" collapsed="false">
      <c r="A54" s="215" t="n">
        <v>40462</v>
      </c>
      <c r="B54" s="213" t="n">
        <v>68.3</v>
      </c>
      <c r="C54" s="213" t="n">
        <f aca="false">AVERAGEIFS($B$33:$B$1494,$A$33:$A$1494,A54)</f>
        <v>68.1166666666667</v>
      </c>
      <c r="D54" s="213" t="n">
        <v>69.9</v>
      </c>
      <c r="E54" s="213" t="n">
        <f aca="false">AVERAGEIFS($D$33:$D$1494,$A$33:$A$1494,A54)</f>
        <v>69.7</v>
      </c>
      <c r="F54" s="213" t="n">
        <v>16.3</v>
      </c>
      <c r="G54" s="213" t="n">
        <f aca="false">AVERAGEIFS($F$33:$F$1494,$A$33:$A$1494,A54)</f>
        <v>16.45</v>
      </c>
      <c r="H54" s="213" t="n">
        <v>16.8</v>
      </c>
      <c r="I54" s="213" t="n">
        <f aca="false">AVERAGEIFS($H$33:$H$1494,$A$33:$A$1494,A54)</f>
        <v>17</v>
      </c>
      <c r="L54" s="215" t="n">
        <v>40462</v>
      </c>
      <c r="M54" s="213" t="n">
        <v>68.1166666666667</v>
      </c>
      <c r="N54" s="213" t="n">
        <v>69.7</v>
      </c>
      <c r="O54" s="213" t="n">
        <v>16.45</v>
      </c>
      <c r="P54" s="213" t="n">
        <v>17</v>
      </c>
      <c r="S54" s="215" t="n">
        <v>40481</v>
      </c>
      <c r="T54" s="213" t="n">
        <v>41.5166666666667</v>
      </c>
      <c r="U54" s="213" t="n">
        <v>43.2333333333333</v>
      </c>
      <c r="V54" s="213" t="n">
        <v>12.35</v>
      </c>
      <c r="W54" s="213" t="n">
        <v>11.9166666666667</v>
      </c>
      <c r="X54" s="204" t="n">
        <v>0</v>
      </c>
      <c r="Y54" s="204" t="n">
        <v>13.1</v>
      </c>
    </row>
    <row r="55" customFormat="false" ht="12.75" hidden="false" customHeight="false" outlineLevel="0" collapsed="false">
      <c r="A55" s="215" t="n">
        <v>40462</v>
      </c>
      <c r="B55" s="213" t="n">
        <v>68.1</v>
      </c>
      <c r="C55" s="213" t="n">
        <f aca="false">AVERAGEIFS($B$33:$B$1494,$A$33:$A$1494,A55)</f>
        <v>68.1166666666667</v>
      </c>
      <c r="D55" s="213" t="n">
        <v>69.9</v>
      </c>
      <c r="E55" s="213" t="n">
        <f aca="false">AVERAGEIFS($D$33:$D$1494,$A$33:$A$1494,A55)</f>
        <v>69.7</v>
      </c>
      <c r="F55" s="213" t="n">
        <v>16.9</v>
      </c>
      <c r="G55" s="213" t="n">
        <f aca="false">AVERAGEIFS($F$33:$F$1494,$A$33:$A$1494,A55)</f>
        <v>16.45</v>
      </c>
      <c r="H55" s="213" t="n">
        <v>16.7</v>
      </c>
      <c r="I55" s="213" t="n">
        <f aca="false">AVERAGEIFS($H$33:$H$1494,$A$33:$A$1494,A55)</f>
        <v>17</v>
      </c>
      <c r="L55" s="215" t="n">
        <v>40462</v>
      </c>
      <c r="M55" s="213" t="n">
        <v>68.1166666666667</v>
      </c>
      <c r="N55" s="213" t="n">
        <v>69.7</v>
      </c>
      <c r="O55" s="213" t="n">
        <v>16.45</v>
      </c>
      <c r="P55" s="213" t="n">
        <v>17</v>
      </c>
      <c r="S55" s="215" t="n">
        <v>40482</v>
      </c>
      <c r="T55" s="213" t="n">
        <v>41.3833333333333</v>
      </c>
      <c r="U55" s="213" t="n">
        <v>43.0333333333333</v>
      </c>
      <c r="V55" s="213" t="n">
        <v>11.4666666666667</v>
      </c>
      <c r="W55" s="213" t="n">
        <v>11.9333333333333</v>
      </c>
      <c r="X55" s="204" t="n">
        <v>4.6</v>
      </c>
      <c r="Y55" s="204" t="n">
        <v>10.9</v>
      </c>
    </row>
    <row r="56" customFormat="false" ht="12.75" hidden="false" customHeight="false" outlineLevel="0" collapsed="false">
      <c r="A56" s="215" t="n">
        <v>40462</v>
      </c>
      <c r="B56" s="213" t="n">
        <v>68.1</v>
      </c>
      <c r="C56" s="213" t="n">
        <f aca="false">AVERAGEIFS($B$33:$B$1494,$A$33:$A$1494,A56)</f>
        <v>68.1166666666667</v>
      </c>
      <c r="D56" s="213" t="n">
        <v>70</v>
      </c>
      <c r="E56" s="213" t="n">
        <f aca="false">AVERAGEIFS($D$33:$D$1494,$A$33:$A$1494,A56)</f>
        <v>69.7</v>
      </c>
      <c r="F56" s="213" t="n">
        <v>16.5</v>
      </c>
      <c r="G56" s="213" t="n">
        <f aca="false">AVERAGEIFS($F$33:$F$1494,$A$33:$A$1494,A56)</f>
        <v>16.45</v>
      </c>
      <c r="H56" s="213" t="n">
        <v>16.8</v>
      </c>
      <c r="I56" s="213" t="n">
        <f aca="false">AVERAGEIFS($H$33:$H$1494,$A$33:$A$1494,A56)</f>
        <v>17</v>
      </c>
      <c r="L56" s="215" t="n">
        <v>40462</v>
      </c>
      <c r="M56" s="213" t="n">
        <v>68.1166666666667</v>
      </c>
      <c r="N56" s="213" t="n">
        <v>69.7</v>
      </c>
      <c r="O56" s="213" t="n">
        <v>16.45</v>
      </c>
      <c r="P56" s="213" t="n">
        <v>17</v>
      </c>
      <c r="S56" s="215" t="n">
        <v>40483</v>
      </c>
      <c r="T56" s="213" t="n">
        <v>42.4166666666667</v>
      </c>
      <c r="U56" s="213" t="n">
        <v>43.05</v>
      </c>
      <c r="V56" s="213" t="n">
        <v>11.7166666666667</v>
      </c>
      <c r="W56" s="213" t="n">
        <v>11.8166666666667</v>
      </c>
      <c r="X56" s="204" t="n">
        <v>4.5</v>
      </c>
      <c r="Y56" s="204" t="n">
        <v>12</v>
      </c>
    </row>
    <row r="57" customFormat="false" ht="12.75" hidden="false" customHeight="false" outlineLevel="0" collapsed="false">
      <c r="A57" s="215" t="n">
        <v>40463</v>
      </c>
      <c r="B57" s="213" t="n">
        <v>53.5</v>
      </c>
      <c r="C57" s="213" t="n">
        <f aca="false">AVERAGEIFS($B$33:$B$1494,$A$33:$A$1494,A57)</f>
        <v>48.2166666666667</v>
      </c>
      <c r="D57" s="213" t="n">
        <v>70</v>
      </c>
      <c r="E57" s="213" t="n">
        <f aca="false">AVERAGEIFS($D$33:$D$1494,$A$33:$A$1494,A57)</f>
        <v>62.8166666666667</v>
      </c>
      <c r="F57" s="213" t="n">
        <v>15.8</v>
      </c>
      <c r="G57" s="213" t="n">
        <f aca="false">AVERAGEIFS($F$33:$F$1494,$A$33:$A$1494,A57)</f>
        <v>15.9166666666667</v>
      </c>
      <c r="H57" s="213" t="n">
        <v>16.7</v>
      </c>
      <c r="I57" s="213" t="n">
        <f aca="false">AVERAGEIFS($H$33:$H$1494,$A$33:$A$1494,A57)</f>
        <v>16.3333333333333</v>
      </c>
      <c r="L57" s="215" t="n">
        <v>40463</v>
      </c>
      <c r="M57" s="213" t="n">
        <v>48.2166666666667</v>
      </c>
      <c r="N57" s="213" t="n">
        <v>62.8166666666667</v>
      </c>
      <c r="O57" s="213" t="n">
        <v>15.9166666666667</v>
      </c>
      <c r="P57" s="213" t="n">
        <v>16.3333333333333</v>
      </c>
      <c r="S57" s="215" t="n">
        <v>40484</v>
      </c>
      <c r="T57" s="213" t="n">
        <v>43.1166666666667</v>
      </c>
      <c r="U57" s="213" t="n">
        <v>43.6</v>
      </c>
      <c r="V57" s="213" t="n">
        <v>12.15</v>
      </c>
      <c r="W57" s="213" t="n">
        <v>11.9833333333333</v>
      </c>
      <c r="X57" s="204" t="n">
        <v>0</v>
      </c>
      <c r="Y57" s="204" t="n">
        <v>12.9</v>
      </c>
    </row>
    <row r="58" customFormat="false" ht="12.75" hidden="false" customHeight="false" outlineLevel="0" collapsed="false">
      <c r="A58" s="215" t="n">
        <v>40463</v>
      </c>
      <c r="B58" s="213" t="n">
        <v>49.4</v>
      </c>
      <c r="C58" s="213" t="n">
        <f aca="false">AVERAGEIFS($B$33:$B$1494,$A$33:$A$1494,A58)</f>
        <v>48.2166666666667</v>
      </c>
      <c r="D58" s="213" t="n">
        <v>70</v>
      </c>
      <c r="E58" s="213" t="n">
        <f aca="false">AVERAGEIFS($D$33:$D$1494,$A$33:$A$1494,A58)</f>
        <v>62.8166666666667</v>
      </c>
      <c r="F58" s="213" t="n">
        <v>15</v>
      </c>
      <c r="G58" s="213" t="n">
        <f aca="false">AVERAGEIFS($F$33:$F$1494,$A$33:$A$1494,A58)</f>
        <v>15.9166666666667</v>
      </c>
      <c r="H58" s="213" t="n">
        <v>16.5</v>
      </c>
      <c r="I58" s="213" t="n">
        <f aca="false">AVERAGEIFS($H$33:$H$1494,$A$33:$A$1494,A58)</f>
        <v>16.3333333333333</v>
      </c>
      <c r="L58" s="215" t="n">
        <v>40463</v>
      </c>
      <c r="M58" s="213" t="n">
        <v>48.2166666666667</v>
      </c>
      <c r="N58" s="213" t="n">
        <v>62.8166666666667</v>
      </c>
      <c r="O58" s="213" t="n">
        <v>15.9166666666667</v>
      </c>
      <c r="P58" s="213" t="n">
        <v>16.3333333333333</v>
      </c>
      <c r="S58" s="215" t="n">
        <v>40485</v>
      </c>
      <c r="T58" s="213" t="n">
        <v>42.85</v>
      </c>
      <c r="U58" s="213" t="n">
        <v>43.6</v>
      </c>
      <c r="V58" s="213" t="n">
        <v>12.8333333333333</v>
      </c>
      <c r="W58" s="213" t="n">
        <v>12.3666666666667</v>
      </c>
      <c r="X58" s="204" t="n">
        <v>0.8</v>
      </c>
      <c r="Y58" s="204" t="n">
        <v>14.5</v>
      </c>
    </row>
    <row r="59" customFormat="false" ht="12.75" hidden="false" customHeight="false" outlineLevel="0" collapsed="false">
      <c r="A59" s="215" t="n">
        <v>40463</v>
      </c>
      <c r="B59" s="213" t="n">
        <v>47.7</v>
      </c>
      <c r="C59" s="213" t="n">
        <f aca="false">AVERAGEIFS($B$33:$B$1494,$A$33:$A$1494,A59)</f>
        <v>48.2166666666667</v>
      </c>
      <c r="D59" s="213" t="n">
        <v>70</v>
      </c>
      <c r="E59" s="213" t="n">
        <f aca="false">AVERAGEIFS($D$33:$D$1494,$A$33:$A$1494,A59)</f>
        <v>62.8166666666667</v>
      </c>
      <c r="F59" s="213" t="n">
        <v>14.7</v>
      </c>
      <c r="G59" s="213" t="n">
        <f aca="false">AVERAGEIFS($F$33:$F$1494,$A$33:$A$1494,A59)</f>
        <v>15.9166666666667</v>
      </c>
      <c r="H59" s="213" t="n">
        <v>16.2</v>
      </c>
      <c r="I59" s="213" t="n">
        <f aca="false">AVERAGEIFS($H$33:$H$1494,$A$33:$A$1494,A59)</f>
        <v>16.3333333333333</v>
      </c>
      <c r="L59" s="215" t="n">
        <v>40463</v>
      </c>
      <c r="M59" s="213" t="n">
        <v>48.2166666666667</v>
      </c>
      <c r="N59" s="213" t="n">
        <v>62.8166666666667</v>
      </c>
      <c r="O59" s="213" t="n">
        <v>15.9166666666667</v>
      </c>
      <c r="P59" s="213" t="n">
        <v>16.3333333333333</v>
      </c>
      <c r="S59" s="215" t="n">
        <v>40486</v>
      </c>
      <c r="T59" s="213" t="n">
        <v>42.7166666666667</v>
      </c>
      <c r="U59" s="213" t="n">
        <v>43.7333333333333</v>
      </c>
      <c r="V59" s="213" t="n">
        <v>13.6</v>
      </c>
      <c r="W59" s="213" t="n">
        <v>12.9</v>
      </c>
      <c r="X59" s="204" t="n">
        <v>0.8</v>
      </c>
      <c r="Y59" s="204" t="n">
        <v>14.2</v>
      </c>
    </row>
    <row r="60" customFormat="false" ht="12.75" hidden="false" customHeight="false" outlineLevel="0" collapsed="false">
      <c r="A60" s="215" t="n">
        <v>40463</v>
      </c>
      <c r="B60" s="213" t="n">
        <v>46.9</v>
      </c>
      <c r="C60" s="213" t="n">
        <f aca="false">AVERAGEIFS($B$33:$B$1494,$A$33:$A$1494,A60)</f>
        <v>48.2166666666667</v>
      </c>
      <c r="D60" s="213" t="n">
        <v>61.4</v>
      </c>
      <c r="E60" s="213" t="n">
        <f aca="false">AVERAGEIFS($D$33:$D$1494,$A$33:$A$1494,A60)</f>
        <v>62.8166666666667</v>
      </c>
      <c r="F60" s="213" t="n">
        <v>15.2</v>
      </c>
      <c r="G60" s="213" t="n">
        <f aca="false">AVERAGEIFS($F$33:$F$1494,$A$33:$A$1494,A60)</f>
        <v>15.9166666666667</v>
      </c>
      <c r="H60" s="213" t="n">
        <v>16</v>
      </c>
      <c r="I60" s="213" t="n">
        <f aca="false">AVERAGEIFS($H$33:$H$1494,$A$33:$A$1494,A60)</f>
        <v>16.3333333333333</v>
      </c>
      <c r="L60" s="215" t="n">
        <v>40463</v>
      </c>
      <c r="M60" s="213" t="n">
        <v>48.2166666666667</v>
      </c>
      <c r="N60" s="213" t="n">
        <v>62.8166666666667</v>
      </c>
      <c r="O60" s="213" t="n">
        <v>15.9166666666667</v>
      </c>
      <c r="P60" s="213" t="n">
        <v>16.3333333333333</v>
      </c>
      <c r="S60" s="215" t="n">
        <v>40487</v>
      </c>
      <c r="T60" s="213" t="n">
        <v>42.5333333333333</v>
      </c>
      <c r="U60" s="213" t="n">
        <v>43.9</v>
      </c>
      <c r="V60" s="213" t="n">
        <v>13.9</v>
      </c>
      <c r="W60" s="213" t="n">
        <v>13.3333333333333</v>
      </c>
      <c r="X60" s="204" t="n">
        <v>0.2</v>
      </c>
      <c r="Y60" s="204" t="n">
        <v>14.6</v>
      </c>
    </row>
    <row r="61" customFormat="false" ht="12.75" hidden="false" customHeight="false" outlineLevel="0" collapsed="false">
      <c r="A61" s="215" t="n">
        <v>40463</v>
      </c>
      <c r="B61" s="213" t="n">
        <v>46.4</v>
      </c>
      <c r="C61" s="213" t="n">
        <f aca="false">AVERAGEIFS($B$33:$B$1494,$A$33:$A$1494,A61)</f>
        <v>48.2166666666667</v>
      </c>
      <c r="D61" s="213" t="n">
        <v>54.6</v>
      </c>
      <c r="E61" s="213" t="n">
        <f aca="false">AVERAGEIFS($D$33:$D$1494,$A$33:$A$1494,A61)</f>
        <v>62.8166666666667</v>
      </c>
      <c r="F61" s="213" t="n">
        <v>17.4</v>
      </c>
      <c r="G61" s="213" t="n">
        <f aca="false">AVERAGEIFS($F$33:$F$1494,$A$33:$A$1494,A61)</f>
        <v>15.9166666666667</v>
      </c>
      <c r="H61" s="213" t="n">
        <v>16.1</v>
      </c>
      <c r="I61" s="213" t="n">
        <f aca="false">AVERAGEIFS($H$33:$H$1494,$A$33:$A$1494,A61)</f>
        <v>16.3333333333333</v>
      </c>
      <c r="L61" s="215" t="n">
        <v>40463</v>
      </c>
      <c r="M61" s="213" t="n">
        <v>48.2166666666667</v>
      </c>
      <c r="N61" s="213" t="n">
        <v>62.8166666666667</v>
      </c>
      <c r="O61" s="213" t="n">
        <v>15.9166666666667</v>
      </c>
      <c r="P61" s="213" t="n">
        <v>16.3333333333333</v>
      </c>
      <c r="S61" s="215" t="n">
        <v>40488</v>
      </c>
      <c r="T61" s="213" t="n">
        <v>42.4666666666667</v>
      </c>
      <c r="U61" s="213" t="n">
        <v>44</v>
      </c>
      <c r="V61" s="213" t="n">
        <v>13.9833333333333</v>
      </c>
      <c r="W61" s="213" t="n">
        <v>13.5</v>
      </c>
      <c r="X61" s="204" t="n">
        <v>0.4</v>
      </c>
      <c r="Y61" s="204" t="n">
        <v>14.1</v>
      </c>
    </row>
    <row r="62" customFormat="false" ht="12.75" hidden="false" customHeight="false" outlineLevel="0" collapsed="false">
      <c r="A62" s="215" t="n">
        <v>40463</v>
      </c>
      <c r="B62" s="213" t="n">
        <v>45.4</v>
      </c>
      <c r="C62" s="213" t="n">
        <f aca="false">AVERAGEIFS($B$33:$B$1494,$A$33:$A$1494,A62)</f>
        <v>48.2166666666667</v>
      </c>
      <c r="D62" s="213" t="n">
        <v>50.9</v>
      </c>
      <c r="E62" s="213" t="n">
        <f aca="false">AVERAGEIFS($D$33:$D$1494,$A$33:$A$1494,A62)</f>
        <v>62.8166666666667</v>
      </c>
      <c r="F62" s="213" t="n">
        <v>17.4</v>
      </c>
      <c r="G62" s="213" t="n">
        <f aca="false">AVERAGEIFS($F$33:$F$1494,$A$33:$A$1494,A62)</f>
        <v>15.9166666666667</v>
      </c>
      <c r="H62" s="213" t="n">
        <v>16.5</v>
      </c>
      <c r="I62" s="213" t="n">
        <f aca="false">AVERAGEIFS($H$33:$H$1494,$A$33:$A$1494,A62)</f>
        <v>16.3333333333333</v>
      </c>
      <c r="L62" s="215" t="n">
        <v>40463</v>
      </c>
      <c r="M62" s="213" t="n">
        <v>48.2166666666667</v>
      </c>
      <c r="N62" s="213" t="n">
        <v>62.8166666666667</v>
      </c>
      <c r="O62" s="213" t="n">
        <v>15.9166666666667</v>
      </c>
      <c r="P62" s="213" t="n">
        <v>16.3333333333333</v>
      </c>
      <c r="S62" s="215" t="n">
        <v>40489</v>
      </c>
      <c r="T62" s="213" t="n">
        <v>42.35</v>
      </c>
      <c r="U62" s="213" t="n">
        <v>44.0333333333333</v>
      </c>
      <c r="V62" s="213" t="n">
        <v>13.2166666666667</v>
      </c>
      <c r="W62" s="213" t="n">
        <v>13.4333333333333</v>
      </c>
      <c r="X62" s="204" t="n">
        <v>3.4</v>
      </c>
      <c r="Y62" s="204" t="n">
        <v>9.9</v>
      </c>
    </row>
    <row r="63" customFormat="false" ht="12.75" hidden="false" customHeight="false" outlineLevel="0" collapsed="false">
      <c r="A63" s="215" t="n">
        <v>40464</v>
      </c>
      <c r="B63" s="213" t="n">
        <v>45.2</v>
      </c>
      <c r="C63" s="213" t="n">
        <f aca="false">AVERAGEIFS($B$33:$B$1494,$A$33:$A$1494,A63)</f>
        <v>44.8166666666667</v>
      </c>
      <c r="D63" s="213" t="n">
        <v>49</v>
      </c>
      <c r="E63" s="213" t="n">
        <f aca="false">AVERAGEIFS($D$33:$D$1494,$A$33:$A$1494,A63)</f>
        <v>47.5833333333333</v>
      </c>
      <c r="F63" s="213" t="n">
        <v>16.4</v>
      </c>
      <c r="G63" s="213" t="n">
        <f aca="false">AVERAGEIFS($F$33:$F$1494,$A$33:$A$1494,A63)</f>
        <v>16.4333333333333</v>
      </c>
      <c r="H63" s="213" t="n">
        <v>16.7</v>
      </c>
      <c r="I63" s="213" t="n">
        <f aca="false">AVERAGEIFS($H$33:$H$1494,$A$33:$A$1494,A63)</f>
        <v>16.4</v>
      </c>
      <c r="L63" s="215" t="n">
        <v>40464</v>
      </c>
      <c r="M63" s="213" t="n">
        <v>44.8166666666667</v>
      </c>
      <c r="N63" s="213" t="n">
        <v>47.5833333333333</v>
      </c>
      <c r="O63" s="213" t="n">
        <v>16.4333333333333</v>
      </c>
      <c r="P63" s="213" t="n">
        <v>16.4</v>
      </c>
      <c r="S63" s="215" t="n">
        <v>40490</v>
      </c>
      <c r="T63" s="213" t="n">
        <v>42.4333333333333</v>
      </c>
      <c r="U63" s="213" t="n">
        <v>44.1</v>
      </c>
      <c r="V63" s="213" t="n">
        <v>10.6833333333333</v>
      </c>
      <c r="W63" s="213" t="n">
        <v>12.2166666666667</v>
      </c>
      <c r="X63" s="204" t="n">
        <v>8.4</v>
      </c>
      <c r="Y63" s="204" t="n">
        <v>7.9</v>
      </c>
    </row>
    <row r="64" customFormat="false" ht="12.75" hidden="false" customHeight="false" outlineLevel="0" collapsed="false">
      <c r="A64" s="215" t="n">
        <v>40464</v>
      </c>
      <c r="B64" s="213" t="n">
        <v>45.1</v>
      </c>
      <c r="C64" s="213" t="n">
        <f aca="false">AVERAGEIFS($B$33:$B$1494,$A$33:$A$1494,A64)</f>
        <v>44.8166666666667</v>
      </c>
      <c r="D64" s="213" t="n">
        <v>48.1</v>
      </c>
      <c r="E64" s="213" t="n">
        <f aca="false">AVERAGEIFS($D$33:$D$1494,$A$33:$A$1494,A64)</f>
        <v>47.5833333333333</v>
      </c>
      <c r="F64" s="213" t="n">
        <v>15.6</v>
      </c>
      <c r="G64" s="213" t="n">
        <f aca="false">AVERAGEIFS($F$33:$F$1494,$A$33:$A$1494,A64)</f>
        <v>16.4333333333333</v>
      </c>
      <c r="H64" s="213" t="n">
        <v>16.6</v>
      </c>
      <c r="I64" s="213" t="n">
        <f aca="false">AVERAGEIFS($H$33:$H$1494,$A$33:$A$1494,A64)</f>
        <v>16.4</v>
      </c>
      <c r="L64" s="215" t="n">
        <v>40464</v>
      </c>
      <c r="M64" s="213" t="n">
        <v>44.8166666666667</v>
      </c>
      <c r="N64" s="213" t="n">
        <v>47.5833333333333</v>
      </c>
      <c r="O64" s="213" t="n">
        <v>16.4333333333333</v>
      </c>
      <c r="P64" s="213" t="n">
        <v>16.4</v>
      </c>
      <c r="S64" s="215" t="n">
        <v>40491</v>
      </c>
      <c r="T64" s="213" t="n">
        <v>45.2333333333333</v>
      </c>
      <c r="U64" s="213" t="n">
        <v>46.65</v>
      </c>
      <c r="V64" s="213" t="n">
        <v>10.4666666666667</v>
      </c>
      <c r="W64" s="213" t="n">
        <v>11.3</v>
      </c>
      <c r="X64" s="204" t="n">
        <v>1.4</v>
      </c>
      <c r="Y64" s="204" t="n">
        <v>10.5</v>
      </c>
    </row>
    <row r="65" customFormat="false" ht="12.75" hidden="false" customHeight="false" outlineLevel="0" collapsed="false">
      <c r="A65" s="215" t="n">
        <v>40464</v>
      </c>
      <c r="B65" s="213" t="n">
        <v>44.9</v>
      </c>
      <c r="C65" s="213" t="n">
        <f aca="false">AVERAGEIFS($B$33:$B$1494,$A$33:$A$1494,A65)</f>
        <v>44.8166666666667</v>
      </c>
      <c r="D65" s="213" t="n">
        <v>47.6</v>
      </c>
      <c r="E65" s="213" t="n">
        <f aca="false">AVERAGEIFS($D$33:$D$1494,$A$33:$A$1494,A65)</f>
        <v>47.5833333333333</v>
      </c>
      <c r="F65" s="213" t="n">
        <v>15.1</v>
      </c>
      <c r="G65" s="213" t="n">
        <f aca="false">AVERAGEIFS($F$33:$F$1494,$A$33:$A$1494,A65)</f>
        <v>16.4333333333333</v>
      </c>
      <c r="H65" s="213" t="n">
        <v>16.3</v>
      </c>
      <c r="I65" s="213" t="n">
        <f aca="false">AVERAGEIFS($H$33:$H$1494,$A$33:$A$1494,A65)</f>
        <v>16.4</v>
      </c>
      <c r="L65" s="215" t="n">
        <v>40464</v>
      </c>
      <c r="M65" s="213" t="n">
        <v>44.8166666666667</v>
      </c>
      <c r="N65" s="213" t="n">
        <v>47.5833333333333</v>
      </c>
      <c r="O65" s="213" t="n">
        <v>16.4333333333333</v>
      </c>
      <c r="P65" s="213" t="n">
        <v>16.4</v>
      </c>
      <c r="S65" s="215" t="n">
        <v>40492</v>
      </c>
      <c r="T65" s="213" t="n">
        <v>44.6833333333333</v>
      </c>
      <c r="U65" s="213" t="n">
        <v>46.6833333333333</v>
      </c>
      <c r="V65" s="213" t="n">
        <v>10.3333333333333</v>
      </c>
      <c r="W65" s="213" t="n">
        <v>11.1</v>
      </c>
      <c r="X65" s="204" t="n">
        <v>5.2</v>
      </c>
      <c r="Y65" s="204" t="n">
        <v>9</v>
      </c>
    </row>
    <row r="66" customFormat="false" ht="12.75" hidden="false" customHeight="false" outlineLevel="0" collapsed="false">
      <c r="A66" s="215" t="n">
        <v>40464</v>
      </c>
      <c r="B66" s="213" t="n">
        <v>44.8</v>
      </c>
      <c r="C66" s="213" t="n">
        <f aca="false">AVERAGEIFS($B$33:$B$1494,$A$33:$A$1494,A66)</f>
        <v>44.8166666666667</v>
      </c>
      <c r="D66" s="213" t="n">
        <v>47.2</v>
      </c>
      <c r="E66" s="213" t="n">
        <f aca="false">AVERAGEIFS($D$33:$D$1494,$A$33:$A$1494,A66)</f>
        <v>47.5833333333333</v>
      </c>
      <c r="F66" s="213" t="n">
        <v>15.8</v>
      </c>
      <c r="G66" s="213" t="n">
        <f aca="false">AVERAGEIFS($F$33:$F$1494,$A$33:$A$1494,A66)</f>
        <v>16.4333333333333</v>
      </c>
      <c r="H66" s="213" t="n">
        <v>16.1</v>
      </c>
      <c r="I66" s="213" t="n">
        <f aca="false">AVERAGEIFS($H$33:$H$1494,$A$33:$A$1494,A66)</f>
        <v>16.4</v>
      </c>
      <c r="L66" s="215" t="n">
        <v>40464</v>
      </c>
      <c r="M66" s="213" t="n">
        <v>44.8166666666667</v>
      </c>
      <c r="N66" s="213" t="n">
        <v>47.5833333333333</v>
      </c>
      <c r="O66" s="213" t="n">
        <v>16.4333333333333</v>
      </c>
      <c r="P66" s="213" t="n">
        <v>16.4</v>
      </c>
      <c r="S66" s="215" t="n">
        <v>40493</v>
      </c>
      <c r="T66" s="213" t="n">
        <v>44.8</v>
      </c>
      <c r="U66" s="213" t="n">
        <v>47.0166666666667</v>
      </c>
      <c r="V66" s="213" t="n">
        <v>9.7</v>
      </c>
      <c r="W66" s="213" t="n">
        <v>10.65</v>
      </c>
      <c r="X66" s="204" t="n">
        <v>0.6</v>
      </c>
      <c r="Y66" s="204" t="n">
        <v>9.4</v>
      </c>
    </row>
    <row r="67" customFormat="false" ht="12.75" hidden="false" customHeight="false" outlineLevel="0" collapsed="false">
      <c r="A67" s="215" t="n">
        <v>40464</v>
      </c>
      <c r="B67" s="213" t="n">
        <v>44.6</v>
      </c>
      <c r="C67" s="213" t="n">
        <f aca="false">AVERAGEIFS($B$33:$B$1494,$A$33:$A$1494,A67)</f>
        <v>44.8166666666667</v>
      </c>
      <c r="D67" s="213" t="n">
        <v>46.9</v>
      </c>
      <c r="E67" s="213" t="n">
        <f aca="false">AVERAGEIFS($D$33:$D$1494,$A$33:$A$1494,A67)</f>
        <v>47.5833333333333</v>
      </c>
      <c r="F67" s="213" t="n">
        <v>18.2</v>
      </c>
      <c r="G67" s="213" t="n">
        <f aca="false">AVERAGEIFS($F$33:$F$1494,$A$33:$A$1494,A67)</f>
        <v>16.4333333333333</v>
      </c>
      <c r="H67" s="213" t="n">
        <v>16.2</v>
      </c>
      <c r="I67" s="213" t="n">
        <f aca="false">AVERAGEIFS($H$33:$H$1494,$A$33:$A$1494,A67)</f>
        <v>16.4</v>
      </c>
      <c r="L67" s="215" t="n">
        <v>40464</v>
      </c>
      <c r="M67" s="213" t="n">
        <v>44.8166666666667</v>
      </c>
      <c r="N67" s="213" t="n">
        <v>47.5833333333333</v>
      </c>
      <c r="O67" s="213" t="n">
        <v>16.4333333333333</v>
      </c>
      <c r="P67" s="213" t="n">
        <v>16.4</v>
      </c>
      <c r="S67" s="215" t="n">
        <v>40494</v>
      </c>
      <c r="T67" s="213" t="n">
        <v>44.0666666666667</v>
      </c>
      <c r="U67" s="213" t="n">
        <v>46.1666666666667</v>
      </c>
      <c r="V67" s="213" t="n">
        <v>11.6333333333333</v>
      </c>
      <c r="W67" s="213" t="n">
        <v>11.0666666666667</v>
      </c>
      <c r="X67" s="204" t="n">
        <v>0.6</v>
      </c>
      <c r="Y67" s="204" t="n">
        <v>14.2</v>
      </c>
    </row>
    <row r="68" customFormat="false" ht="12.75" hidden="false" customHeight="false" outlineLevel="0" collapsed="false">
      <c r="A68" s="215" t="n">
        <v>40464</v>
      </c>
      <c r="B68" s="213" t="n">
        <v>44.3</v>
      </c>
      <c r="C68" s="213" t="n">
        <f aca="false">AVERAGEIFS($B$33:$B$1494,$A$33:$A$1494,A68)</f>
        <v>44.8166666666667</v>
      </c>
      <c r="D68" s="213" t="n">
        <v>46.7</v>
      </c>
      <c r="E68" s="213" t="n">
        <f aca="false">AVERAGEIFS($D$33:$D$1494,$A$33:$A$1494,A68)</f>
        <v>47.5833333333333</v>
      </c>
      <c r="F68" s="213" t="n">
        <v>17.5</v>
      </c>
      <c r="G68" s="213" t="n">
        <f aca="false">AVERAGEIFS($F$33:$F$1494,$A$33:$A$1494,A68)</f>
        <v>16.4333333333333</v>
      </c>
      <c r="H68" s="213" t="n">
        <v>16.5</v>
      </c>
      <c r="I68" s="213" t="n">
        <f aca="false">AVERAGEIFS($H$33:$H$1494,$A$33:$A$1494,A68)</f>
        <v>16.4</v>
      </c>
      <c r="L68" s="215" t="n">
        <v>40464</v>
      </c>
      <c r="M68" s="213" t="n">
        <v>44.8166666666667</v>
      </c>
      <c r="N68" s="213" t="n">
        <v>47.5833333333333</v>
      </c>
      <c r="O68" s="213" t="n">
        <v>16.4333333333333</v>
      </c>
      <c r="P68" s="213" t="n">
        <v>16.4</v>
      </c>
      <c r="S68" s="215" t="n">
        <v>40495</v>
      </c>
      <c r="T68" s="213" t="n">
        <v>43.8666666666667</v>
      </c>
      <c r="U68" s="213" t="n">
        <v>45.6833333333333</v>
      </c>
      <c r="V68" s="213" t="n">
        <v>11.6333333333333</v>
      </c>
      <c r="W68" s="213" t="n">
        <v>11.6333333333333</v>
      </c>
      <c r="X68" s="204" t="n">
        <v>0.2</v>
      </c>
      <c r="Y68" s="204" t="n">
        <v>12.5</v>
      </c>
    </row>
    <row r="69" customFormat="false" ht="12.75" hidden="false" customHeight="false" outlineLevel="0" collapsed="false">
      <c r="A69" s="215" t="n">
        <v>40465</v>
      </c>
      <c r="B69" s="213" t="n">
        <v>44.2</v>
      </c>
      <c r="C69" s="213" t="n">
        <f aca="false">AVERAGEIFS($B$33:$B$1494,$A$33:$A$1494,A69)</f>
        <v>43.85</v>
      </c>
      <c r="D69" s="213" t="n">
        <v>46.4</v>
      </c>
      <c r="E69" s="213" t="n">
        <f aca="false">AVERAGEIFS($D$33:$D$1494,$A$33:$A$1494,A69)</f>
        <v>45.9333333333333</v>
      </c>
      <c r="F69" s="213" t="n">
        <v>16.3</v>
      </c>
      <c r="G69" s="213" t="n">
        <f aca="false">AVERAGEIFS($F$33:$F$1494,$A$33:$A$1494,A69)</f>
        <v>15.65</v>
      </c>
      <c r="H69" s="213" t="n">
        <v>16.7</v>
      </c>
      <c r="I69" s="213" t="n">
        <f aca="false">AVERAGEIFS($H$33:$H$1494,$A$33:$A$1494,A69)</f>
        <v>16.2</v>
      </c>
      <c r="L69" s="215" t="n">
        <v>40465</v>
      </c>
      <c r="M69" s="213" t="n">
        <v>43.85</v>
      </c>
      <c r="N69" s="213" t="n">
        <v>45.9333333333333</v>
      </c>
      <c r="O69" s="213" t="n">
        <v>15.65</v>
      </c>
      <c r="P69" s="213" t="n">
        <v>16.2</v>
      </c>
      <c r="S69" s="215" t="n">
        <v>40496</v>
      </c>
      <c r="T69" s="213" t="n">
        <v>43.6333333333333</v>
      </c>
      <c r="U69" s="213" t="n">
        <v>45.4333333333333</v>
      </c>
      <c r="V69" s="213" t="n">
        <v>12.3333333333333</v>
      </c>
      <c r="W69" s="213" t="n">
        <v>11.9166666666667</v>
      </c>
      <c r="X69" s="204" t="n">
        <v>2.6</v>
      </c>
      <c r="Y69" s="204" t="n">
        <v>13.7</v>
      </c>
    </row>
    <row r="70" customFormat="false" ht="12.75" hidden="false" customHeight="false" outlineLevel="0" collapsed="false">
      <c r="A70" s="215" t="n">
        <v>40465</v>
      </c>
      <c r="B70" s="213" t="n">
        <v>44</v>
      </c>
      <c r="C70" s="213" t="n">
        <f aca="false">AVERAGEIFS($B$33:$B$1494,$A$33:$A$1494,A70)</f>
        <v>43.85</v>
      </c>
      <c r="D70" s="213" t="n">
        <v>46.2</v>
      </c>
      <c r="E70" s="213" t="n">
        <f aca="false">AVERAGEIFS($D$33:$D$1494,$A$33:$A$1494,A70)</f>
        <v>45.9333333333333</v>
      </c>
      <c r="F70" s="213" t="n">
        <v>15.3</v>
      </c>
      <c r="G70" s="213" t="n">
        <f aca="false">AVERAGEIFS($F$33:$F$1494,$A$33:$A$1494,A70)</f>
        <v>15.65</v>
      </c>
      <c r="H70" s="213" t="n">
        <v>16.5</v>
      </c>
      <c r="I70" s="213" t="n">
        <f aca="false">AVERAGEIFS($H$33:$H$1494,$A$33:$A$1494,A70)</f>
        <v>16.2</v>
      </c>
      <c r="L70" s="215" t="n">
        <v>40465</v>
      </c>
      <c r="M70" s="213" t="n">
        <v>43.85</v>
      </c>
      <c r="N70" s="213" t="n">
        <v>45.9333333333333</v>
      </c>
      <c r="O70" s="213" t="n">
        <v>15.65</v>
      </c>
      <c r="P70" s="213" t="n">
        <v>16.2</v>
      </c>
      <c r="S70" s="215" t="n">
        <v>40497</v>
      </c>
      <c r="T70" s="213" t="n">
        <v>46.4166666666667</v>
      </c>
      <c r="U70" s="213" t="n">
        <v>48.2833333333333</v>
      </c>
      <c r="V70" s="213" t="n">
        <v>11.75</v>
      </c>
      <c r="W70" s="213" t="n">
        <v>12</v>
      </c>
      <c r="X70" s="204" t="n">
        <v>3</v>
      </c>
      <c r="Y70" s="204" t="n">
        <v>9.6</v>
      </c>
    </row>
    <row r="71" customFormat="false" ht="12.75" hidden="false" customHeight="false" outlineLevel="0" collapsed="false">
      <c r="A71" s="215" t="n">
        <v>40465</v>
      </c>
      <c r="B71" s="213" t="n">
        <v>43.9</v>
      </c>
      <c r="C71" s="213" t="n">
        <f aca="false">AVERAGEIFS($B$33:$B$1494,$A$33:$A$1494,A71)</f>
        <v>43.85</v>
      </c>
      <c r="D71" s="213" t="n">
        <v>46</v>
      </c>
      <c r="E71" s="213" t="n">
        <f aca="false">AVERAGEIFS($D$33:$D$1494,$A$33:$A$1494,A71)</f>
        <v>45.9333333333333</v>
      </c>
      <c r="F71" s="213" t="n">
        <v>14.7</v>
      </c>
      <c r="G71" s="213" t="n">
        <f aca="false">AVERAGEIFS($F$33:$F$1494,$A$33:$A$1494,A71)</f>
        <v>15.65</v>
      </c>
      <c r="H71" s="213" t="n">
        <v>16.2</v>
      </c>
      <c r="I71" s="213" t="n">
        <f aca="false">AVERAGEIFS($H$33:$H$1494,$A$33:$A$1494,A71)</f>
        <v>16.2</v>
      </c>
      <c r="L71" s="215" t="n">
        <v>40465</v>
      </c>
      <c r="M71" s="213" t="n">
        <v>43.85</v>
      </c>
      <c r="N71" s="213" t="n">
        <v>45.9333333333333</v>
      </c>
      <c r="O71" s="213" t="n">
        <v>15.65</v>
      </c>
      <c r="P71" s="213" t="n">
        <v>16.2</v>
      </c>
      <c r="S71" s="215" t="n">
        <v>40498</v>
      </c>
      <c r="T71" s="213" t="n">
        <v>45.0666666666667</v>
      </c>
      <c r="U71" s="213" t="n">
        <v>47.55</v>
      </c>
      <c r="V71" s="213" t="n">
        <v>10.6166666666667</v>
      </c>
      <c r="W71" s="213" t="n">
        <v>11.4333333333333</v>
      </c>
      <c r="X71" s="204" t="n">
        <v>0</v>
      </c>
      <c r="Y71" s="204" t="n">
        <v>7.7</v>
      </c>
    </row>
    <row r="72" customFormat="false" ht="12.75" hidden="false" customHeight="false" outlineLevel="0" collapsed="false">
      <c r="A72" s="215" t="n">
        <v>40465</v>
      </c>
      <c r="B72" s="213" t="n">
        <v>43.8</v>
      </c>
      <c r="C72" s="213" t="n">
        <f aca="false">AVERAGEIFS($B$33:$B$1494,$A$33:$A$1494,A72)</f>
        <v>43.85</v>
      </c>
      <c r="D72" s="213" t="n">
        <v>45.8</v>
      </c>
      <c r="E72" s="213" t="n">
        <f aca="false">AVERAGEIFS($D$33:$D$1494,$A$33:$A$1494,A72)</f>
        <v>45.9333333333333</v>
      </c>
      <c r="F72" s="213" t="n">
        <v>15.1</v>
      </c>
      <c r="G72" s="213" t="n">
        <f aca="false">AVERAGEIFS($F$33:$F$1494,$A$33:$A$1494,A72)</f>
        <v>15.65</v>
      </c>
      <c r="H72" s="213" t="n">
        <v>15.9</v>
      </c>
      <c r="I72" s="213" t="n">
        <f aca="false">AVERAGEIFS($H$33:$H$1494,$A$33:$A$1494,A72)</f>
        <v>16.2</v>
      </c>
      <c r="L72" s="215" t="n">
        <v>40465</v>
      </c>
      <c r="M72" s="213" t="n">
        <v>43.85</v>
      </c>
      <c r="N72" s="213" t="n">
        <v>45.9333333333333</v>
      </c>
      <c r="O72" s="213" t="n">
        <v>15.65</v>
      </c>
      <c r="P72" s="213" t="n">
        <v>16.2</v>
      </c>
      <c r="S72" s="215" t="n">
        <v>40499</v>
      </c>
      <c r="T72" s="213" t="n">
        <v>46.9166666666667</v>
      </c>
      <c r="U72" s="213" t="n">
        <v>50.7166666666667</v>
      </c>
      <c r="V72" s="213" t="n">
        <v>8.6</v>
      </c>
      <c r="W72" s="213" t="n">
        <v>10.4166666666667</v>
      </c>
      <c r="X72" s="204" t="n">
        <v>8.5</v>
      </c>
      <c r="Y72" s="204" t="n">
        <v>5</v>
      </c>
    </row>
    <row r="73" customFormat="false" ht="12.75" hidden="false" customHeight="false" outlineLevel="0" collapsed="false">
      <c r="A73" s="215" t="n">
        <v>40465</v>
      </c>
      <c r="B73" s="213" t="n">
        <v>43.7</v>
      </c>
      <c r="C73" s="213" t="n">
        <f aca="false">AVERAGEIFS($B$33:$B$1494,$A$33:$A$1494,A73)</f>
        <v>43.85</v>
      </c>
      <c r="D73" s="213" t="n">
        <v>45.7</v>
      </c>
      <c r="E73" s="213" t="n">
        <f aca="false">AVERAGEIFS($D$33:$D$1494,$A$33:$A$1494,A73)</f>
        <v>45.9333333333333</v>
      </c>
      <c r="F73" s="213" t="n">
        <v>16.6</v>
      </c>
      <c r="G73" s="213" t="n">
        <f aca="false">AVERAGEIFS($F$33:$F$1494,$A$33:$A$1494,A73)</f>
        <v>15.65</v>
      </c>
      <c r="H73" s="213" t="n">
        <v>15.9</v>
      </c>
      <c r="I73" s="213" t="n">
        <f aca="false">AVERAGEIFS($H$33:$H$1494,$A$33:$A$1494,A73)</f>
        <v>16.2</v>
      </c>
      <c r="L73" s="215" t="n">
        <v>40465</v>
      </c>
      <c r="M73" s="213" t="n">
        <v>43.85</v>
      </c>
      <c r="N73" s="213" t="n">
        <v>45.9333333333333</v>
      </c>
      <c r="O73" s="213" t="n">
        <v>15.65</v>
      </c>
      <c r="P73" s="213" t="n">
        <v>16.2</v>
      </c>
      <c r="S73" s="215" t="n">
        <v>40500</v>
      </c>
      <c r="T73" s="213" t="n">
        <v>48.75</v>
      </c>
      <c r="U73" s="213" t="n">
        <v>62.8333333333333</v>
      </c>
      <c r="V73" s="213" t="n">
        <v>9.11666666666667</v>
      </c>
      <c r="W73" s="213" t="n">
        <v>9.86666666666667</v>
      </c>
      <c r="X73" s="204" t="n">
        <v>0</v>
      </c>
      <c r="Y73" s="204" t="n">
        <v>9</v>
      </c>
    </row>
    <row r="74" customFormat="false" ht="12.75" hidden="false" customHeight="false" outlineLevel="0" collapsed="false">
      <c r="A74" s="215" t="n">
        <v>40465</v>
      </c>
      <c r="B74" s="213" t="n">
        <v>43.5</v>
      </c>
      <c r="C74" s="213" t="n">
        <f aca="false">AVERAGEIFS($B$33:$B$1494,$A$33:$A$1494,A74)</f>
        <v>43.85</v>
      </c>
      <c r="D74" s="213" t="n">
        <v>45.5</v>
      </c>
      <c r="E74" s="213" t="n">
        <f aca="false">AVERAGEIFS($D$33:$D$1494,$A$33:$A$1494,A74)</f>
        <v>45.9333333333333</v>
      </c>
      <c r="F74" s="213" t="n">
        <v>15.9</v>
      </c>
      <c r="G74" s="213" t="n">
        <f aca="false">AVERAGEIFS($F$33:$F$1494,$A$33:$A$1494,A74)</f>
        <v>15.65</v>
      </c>
      <c r="H74" s="213" t="n">
        <v>16</v>
      </c>
      <c r="I74" s="213" t="n">
        <f aca="false">AVERAGEIFS($H$33:$H$1494,$A$33:$A$1494,A74)</f>
        <v>16.2</v>
      </c>
      <c r="L74" s="215" t="n">
        <v>40465</v>
      </c>
      <c r="M74" s="213" t="n">
        <v>43.85</v>
      </c>
      <c r="N74" s="213" t="n">
        <v>45.9333333333333</v>
      </c>
      <c r="O74" s="213" t="n">
        <v>15.65</v>
      </c>
      <c r="P74" s="213" t="n">
        <v>16.2</v>
      </c>
      <c r="S74" s="215" t="n">
        <v>40501</v>
      </c>
      <c r="T74" s="213" t="n">
        <v>45.1833333333333</v>
      </c>
      <c r="U74" s="213" t="n">
        <v>48.2</v>
      </c>
      <c r="V74" s="213" t="n">
        <v>9.1</v>
      </c>
      <c r="W74" s="213" t="n">
        <v>9.83333333333333</v>
      </c>
      <c r="X74" s="204" t="n">
        <v>0</v>
      </c>
      <c r="Y74" s="204" t="n">
        <v>8.4</v>
      </c>
    </row>
    <row r="75" customFormat="false" ht="12.75" hidden="false" customHeight="false" outlineLevel="0" collapsed="false">
      <c r="A75" s="215" t="n">
        <v>40466</v>
      </c>
      <c r="B75" s="213" t="n">
        <v>43.4</v>
      </c>
      <c r="C75" s="213" t="n">
        <f aca="false">AVERAGEIFS($B$33:$B$1494,$A$33:$A$1494,A75)</f>
        <v>43.1666666666667</v>
      </c>
      <c r="D75" s="213" t="n">
        <v>45.4</v>
      </c>
      <c r="E75" s="213" t="n">
        <f aca="false">AVERAGEIFS($D$33:$D$1494,$A$33:$A$1494,A75)</f>
        <v>45.15</v>
      </c>
      <c r="F75" s="213" t="n">
        <v>14.5</v>
      </c>
      <c r="G75" s="213" t="n">
        <f aca="false">AVERAGEIFS($F$33:$F$1494,$A$33:$A$1494,A75)</f>
        <v>13.4666666666667</v>
      </c>
      <c r="H75" s="213" t="n">
        <v>16</v>
      </c>
      <c r="I75" s="213" t="n">
        <f aca="false">AVERAGEIFS($H$33:$H$1494,$A$33:$A$1494,A75)</f>
        <v>15.1166666666667</v>
      </c>
      <c r="L75" s="215" t="n">
        <v>40466</v>
      </c>
      <c r="M75" s="213" t="n">
        <v>43.1666666666667</v>
      </c>
      <c r="N75" s="213" t="n">
        <v>45.15</v>
      </c>
      <c r="O75" s="213" t="n">
        <v>13.4666666666667</v>
      </c>
      <c r="P75" s="213" t="n">
        <v>15.1166666666667</v>
      </c>
      <c r="S75" s="215" t="n">
        <v>40502</v>
      </c>
      <c r="T75" s="213" t="n">
        <v>44.8166666666667</v>
      </c>
      <c r="U75" s="213" t="n">
        <v>47.0666666666667</v>
      </c>
      <c r="V75" s="213" t="n">
        <v>9.33333333333333</v>
      </c>
      <c r="W75" s="213" t="n">
        <v>9.86666666666667</v>
      </c>
      <c r="X75" s="204" t="n">
        <v>1</v>
      </c>
      <c r="Y75" s="204" t="n">
        <v>8.9</v>
      </c>
    </row>
    <row r="76" customFormat="false" ht="12.75" hidden="false" customHeight="false" outlineLevel="0" collapsed="false">
      <c r="A76" s="215" t="n">
        <v>40466</v>
      </c>
      <c r="B76" s="213" t="n">
        <v>43.3</v>
      </c>
      <c r="C76" s="213" t="n">
        <f aca="false">AVERAGEIFS($B$33:$B$1494,$A$33:$A$1494,A76)</f>
        <v>43.1666666666667</v>
      </c>
      <c r="D76" s="213" t="n">
        <v>45.3</v>
      </c>
      <c r="E76" s="213" t="n">
        <f aca="false">AVERAGEIFS($D$33:$D$1494,$A$33:$A$1494,A76)</f>
        <v>45.15</v>
      </c>
      <c r="F76" s="213" t="n">
        <v>13.3</v>
      </c>
      <c r="G76" s="213" t="n">
        <f aca="false">AVERAGEIFS($F$33:$F$1494,$A$33:$A$1494,A76)</f>
        <v>13.4666666666667</v>
      </c>
      <c r="H76" s="213" t="n">
        <v>15.6</v>
      </c>
      <c r="I76" s="213" t="n">
        <f aca="false">AVERAGEIFS($H$33:$H$1494,$A$33:$A$1494,A76)</f>
        <v>15.1166666666667</v>
      </c>
      <c r="L76" s="215" t="n">
        <v>40466</v>
      </c>
      <c r="M76" s="213" t="n">
        <v>43.1666666666667</v>
      </c>
      <c r="N76" s="213" t="n">
        <v>45.15</v>
      </c>
      <c r="O76" s="213" t="n">
        <v>13.4666666666667</v>
      </c>
      <c r="P76" s="213" t="n">
        <v>15.1166666666667</v>
      </c>
      <c r="S76" s="215" t="n">
        <v>40503</v>
      </c>
      <c r="T76" s="213" t="n">
        <v>44.7166666666667</v>
      </c>
      <c r="U76" s="213" t="n">
        <v>46.8166666666667</v>
      </c>
      <c r="V76" s="213" t="n">
        <v>9.35</v>
      </c>
      <c r="W76" s="213" t="n">
        <v>9.86666666666667</v>
      </c>
      <c r="X76" s="204" t="n">
        <v>12.1</v>
      </c>
      <c r="Y76" s="204" t="n">
        <v>8</v>
      </c>
    </row>
    <row r="77" customFormat="false" ht="12.75" hidden="false" customHeight="false" outlineLevel="0" collapsed="false">
      <c r="A77" s="215" t="n">
        <v>40466</v>
      </c>
      <c r="B77" s="213" t="n">
        <v>43.2</v>
      </c>
      <c r="C77" s="213" t="n">
        <f aca="false">AVERAGEIFS($B$33:$B$1494,$A$33:$A$1494,A77)</f>
        <v>43.1666666666667</v>
      </c>
      <c r="D77" s="213" t="n">
        <v>45.2</v>
      </c>
      <c r="E77" s="213" t="n">
        <f aca="false">AVERAGEIFS($D$33:$D$1494,$A$33:$A$1494,A77)</f>
        <v>45.15</v>
      </c>
      <c r="F77" s="213" t="n">
        <v>12.3</v>
      </c>
      <c r="G77" s="213" t="n">
        <f aca="false">AVERAGEIFS($F$33:$F$1494,$A$33:$A$1494,A77)</f>
        <v>13.4666666666667</v>
      </c>
      <c r="H77" s="213" t="n">
        <v>15.2</v>
      </c>
      <c r="I77" s="213" t="n">
        <f aca="false">AVERAGEIFS($H$33:$H$1494,$A$33:$A$1494,A77)</f>
        <v>15.1166666666667</v>
      </c>
      <c r="L77" s="215" t="n">
        <v>40466</v>
      </c>
      <c r="M77" s="213" t="n">
        <v>43.1666666666667</v>
      </c>
      <c r="N77" s="213" t="n">
        <v>45.15</v>
      </c>
      <c r="O77" s="213" t="n">
        <v>13.4666666666667</v>
      </c>
      <c r="P77" s="213" t="n">
        <v>15.1166666666667</v>
      </c>
      <c r="S77" s="215" t="n">
        <v>40504</v>
      </c>
      <c r="T77" s="213" t="n">
        <v>62.45</v>
      </c>
      <c r="U77" s="213" t="n">
        <v>69.1</v>
      </c>
      <c r="V77" s="213" t="n">
        <v>9.31666666666667</v>
      </c>
      <c r="W77" s="213" t="n">
        <v>9.83333333333333</v>
      </c>
      <c r="X77" s="204" t="n">
        <v>0.8</v>
      </c>
      <c r="Y77" s="204" t="n">
        <v>7.7</v>
      </c>
    </row>
    <row r="78" customFormat="false" ht="12.75" hidden="false" customHeight="false" outlineLevel="0" collapsed="false">
      <c r="A78" s="215" t="n">
        <v>40466</v>
      </c>
      <c r="B78" s="213" t="n">
        <v>43.2</v>
      </c>
      <c r="C78" s="213" t="n">
        <f aca="false">AVERAGEIFS($B$33:$B$1494,$A$33:$A$1494,A78)</f>
        <v>43.1666666666667</v>
      </c>
      <c r="D78" s="213" t="n">
        <v>45.1</v>
      </c>
      <c r="E78" s="213" t="n">
        <f aca="false">AVERAGEIFS($D$33:$D$1494,$A$33:$A$1494,A78)</f>
        <v>45.15</v>
      </c>
      <c r="F78" s="213" t="n">
        <v>12.6</v>
      </c>
      <c r="G78" s="213" t="n">
        <f aca="false">AVERAGEIFS($F$33:$F$1494,$A$33:$A$1494,A78)</f>
        <v>13.4666666666667</v>
      </c>
      <c r="H78" s="213" t="n">
        <v>14.7</v>
      </c>
      <c r="I78" s="213" t="n">
        <f aca="false">AVERAGEIFS($H$33:$H$1494,$A$33:$A$1494,A78)</f>
        <v>15.1166666666667</v>
      </c>
      <c r="L78" s="215" t="n">
        <v>40466</v>
      </c>
      <c r="M78" s="213" t="n">
        <v>43.1666666666667</v>
      </c>
      <c r="N78" s="213" t="n">
        <v>45.15</v>
      </c>
      <c r="O78" s="213" t="n">
        <v>13.4666666666667</v>
      </c>
      <c r="P78" s="213" t="n">
        <v>15.1166666666667</v>
      </c>
      <c r="S78" s="215" t="n">
        <v>40505</v>
      </c>
      <c r="T78" s="213" t="n">
        <v>46.75</v>
      </c>
      <c r="U78" s="213" t="n">
        <v>51.0833333333333</v>
      </c>
      <c r="V78" s="213" t="n">
        <v>8.76666666666667</v>
      </c>
      <c r="W78" s="213" t="n">
        <v>9.53333333333333</v>
      </c>
      <c r="X78" s="204" t="n">
        <v>0</v>
      </c>
      <c r="Y78" s="204" t="n">
        <v>6.2</v>
      </c>
    </row>
    <row r="79" customFormat="false" ht="12.75" hidden="false" customHeight="false" outlineLevel="0" collapsed="false">
      <c r="A79" s="215" t="n">
        <v>40466</v>
      </c>
      <c r="B79" s="213" t="n">
        <v>43</v>
      </c>
      <c r="C79" s="213" t="n">
        <f aca="false">AVERAGEIFS($B$33:$B$1494,$A$33:$A$1494,A79)</f>
        <v>43.1666666666667</v>
      </c>
      <c r="D79" s="213" t="n">
        <v>45</v>
      </c>
      <c r="E79" s="213" t="n">
        <f aca="false">AVERAGEIFS($D$33:$D$1494,$A$33:$A$1494,A79)</f>
        <v>45.15</v>
      </c>
      <c r="F79" s="213" t="n">
        <v>14.4</v>
      </c>
      <c r="G79" s="213" t="n">
        <f aca="false">AVERAGEIFS($F$33:$F$1494,$A$33:$A$1494,A79)</f>
        <v>13.4666666666667</v>
      </c>
      <c r="H79" s="213" t="n">
        <v>14.5</v>
      </c>
      <c r="I79" s="213" t="n">
        <f aca="false">AVERAGEIFS($H$33:$H$1494,$A$33:$A$1494,A79)</f>
        <v>15.1166666666667</v>
      </c>
      <c r="L79" s="215" t="n">
        <v>40466</v>
      </c>
      <c r="M79" s="213" t="n">
        <v>43.1666666666667</v>
      </c>
      <c r="N79" s="213" t="n">
        <v>45.15</v>
      </c>
      <c r="O79" s="213" t="n">
        <v>13.4666666666667</v>
      </c>
      <c r="P79" s="213" t="n">
        <v>15.1166666666667</v>
      </c>
      <c r="S79" s="215" t="n">
        <v>40506</v>
      </c>
      <c r="T79" s="213" t="n">
        <v>45.8833333333333</v>
      </c>
      <c r="U79" s="213" t="n">
        <v>48.5666666666667</v>
      </c>
      <c r="V79" s="213" t="n">
        <v>7.38333333333333</v>
      </c>
      <c r="W79" s="213" t="n">
        <v>8.9</v>
      </c>
      <c r="X79" s="204" t="n">
        <v>0</v>
      </c>
      <c r="Y79" s="204" t="n">
        <v>2.9</v>
      </c>
    </row>
    <row r="80" customFormat="false" ht="12.75" hidden="false" customHeight="false" outlineLevel="0" collapsed="false">
      <c r="A80" s="215" t="n">
        <v>40466</v>
      </c>
      <c r="B80" s="213" t="n">
        <v>42.9</v>
      </c>
      <c r="C80" s="213" t="n">
        <f aca="false">AVERAGEIFS($B$33:$B$1494,$A$33:$A$1494,A80)</f>
        <v>43.1666666666667</v>
      </c>
      <c r="D80" s="213" t="n">
        <v>44.9</v>
      </c>
      <c r="E80" s="213" t="n">
        <f aca="false">AVERAGEIFS($D$33:$D$1494,$A$33:$A$1494,A80)</f>
        <v>45.15</v>
      </c>
      <c r="F80" s="213" t="n">
        <v>13.7</v>
      </c>
      <c r="G80" s="213" t="n">
        <f aca="false">AVERAGEIFS($F$33:$F$1494,$A$33:$A$1494,A80)</f>
        <v>13.4666666666667</v>
      </c>
      <c r="H80" s="213" t="n">
        <v>14.7</v>
      </c>
      <c r="I80" s="213" t="n">
        <f aca="false">AVERAGEIFS($H$33:$H$1494,$A$33:$A$1494,A80)</f>
        <v>15.1166666666667</v>
      </c>
      <c r="L80" s="215" t="n">
        <v>40466</v>
      </c>
      <c r="M80" s="213" t="n">
        <v>43.1666666666667</v>
      </c>
      <c r="N80" s="213" t="n">
        <v>45.15</v>
      </c>
      <c r="O80" s="213" t="n">
        <v>13.4666666666667</v>
      </c>
      <c r="P80" s="213" t="n">
        <v>15.1166666666667</v>
      </c>
      <c r="S80" s="215" t="n">
        <v>40507</v>
      </c>
      <c r="T80" s="213" t="n">
        <v>45.3833333333333</v>
      </c>
      <c r="U80" s="213" t="n">
        <v>47.95</v>
      </c>
      <c r="V80" s="213" t="n">
        <v>7</v>
      </c>
      <c r="W80" s="213" t="n">
        <v>8.26666666666667</v>
      </c>
      <c r="X80" s="204" t="n">
        <v>2.4</v>
      </c>
      <c r="Y80" s="204" t="n">
        <v>4.7</v>
      </c>
    </row>
    <row r="81" customFormat="false" ht="12.75" hidden="false" customHeight="false" outlineLevel="0" collapsed="false">
      <c r="A81" s="215" t="n">
        <v>40467</v>
      </c>
      <c r="B81" s="213" t="n">
        <v>42.9</v>
      </c>
      <c r="C81" s="213" t="n">
        <f aca="false">AVERAGEIFS($B$33:$B$1494,$A$33:$A$1494,A81)</f>
        <v>42.7</v>
      </c>
      <c r="D81" s="213" t="n">
        <v>44.8</v>
      </c>
      <c r="E81" s="213" t="n">
        <f aca="false">AVERAGEIFS($D$33:$D$1494,$A$33:$A$1494,A81)</f>
        <v>44.6666666666667</v>
      </c>
      <c r="F81" s="213" t="n">
        <v>12.4</v>
      </c>
      <c r="G81" s="213" t="n">
        <f aca="false">AVERAGEIFS($F$33:$F$1494,$A$33:$A$1494,A81)</f>
        <v>11.9</v>
      </c>
      <c r="H81" s="213" t="n">
        <v>14.6</v>
      </c>
      <c r="I81" s="213" t="n">
        <f aca="false">AVERAGEIFS($H$33:$H$1494,$A$33:$A$1494,A81)</f>
        <v>13.8666666666667</v>
      </c>
      <c r="L81" s="215" t="n">
        <v>40467</v>
      </c>
      <c r="M81" s="213" t="n">
        <v>42.7</v>
      </c>
      <c r="N81" s="213" t="n">
        <v>44.6666666666667</v>
      </c>
      <c r="O81" s="213" t="n">
        <v>11.9</v>
      </c>
      <c r="P81" s="213" t="n">
        <v>13.8666666666667</v>
      </c>
      <c r="S81" s="215" t="n">
        <v>40508</v>
      </c>
      <c r="T81" s="213" t="n">
        <v>45.55</v>
      </c>
      <c r="U81" s="213" t="n">
        <v>47.75</v>
      </c>
      <c r="V81" s="213" t="n">
        <v>6.58333333333333</v>
      </c>
      <c r="W81" s="213" t="n">
        <v>7.91666666666667</v>
      </c>
      <c r="X81" s="204" t="n">
        <v>0</v>
      </c>
      <c r="Y81" s="204" t="n">
        <v>2.7</v>
      </c>
    </row>
    <row r="82" customFormat="false" ht="12.75" hidden="false" customHeight="false" outlineLevel="0" collapsed="false">
      <c r="A82" s="215" t="n">
        <v>40467</v>
      </c>
      <c r="B82" s="213" t="n">
        <v>42.8</v>
      </c>
      <c r="C82" s="213" t="n">
        <f aca="false">AVERAGEIFS($B$33:$B$1494,$A$33:$A$1494,A82)</f>
        <v>42.7</v>
      </c>
      <c r="D82" s="213" t="n">
        <v>44.8</v>
      </c>
      <c r="E82" s="213" t="n">
        <f aca="false">AVERAGEIFS($D$33:$D$1494,$A$33:$A$1494,A82)</f>
        <v>44.6666666666667</v>
      </c>
      <c r="F82" s="213" t="n">
        <v>11.5</v>
      </c>
      <c r="G82" s="213" t="n">
        <f aca="false">AVERAGEIFS($F$33:$F$1494,$A$33:$A$1494,A82)</f>
        <v>11.9</v>
      </c>
      <c r="H82" s="213" t="n">
        <v>14.3</v>
      </c>
      <c r="I82" s="213" t="n">
        <f aca="false">AVERAGEIFS($H$33:$H$1494,$A$33:$A$1494,A82)</f>
        <v>13.8666666666667</v>
      </c>
      <c r="L82" s="215" t="n">
        <v>40467</v>
      </c>
      <c r="M82" s="213" t="n">
        <v>42.7</v>
      </c>
      <c r="N82" s="213" t="n">
        <v>44.6666666666667</v>
      </c>
      <c r="O82" s="213" t="n">
        <v>11.9</v>
      </c>
      <c r="P82" s="213" t="n">
        <v>13.8666666666667</v>
      </c>
      <c r="S82" s="215" t="n">
        <v>40509</v>
      </c>
      <c r="T82" s="213" t="n">
        <v>45.3666666666667</v>
      </c>
      <c r="U82" s="213" t="n">
        <v>47.8</v>
      </c>
      <c r="V82" s="213" t="n">
        <v>5.28333333333333</v>
      </c>
      <c r="W82" s="213" t="n">
        <v>7.18333333333333</v>
      </c>
      <c r="X82" s="204" t="n">
        <v>1.6</v>
      </c>
      <c r="Y82" s="204" t="n">
        <v>2</v>
      </c>
    </row>
    <row r="83" customFormat="false" ht="12.75" hidden="false" customHeight="false" outlineLevel="0" collapsed="false">
      <c r="A83" s="215" t="n">
        <v>40467</v>
      </c>
      <c r="B83" s="213" t="n">
        <v>42.7</v>
      </c>
      <c r="C83" s="213" t="n">
        <f aca="false">AVERAGEIFS($B$33:$B$1494,$A$33:$A$1494,A83)</f>
        <v>42.7</v>
      </c>
      <c r="D83" s="213" t="n">
        <v>44.7</v>
      </c>
      <c r="E83" s="213" t="n">
        <f aca="false">AVERAGEIFS($D$33:$D$1494,$A$33:$A$1494,A83)</f>
        <v>44.6666666666667</v>
      </c>
      <c r="F83" s="213" t="n">
        <v>11</v>
      </c>
      <c r="G83" s="213" t="n">
        <f aca="false">AVERAGEIFS($F$33:$F$1494,$A$33:$A$1494,A83)</f>
        <v>11.9</v>
      </c>
      <c r="H83" s="213" t="n">
        <v>13.9</v>
      </c>
      <c r="I83" s="213" t="n">
        <f aca="false">AVERAGEIFS($H$33:$H$1494,$A$33:$A$1494,A83)</f>
        <v>13.8666666666667</v>
      </c>
      <c r="L83" s="215" t="n">
        <v>40467</v>
      </c>
      <c r="M83" s="213" t="n">
        <v>42.7</v>
      </c>
      <c r="N83" s="213" t="n">
        <v>44.6666666666667</v>
      </c>
      <c r="O83" s="213" t="n">
        <v>11.9</v>
      </c>
      <c r="P83" s="213" t="n">
        <v>13.8666666666667</v>
      </c>
      <c r="S83" s="215" t="n">
        <v>40510</v>
      </c>
      <c r="T83" s="213" t="n">
        <v>45.2666666666667</v>
      </c>
      <c r="U83" s="213" t="n">
        <v>47.3666666666667</v>
      </c>
      <c r="V83" s="213" t="n">
        <v>5.16666666666667</v>
      </c>
      <c r="W83" s="213" t="n">
        <v>6.68333333333333</v>
      </c>
      <c r="X83" s="204" t="n">
        <v>0</v>
      </c>
      <c r="Y83" s="204" t="n">
        <v>2.5</v>
      </c>
    </row>
    <row r="84" customFormat="false" ht="12.75" hidden="false" customHeight="false" outlineLevel="0" collapsed="false">
      <c r="A84" s="215" t="n">
        <v>40467</v>
      </c>
      <c r="B84" s="213" t="n">
        <v>42.7</v>
      </c>
      <c r="C84" s="213" t="n">
        <f aca="false">AVERAGEIFS($B$33:$B$1494,$A$33:$A$1494,A84)</f>
        <v>42.7</v>
      </c>
      <c r="D84" s="213" t="n">
        <v>44.6</v>
      </c>
      <c r="E84" s="213" t="n">
        <f aca="false">AVERAGEIFS($D$33:$D$1494,$A$33:$A$1494,A84)</f>
        <v>44.6666666666667</v>
      </c>
      <c r="F84" s="213" t="n">
        <v>11.5</v>
      </c>
      <c r="G84" s="213" t="n">
        <f aca="false">AVERAGEIFS($F$33:$F$1494,$A$33:$A$1494,A84)</f>
        <v>11.9</v>
      </c>
      <c r="H84" s="213" t="n">
        <v>13.5</v>
      </c>
      <c r="I84" s="213" t="n">
        <f aca="false">AVERAGEIFS($H$33:$H$1494,$A$33:$A$1494,A84)</f>
        <v>13.8666666666667</v>
      </c>
      <c r="L84" s="215" t="n">
        <v>40467</v>
      </c>
      <c r="M84" s="213" t="n">
        <v>42.7</v>
      </c>
      <c r="N84" s="213" t="n">
        <v>44.6666666666667</v>
      </c>
      <c r="O84" s="213" t="n">
        <v>11.9</v>
      </c>
      <c r="P84" s="213" t="n">
        <v>13.8666666666667</v>
      </c>
      <c r="S84" s="215" t="n">
        <v>40511</v>
      </c>
      <c r="T84" s="213" t="n">
        <v>45.1833333333333</v>
      </c>
      <c r="U84" s="213" t="n">
        <v>47.25</v>
      </c>
      <c r="V84" s="213" t="n">
        <v>4.86666666666667</v>
      </c>
      <c r="W84" s="213" t="n">
        <v>6.38333333333333</v>
      </c>
      <c r="X84" s="204" t="n">
        <v>0</v>
      </c>
      <c r="Y84" s="204" t="n">
        <v>3</v>
      </c>
    </row>
    <row r="85" customFormat="false" ht="12.75" hidden="false" customHeight="false" outlineLevel="0" collapsed="false">
      <c r="A85" s="215" t="n">
        <v>40467</v>
      </c>
      <c r="B85" s="213" t="n">
        <v>42.6</v>
      </c>
      <c r="C85" s="213" t="n">
        <f aca="false">AVERAGEIFS($B$33:$B$1494,$A$33:$A$1494,A85)</f>
        <v>42.7</v>
      </c>
      <c r="D85" s="213" t="n">
        <v>44.6</v>
      </c>
      <c r="E85" s="213" t="n">
        <f aca="false">AVERAGEIFS($D$33:$D$1494,$A$33:$A$1494,A85)</f>
        <v>44.6666666666667</v>
      </c>
      <c r="F85" s="213" t="n">
        <v>12.4</v>
      </c>
      <c r="G85" s="213" t="n">
        <f aca="false">AVERAGEIFS($F$33:$F$1494,$A$33:$A$1494,A85)</f>
        <v>11.9</v>
      </c>
      <c r="H85" s="213" t="n">
        <v>13.4</v>
      </c>
      <c r="I85" s="213" t="n">
        <f aca="false">AVERAGEIFS($H$33:$H$1494,$A$33:$A$1494,A85)</f>
        <v>13.8666666666667</v>
      </c>
      <c r="L85" s="215" t="n">
        <v>40467</v>
      </c>
      <c r="M85" s="213" t="n">
        <v>42.7</v>
      </c>
      <c r="N85" s="213" t="n">
        <v>44.6666666666667</v>
      </c>
      <c r="O85" s="213" t="n">
        <v>11.9</v>
      </c>
      <c r="P85" s="213" t="n">
        <v>13.8666666666667</v>
      </c>
      <c r="S85" s="215" t="n">
        <v>40512</v>
      </c>
      <c r="T85" s="213" t="n">
        <v>45.0166666666667</v>
      </c>
      <c r="U85" s="213" t="n">
        <v>47.0833333333333</v>
      </c>
      <c r="V85" s="213" t="n">
        <v>5.11666666666667</v>
      </c>
      <c r="W85" s="213" t="n">
        <v>6.21666666666667</v>
      </c>
      <c r="X85" s="204" t="n">
        <v>0</v>
      </c>
      <c r="Y85" s="204" t="n">
        <v>5.2</v>
      </c>
    </row>
    <row r="86" customFormat="false" ht="12.75" hidden="false" customHeight="false" outlineLevel="0" collapsed="false">
      <c r="A86" s="215" t="n">
        <v>40467</v>
      </c>
      <c r="B86" s="213" t="n">
        <v>42.5</v>
      </c>
      <c r="C86" s="213" t="n">
        <f aca="false">AVERAGEIFS($B$33:$B$1494,$A$33:$A$1494,A86)</f>
        <v>42.7</v>
      </c>
      <c r="D86" s="213" t="n">
        <v>44.5</v>
      </c>
      <c r="E86" s="213" t="n">
        <f aca="false">AVERAGEIFS($D$33:$D$1494,$A$33:$A$1494,A86)</f>
        <v>44.6666666666667</v>
      </c>
      <c r="F86" s="213" t="n">
        <v>12.6</v>
      </c>
      <c r="G86" s="213" t="n">
        <f aca="false">AVERAGEIFS($F$33:$F$1494,$A$33:$A$1494,A86)</f>
        <v>11.9</v>
      </c>
      <c r="H86" s="213" t="n">
        <v>13.5</v>
      </c>
      <c r="I86" s="213" t="n">
        <f aca="false">AVERAGEIFS($H$33:$H$1494,$A$33:$A$1494,A86)</f>
        <v>13.8666666666667</v>
      </c>
      <c r="L86" s="215" t="n">
        <v>40467</v>
      </c>
      <c r="M86" s="213" t="n">
        <v>42.7</v>
      </c>
      <c r="N86" s="213" t="n">
        <v>44.6666666666667</v>
      </c>
      <c r="O86" s="213" t="n">
        <v>11.9</v>
      </c>
      <c r="P86" s="213" t="n">
        <v>13.8666666666667</v>
      </c>
      <c r="S86" s="215" t="n">
        <v>40513</v>
      </c>
      <c r="T86" s="213" t="n">
        <v>44.8666666666667</v>
      </c>
      <c r="U86" s="213" t="n">
        <v>46.8833333333333</v>
      </c>
      <c r="V86" s="213" t="n">
        <v>5.21666666666667</v>
      </c>
      <c r="W86" s="213" t="n">
        <v>6.38333333333333</v>
      </c>
      <c r="X86" s="204" t="n">
        <v>0</v>
      </c>
      <c r="Y86" s="204" t="n">
        <v>1.7</v>
      </c>
    </row>
    <row r="87" customFormat="false" ht="12.75" hidden="false" customHeight="false" outlineLevel="0" collapsed="false">
      <c r="A87" s="215" t="n">
        <v>40468</v>
      </c>
      <c r="B87" s="213" t="n">
        <v>42.4</v>
      </c>
      <c r="C87" s="213" t="n">
        <f aca="false">AVERAGEIFS($B$33:$B$1494,$A$33:$A$1494,A87)</f>
        <v>42.3333333333333</v>
      </c>
      <c r="D87" s="213" t="n">
        <v>44.5</v>
      </c>
      <c r="E87" s="213" t="n">
        <f aca="false">AVERAGEIFS($D$33:$D$1494,$A$33:$A$1494,A87)</f>
        <v>44.3166666666667</v>
      </c>
      <c r="F87" s="213" t="n">
        <v>12.3</v>
      </c>
      <c r="G87" s="213" t="n">
        <f aca="false">AVERAGEIFS($F$33:$F$1494,$A$33:$A$1494,A87)</f>
        <v>11.9166666666667</v>
      </c>
      <c r="H87" s="213" t="n">
        <v>13.5</v>
      </c>
      <c r="I87" s="213" t="n">
        <f aca="false">AVERAGEIFS($H$33:$H$1494,$A$33:$A$1494,A87)</f>
        <v>13.2166666666667</v>
      </c>
      <c r="L87" s="215" t="n">
        <v>40468</v>
      </c>
      <c r="M87" s="213" t="n">
        <v>42.3333333333333</v>
      </c>
      <c r="N87" s="213" t="n">
        <v>44.3166666666667</v>
      </c>
      <c r="O87" s="213" t="n">
        <v>11.9166666666667</v>
      </c>
      <c r="P87" s="213" t="n">
        <v>13.2166666666667</v>
      </c>
      <c r="S87" s="215" t="n">
        <v>40514</v>
      </c>
      <c r="T87" s="213" t="n">
        <v>45.25</v>
      </c>
      <c r="U87" s="213" t="n">
        <v>46.9666666666667</v>
      </c>
      <c r="V87" s="213" t="n">
        <v>4.28333333333333</v>
      </c>
      <c r="W87" s="213" t="n">
        <v>5.83333333333333</v>
      </c>
      <c r="X87" s="204" t="n">
        <v>0.4</v>
      </c>
      <c r="Y87" s="204" t="n">
        <v>1.4</v>
      </c>
    </row>
    <row r="88" customFormat="false" ht="12.75" hidden="false" customHeight="false" outlineLevel="0" collapsed="false">
      <c r="A88" s="215" t="n">
        <v>40468</v>
      </c>
      <c r="B88" s="213" t="n">
        <v>42.4</v>
      </c>
      <c r="C88" s="213" t="n">
        <f aca="false">AVERAGEIFS($B$33:$B$1494,$A$33:$A$1494,A88)</f>
        <v>42.3333333333333</v>
      </c>
      <c r="D88" s="213" t="n">
        <v>44.4</v>
      </c>
      <c r="E88" s="213" t="n">
        <f aca="false">AVERAGEIFS($D$33:$D$1494,$A$33:$A$1494,A88)</f>
        <v>44.3166666666667</v>
      </c>
      <c r="F88" s="213" t="n">
        <v>11.6</v>
      </c>
      <c r="G88" s="213" t="n">
        <f aca="false">AVERAGEIFS($F$33:$F$1494,$A$33:$A$1494,A88)</f>
        <v>11.9166666666667</v>
      </c>
      <c r="H88" s="213" t="n">
        <v>13.4</v>
      </c>
      <c r="I88" s="213" t="n">
        <f aca="false">AVERAGEIFS($H$33:$H$1494,$A$33:$A$1494,A88)</f>
        <v>13.2166666666667</v>
      </c>
      <c r="L88" s="215" t="n">
        <v>40468</v>
      </c>
      <c r="M88" s="213" t="n">
        <v>42.3333333333333</v>
      </c>
      <c r="N88" s="213" t="n">
        <v>44.3166666666667</v>
      </c>
      <c r="O88" s="213" t="n">
        <v>11.9166666666667</v>
      </c>
      <c r="P88" s="213" t="n">
        <v>13.2166666666667</v>
      </c>
      <c r="S88" s="215" t="n">
        <v>40515</v>
      </c>
      <c r="T88" s="213" t="n">
        <v>44.8333333333333</v>
      </c>
      <c r="U88" s="213" t="n">
        <v>46.7666666666667</v>
      </c>
      <c r="V88" s="213" t="n">
        <v>4.28333333333333</v>
      </c>
      <c r="W88" s="213" t="n">
        <v>5.6</v>
      </c>
      <c r="X88" s="204" t="n">
        <v>0.6</v>
      </c>
      <c r="Y88" s="204" t="n">
        <v>1.8</v>
      </c>
    </row>
    <row r="89" customFormat="false" ht="12.75" hidden="false" customHeight="false" outlineLevel="0" collapsed="false">
      <c r="A89" s="215" t="n">
        <v>40468</v>
      </c>
      <c r="B89" s="213" t="n">
        <v>42.4</v>
      </c>
      <c r="C89" s="213" t="n">
        <f aca="false">AVERAGEIFS($B$33:$B$1494,$A$33:$A$1494,A89)</f>
        <v>42.3333333333333</v>
      </c>
      <c r="D89" s="213" t="n">
        <v>44.3</v>
      </c>
      <c r="E89" s="213" t="n">
        <f aca="false">AVERAGEIFS($D$33:$D$1494,$A$33:$A$1494,A89)</f>
        <v>44.3166666666667</v>
      </c>
      <c r="F89" s="213" t="n">
        <v>11.1</v>
      </c>
      <c r="G89" s="213" t="n">
        <f aca="false">AVERAGEIFS($F$33:$F$1494,$A$33:$A$1494,A89)</f>
        <v>11.9166666666667</v>
      </c>
      <c r="H89" s="213" t="n">
        <v>13.2</v>
      </c>
      <c r="I89" s="213" t="n">
        <f aca="false">AVERAGEIFS($H$33:$H$1494,$A$33:$A$1494,A89)</f>
        <v>13.2166666666667</v>
      </c>
      <c r="L89" s="215" t="n">
        <v>40468</v>
      </c>
      <c r="M89" s="213" t="n">
        <v>42.3333333333333</v>
      </c>
      <c r="N89" s="213" t="n">
        <v>44.3166666666667</v>
      </c>
      <c r="O89" s="213" t="n">
        <v>11.9166666666667</v>
      </c>
      <c r="P89" s="213" t="n">
        <v>13.2166666666667</v>
      </c>
      <c r="S89" s="215" t="n">
        <v>40516</v>
      </c>
      <c r="T89" s="213" t="n">
        <v>44.9166666666667</v>
      </c>
      <c r="U89" s="213" t="n">
        <v>46.6833333333333</v>
      </c>
      <c r="V89" s="213" t="n">
        <v>4.06666666666667</v>
      </c>
      <c r="W89" s="213" t="n">
        <v>5.31666666666667</v>
      </c>
      <c r="X89" s="204" t="n">
        <v>0.2</v>
      </c>
      <c r="Y89" s="204" t="n">
        <v>2.5</v>
      </c>
    </row>
    <row r="90" customFormat="false" ht="12.75" hidden="false" customHeight="false" outlineLevel="0" collapsed="false">
      <c r="A90" s="215" t="n">
        <v>40468</v>
      </c>
      <c r="B90" s="213" t="n">
        <v>42.3</v>
      </c>
      <c r="C90" s="213" t="n">
        <f aca="false">AVERAGEIFS($B$33:$B$1494,$A$33:$A$1494,A90)</f>
        <v>42.3333333333333</v>
      </c>
      <c r="D90" s="213" t="n">
        <v>44.3</v>
      </c>
      <c r="E90" s="213" t="n">
        <f aca="false">AVERAGEIFS($D$33:$D$1494,$A$33:$A$1494,A90)</f>
        <v>44.3166666666667</v>
      </c>
      <c r="F90" s="213" t="n">
        <v>11.7</v>
      </c>
      <c r="G90" s="213" t="n">
        <f aca="false">AVERAGEIFS($F$33:$F$1494,$A$33:$A$1494,A90)</f>
        <v>11.9166666666667</v>
      </c>
      <c r="H90" s="213" t="n">
        <v>13.1</v>
      </c>
      <c r="I90" s="213" t="n">
        <f aca="false">AVERAGEIFS($H$33:$H$1494,$A$33:$A$1494,A90)</f>
        <v>13.2166666666667</v>
      </c>
      <c r="L90" s="215" t="n">
        <v>40468</v>
      </c>
      <c r="M90" s="213" t="n">
        <v>42.3333333333333</v>
      </c>
      <c r="N90" s="213" t="n">
        <v>44.3166666666667</v>
      </c>
      <c r="O90" s="213" t="n">
        <v>11.9166666666667</v>
      </c>
      <c r="P90" s="213" t="n">
        <v>13.2166666666667</v>
      </c>
      <c r="S90" s="215" t="n">
        <v>40517</v>
      </c>
      <c r="T90" s="213" t="n">
        <v>44.55</v>
      </c>
      <c r="U90" s="213" t="n">
        <v>46.65</v>
      </c>
      <c r="V90" s="213" t="n">
        <v>4.93333333333333</v>
      </c>
      <c r="W90" s="213" t="n">
        <v>5.51666666666667</v>
      </c>
      <c r="X90" s="204" t="n">
        <v>0.4</v>
      </c>
      <c r="Y90" s="204" t="n">
        <v>8.4</v>
      </c>
    </row>
    <row r="91" customFormat="false" ht="12.75" hidden="false" customHeight="false" outlineLevel="0" collapsed="false">
      <c r="A91" s="215" t="n">
        <v>40468</v>
      </c>
      <c r="B91" s="213" t="n">
        <v>42.2</v>
      </c>
      <c r="C91" s="213" t="n">
        <f aca="false">AVERAGEIFS($B$33:$B$1494,$A$33:$A$1494,A91)</f>
        <v>42.3333333333333</v>
      </c>
      <c r="D91" s="213" t="n">
        <v>44.2</v>
      </c>
      <c r="E91" s="213" t="n">
        <f aca="false">AVERAGEIFS($D$33:$D$1494,$A$33:$A$1494,A91)</f>
        <v>44.3166666666667</v>
      </c>
      <c r="F91" s="213" t="n">
        <v>12.8</v>
      </c>
      <c r="G91" s="213" t="n">
        <f aca="false">AVERAGEIFS($F$33:$F$1494,$A$33:$A$1494,A91)</f>
        <v>11.9166666666667</v>
      </c>
      <c r="H91" s="213" t="n">
        <v>13</v>
      </c>
      <c r="I91" s="213" t="n">
        <f aca="false">AVERAGEIFS($H$33:$H$1494,$A$33:$A$1494,A91)</f>
        <v>13.2166666666667</v>
      </c>
      <c r="L91" s="215" t="n">
        <v>40468</v>
      </c>
      <c r="M91" s="213" t="n">
        <v>42.3333333333333</v>
      </c>
      <c r="N91" s="213" t="n">
        <v>44.3166666666667</v>
      </c>
      <c r="O91" s="213" t="n">
        <v>11.9166666666667</v>
      </c>
      <c r="P91" s="213" t="n">
        <v>13.2166666666667</v>
      </c>
      <c r="S91" s="215" t="n">
        <v>40518</v>
      </c>
      <c r="T91" s="213" t="n">
        <v>44.45</v>
      </c>
      <c r="U91" s="213" t="n">
        <v>46.1166666666667</v>
      </c>
      <c r="V91" s="213" t="n">
        <v>7.33333333333333</v>
      </c>
      <c r="W91" s="213" t="n">
        <v>6.55</v>
      </c>
      <c r="X91" s="204" t="n">
        <v>0.8</v>
      </c>
      <c r="Y91" s="204" t="n">
        <v>11.2</v>
      </c>
    </row>
    <row r="92" customFormat="false" ht="12.75" hidden="false" customHeight="false" outlineLevel="0" collapsed="false">
      <c r="A92" s="215" t="n">
        <v>40468</v>
      </c>
      <c r="B92" s="213" t="n">
        <v>42.3</v>
      </c>
      <c r="C92" s="213" t="n">
        <f aca="false">AVERAGEIFS($B$33:$B$1494,$A$33:$A$1494,A92)</f>
        <v>42.3333333333333</v>
      </c>
      <c r="D92" s="213" t="n">
        <v>44.2</v>
      </c>
      <c r="E92" s="213" t="n">
        <f aca="false">AVERAGEIFS($D$33:$D$1494,$A$33:$A$1494,A92)</f>
        <v>44.3166666666667</v>
      </c>
      <c r="F92" s="213" t="n">
        <v>12</v>
      </c>
      <c r="G92" s="213" t="n">
        <f aca="false">AVERAGEIFS($F$33:$F$1494,$A$33:$A$1494,A92)</f>
        <v>11.9166666666667</v>
      </c>
      <c r="H92" s="213" t="n">
        <v>13.1</v>
      </c>
      <c r="I92" s="213" t="n">
        <f aca="false">AVERAGEIFS($H$33:$H$1494,$A$33:$A$1494,A92)</f>
        <v>13.2166666666667</v>
      </c>
      <c r="L92" s="215" t="n">
        <v>40468</v>
      </c>
      <c r="M92" s="213" t="n">
        <v>42.3333333333333</v>
      </c>
      <c r="N92" s="213" t="n">
        <v>44.3166666666667</v>
      </c>
      <c r="O92" s="213" t="n">
        <v>11.9166666666667</v>
      </c>
      <c r="P92" s="213" t="n">
        <v>13.2166666666667</v>
      </c>
      <c r="S92" s="215" t="n">
        <v>40519</v>
      </c>
      <c r="T92" s="213" t="n">
        <v>44.4166666666667</v>
      </c>
      <c r="U92" s="213" t="n">
        <v>46.0333333333333</v>
      </c>
      <c r="V92" s="213" t="n">
        <v>8.86666666666667</v>
      </c>
      <c r="W92" s="213" t="n">
        <v>7.78333333333333</v>
      </c>
      <c r="X92" s="204" t="n">
        <v>0.2</v>
      </c>
      <c r="Y92" s="204" t="n">
        <v>12</v>
      </c>
    </row>
    <row r="93" customFormat="false" ht="12.75" hidden="false" customHeight="false" outlineLevel="0" collapsed="false">
      <c r="A93" s="215" t="n">
        <v>40469</v>
      </c>
      <c r="B93" s="213" t="n">
        <v>42.2</v>
      </c>
      <c r="C93" s="213" t="n">
        <f aca="false">AVERAGEIFS($B$33:$B$1494,$A$33:$A$1494,A93)</f>
        <v>42.1833333333333</v>
      </c>
      <c r="D93" s="213" t="n">
        <v>44.1</v>
      </c>
      <c r="E93" s="213" t="n">
        <f aca="false">AVERAGEIFS($D$33:$D$1494,$A$33:$A$1494,A93)</f>
        <v>43.9666666666667</v>
      </c>
      <c r="F93" s="213" t="n">
        <v>11.2</v>
      </c>
      <c r="G93" s="213" t="n">
        <f aca="false">AVERAGEIFS($F$33:$F$1494,$A$33:$A$1494,A93)</f>
        <v>10.7166666666667</v>
      </c>
      <c r="H93" s="213" t="n">
        <v>13.1</v>
      </c>
      <c r="I93" s="213" t="n">
        <f aca="false">AVERAGEIFS($H$33:$H$1494,$A$33:$A$1494,A93)</f>
        <v>12.55</v>
      </c>
      <c r="L93" s="215" t="n">
        <v>40469</v>
      </c>
      <c r="M93" s="213" t="n">
        <v>42.1833333333333</v>
      </c>
      <c r="N93" s="213" t="n">
        <v>43.9666666666667</v>
      </c>
      <c r="O93" s="213" t="n">
        <v>10.7166666666667</v>
      </c>
      <c r="P93" s="213" t="n">
        <v>12.55</v>
      </c>
      <c r="S93" s="215" t="n">
        <v>40520</v>
      </c>
      <c r="T93" s="213" t="n">
        <v>44.3</v>
      </c>
      <c r="U93" s="213" t="n">
        <v>46</v>
      </c>
      <c r="V93" s="213" t="n">
        <v>9.85</v>
      </c>
      <c r="W93" s="213" t="n">
        <v>8.75</v>
      </c>
      <c r="X93" s="204" t="n">
        <v>0</v>
      </c>
      <c r="Y93" s="204" t="n">
        <v>13.8</v>
      </c>
    </row>
    <row r="94" customFormat="false" ht="12.75" hidden="false" customHeight="false" outlineLevel="0" collapsed="false">
      <c r="A94" s="215" t="n">
        <v>40469</v>
      </c>
      <c r="B94" s="213" t="n">
        <v>42.2</v>
      </c>
      <c r="C94" s="213" t="n">
        <f aca="false">AVERAGEIFS($B$33:$B$1494,$A$33:$A$1494,A94)</f>
        <v>42.1833333333333</v>
      </c>
      <c r="D94" s="213" t="n">
        <v>44</v>
      </c>
      <c r="E94" s="213" t="n">
        <f aca="false">AVERAGEIFS($D$33:$D$1494,$A$33:$A$1494,A94)</f>
        <v>43.9666666666667</v>
      </c>
      <c r="F94" s="213" t="n">
        <v>10.6</v>
      </c>
      <c r="G94" s="213" t="n">
        <f aca="false">AVERAGEIFS($F$33:$F$1494,$A$33:$A$1494,A94)</f>
        <v>10.7166666666667</v>
      </c>
      <c r="H94" s="213" t="n">
        <v>12.8</v>
      </c>
      <c r="I94" s="213" t="n">
        <f aca="false">AVERAGEIFS($H$33:$H$1494,$A$33:$A$1494,A94)</f>
        <v>12.55</v>
      </c>
      <c r="L94" s="215" t="n">
        <v>40469</v>
      </c>
      <c r="M94" s="213" t="n">
        <v>42.1833333333333</v>
      </c>
      <c r="N94" s="213" t="n">
        <v>43.9666666666667</v>
      </c>
      <c r="O94" s="213" t="n">
        <v>10.7166666666667</v>
      </c>
      <c r="P94" s="213" t="n">
        <v>12.55</v>
      </c>
      <c r="S94" s="215" t="n">
        <v>40521</v>
      </c>
      <c r="T94" s="213" t="n">
        <v>44.2666666666667</v>
      </c>
      <c r="U94" s="213" t="n">
        <v>45.8166666666667</v>
      </c>
      <c r="V94" s="213" t="n">
        <v>8.96666666666667</v>
      </c>
      <c r="W94" s="213" t="n">
        <v>9.1</v>
      </c>
      <c r="X94" s="204" t="n">
        <v>0</v>
      </c>
      <c r="Y94" s="204" t="n">
        <v>4.8</v>
      </c>
    </row>
    <row r="95" customFormat="false" ht="12.75" hidden="false" customHeight="false" outlineLevel="0" collapsed="false">
      <c r="A95" s="215" t="n">
        <v>40469</v>
      </c>
      <c r="B95" s="213" t="n">
        <v>42.2</v>
      </c>
      <c r="C95" s="213" t="n">
        <f aca="false">AVERAGEIFS($B$33:$B$1494,$A$33:$A$1494,A95)</f>
        <v>42.1833333333333</v>
      </c>
      <c r="D95" s="213" t="n">
        <v>44</v>
      </c>
      <c r="E95" s="213" t="n">
        <f aca="false">AVERAGEIFS($D$33:$D$1494,$A$33:$A$1494,A95)</f>
        <v>43.9666666666667</v>
      </c>
      <c r="F95" s="213" t="n">
        <v>10.2</v>
      </c>
      <c r="G95" s="213" t="n">
        <f aca="false">AVERAGEIFS($F$33:$F$1494,$A$33:$A$1494,A95)</f>
        <v>10.7166666666667</v>
      </c>
      <c r="H95" s="213" t="n">
        <v>12.6</v>
      </c>
      <c r="I95" s="213" t="n">
        <f aca="false">AVERAGEIFS($H$33:$H$1494,$A$33:$A$1494,A95)</f>
        <v>12.55</v>
      </c>
      <c r="L95" s="215" t="n">
        <v>40469</v>
      </c>
      <c r="M95" s="213" t="n">
        <v>42.1833333333333</v>
      </c>
      <c r="N95" s="213" t="n">
        <v>43.9666666666667</v>
      </c>
      <c r="O95" s="213" t="n">
        <v>10.7166666666667</v>
      </c>
      <c r="P95" s="213" t="n">
        <v>12.55</v>
      </c>
      <c r="S95" s="215" t="n">
        <v>40522</v>
      </c>
      <c r="T95" s="213" t="n">
        <v>44.7166666666667</v>
      </c>
      <c r="U95" s="213" t="n">
        <v>45.8</v>
      </c>
      <c r="V95" s="213" t="n">
        <v>5.85</v>
      </c>
      <c r="W95" s="213" t="n">
        <v>7.68333333333333</v>
      </c>
      <c r="X95" s="204" t="n">
        <v>0</v>
      </c>
      <c r="Y95" s="204" t="n">
        <v>0.4</v>
      </c>
    </row>
    <row r="96" customFormat="false" ht="12.75" hidden="false" customHeight="false" outlineLevel="0" collapsed="false">
      <c r="A96" s="215" t="n">
        <v>40469</v>
      </c>
      <c r="B96" s="213" t="n">
        <v>42.3</v>
      </c>
      <c r="C96" s="213" t="n">
        <f aca="false">AVERAGEIFS($B$33:$B$1494,$A$33:$A$1494,A96)</f>
        <v>42.1833333333333</v>
      </c>
      <c r="D96" s="213" t="n">
        <v>43.9</v>
      </c>
      <c r="E96" s="213" t="n">
        <f aca="false">AVERAGEIFS($D$33:$D$1494,$A$33:$A$1494,A96)</f>
        <v>43.9666666666667</v>
      </c>
      <c r="F96" s="213" t="n">
        <v>10.3</v>
      </c>
      <c r="G96" s="213" t="n">
        <f aca="false">AVERAGEIFS($F$33:$F$1494,$A$33:$A$1494,A96)</f>
        <v>10.7166666666667</v>
      </c>
      <c r="H96" s="213" t="n">
        <v>12.3</v>
      </c>
      <c r="I96" s="213" t="n">
        <f aca="false">AVERAGEIFS($H$33:$H$1494,$A$33:$A$1494,A96)</f>
        <v>12.55</v>
      </c>
      <c r="L96" s="215" t="n">
        <v>40469</v>
      </c>
      <c r="M96" s="213" t="n">
        <v>42.1833333333333</v>
      </c>
      <c r="N96" s="213" t="n">
        <v>43.9666666666667</v>
      </c>
      <c r="O96" s="213" t="n">
        <v>10.7166666666667</v>
      </c>
      <c r="P96" s="213" t="n">
        <v>12.55</v>
      </c>
      <c r="S96" s="215" t="n">
        <v>40523</v>
      </c>
      <c r="T96" s="213" t="n">
        <v>44.85</v>
      </c>
      <c r="U96" s="213" t="n">
        <v>45.85</v>
      </c>
      <c r="V96" s="213" t="n">
        <v>4.31666666666667</v>
      </c>
      <c r="W96" s="213" t="n">
        <v>6.31666666666667</v>
      </c>
      <c r="X96" s="204" t="n">
        <v>0</v>
      </c>
      <c r="Y96" s="204" t="n">
        <v>1.7</v>
      </c>
    </row>
    <row r="97" customFormat="false" ht="12.75" hidden="false" customHeight="false" outlineLevel="0" collapsed="false">
      <c r="A97" s="215" t="n">
        <v>40469</v>
      </c>
      <c r="B97" s="213" t="n">
        <v>42.3</v>
      </c>
      <c r="C97" s="213" t="n">
        <f aca="false">AVERAGEIFS($B$33:$B$1494,$A$33:$A$1494,A97)</f>
        <v>42.1833333333333</v>
      </c>
      <c r="D97" s="213" t="n">
        <v>43.9</v>
      </c>
      <c r="E97" s="213" t="n">
        <f aca="false">AVERAGEIFS($D$33:$D$1494,$A$33:$A$1494,A97)</f>
        <v>43.9666666666667</v>
      </c>
      <c r="F97" s="213" t="n">
        <v>11.4</v>
      </c>
      <c r="G97" s="213" t="n">
        <f aca="false">AVERAGEIFS($F$33:$F$1494,$A$33:$A$1494,A97)</f>
        <v>10.7166666666667</v>
      </c>
      <c r="H97" s="213" t="n">
        <v>12.2</v>
      </c>
      <c r="I97" s="213" t="n">
        <f aca="false">AVERAGEIFS($H$33:$H$1494,$A$33:$A$1494,A97)</f>
        <v>12.55</v>
      </c>
      <c r="L97" s="215" t="n">
        <v>40469</v>
      </c>
      <c r="M97" s="213" t="n">
        <v>42.1833333333333</v>
      </c>
      <c r="N97" s="213" t="n">
        <v>43.9666666666667</v>
      </c>
      <c r="O97" s="213" t="n">
        <v>10.7166666666667</v>
      </c>
      <c r="P97" s="213" t="n">
        <v>12.55</v>
      </c>
      <c r="S97" s="215" t="n">
        <v>40524</v>
      </c>
      <c r="T97" s="213" t="n">
        <v>45</v>
      </c>
      <c r="U97" s="213" t="n">
        <v>45.65</v>
      </c>
      <c r="V97" s="213" t="n">
        <v>4.33333333333333</v>
      </c>
      <c r="W97" s="213" t="n">
        <v>5.7</v>
      </c>
      <c r="X97" s="204" t="n">
        <v>0</v>
      </c>
      <c r="Y97" s="204" t="n">
        <v>3.2</v>
      </c>
    </row>
    <row r="98" customFormat="false" ht="12.75" hidden="false" customHeight="false" outlineLevel="0" collapsed="false">
      <c r="A98" s="215" t="n">
        <v>40469</v>
      </c>
      <c r="B98" s="213" t="n">
        <v>41.9</v>
      </c>
      <c r="C98" s="213" t="n">
        <f aca="false">AVERAGEIFS($B$33:$B$1494,$A$33:$A$1494,A98)</f>
        <v>42.1833333333333</v>
      </c>
      <c r="D98" s="213" t="n">
        <v>43.9</v>
      </c>
      <c r="E98" s="213" t="n">
        <f aca="false">AVERAGEIFS($D$33:$D$1494,$A$33:$A$1494,A98)</f>
        <v>43.9666666666667</v>
      </c>
      <c r="F98" s="213" t="n">
        <v>10.6</v>
      </c>
      <c r="G98" s="213" t="n">
        <f aca="false">AVERAGEIFS($F$33:$F$1494,$A$33:$A$1494,A98)</f>
        <v>10.7166666666667</v>
      </c>
      <c r="H98" s="213" t="n">
        <v>12.3</v>
      </c>
      <c r="I98" s="213" t="n">
        <f aca="false">AVERAGEIFS($H$33:$H$1494,$A$33:$A$1494,A98)</f>
        <v>12.55</v>
      </c>
      <c r="L98" s="215" t="n">
        <v>40469</v>
      </c>
      <c r="M98" s="213" t="n">
        <v>42.1833333333333</v>
      </c>
      <c r="N98" s="213" t="n">
        <v>43.9666666666667</v>
      </c>
      <c r="O98" s="213" t="n">
        <v>10.7166666666667</v>
      </c>
      <c r="P98" s="213" t="n">
        <v>12.55</v>
      </c>
      <c r="S98" s="215" t="n">
        <v>40525</v>
      </c>
      <c r="T98" s="213" t="n">
        <v>44.7</v>
      </c>
      <c r="U98" s="213" t="n">
        <v>45.5833333333333</v>
      </c>
      <c r="V98" s="213" t="n">
        <v>3.98333333333333</v>
      </c>
      <c r="W98" s="213" t="n">
        <v>5.5</v>
      </c>
      <c r="X98" s="204" t="n">
        <v>0</v>
      </c>
      <c r="Y98" s="204" t="n">
        <v>0.4</v>
      </c>
    </row>
    <row r="99" customFormat="false" ht="12.75" hidden="false" customHeight="false" outlineLevel="0" collapsed="false">
      <c r="A99" s="215" t="n">
        <v>40470</v>
      </c>
      <c r="B99" s="213" t="n">
        <v>42</v>
      </c>
      <c r="C99" s="213" t="n">
        <f aca="false">AVERAGEIFS($B$33:$B$1494,$A$33:$A$1494,A99)</f>
        <v>41.5666666666667</v>
      </c>
      <c r="D99" s="213" t="n">
        <v>43.8</v>
      </c>
      <c r="E99" s="213" t="n">
        <f aca="false">AVERAGEIFS($D$33:$D$1494,$A$33:$A$1494,A99)</f>
        <v>43.7166666666667</v>
      </c>
      <c r="F99" s="213" t="n">
        <v>9.7</v>
      </c>
      <c r="G99" s="213" t="n">
        <f aca="false">AVERAGEIFS($F$33:$F$1494,$A$33:$A$1494,A99)</f>
        <v>10.1166666666667</v>
      </c>
      <c r="H99" s="213" t="n">
        <v>12.1</v>
      </c>
      <c r="I99" s="213" t="n">
        <f aca="false">AVERAGEIFS($H$33:$H$1494,$A$33:$A$1494,A99)</f>
        <v>11.6833333333333</v>
      </c>
      <c r="L99" s="215" t="n">
        <v>40470</v>
      </c>
      <c r="M99" s="213" t="n">
        <v>41.5666666666667</v>
      </c>
      <c r="N99" s="213" t="n">
        <v>43.7166666666667</v>
      </c>
      <c r="O99" s="213" t="n">
        <v>10.1166666666667</v>
      </c>
      <c r="P99" s="213" t="n">
        <v>11.6833333333333</v>
      </c>
      <c r="S99" s="215" t="n">
        <v>40526</v>
      </c>
      <c r="T99" s="213" t="n">
        <v>44.4666666666667</v>
      </c>
      <c r="U99" s="213" t="n">
        <v>45.5833333333333</v>
      </c>
      <c r="V99" s="213" t="n">
        <v>3.2</v>
      </c>
      <c r="W99" s="213" t="n">
        <v>4.85</v>
      </c>
      <c r="X99" s="204" t="n">
        <v>0</v>
      </c>
      <c r="Y99" s="204" t="n">
        <v>-0.4</v>
      </c>
    </row>
    <row r="100" customFormat="false" ht="12.75" hidden="false" customHeight="false" outlineLevel="0" collapsed="false">
      <c r="A100" s="215" t="n">
        <v>40470</v>
      </c>
      <c r="B100" s="213" t="n">
        <v>41.6</v>
      </c>
      <c r="C100" s="213" t="n">
        <f aca="false">AVERAGEIFS($B$33:$B$1494,$A$33:$A$1494,A100)</f>
        <v>41.5666666666667</v>
      </c>
      <c r="D100" s="213" t="n">
        <v>43.8</v>
      </c>
      <c r="E100" s="213" t="n">
        <f aca="false">AVERAGEIFS($D$33:$D$1494,$A$33:$A$1494,A100)</f>
        <v>43.7166666666667</v>
      </c>
      <c r="F100" s="213" t="n">
        <v>9.2</v>
      </c>
      <c r="G100" s="213" t="n">
        <f aca="false">AVERAGEIFS($F$33:$F$1494,$A$33:$A$1494,A100)</f>
        <v>10.1166666666667</v>
      </c>
      <c r="H100" s="213" t="n">
        <v>11.9</v>
      </c>
      <c r="I100" s="213" t="n">
        <f aca="false">AVERAGEIFS($H$33:$H$1494,$A$33:$A$1494,A100)</f>
        <v>11.6833333333333</v>
      </c>
      <c r="L100" s="215" t="n">
        <v>40470</v>
      </c>
      <c r="M100" s="213" t="n">
        <v>41.5666666666667</v>
      </c>
      <c r="N100" s="213" t="n">
        <v>43.7166666666667</v>
      </c>
      <c r="O100" s="213" t="n">
        <v>10.1166666666667</v>
      </c>
      <c r="P100" s="213" t="n">
        <v>11.6833333333333</v>
      </c>
      <c r="S100" s="215" t="n">
        <v>40527</v>
      </c>
      <c r="T100" s="213" t="n">
        <v>44.6333333333333</v>
      </c>
      <c r="U100" s="213" t="n">
        <v>45.5</v>
      </c>
      <c r="V100" s="213" t="n">
        <v>2.51666666666667</v>
      </c>
      <c r="W100" s="213" t="n">
        <v>4.35</v>
      </c>
      <c r="X100" s="204" t="n">
        <v>0</v>
      </c>
      <c r="Y100" s="204" t="n">
        <v>-2.1</v>
      </c>
    </row>
    <row r="101" customFormat="false" ht="12.75" hidden="false" customHeight="false" outlineLevel="0" collapsed="false">
      <c r="A101" s="215" t="n">
        <v>40470</v>
      </c>
      <c r="B101" s="213" t="n">
        <v>41.5</v>
      </c>
      <c r="C101" s="213" t="n">
        <f aca="false">AVERAGEIFS($B$33:$B$1494,$A$33:$A$1494,A101)</f>
        <v>41.5666666666667</v>
      </c>
      <c r="D101" s="213" t="n">
        <v>43.7</v>
      </c>
      <c r="E101" s="213" t="n">
        <f aca="false">AVERAGEIFS($D$33:$D$1494,$A$33:$A$1494,A101)</f>
        <v>43.7166666666667</v>
      </c>
      <c r="F101" s="213" t="n">
        <v>8.8</v>
      </c>
      <c r="G101" s="213" t="n">
        <f aca="false">AVERAGEIFS($F$33:$F$1494,$A$33:$A$1494,A101)</f>
        <v>10.1166666666667</v>
      </c>
      <c r="H101" s="213" t="n">
        <v>11.6</v>
      </c>
      <c r="I101" s="213" t="n">
        <f aca="false">AVERAGEIFS($H$33:$H$1494,$A$33:$A$1494,A101)</f>
        <v>11.6833333333333</v>
      </c>
      <c r="L101" s="215" t="n">
        <v>40470</v>
      </c>
      <c r="M101" s="213" t="n">
        <v>41.5666666666667</v>
      </c>
      <c r="N101" s="213" t="n">
        <v>43.7166666666667</v>
      </c>
      <c r="O101" s="213" t="n">
        <v>10.1166666666667</v>
      </c>
      <c r="P101" s="213" t="n">
        <v>11.6833333333333</v>
      </c>
      <c r="S101" s="215" t="n">
        <v>40528</v>
      </c>
      <c r="T101" s="213" t="n">
        <v>44.55</v>
      </c>
      <c r="U101" s="213" t="n">
        <v>45.5166666666667</v>
      </c>
      <c r="V101" s="213" t="n">
        <v>1.91666666666667</v>
      </c>
      <c r="W101" s="213" t="n">
        <v>3.78333333333333</v>
      </c>
      <c r="X101" s="204" t="n">
        <v>0</v>
      </c>
      <c r="Y101" s="204" t="n">
        <v>1.4</v>
      </c>
    </row>
    <row r="102" customFormat="false" ht="12.75" hidden="false" customHeight="false" outlineLevel="0" collapsed="false">
      <c r="A102" s="215" t="n">
        <v>40470</v>
      </c>
      <c r="B102" s="213" t="n">
        <v>41.5</v>
      </c>
      <c r="C102" s="213" t="n">
        <f aca="false">AVERAGEIFS($B$33:$B$1494,$A$33:$A$1494,A102)</f>
        <v>41.5666666666667</v>
      </c>
      <c r="D102" s="213" t="n">
        <v>43.7</v>
      </c>
      <c r="E102" s="213" t="n">
        <f aca="false">AVERAGEIFS($D$33:$D$1494,$A$33:$A$1494,A102)</f>
        <v>43.7166666666667</v>
      </c>
      <c r="F102" s="213" t="n">
        <v>9.2</v>
      </c>
      <c r="G102" s="213" t="n">
        <f aca="false">AVERAGEIFS($F$33:$F$1494,$A$33:$A$1494,A102)</f>
        <v>10.1166666666667</v>
      </c>
      <c r="H102" s="213" t="n">
        <v>11.3</v>
      </c>
      <c r="I102" s="213" t="n">
        <f aca="false">AVERAGEIFS($H$33:$H$1494,$A$33:$A$1494,A102)</f>
        <v>11.6833333333333</v>
      </c>
      <c r="L102" s="215" t="n">
        <v>40470</v>
      </c>
      <c r="M102" s="213" t="n">
        <v>41.5666666666667</v>
      </c>
      <c r="N102" s="213" t="n">
        <v>43.7166666666667</v>
      </c>
      <c r="O102" s="213" t="n">
        <v>10.1166666666667</v>
      </c>
      <c r="P102" s="213" t="n">
        <v>11.6833333333333</v>
      </c>
      <c r="S102" s="215" t="n">
        <v>40529</v>
      </c>
      <c r="T102" s="213" t="n">
        <v>44.7166666666667</v>
      </c>
      <c r="U102" s="213" t="n">
        <v>45.4333333333333</v>
      </c>
      <c r="V102" s="213" t="n">
        <v>3.36666666666667</v>
      </c>
      <c r="W102" s="213" t="n">
        <v>3.91666666666667</v>
      </c>
      <c r="X102" s="204" t="n">
        <v>5.2</v>
      </c>
      <c r="Y102" s="204" t="n">
        <v>3</v>
      </c>
    </row>
    <row r="103" customFormat="false" ht="12.75" hidden="false" customHeight="false" outlineLevel="0" collapsed="false">
      <c r="A103" s="215" t="n">
        <v>40470</v>
      </c>
      <c r="B103" s="213" t="n">
        <v>41.5</v>
      </c>
      <c r="C103" s="213" t="n">
        <f aca="false">AVERAGEIFS($B$33:$B$1494,$A$33:$A$1494,A103)</f>
        <v>41.5666666666667</v>
      </c>
      <c r="D103" s="213" t="n">
        <v>43.7</v>
      </c>
      <c r="E103" s="213" t="n">
        <f aca="false">AVERAGEIFS($D$33:$D$1494,$A$33:$A$1494,A103)</f>
        <v>43.7166666666667</v>
      </c>
      <c r="F103" s="213" t="n">
        <v>11.9</v>
      </c>
      <c r="G103" s="213" t="n">
        <f aca="false">AVERAGEIFS($F$33:$F$1494,$A$33:$A$1494,A103)</f>
        <v>10.1166666666667</v>
      </c>
      <c r="H103" s="213" t="n">
        <v>11.4</v>
      </c>
      <c r="I103" s="213" t="n">
        <f aca="false">AVERAGEIFS($H$33:$H$1494,$A$33:$A$1494,A103)</f>
        <v>11.6833333333333</v>
      </c>
      <c r="L103" s="215" t="n">
        <v>40470</v>
      </c>
      <c r="M103" s="213" t="n">
        <v>41.5666666666667</v>
      </c>
      <c r="N103" s="213" t="n">
        <v>43.7166666666667</v>
      </c>
      <c r="O103" s="213" t="n">
        <v>10.1166666666667</v>
      </c>
      <c r="P103" s="213" t="n">
        <v>11.6833333333333</v>
      </c>
      <c r="S103" s="215" t="n">
        <v>40530</v>
      </c>
      <c r="T103" s="213" t="n">
        <v>45.2833333333333</v>
      </c>
      <c r="U103" s="213" t="n">
        <v>45.4</v>
      </c>
      <c r="V103" s="213" t="n">
        <v>2.78333333333333</v>
      </c>
      <c r="W103" s="213" t="n">
        <v>4.11666666666667</v>
      </c>
      <c r="X103" s="204" t="n">
        <v>0</v>
      </c>
      <c r="Y103" s="204" t="n">
        <v>0.5</v>
      </c>
    </row>
    <row r="104" customFormat="false" ht="12.75" hidden="false" customHeight="false" outlineLevel="0" collapsed="false">
      <c r="A104" s="215" t="n">
        <v>40470</v>
      </c>
      <c r="B104" s="213" t="n">
        <v>41.3</v>
      </c>
      <c r="C104" s="213" t="n">
        <f aca="false">AVERAGEIFS($B$33:$B$1494,$A$33:$A$1494,A104)</f>
        <v>41.5666666666667</v>
      </c>
      <c r="D104" s="213" t="n">
        <v>43.6</v>
      </c>
      <c r="E104" s="213" t="n">
        <f aca="false">AVERAGEIFS($D$33:$D$1494,$A$33:$A$1494,A104)</f>
        <v>43.7166666666667</v>
      </c>
      <c r="F104" s="213" t="n">
        <v>11.9</v>
      </c>
      <c r="G104" s="213" t="n">
        <f aca="false">AVERAGEIFS($F$33:$F$1494,$A$33:$A$1494,A104)</f>
        <v>10.1166666666667</v>
      </c>
      <c r="H104" s="213" t="n">
        <v>11.8</v>
      </c>
      <c r="I104" s="213" t="n">
        <f aca="false">AVERAGEIFS($H$33:$H$1494,$A$33:$A$1494,A104)</f>
        <v>11.6833333333333</v>
      </c>
      <c r="L104" s="215" t="n">
        <v>40470</v>
      </c>
      <c r="M104" s="213" t="n">
        <v>41.5666666666667</v>
      </c>
      <c r="N104" s="213" t="n">
        <v>43.7166666666667</v>
      </c>
      <c r="O104" s="213" t="n">
        <v>10.1166666666667</v>
      </c>
      <c r="P104" s="213" t="n">
        <v>11.6833333333333</v>
      </c>
      <c r="S104" s="215" t="n">
        <v>40531</v>
      </c>
      <c r="T104" s="213" t="n">
        <v>45.25</v>
      </c>
      <c r="U104" s="213" t="n">
        <v>45.4166666666667</v>
      </c>
      <c r="V104" s="213" t="n">
        <v>3.06666666666667</v>
      </c>
      <c r="W104" s="213" t="n">
        <v>3.93333333333333</v>
      </c>
      <c r="X104" s="204" t="n">
        <v>0</v>
      </c>
      <c r="Y104" s="204" t="n">
        <v>2.8</v>
      </c>
    </row>
    <row r="105" customFormat="false" ht="12.75" hidden="false" customHeight="false" outlineLevel="0" collapsed="false">
      <c r="A105" s="215" t="n">
        <v>40471</v>
      </c>
      <c r="B105" s="213" t="n">
        <v>41.2</v>
      </c>
      <c r="C105" s="213" t="n">
        <f aca="false">AVERAGEIFS($B$33:$B$1494,$A$33:$A$1494,A105)</f>
        <v>41.2</v>
      </c>
      <c r="D105" s="213" t="n">
        <v>43.6</v>
      </c>
      <c r="E105" s="213" t="n">
        <f aca="false">AVERAGEIFS($D$33:$D$1494,$A$33:$A$1494,A105)</f>
        <v>43.4833333333333</v>
      </c>
      <c r="F105" s="213" t="n">
        <v>11.1</v>
      </c>
      <c r="G105" s="213" t="n">
        <f aca="false">AVERAGEIFS($F$33:$F$1494,$A$33:$A$1494,A105)</f>
        <v>11.7166666666667</v>
      </c>
      <c r="H105" s="213" t="n">
        <v>12.1</v>
      </c>
      <c r="I105" s="213" t="n">
        <f aca="false">AVERAGEIFS($H$33:$H$1494,$A$33:$A$1494,A105)</f>
        <v>12.1833333333333</v>
      </c>
      <c r="L105" s="215" t="n">
        <v>40471</v>
      </c>
      <c r="M105" s="213" t="n">
        <v>41.2</v>
      </c>
      <c r="N105" s="213" t="n">
        <v>43.4833333333333</v>
      </c>
      <c r="O105" s="213" t="n">
        <v>11.7166666666667</v>
      </c>
      <c r="P105" s="213" t="n">
        <v>12.1833333333333</v>
      </c>
      <c r="S105" s="215" t="n">
        <v>40532</v>
      </c>
      <c r="T105" s="213" t="n">
        <v>44.1333333333333</v>
      </c>
      <c r="U105" s="213" t="n">
        <v>45.5</v>
      </c>
      <c r="V105" s="213" t="n">
        <v>4.58333333333333</v>
      </c>
      <c r="W105" s="213" t="n">
        <v>4.55</v>
      </c>
      <c r="X105" s="204" t="n">
        <v>0</v>
      </c>
      <c r="Y105" s="204" t="n">
        <v>6.1</v>
      </c>
    </row>
    <row r="106" customFormat="false" ht="12.75" hidden="false" customHeight="false" outlineLevel="0" collapsed="false">
      <c r="A106" s="215" t="n">
        <v>40471</v>
      </c>
      <c r="B106" s="213" t="n">
        <v>41.5</v>
      </c>
      <c r="C106" s="213" t="n">
        <f aca="false">AVERAGEIFS($B$33:$B$1494,$A$33:$A$1494,A106)</f>
        <v>41.2</v>
      </c>
      <c r="D106" s="213" t="n">
        <v>43.5</v>
      </c>
      <c r="E106" s="213" t="n">
        <f aca="false">AVERAGEIFS($D$33:$D$1494,$A$33:$A$1494,A106)</f>
        <v>43.4833333333333</v>
      </c>
      <c r="F106" s="213" t="n">
        <v>11</v>
      </c>
      <c r="G106" s="213" t="n">
        <f aca="false">AVERAGEIFS($F$33:$F$1494,$A$33:$A$1494,A106)</f>
        <v>11.7166666666667</v>
      </c>
      <c r="H106" s="213" t="n">
        <v>12.1</v>
      </c>
      <c r="I106" s="213" t="n">
        <f aca="false">AVERAGEIFS($H$33:$H$1494,$A$33:$A$1494,A106)</f>
        <v>12.1833333333333</v>
      </c>
      <c r="L106" s="215" t="n">
        <v>40471</v>
      </c>
      <c r="M106" s="213" t="n">
        <v>41.2</v>
      </c>
      <c r="N106" s="213" t="n">
        <v>43.4833333333333</v>
      </c>
      <c r="O106" s="213" t="n">
        <v>11.7166666666667</v>
      </c>
      <c r="P106" s="213" t="n">
        <v>12.1833333333333</v>
      </c>
      <c r="S106" s="215" t="n">
        <v>40533</v>
      </c>
      <c r="T106" s="213" t="n">
        <v>44.1</v>
      </c>
      <c r="U106" s="213" t="n">
        <v>45.5</v>
      </c>
      <c r="V106" s="213" t="n">
        <v>5.76666666666667</v>
      </c>
      <c r="W106" s="213" t="n">
        <v>5.31666666666667</v>
      </c>
      <c r="X106" s="204" t="n">
        <v>0.2</v>
      </c>
      <c r="Y106" s="204" t="n">
        <v>8.3</v>
      </c>
    </row>
    <row r="107" customFormat="false" ht="12.75" hidden="false" customHeight="false" outlineLevel="0" collapsed="false">
      <c r="A107" s="215" t="n">
        <v>40471</v>
      </c>
      <c r="B107" s="213" t="n">
        <v>41.2</v>
      </c>
      <c r="C107" s="213" t="n">
        <f aca="false">AVERAGEIFS($B$33:$B$1494,$A$33:$A$1494,A107)</f>
        <v>41.2</v>
      </c>
      <c r="D107" s="213" t="n">
        <v>43.5</v>
      </c>
      <c r="E107" s="213" t="n">
        <f aca="false">AVERAGEIFS($D$33:$D$1494,$A$33:$A$1494,A107)</f>
        <v>43.4833333333333</v>
      </c>
      <c r="F107" s="213" t="n">
        <v>10.9</v>
      </c>
      <c r="G107" s="213" t="n">
        <f aca="false">AVERAGEIFS($F$33:$F$1494,$A$33:$A$1494,A107)</f>
        <v>11.7166666666667</v>
      </c>
      <c r="H107" s="213" t="n">
        <v>12.1</v>
      </c>
      <c r="I107" s="213" t="n">
        <f aca="false">AVERAGEIFS($H$33:$H$1494,$A$33:$A$1494,A107)</f>
        <v>12.1833333333333</v>
      </c>
      <c r="L107" s="215" t="n">
        <v>40471</v>
      </c>
      <c r="M107" s="213" t="n">
        <v>41.2</v>
      </c>
      <c r="N107" s="213" t="n">
        <v>43.4833333333333</v>
      </c>
      <c r="O107" s="213" t="n">
        <v>11.7166666666667</v>
      </c>
      <c r="P107" s="213" t="n">
        <v>12.1833333333333</v>
      </c>
      <c r="S107" s="215" t="n">
        <v>40534</v>
      </c>
      <c r="T107" s="213" t="n">
        <v>44.0666666666667</v>
      </c>
      <c r="U107" s="213" t="n">
        <v>45.5</v>
      </c>
      <c r="V107" s="213" t="n">
        <v>6.83333333333333</v>
      </c>
      <c r="W107" s="213" t="n">
        <v>6.13333333333333</v>
      </c>
      <c r="X107" s="204" t="n">
        <v>0.4</v>
      </c>
      <c r="Y107" s="204" t="n">
        <v>9.5</v>
      </c>
    </row>
    <row r="108" customFormat="false" ht="12.75" hidden="false" customHeight="false" outlineLevel="0" collapsed="false">
      <c r="A108" s="215" t="n">
        <v>40471</v>
      </c>
      <c r="B108" s="213" t="n">
        <v>41.2</v>
      </c>
      <c r="C108" s="213" t="n">
        <f aca="false">AVERAGEIFS($B$33:$B$1494,$A$33:$A$1494,A108)</f>
        <v>41.2</v>
      </c>
      <c r="D108" s="213" t="n">
        <v>43.5</v>
      </c>
      <c r="E108" s="213" t="n">
        <f aca="false">AVERAGEIFS($D$33:$D$1494,$A$33:$A$1494,A108)</f>
        <v>43.4833333333333</v>
      </c>
      <c r="F108" s="213" t="n">
        <v>11.5</v>
      </c>
      <c r="G108" s="213" t="n">
        <f aca="false">AVERAGEIFS($F$33:$F$1494,$A$33:$A$1494,A108)</f>
        <v>11.7166666666667</v>
      </c>
      <c r="H108" s="213" t="n">
        <v>12.1</v>
      </c>
      <c r="I108" s="213" t="n">
        <f aca="false">AVERAGEIFS($H$33:$H$1494,$A$33:$A$1494,A108)</f>
        <v>12.1833333333333</v>
      </c>
      <c r="L108" s="215" t="n">
        <v>40471</v>
      </c>
      <c r="M108" s="213" t="n">
        <v>41.2</v>
      </c>
      <c r="N108" s="213" t="n">
        <v>43.4833333333333</v>
      </c>
      <c r="O108" s="213" t="n">
        <v>11.7166666666667</v>
      </c>
      <c r="P108" s="213" t="n">
        <v>12.1833333333333</v>
      </c>
      <c r="S108" s="215" t="n">
        <v>40535</v>
      </c>
      <c r="T108" s="213" t="n">
        <v>58.3</v>
      </c>
      <c r="U108" s="213" t="n">
        <v>58.85</v>
      </c>
      <c r="V108" s="213" t="n">
        <v>7.56666666666667</v>
      </c>
      <c r="W108" s="213" t="n">
        <v>6.91666666666667</v>
      </c>
      <c r="X108" s="204" t="n">
        <v>16.9</v>
      </c>
      <c r="Y108" s="204" t="n">
        <v>7.1</v>
      </c>
    </row>
    <row r="109" customFormat="false" ht="12.75" hidden="false" customHeight="false" outlineLevel="0" collapsed="false">
      <c r="A109" s="215" t="n">
        <v>40471</v>
      </c>
      <c r="B109" s="213" t="n">
        <v>41.1</v>
      </c>
      <c r="C109" s="213" t="n">
        <f aca="false">AVERAGEIFS($B$33:$B$1494,$A$33:$A$1494,A109)</f>
        <v>41.2</v>
      </c>
      <c r="D109" s="213" t="n">
        <v>43.4</v>
      </c>
      <c r="E109" s="213" t="n">
        <f aca="false">AVERAGEIFS($D$33:$D$1494,$A$33:$A$1494,A109)</f>
        <v>43.4833333333333</v>
      </c>
      <c r="F109" s="213" t="n">
        <v>13.1</v>
      </c>
      <c r="G109" s="213" t="n">
        <f aca="false">AVERAGEIFS($F$33:$F$1494,$A$33:$A$1494,A109)</f>
        <v>11.7166666666667</v>
      </c>
      <c r="H109" s="213" t="n">
        <v>12.2</v>
      </c>
      <c r="I109" s="213" t="n">
        <f aca="false">AVERAGEIFS($H$33:$H$1494,$A$33:$A$1494,A109)</f>
        <v>12.1833333333333</v>
      </c>
      <c r="L109" s="215" t="n">
        <v>40471</v>
      </c>
      <c r="M109" s="213" t="n">
        <v>41.2</v>
      </c>
      <c r="N109" s="213" t="n">
        <v>43.4833333333333</v>
      </c>
      <c r="O109" s="213" t="n">
        <v>11.7166666666667</v>
      </c>
      <c r="P109" s="213" t="n">
        <v>12.1833333333333</v>
      </c>
      <c r="S109" s="215" t="n">
        <v>40536</v>
      </c>
      <c r="T109" s="213" t="n">
        <v>55.15</v>
      </c>
      <c r="U109" s="213" t="n">
        <v>53.5</v>
      </c>
      <c r="V109" s="213" t="n">
        <v>5.38333333333333</v>
      </c>
      <c r="W109" s="213" t="n">
        <v>6.45</v>
      </c>
      <c r="X109" s="204" t="n">
        <v>0.2</v>
      </c>
      <c r="Y109" s="204" t="n">
        <v>2.1</v>
      </c>
    </row>
    <row r="110" customFormat="false" ht="12.75" hidden="false" customHeight="false" outlineLevel="0" collapsed="false">
      <c r="A110" s="215" t="n">
        <v>40471</v>
      </c>
      <c r="B110" s="213" t="n">
        <v>41</v>
      </c>
      <c r="C110" s="213" t="n">
        <f aca="false">AVERAGEIFS($B$33:$B$1494,$A$33:$A$1494,A110)</f>
        <v>41.2</v>
      </c>
      <c r="D110" s="213" t="n">
        <v>43.4</v>
      </c>
      <c r="E110" s="213" t="n">
        <f aca="false">AVERAGEIFS($D$33:$D$1494,$A$33:$A$1494,A110)</f>
        <v>43.4833333333333</v>
      </c>
      <c r="F110" s="213" t="n">
        <v>12.7</v>
      </c>
      <c r="G110" s="213" t="n">
        <f aca="false">AVERAGEIFS($F$33:$F$1494,$A$33:$A$1494,A110)</f>
        <v>11.7166666666667</v>
      </c>
      <c r="H110" s="213" t="n">
        <v>12.5</v>
      </c>
      <c r="I110" s="213" t="n">
        <f aca="false">AVERAGEIFS($H$33:$H$1494,$A$33:$A$1494,A110)</f>
        <v>12.1833333333333</v>
      </c>
      <c r="L110" s="215" t="n">
        <v>40471</v>
      </c>
      <c r="M110" s="213" t="n">
        <v>41.2</v>
      </c>
      <c r="N110" s="213" t="n">
        <v>43.4833333333333</v>
      </c>
      <c r="O110" s="213" t="n">
        <v>11.7166666666667</v>
      </c>
      <c r="P110" s="213" t="n">
        <v>12.1833333333333</v>
      </c>
      <c r="S110" s="215" t="n">
        <v>40537</v>
      </c>
      <c r="T110" s="213" t="n">
        <v>47.3166666666667</v>
      </c>
      <c r="U110" s="213" t="n">
        <v>49.5166666666667</v>
      </c>
      <c r="V110" s="213" t="n">
        <v>3.73333333333333</v>
      </c>
      <c r="W110" s="213" t="n">
        <v>5.3</v>
      </c>
      <c r="X110" s="204" t="n">
        <v>0</v>
      </c>
      <c r="Y110" s="204" t="n">
        <v>-0.3</v>
      </c>
    </row>
    <row r="111" customFormat="false" ht="12.75" hidden="false" customHeight="false" outlineLevel="0" collapsed="false">
      <c r="A111" s="215" t="n">
        <v>40472</v>
      </c>
      <c r="B111" s="213" t="n">
        <v>41</v>
      </c>
      <c r="C111" s="213" t="n">
        <f aca="false">AVERAGEIFS($B$33:$B$1494,$A$33:$A$1494,A111)</f>
        <v>40.8166666666667</v>
      </c>
      <c r="D111" s="213" t="n">
        <v>43.3</v>
      </c>
      <c r="E111" s="213" t="n">
        <f aca="false">AVERAGEIFS($D$33:$D$1494,$A$33:$A$1494,A111)</f>
        <v>43.2333333333333</v>
      </c>
      <c r="F111" s="213" t="n">
        <v>11.3</v>
      </c>
      <c r="G111" s="213" t="n">
        <f aca="false">AVERAGEIFS($F$33:$F$1494,$A$33:$A$1494,A111)</f>
        <v>10.85</v>
      </c>
      <c r="H111" s="213" t="n">
        <v>12.6</v>
      </c>
      <c r="I111" s="213" t="n">
        <f aca="false">AVERAGEIFS($H$33:$H$1494,$A$33:$A$1494,A111)</f>
        <v>12.0833333333333</v>
      </c>
      <c r="L111" s="215" t="n">
        <v>40472</v>
      </c>
      <c r="M111" s="213" t="n">
        <v>40.8166666666667</v>
      </c>
      <c r="N111" s="213" t="n">
        <v>43.2333333333333</v>
      </c>
      <c r="O111" s="213" t="n">
        <v>10.85</v>
      </c>
      <c r="P111" s="213" t="n">
        <v>12.0833333333333</v>
      </c>
      <c r="S111" s="215" t="n">
        <v>40538</v>
      </c>
      <c r="T111" s="213" t="n">
        <v>46.65</v>
      </c>
      <c r="U111" s="213" t="n">
        <v>48.0166666666667</v>
      </c>
      <c r="V111" s="213" t="n">
        <v>2.26666666666667</v>
      </c>
      <c r="W111" s="213" t="n">
        <v>4.21666666666667</v>
      </c>
      <c r="X111" s="204" t="n">
        <v>0</v>
      </c>
      <c r="Y111" s="204" t="n">
        <v>-3</v>
      </c>
    </row>
    <row r="112" customFormat="false" ht="12.75" hidden="false" customHeight="false" outlineLevel="0" collapsed="false">
      <c r="A112" s="215" t="n">
        <v>40472</v>
      </c>
      <c r="B112" s="213" t="n">
        <v>40.9</v>
      </c>
      <c r="C112" s="213" t="n">
        <f aca="false">AVERAGEIFS($B$33:$B$1494,$A$33:$A$1494,A112)</f>
        <v>40.8166666666667</v>
      </c>
      <c r="D112" s="213" t="n">
        <v>43.3</v>
      </c>
      <c r="E112" s="213" t="n">
        <f aca="false">AVERAGEIFS($D$33:$D$1494,$A$33:$A$1494,A112)</f>
        <v>43.2333333333333</v>
      </c>
      <c r="F112" s="213" t="n">
        <v>10.2</v>
      </c>
      <c r="G112" s="213" t="n">
        <f aca="false">AVERAGEIFS($F$33:$F$1494,$A$33:$A$1494,A112)</f>
        <v>10.85</v>
      </c>
      <c r="H112" s="213" t="n">
        <v>12.4</v>
      </c>
      <c r="I112" s="213" t="n">
        <f aca="false">AVERAGEIFS($H$33:$H$1494,$A$33:$A$1494,A112)</f>
        <v>12.0833333333333</v>
      </c>
      <c r="L112" s="215" t="n">
        <v>40472</v>
      </c>
      <c r="M112" s="213" t="n">
        <v>40.8166666666667</v>
      </c>
      <c r="N112" s="213" t="n">
        <v>43.2333333333333</v>
      </c>
      <c r="O112" s="213" t="n">
        <v>10.85</v>
      </c>
      <c r="P112" s="213" t="n">
        <v>12.0833333333333</v>
      </c>
      <c r="S112" s="215" t="n">
        <v>40539</v>
      </c>
      <c r="T112" s="213" t="n">
        <v>46.4</v>
      </c>
      <c r="U112" s="213" t="n">
        <v>47.6166666666667</v>
      </c>
      <c r="V112" s="213" t="n">
        <v>1.66666666666667</v>
      </c>
      <c r="W112" s="213" t="n">
        <v>3.46666666666667</v>
      </c>
      <c r="X112" s="204" t="n">
        <v>0</v>
      </c>
      <c r="Y112" s="204" t="n">
        <v>0.6</v>
      </c>
    </row>
    <row r="113" customFormat="false" ht="12.75" hidden="false" customHeight="false" outlineLevel="0" collapsed="false">
      <c r="A113" s="215" t="n">
        <v>40472</v>
      </c>
      <c r="B113" s="213" t="n">
        <v>40.9</v>
      </c>
      <c r="C113" s="213" t="n">
        <f aca="false">AVERAGEIFS($B$33:$B$1494,$A$33:$A$1494,A113)</f>
        <v>40.8166666666667</v>
      </c>
      <c r="D113" s="213" t="n">
        <v>43.3</v>
      </c>
      <c r="E113" s="213" t="n">
        <f aca="false">AVERAGEIFS($D$33:$D$1494,$A$33:$A$1494,A113)</f>
        <v>43.2333333333333</v>
      </c>
      <c r="F113" s="213" t="n">
        <v>9.1</v>
      </c>
      <c r="G113" s="213" t="n">
        <f aca="false">AVERAGEIFS($F$33:$F$1494,$A$33:$A$1494,A113)</f>
        <v>10.85</v>
      </c>
      <c r="H113" s="213" t="n">
        <v>12.1</v>
      </c>
      <c r="I113" s="213" t="n">
        <f aca="false">AVERAGEIFS($H$33:$H$1494,$A$33:$A$1494,A113)</f>
        <v>12.0833333333333</v>
      </c>
      <c r="L113" s="215" t="n">
        <v>40472</v>
      </c>
      <c r="M113" s="213" t="n">
        <v>40.8166666666667</v>
      </c>
      <c r="N113" s="213" t="n">
        <v>43.2333333333333</v>
      </c>
      <c r="O113" s="213" t="n">
        <v>10.85</v>
      </c>
      <c r="P113" s="213" t="n">
        <v>12.0833333333333</v>
      </c>
      <c r="S113" s="215" t="n">
        <v>40540</v>
      </c>
      <c r="T113" s="213" t="n">
        <v>45.9</v>
      </c>
      <c r="U113" s="213" t="n">
        <v>47.4666666666667</v>
      </c>
      <c r="V113" s="213" t="n">
        <v>2.46666666666667</v>
      </c>
      <c r="W113" s="213" t="n">
        <v>3.28333333333333</v>
      </c>
      <c r="X113" s="204" t="n">
        <v>0</v>
      </c>
      <c r="Y113" s="204" t="n">
        <v>6</v>
      </c>
    </row>
    <row r="114" customFormat="false" ht="12.75" hidden="false" customHeight="false" outlineLevel="0" collapsed="false">
      <c r="A114" s="215" t="n">
        <v>40472</v>
      </c>
      <c r="B114" s="213" t="n">
        <v>40.8</v>
      </c>
      <c r="C114" s="213" t="n">
        <f aca="false">AVERAGEIFS($B$33:$B$1494,$A$33:$A$1494,A114)</f>
        <v>40.8166666666667</v>
      </c>
      <c r="D114" s="213" t="n">
        <v>43.2</v>
      </c>
      <c r="E114" s="213" t="n">
        <f aca="false">AVERAGEIFS($D$33:$D$1494,$A$33:$A$1494,A114)</f>
        <v>43.2333333333333</v>
      </c>
      <c r="F114" s="213" t="n">
        <v>9.9</v>
      </c>
      <c r="G114" s="213" t="n">
        <f aca="false">AVERAGEIFS($F$33:$F$1494,$A$33:$A$1494,A114)</f>
        <v>10.85</v>
      </c>
      <c r="H114" s="213" t="n">
        <v>11.7</v>
      </c>
      <c r="I114" s="213" t="n">
        <f aca="false">AVERAGEIFS($H$33:$H$1494,$A$33:$A$1494,A114)</f>
        <v>12.0833333333333</v>
      </c>
      <c r="L114" s="215" t="n">
        <v>40472</v>
      </c>
      <c r="M114" s="213" t="n">
        <v>40.8166666666667</v>
      </c>
      <c r="N114" s="213" t="n">
        <v>43.2333333333333</v>
      </c>
      <c r="O114" s="213" t="n">
        <v>10.85</v>
      </c>
      <c r="P114" s="213" t="n">
        <v>12.0833333333333</v>
      </c>
      <c r="S114" s="215" t="n">
        <v>40541</v>
      </c>
      <c r="T114" s="213" t="n">
        <v>45.6833333333333</v>
      </c>
      <c r="U114" s="213" t="n">
        <v>46.3</v>
      </c>
      <c r="V114" s="213" t="n">
        <v>4.56666666666667</v>
      </c>
      <c r="W114" s="213" t="n">
        <v>4.23333333333333</v>
      </c>
      <c r="X114" s="204" t="n">
        <v>0</v>
      </c>
      <c r="Y114" s="204" t="n">
        <v>8.2</v>
      </c>
    </row>
    <row r="115" customFormat="false" ht="12.75" hidden="false" customHeight="false" outlineLevel="0" collapsed="false">
      <c r="A115" s="215" t="n">
        <v>40472</v>
      </c>
      <c r="B115" s="213" t="n">
        <v>40.7</v>
      </c>
      <c r="C115" s="213" t="n">
        <f aca="false">AVERAGEIFS($B$33:$B$1494,$A$33:$A$1494,A115)</f>
        <v>40.8166666666667</v>
      </c>
      <c r="D115" s="213" t="n">
        <v>43.2</v>
      </c>
      <c r="E115" s="213" t="n">
        <f aca="false">AVERAGEIFS($D$33:$D$1494,$A$33:$A$1494,A115)</f>
        <v>43.2333333333333</v>
      </c>
      <c r="F115" s="213" t="n">
        <v>12.7</v>
      </c>
      <c r="G115" s="213" t="n">
        <f aca="false">AVERAGEIFS($F$33:$F$1494,$A$33:$A$1494,A115)</f>
        <v>10.85</v>
      </c>
      <c r="H115" s="213" t="n">
        <v>11.6</v>
      </c>
      <c r="I115" s="213" t="n">
        <f aca="false">AVERAGEIFS($H$33:$H$1494,$A$33:$A$1494,A115)</f>
        <v>12.0833333333333</v>
      </c>
      <c r="L115" s="215" t="n">
        <v>40472</v>
      </c>
      <c r="M115" s="213" t="n">
        <v>40.8166666666667</v>
      </c>
      <c r="N115" s="213" t="n">
        <v>43.2333333333333</v>
      </c>
      <c r="O115" s="213" t="n">
        <v>10.85</v>
      </c>
      <c r="P115" s="213" t="n">
        <v>12.0833333333333</v>
      </c>
      <c r="S115" s="215" t="n">
        <v>40542</v>
      </c>
      <c r="T115" s="213" t="n">
        <v>45.4833333333333</v>
      </c>
      <c r="U115" s="213" t="n">
        <v>46.5</v>
      </c>
      <c r="V115" s="213" t="n">
        <v>6.45</v>
      </c>
      <c r="W115" s="213" t="n">
        <v>5.46666666666667</v>
      </c>
      <c r="X115" s="204" t="n">
        <v>0</v>
      </c>
      <c r="Y115" s="204" t="n">
        <v>10.4</v>
      </c>
    </row>
    <row r="116" customFormat="false" ht="12.75" hidden="false" customHeight="false" outlineLevel="0" collapsed="false">
      <c r="A116" s="215" t="n">
        <v>40472</v>
      </c>
      <c r="B116" s="213" t="n">
        <v>40.6</v>
      </c>
      <c r="C116" s="213" t="n">
        <f aca="false">AVERAGEIFS($B$33:$B$1494,$A$33:$A$1494,A116)</f>
        <v>40.8166666666667</v>
      </c>
      <c r="D116" s="213" t="n">
        <v>43.1</v>
      </c>
      <c r="E116" s="213" t="n">
        <f aca="false">AVERAGEIFS($D$33:$D$1494,$A$33:$A$1494,A116)</f>
        <v>43.2333333333333</v>
      </c>
      <c r="F116" s="213" t="n">
        <v>11.9</v>
      </c>
      <c r="G116" s="213" t="n">
        <f aca="false">AVERAGEIFS($F$33:$F$1494,$A$33:$A$1494,A116)</f>
        <v>10.85</v>
      </c>
      <c r="H116" s="213" t="n">
        <v>12.1</v>
      </c>
      <c r="I116" s="213" t="n">
        <f aca="false">AVERAGEIFS($H$33:$H$1494,$A$33:$A$1494,A116)</f>
        <v>12.0833333333333</v>
      </c>
      <c r="L116" s="215" t="n">
        <v>40472</v>
      </c>
      <c r="M116" s="213" t="n">
        <v>40.8166666666667</v>
      </c>
      <c r="N116" s="213" t="n">
        <v>43.2333333333333</v>
      </c>
      <c r="O116" s="213" t="n">
        <v>10.85</v>
      </c>
      <c r="P116" s="213" t="n">
        <v>12.0833333333333</v>
      </c>
      <c r="S116" s="215" t="n">
        <v>40543</v>
      </c>
      <c r="T116" s="213" t="n">
        <v>45.4166666666667</v>
      </c>
      <c r="U116" s="213" t="n">
        <v>46.45</v>
      </c>
      <c r="V116" s="213" t="n">
        <v>7.76666666666667</v>
      </c>
      <c r="W116" s="213" t="n">
        <v>6.55</v>
      </c>
      <c r="X116" s="204" t="n">
        <v>0</v>
      </c>
      <c r="Y116" s="204" t="n">
        <v>10.4</v>
      </c>
    </row>
    <row r="117" customFormat="false" ht="12.75" hidden="false" customHeight="false" outlineLevel="0" collapsed="false">
      <c r="A117" s="215" t="n">
        <v>40473</v>
      </c>
      <c r="B117" s="213" t="n">
        <v>40.6</v>
      </c>
      <c r="C117" s="213" t="n">
        <f aca="false">AVERAGEIFS($B$33:$B$1494,$A$33:$A$1494,A117)</f>
        <v>40.4166666666667</v>
      </c>
      <c r="D117" s="213" t="n">
        <v>43.1</v>
      </c>
      <c r="E117" s="213" t="n">
        <f aca="false">AVERAGEIFS($D$33:$D$1494,$A$33:$A$1494,A117)</f>
        <v>43.0166666666667</v>
      </c>
      <c r="F117" s="213" t="n">
        <v>10.3</v>
      </c>
      <c r="G117" s="213" t="n">
        <f aca="false">AVERAGEIFS($F$33:$F$1494,$A$33:$A$1494,A117)</f>
        <v>10.6833333333333</v>
      </c>
      <c r="H117" s="213" t="n">
        <v>12.2</v>
      </c>
      <c r="I117" s="213" t="n">
        <f aca="false">AVERAGEIFS($H$33:$H$1494,$A$33:$A$1494,A117)</f>
        <v>11.7333333333333</v>
      </c>
      <c r="L117" s="215" t="n">
        <v>40473</v>
      </c>
      <c r="M117" s="213" t="n">
        <v>40.4166666666667</v>
      </c>
      <c r="N117" s="213" t="n">
        <v>43.0166666666667</v>
      </c>
      <c r="O117" s="213" t="n">
        <v>10.6833333333333</v>
      </c>
      <c r="P117" s="213" t="n">
        <v>11.7333333333333</v>
      </c>
      <c r="S117" s="215" t="n">
        <v>40544</v>
      </c>
      <c r="T117" s="213" t="n">
        <v>45.4333333333333</v>
      </c>
      <c r="U117" s="213" t="n">
        <v>46.3333333333333</v>
      </c>
      <c r="V117" s="213" t="n">
        <v>6.88333333333333</v>
      </c>
      <c r="W117" s="213" t="n">
        <v>6.88333333333333</v>
      </c>
      <c r="X117" s="204" t="n">
        <v>0</v>
      </c>
      <c r="Y117" s="204" t="n">
        <v>6.3</v>
      </c>
    </row>
    <row r="118" customFormat="false" ht="12.75" hidden="false" customHeight="false" outlineLevel="0" collapsed="false">
      <c r="A118" s="215" t="n">
        <v>40473</v>
      </c>
      <c r="B118" s="213" t="n">
        <v>40.5</v>
      </c>
      <c r="C118" s="213" t="n">
        <f aca="false">AVERAGEIFS($B$33:$B$1494,$A$33:$A$1494,A118)</f>
        <v>40.4166666666667</v>
      </c>
      <c r="D118" s="213" t="n">
        <v>43.1</v>
      </c>
      <c r="E118" s="213" t="n">
        <f aca="false">AVERAGEIFS($D$33:$D$1494,$A$33:$A$1494,A118)</f>
        <v>43.0166666666667</v>
      </c>
      <c r="F118" s="213" t="n">
        <v>9.4</v>
      </c>
      <c r="G118" s="213" t="n">
        <f aca="false">AVERAGEIFS($F$33:$F$1494,$A$33:$A$1494,A118)</f>
        <v>10.6833333333333</v>
      </c>
      <c r="H118" s="213" t="n">
        <v>12</v>
      </c>
      <c r="I118" s="213" t="n">
        <f aca="false">AVERAGEIFS($H$33:$H$1494,$A$33:$A$1494,A118)</f>
        <v>11.7333333333333</v>
      </c>
      <c r="L118" s="215" t="n">
        <v>40473</v>
      </c>
      <c r="M118" s="213" t="n">
        <v>40.4166666666667</v>
      </c>
      <c r="N118" s="213" t="n">
        <v>43.0166666666667</v>
      </c>
      <c r="O118" s="213" t="n">
        <v>10.6833333333333</v>
      </c>
      <c r="P118" s="213" t="n">
        <v>11.7333333333333</v>
      </c>
      <c r="S118" s="215" t="n">
        <v>40545</v>
      </c>
      <c r="T118" s="213" t="n">
        <v>45.6166666666667</v>
      </c>
      <c r="U118" s="213" t="n">
        <v>46.2666666666667</v>
      </c>
      <c r="V118" s="213" t="n">
        <v>6.21666666666667</v>
      </c>
      <c r="W118" s="213" t="n">
        <v>6.58333333333333</v>
      </c>
      <c r="X118" s="204" t="n">
        <v>0</v>
      </c>
      <c r="Y118" s="204" t="n">
        <v>2.6</v>
      </c>
    </row>
    <row r="119" customFormat="false" ht="12.75" hidden="false" customHeight="false" outlineLevel="0" collapsed="false">
      <c r="A119" s="215" t="n">
        <v>40473</v>
      </c>
      <c r="B119" s="213" t="n">
        <v>40.5</v>
      </c>
      <c r="C119" s="213" t="n">
        <f aca="false">AVERAGEIFS($B$33:$B$1494,$A$33:$A$1494,A119)</f>
        <v>40.4166666666667</v>
      </c>
      <c r="D119" s="213" t="n">
        <v>43.1</v>
      </c>
      <c r="E119" s="213" t="n">
        <f aca="false">AVERAGEIFS($D$33:$D$1494,$A$33:$A$1494,A119)</f>
        <v>43.0166666666667</v>
      </c>
      <c r="F119" s="213" t="n">
        <v>8.9</v>
      </c>
      <c r="G119" s="213" t="n">
        <f aca="false">AVERAGEIFS($F$33:$F$1494,$A$33:$A$1494,A119)</f>
        <v>10.6833333333333</v>
      </c>
      <c r="H119" s="213" t="n">
        <v>11.6</v>
      </c>
      <c r="I119" s="213" t="n">
        <f aca="false">AVERAGEIFS($H$33:$H$1494,$A$33:$A$1494,A119)</f>
        <v>11.7333333333333</v>
      </c>
      <c r="L119" s="215" t="n">
        <v>40473</v>
      </c>
      <c r="M119" s="213" t="n">
        <v>40.4166666666667</v>
      </c>
      <c r="N119" s="213" t="n">
        <v>43.0166666666667</v>
      </c>
      <c r="O119" s="213" t="n">
        <v>10.6833333333333</v>
      </c>
      <c r="P119" s="213" t="n">
        <v>11.7333333333333</v>
      </c>
      <c r="S119" s="215" t="n">
        <v>40546</v>
      </c>
      <c r="T119" s="213" t="n">
        <v>46.45</v>
      </c>
      <c r="U119" s="213" t="n">
        <v>46.2</v>
      </c>
      <c r="V119" s="213" t="n">
        <v>4.76666666666667</v>
      </c>
      <c r="W119" s="213" t="n">
        <v>5.75</v>
      </c>
      <c r="X119" s="204" t="n">
        <v>0</v>
      </c>
      <c r="Y119" s="204" t="n">
        <v>1.8</v>
      </c>
    </row>
    <row r="120" customFormat="false" ht="12.75" hidden="false" customHeight="false" outlineLevel="0" collapsed="false">
      <c r="A120" s="215" t="n">
        <v>40473</v>
      </c>
      <c r="B120" s="213" t="n">
        <v>40.4</v>
      </c>
      <c r="C120" s="213" t="n">
        <f aca="false">AVERAGEIFS($B$33:$B$1494,$A$33:$A$1494,A120)</f>
        <v>40.4166666666667</v>
      </c>
      <c r="D120" s="213" t="n">
        <v>43</v>
      </c>
      <c r="E120" s="213" t="n">
        <f aca="false">AVERAGEIFS($D$33:$D$1494,$A$33:$A$1494,A120)</f>
        <v>43.0166666666667</v>
      </c>
      <c r="F120" s="213" t="n">
        <v>9.9</v>
      </c>
      <c r="G120" s="213" t="n">
        <f aca="false">AVERAGEIFS($F$33:$F$1494,$A$33:$A$1494,A120)</f>
        <v>10.6833333333333</v>
      </c>
      <c r="H120" s="213" t="n">
        <v>11.3</v>
      </c>
      <c r="I120" s="213" t="n">
        <f aca="false">AVERAGEIFS($H$33:$H$1494,$A$33:$A$1494,A120)</f>
        <v>11.7333333333333</v>
      </c>
      <c r="L120" s="215" t="n">
        <v>40473</v>
      </c>
      <c r="M120" s="213" t="n">
        <v>40.4166666666667</v>
      </c>
      <c r="N120" s="213" t="n">
        <v>43.0166666666667</v>
      </c>
      <c r="O120" s="213" t="n">
        <v>10.6833333333333</v>
      </c>
      <c r="P120" s="213" t="n">
        <v>11.7333333333333</v>
      </c>
      <c r="S120" s="215" t="n">
        <v>40547</v>
      </c>
      <c r="T120" s="213" t="n">
        <v>46.8666666666667</v>
      </c>
      <c r="U120" s="213" t="n">
        <v>46.15</v>
      </c>
      <c r="V120" s="213" t="n">
        <v>4.3</v>
      </c>
      <c r="W120" s="213" t="n">
        <v>5.18333333333333</v>
      </c>
      <c r="X120" s="204" t="n">
        <v>0.8</v>
      </c>
      <c r="Y120" s="204" t="n">
        <v>2.6</v>
      </c>
    </row>
    <row r="121" customFormat="false" ht="12.75" hidden="false" customHeight="false" outlineLevel="0" collapsed="false">
      <c r="A121" s="215" t="n">
        <v>40473</v>
      </c>
      <c r="B121" s="213" t="n">
        <v>40.3</v>
      </c>
      <c r="C121" s="213" t="n">
        <f aca="false">AVERAGEIFS($B$33:$B$1494,$A$33:$A$1494,A121)</f>
        <v>40.4166666666667</v>
      </c>
      <c r="D121" s="213" t="n">
        <v>42.9</v>
      </c>
      <c r="E121" s="213" t="n">
        <f aca="false">AVERAGEIFS($D$33:$D$1494,$A$33:$A$1494,A121)</f>
        <v>43.0166666666667</v>
      </c>
      <c r="F121" s="213" t="n">
        <v>12.9</v>
      </c>
      <c r="G121" s="213" t="n">
        <f aca="false">AVERAGEIFS($F$33:$F$1494,$A$33:$A$1494,A121)</f>
        <v>10.6833333333333</v>
      </c>
      <c r="H121" s="213" t="n">
        <v>11.4</v>
      </c>
      <c r="I121" s="213" t="n">
        <f aca="false">AVERAGEIFS($H$33:$H$1494,$A$33:$A$1494,A121)</f>
        <v>11.7333333333333</v>
      </c>
      <c r="L121" s="215" t="n">
        <v>40473</v>
      </c>
      <c r="M121" s="213" t="n">
        <v>40.4166666666667</v>
      </c>
      <c r="N121" s="213" t="n">
        <v>43.0166666666667</v>
      </c>
      <c r="O121" s="213" t="n">
        <v>10.6833333333333</v>
      </c>
      <c r="P121" s="213" t="n">
        <v>11.7333333333333</v>
      </c>
      <c r="S121" s="215" t="n">
        <v>40548</v>
      </c>
      <c r="T121" s="213" t="n">
        <v>46.9666666666667</v>
      </c>
      <c r="U121" s="213" t="n">
        <v>46.1</v>
      </c>
      <c r="V121" s="213" t="n">
        <v>4.53333333333333</v>
      </c>
      <c r="W121" s="213" t="n">
        <v>5.06666666666667</v>
      </c>
      <c r="X121" s="204" t="n">
        <v>0.2</v>
      </c>
      <c r="Y121" s="204" t="n">
        <v>5.9</v>
      </c>
    </row>
    <row r="122" customFormat="false" ht="12.75" hidden="false" customHeight="false" outlineLevel="0" collapsed="false">
      <c r="A122" s="215" t="n">
        <v>40473</v>
      </c>
      <c r="B122" s="213" t="n">
        <v>40.2</v>
      </c>
      <c r="C122" s="213" t="n">
        <f aca="false">AVERAGEIFS($B$33:$B$1494,$A$33:$A$1494,A122)</f>
        <v>40.4166666666667</v>
      </c>
      <c r="D122" s="213" t="n">
        <v>42.9</v>
      </c>
      <c r="E122" s="213" t="n">
        <f aca="false">AVERAGEIFS($D$33:$D$1494,$A$33:$A$1494,A122)</f>
        <v>43.0166666666667</v>
      </c>
      <c r="F122" s="213" t="n">
        <v>12.7</v>
      </c>
      <c r="G122" s="213" t="n">
        <f aca="false">AVERAGEIFS($F$33:$F$1494,$A$33:$A$1494,A122)</f>
        <v>10.6833333333333</v>
      </c>
      <c r="H122" s="213" t="n">
        <v>11.9</v>
      </c>
      <c r="I122" s="213" t="n">
        <f aca="false">AVERAGEIFS($H$33:$H$1494,$A$33:$A$1494,A122)</f>
        <v>11.7333333333333</v>
      </c>
      <c r="L122" s="215" t="n">
        <v>40473</v>
      </c>
      <c r="M122" s="213" t="n">
        <v>40.4166666666667</v>
      </c>
      <c r="N122" s="213" t="n">
        <v>43.0166666666667</v>
      </c>
      <c r="O122" s="213" t="n">
        <v>10.6833333333333</v>
      </c>
      <c r="P122" s="213" t="n">
        <v>11.7333333333333</v>
      </c>
      <c r="S122" s="215" t="n">
        <v>40549</v>
      </c>
      <c r="T122" s="213" t="n">
        <v>47.05</v>
      </c>
      <c r="U122" s="213" t="n">
        <v>46</v>
      </c>
      <c r="V122" s="213" t="n">
        <v>6.63333333333333</v>
      </c>
      <c r="W122" s="213" t="n">
        <v>5.78333333333333</v>
      </c>
      <c r="X122" s="204" t="n">
        <v>0</v>
      </c>
      <c r="Y122" s="204" t="n">
        <v>10.3</v>
      </c>
    </row>
    <row r="123" customFormat="false" ht="12.75" hidden="false" customHeight="false" outlineLevel="0" collapsed="false">
      <c r="A123" s="215" t="n">
        <v>40474</v>
      </c>
      <c r="B123" s="213" t="n">
        <v>40.1</v>
      </c>
      <c r="C123" s="213" t="n">
        <f aca="false">AVERAGEIFS($B$33:$B$1494,$A$33:$A$1494,A123)</f>
        <v>39.9166666666667</v>
      </c>
      <c r="D123" s="213" t="n">
        <v>42.9</v>
      </c>
      <c r="E123" s="213" t="n">
        <f aca="false">AVERAGEIFS($D$33:$D$1494,$A$33:$A$1494,A123)</f>
        <v>42.8</v>
      </c>
      <c r="F123" s="213" t="n">
        <v>11.9</v>
      </c>
      <c r="G123" s="213" t="n">
        <f aca="false">AVERAGEIFS($F$33:$F$1494,$A$33:$A$1494,A123)</f>
        <v>12.4</v>
      </c>
      <c r="H123" s="213" t="n">
        <v>12.2</v>
      </c>
      <c r="I123" s="213" t="n">
        <f aca="false">AVERAGEIFS($H$33:$H$1494,$A$33:$A$1494,A123)</f>
        <v>12.2666666666667</v>
      </c>
      <c r="L123" s="215" t="n">
        <v>40474</v>
      </c>
      <c r="M123" s="213" t="n">
        <v>39.9166666666667</v>
      </c>
      <c r="N123" s="213" t="n">
        <v>42.8</v>
      </c>
      <c r="O123" s="213" t="n">
        <v>12.4</v>
      </c>
      <c r="P123" s="213" t="n">
        <v>12.2666666666667</v>
      </c>
      <c r="S123" s="215" t="n">
        <v>40550</v>
      </c>
      <c r="T123" s="213" t="n">
        <v>47.4666666666667</v>
      </c>
      <c r="U123" s="213" t="n">
        <v>45.9666666666667</v>
      </c>
      <c r="V123" s="213" t="n">
        <v>8.2</v>
      </c>
      <c r="W123" s="213" t="n">
        <v>7</v>
      </c>
      <c r="X123" s="204" t="n">
        <v>0</v>
      </c>
      <c r="Y123" s="204" t="n">
        <v>11.3</v>
      </c>
    </row>
    <row r="124" customFormat="false" ht="12.75" hidden="false" customHeight="false" outlineLevel="0" collapsed="false">
      <c r="A124" s="215" t="n">
        <v>40474</v>
      </c>
      <c r="B124" s="213" t="n">
        <v>40</v>
      </c>
      <c r="C124" s="213" t="n">
        <f aca="false">AVERAGEIFS($B$33:$B$1494,$A$33:$A$1494,A124)</f>
        <v>39.9166666666667</v>
      </c>
      <c r="D124" s="213" t="n">
        <v>42.8</v>
      </c>
      <c r="E124" s="213" t="n">
        <f aca="false">AVERAGEIFS($D$33:$D$1494,$A$33:$A$1494,A124)</f>
        <v>42.8</v>
      </c>
      <c r="F124" s="213" t="n">
        <v>11.4</v>
      </c>
      <c r="G124" s="213" t="n">
        <f aca="false">AVERAGEIFS($F$33:$F$1494,$A$33:$A$1494,A124)</f>
        <v>12.4</v>
      </c>
      <c r="H124" s="213" t="n">
        <v>12.2</v>
      </c>
      <c r="I124" s="213" t="n">
        <f aca="false">AVERAGEIFS($H$33:$H$1494,$A$33:$A$1494,A124)</f>
        <v>12.2666666666667</v>
      </c>
      <c r="L124" s="215" t="n">
        <v>40474</v>
      </c>
      <c r="M124" s="213" t="n">
        <v>39.9166666666667</v>
      </c>
      <c r="N124" s="213" t="n">
        <v>42.8</v>
      </c>
      <c r="O124" s="213" t="n">
        <v>12.4</v>
      </c>
      <c r="P124" s="213" t="n">
        <v>12.2666666666667</v>
      </c>
      <c r="S124" s="215" t="n">
        <v>40551</v>
      </c>
      <c r="T124" s="213" t="n">
        <v>47.5833333333333</v>
      </c>
      <c r="U124" s="213" t="n">
        <v>45.9</v>
      </c>
      <c r="V124" s="213" t="n">
        <v>8.65</v>
      </c>
      <c r="W124" s="213" t="n">
        <v>7.68333333333333</v>
      </c>
      <c r="X124" s="204" t="n">
        <v>0</v>
      </c>
      <c r="Y124" s="204" t="n">
        <v>11.3</v>
      </c>
    </row>
    <row r="125" customFormat="false" ht="12.75" hidden="false" customHeight="false" outlineLevel="0" collapsed="false">
      <c r="A125" s="215" t="n">
        <v>40474</v>
      </c>
      <c r="B125" s="213" t="n">
        <v>40</v>
      </c>
      <c r="C125" s="213" t="n">
        <f aca="false">AVERAGEIFS($B$33:$B$1494,$A$33:$A$1494,A125)</f>
        <v>39.9166666666667</v>
      </c>
      <c r="D125" s="213" t="n">
        <v>42.8</v>
      </c>
      <c r="E125" s="213" t="n">
        <f aca="false">AVERAGEIFS($D$33:$D$1494,$A$33:$A$1494,A125)</f>
        <v>42.8</v>
      </c>
      <c r="F125" s="213" t="n">
        <v>11.1</v>
      </c>
      <c r="G125" s="213" t="n">
        <f aca="false">AVERAGEIFS($F$33:$F$1494,$A$33:$A$1494,A125)</f>
        <v>12.4</v>
      </c>
      <c r="H125" s="213" t="n">
        <v>12.2</v>
      </c>
      <c r="I125" s="213" t="n">
        <f aca="false">AVERAGEIFS($H$33:$H$1494,$A$33:$A$1494,A125)</f>
        <v>12.2666666666667</v>
      </c>
      <c r="L125" s="215" t="n">
        <v>40474</v>
      </c>
      <c r="M125" s="213" t="n">
        <v>39.9166666666667</v>
      </c>
      <c r="N125" s="213" t="n">
        <v>42.8</v>
      </c>
      <c r="O125" s="213" t="n">
        <v>12.4</v>
      </c>
      <c r="P125" s="213" t="n">
        <v>12.2666666666667</v>
      </c>
      <c r="S125" s="215" t="n">
        <v>40552</v>
      </c>
      <c r="T125" s="213" t="n">
        <v>48.1</v>
      </c>
      <c r="U125" s="213" t="n">
        <v>45.9</v>
      </c>
      <c r="V125" s="213" t="n">
        <v>8.61666666666667</v>
      </c>
      <c r="W125" s="213" t="n">
        <v>8</v>
      </c>
      <c r="X125" s="204" t="n">
        <v>6.3</v>
      </c>
      <c r="Y125" s="204" t="n">
        <v>7.1</v>
      </c>
    </row>
    <row r="126" customFormat="false" ht="12.75" hidden="false" customHeight="false" outlineLevel="0" collapsed="false">
      <c r="A126" s="215" t="n">
        <v>40474</v>
      </c>
      <c r="B126" s="213" t="n">
        <v>39.9</v>
      </c>
      <c r="C126" s="213" t="n">
        <f aca="false">AVERAGEIFS($B$33:$B$1494,$A$33:$A$1494,A126)</f>
        <v>39.9166666666667</v>
      </c>
      <c r="D126" s="213" t="n">
        <v>42.8</v>
      </c>
      <c r="E126" s="213" t="n">
        <f aca="false">AVERAGEIFS($D$33:$D$1494,$A$33:$A$1494,A126)</f>
        <v>42.8</v>
      </c>
      <c r="F126" s="213" t="n">
        <v>11.9</v>
      </c>
      <c r="G126" s="213" t="n">
        <f aca="false">AVERAGEIFS($F$33:$F$1494,$A$33:$A$1494,A126)</f>
        <v>12.4</v>
      </c>
      <c r="H126" s="213" t="n">
        <v>12.1</v>
      </c>
      <c r="I126" s="213" t="n">
        <f aca="false">AVERAGEIFS($H$33:$H$1494,$A$33:$A$1494,A126)</f>
        <v>12.2666666666667</v>
      </c>
      <c r="L126" s="215" t="n">
        <v>40474</v>
      </c>
      <c r="M126" s="213" t="n">
        <v>39.9166666666667</v>
      </c>
      <c r="N126" s="213" t="n">
        <v>42.8</v>
      </c>
      <c r="O126" s="213" t="n">
        <v>12.4</v>
      </c>
      <c r="P126" s="213" t="n">
        <v>12.2666666666667</v>
      </c>
      <c r="S126" s="215" t="n">
        <v>40553</v>
      </c>
      <c r="T126" s="213" t="n">
        <v>47.9666666666667</v>
      </c>
      <c r="U126" s="213" t="n">
        <v>45.8166666666667</v>
      </c>
      <c r="V126" s="213" t="n">
        <v>6.15</v>
      </c>
      <c r="W126" s="213" t="n">
        <v>7.2</v>
      </c>
      <c r="X126" s="204" t="n">
        <v>3.2</v>
      </c>
      <c r="Y126" s="204" t="n">
        <v>3.2</v>
      </c>
    </row>
    <row r="127" customFormat="false" ht="12.75" hidden="false" customHeight="false" outlineLevel="0" collapsed="false">
      <c r="A127" s="215" t="n">
        <v>40474</v>
      </c>
      <c r="B127" s="213" t="n">
        <v>39.8</v>
      </c>
      <c r="C127" s="213" t="n">
        <f aca="false">AVERAGEIFS($B$33:$B$1494,$A$33:$A$1494,A127)</f>
        <v>39.9166666666667</v>
      </c>
      <c r="D127" s="213" t="n">
        <v>42.8</v>
      </c>
      <c r="E127" s="213" t="n">
        <f aca="false">AVERAGEIFS($D$33:$D$1494,$A$33:$A$1494,A127)</f>
        <v>42.8</v>
      </c>
      <c r="F127" s="213" t="n">
        <v>14.3</v>
      </c>
      <c r="G127" s="213" t="n">
        <f aca="false">AVERAGEIFS($F$33:$F$1494,$A$33:$A$1494,A127)</f>
        <v>12.4</v>
      </c>
      <c r="H127" s="213" t="n">
        <v>12.2</v>
      </c>
      <c r="I127" s="213" t="n">
        <f aca="false">AVERAGEIFS($H$33:$H$1494,$A$33:$A$1494,A127)</f>
        <v>12.2666666666667</v>
      </c>
      <c r="L127" s="215" t="n">
        <v>40474</v>
      </c>
      <c r="M127" s="213" t="n">
        <v>39.9166666666667</v>
      </c>
      <c r="N127" s="213" t="n">
        <v>42.8</v>
      </c>
      <c r="O127" s="213" t="n">
        <v>12.4</v>
      </c>
      <c r="P127" s="213" t="n">
        <v>12.2666666666667</v>
      </c>
      <c r="S127" s="215" t="n">
        <v>40554</v>
      </c>
      <c r="T127" s="213" t="n">
        <v>58.0166666666667</v>
      </c>
      <c r="U127" s="213" t="n">
        <v>59.75</v>
      </c>
      <c r="V127" s="213" t="n">
        <v>6.35</v>
      </c>
      <c r="W127" s="213" t="n">
        <v>6.53333333333333</v>
      </c>
      <c r="X127" s="204" t="n">
        <v>8</v>
      </c>
      <c r="Y127" s="204" t="n">
        <v>8.2</v>
      </c>
    </row>
    <row r="128" customFormat="false" ht="12.75" hidden="false" customHeight="false" outlineLevel="0" collapsed="false">
      <c r="A128" s="215" t="n">
        <v>40474</v>
      </c>
      <c r="B128" s="213" t="n">
        <v>39.7</v>
      </c>
      <c r="C128" s="213" t="n">
        <f aca="false">AVERAGEIFS($B$33:$B$1494,$A$33:$A$1494,A128)</f>
        <v>39.9166666666667</v>
      </c>
      <c r="D128" s="213" t="n">
        <v>42.7</v>
      </c>
      <c r="E128" s="213" t="n">
        <f aca="false">AVERAGEIFS($D$33:$D$1494,$A$33:$A$1494,A128)</f>
        <v>42.8</v>
      </c>
      <c r="F128" s="213" t="n">
        <v>13.8</v>
      </c>
      <c r="G128" s="213" t="n">
        <f aca="false">AVERAGEIFS($F$33:$F$1494,$A$33:$A$1494,A128)</f>
        <v>12.4</v>
      </c>
      <c r="H128" s="213" t="n">
        <v>12.7</v>
      </c>
      <c r="I128" s="213" t="n">
        <f aca="false">AVERAGEIFS($H$33:$H$1494,$A$33:$A$1494,A128)</f>
        <v>12.2666666666667</v>
      </c>
      <c r="L128" s="215" t="n">
        <v>40474</v>
      </c>
      <c r="M128" s="213" t="n">
        <v>39.9166666666667</v>
      </c>
      <c r="N128" s="213" t="n">
        <v>42.8</v>
      </c>
      <c r="O128" s="213" t="n">
        <v>12.4</v>
      </c>
      <c r="P128" s="213" t="n">
        <v>12.2666666666667</v>
      </c>
      <c r="S128" s="215" t="n">
        <v>40555</v>
      </c>
      <c r="T128" s="213" t="n">
        <v>53.5833333333333</v>
      </c>
      <c r="U128" s="213" t="n">
        <v>55.8833333333333</v>
      </c>
      <c r="V128" s="213" t="n">
        <v>7.7</v>
      </c>
      <c r="W128" s="213" t="n">
        <v>7.21666666666667</v>
      </c>
      <c r="X128" s="204" t="n">
        <v>1.8</v>
      </c>
      <c r="Y128" s="204" t="n">
        <v>9.6</v>
      </c>
    </row>
    <row r="129" customFormat="false" ht="12.75" hidden="false" customHeight="false" outlineLevel="0" collapsed="false">
      <c r="A129" s="215" t="n">
        <v>40475</v>
      </c>
      <c r="B129" s="213" t="n">
        <v>39.7</v>
      </c>
      <c r="C129" s="213" t="n">
        <f aca="false">AVERAGEIFS($B$33:$B$1494,$A$33:$A$1494,A129)</f>
        <v>41.4833333333333</v>
      </c>
      <c r="D129" s="213" t="n">
        <v>42.7</v>
      </c>
      <c r="E129" s="213" t="n">
        <f aca="false">AVERAGEIFS($D$33:$D$1494,$A$33:$A$1494,A129)</f>
        <v>43.1166666666667</v>
      </c>
      <c r="F129" s="213" t="n">
        <v>12.7</v>
      </c>
      <c r="G129" s="213" t="n">
        <f aca="false">AVERAGEIFS($F$33:$F$1494,$A$33:$A$1494,A129)</f>
        <v>12.6</v>
      </c>
      <c r="H129" s="213" t="n">
        <v>12.9</v>
      </c>
      <c r="I129" s="213" t="n">
        <f aca="false">AVERAGEIFS($H$33:$H$1494,$A$33:$A$1494,A129)</f>
        <v>12.8333333333333</v>
      </c>
      <c r="L129" s="215" t="n">
        <v>40475</v>
      </c>
      <c r="M129" s="213" t="n">
        <v>41.4833333333333</v>
      </c>
      <c r="N129" s="213" t="n">
        <v>43.1166666666667</v>
      </c>
      <c r="O129" s="213" t="n">
        <v>12.6</v>
      </c>
      <c r="P129" s="213" t="n">
        <v>12.8333333333333</v>
      </c>
      <c r="S129" s="215" t="n">
        <v>40556</v>
      </c>
      <c r="T129" s="213" t="n">
        <v>50.9</v>
      </c>
      <c r="U129" s="213" t="n">
        <v>48.6</v>
      </c>
      <c r="V129" s="213" t="n">
        <v>8.95</v>
      </c>
      <c r="W129" s="213" t="n">
        <v>7.86666666666667</v>
      </c>
      <c r="X129" s="204" t="n">
        <v>0.4</v>
      </c>
      <c r="Y129" s="204" t="n">
        <v>11.3</v>
      </c>
    </row>
    <row r="130" customFormat="false" ht="12.75" hidden="false" customHeight="false" outlineLevel="0" collapsed="false">
      <c r="A130" s="215" t="n">
        <v>40475</v>
      </c>
      <c r="B130" s="213" t="n">
        <v>39.6</v>
      </c>
      <c r="C130" s="213" t="n">
        <f aca="false">AVERAGEIFS($B$33:$B$1494,$A$33:$A$1494,A130)</f>
        <v>41.4833333333333</v>
      </c>
      <c r="D130" s="213" t="n">
        <v>42.6</v>
      </c>
      <c r="E130" s="213" t="n">
        <f aca="false">AVERAGEIFS($D$33:$D$1494,$A$33:$A$1494,A130)</f>
        <v>43.1166666666667</v>
      </c>
      <c r="F130" s="213" t="n">
        <v>12.5</v>
      </c>
      <c r="G130" s="213" t="n">
        <f aca="false">AVERAGEIFS($F$33:$F$1494,$A$33:$A$1494,A130)</f>
        <v>12.6</v>
      </c>
      <c r="H130" s="213" t="n">
        <v>12.9</v>
      </c>
      <c r="I130" s="213" t="n">
        <f aca="false">AVERAGEIFS($H$33:$H$1494,$A$33:$A$1494,A130)</f>
        <v>12.8333333333333</v>
      </c>
      <c r="L130" s="215" t="n">
        <v>40475</v>
      </c>
      <c r="M130" s="213" t="n">
        <v>41.4833333333333</v>
      </c>
      <c r="N130" s="213" t="n">
        <v>43.1166666666667</v>
      </c>
      <c r="O130" s="213" t="n">
        <v>12.6</v>
      </c>
      <c r="P130" s="213" t="n">
        <v>12.8333333333333</v>
      </c>
      <c r="S130" s="215" t="n">
        <v>40557</v>
      </c>
      <c r="T130" s="213" t="n">
        <v>50.0666666666667</v>
      </c>
      <c r="U130" s="213" t="n">
        <v>47.6833333333333</v>
      </c>
      <c r="V130" s="213" t="n">
        <v>7.88333333333333</v>
      </c>
      <c r="W130" s="213" t="n">
        <v>7.98333333333333</v>
      </c>
      <c r="X130" s="204" t="n">
        <v>0.2</v>
      </c>
      <c r="Y130" s="204" t="n">
        <v>6.4</v>
      </c>
    </row>
    <row r="131" customFormat="false" ht="12.75" hidden="false" customHeight="false" outlineLevel="0" collapsed="false">
      <c r="A131" s="215" t="n">
        <v>40475</v>
      </c>
      <c r="B131" s="213" t="n">
        <v>39.6</v>
      </c>
      <c r="C131" s="213" t="n">
        <f aca="false">AVERAGEIFS($B$33:$B$1494,$A$33:$A$1494,A131)</f>
        <v>41.4833333333333</v>
      </c>
      <c r="D131" s="213" t="n">
        <v>42.6</v>
      </c>
      <c r="E131" s="213" t="n">
        <f aca="false">AVERAGEIFS($D$33:$D$1494,$A$33:$A$1494,A131)</f>
        <v>43.1166666666667</v>
      </c>
      <c r="F131" s="213" t="n">
        <v>12.5</v>
      </c>
      <c r="G131" s="213" t="n">
        <f aca="false">AVERAGEIFS($F$33:$F$1494,$A$33:$A$1494,A131)</f>
        <v>12.6</v>
      </c>
      <c r="H131" s="213" t="n">
        <v>12.8</v>
      </c>
      <c r="I131" s="213" t="n">
        <f aca="false">AVERAGEIFS($H$33:$H$1494,$A$33:$A$1494,A131)</f>
        <v>12.8333333333333</v>
      </c>
      <c r="L131" s="215" t="n">
        <v>40475</v>
      </c>
      <c r="M131" s="213" t="n">
        <v>41.4833333333333</v>
      </c>
      <c r="N131" s="213" t="n">
        <v>43.1166666666667</v>
      </c>
      <c r="O131" s="213" t="n">
        <v>12.6</v>
      </c>
      <c r="P131" s="213" t="n">
        <v>12.8333333333333</v>
      </c>
      <c r="S131" s="215" t="n">
        <v>40558</v>
      </c>
      <c r="T131" s="213" t="n">
        <v>49.6333333333333</v>
      </c>
      <c r="U131" s="213" t="n">
        <v>47.2833333333333</v>
      </c>
      <c r="V131" s="213" t="n">
        <v>7.45</v>
      </c>
      <c r="W131" s="213" t="n">
        <v>7.56666666666667</v>
      </c>
      <c r="X131" s="204" t="n">
        <v>0</v>
      </c>
      <c r="Y131" s="204" t="n">
        <v>6.8</v>
      </c>
    </row>
    <row r="132" customFormat="false" ht="12.75" hidden="false" customHeight="false" outlineLevel="0" collapsed="false">
      <c r="A132" s="215" t="n">
        <v>40475</v>
      </c>
      <c r="B132" s="213" t="n">
        <v>40.5</v>
      </c>
      <c r="C132" s="213" t="n">
        <f aca="false">AVERAGEIFS($B$33:$B$1494,$A$33:$A$1494,A132)</f>
        <v>41.4833333333333</v>
      </c>
      <c r="D132" s="213" t="n">
        <v>42.6</v>
      </c>
      <c r="E132" s="213" t="n">
        <f aca="false">AVERAGEIFS($D$33:$D$1494,$A$33:$A$1494,A132)</f>
        <v>43.1166666666667</v>
      </c>
      <c r="F132" s="213" t="n">
        <v>12.5</v>
      </c>
      <c r="G132" s="213" t="n">
        <f aca="false">AVERAGEIFS($F$33:$F$1494,$A$33:$A$1494,A132)</f>
        <v>12.6</v>
      </c>
      <c r="H132" s="213" t="n">
        <v>12.8</v>
      </c>
      <c r="I132" s="213" t="n">
        <f aca="false">AVERAGEIFS($H$33:$H$1494,$A$33:$A$1494,A132)</f>
        <v>12.8333333333333</v>
      </c>
      <c r="L132" s="215" t="n">
        <v>40475</v>
      </c>
      <c r="M132" s="213" t="n">
        <v>41.4833333333333</v>
      </c>
      <c r="N132" s="213" t="n">
        <v>43.1166666666667</v>
      </c>
      <c r="O132" s="213" t="n">
        <v>12.6</v>
      </c>
      <c r="P132" s="213" t="n">
        <v>12.8333333333333</v>
      </c>
      <c r="S132" s="215" t="n">
        <v>40559</v>
      </c>
      <c r="T132" s="213" t="n">
        <v>49.35</v>
      </c>
      <c r="U132" s="213" t="n">
        <v>47.05</v>
      </c>
      <c r="V132" s="213" t="n">
        <v>6.96666666666667</v>
      </c>
      <c r="W132" s="213" t="n">
        <v>7.28333333333333</v>
      </c>
      <c r="X132" s="204" t="n">
        <v>0.2</v>
      </c>
      <c r="Y132" s="204" t="n">
        <v>7.9</v>
      </c>
    </row>
    <row r="133" customFormat="false" ht="12.75" hidden="false" customHeight="false" outlineLevel="0" collapsed="false">
      <c r="A133" s="215" t="n">
        <v>40475</v>
      </c>
      <c r="B133" s="213" t="n">
        <v>40.4</v>
      </c>
      <c r="C133" s="213" t="n">
        <f aca="false">AVERAGEIFS($B$33:$B$1494,$A$33:$A$1494,A133)</f>
        <v>41.4833333333333</v>
      </c>
      <c r="D133" s="213" t="n">
        <v>42.5</v>
      </c>
      <c r="E133" s="213" t="n">
        <f aca="false">AVERAGEIFS($D$33:$D$1494,$A$33:$A$1494,A133)</f>
        <v>43.1166666666667</v>
      </c>
      <c r="F133" s="213" t="n">
        <v>12.8</v>
      </c>
      <c r="G133" s="213" t="n">
        <f aca="false">AVERAGEIFS($F$33:$F$1494,$A$33:$A$1494,A133)</f>
        <v>12.6</v>
      </c>
      <c r="H133" s="213" t="n">
        <v>12.8</v>
      </c>
      <c r="I133" s="213" t="n">
        <f aca="false">AVERAGEIFS($H$33:$H$1494,$A$33:$A$1494,A133)</f>
        <v>12.8333333333333</v>
      </c>
      <c r="L133" s="215" t="n">
        <v>40475</v>
      </c>
      <c r="M133" s="213" t="n">
        <v>41.4833333333333</v>
      </c>
      <c r="N133" s="213" t="n">
        <v>43.1166666666667</v>
      </c>
      <c r="O133" s="213" t="n">
        <v>12.6</v>
      </c>
      <c r="P133" s="213" t="n">
        <v>12.8333333333333</v>
      </c>
      <c r="S133" s="215" t="n">
        <v>40560</v>
      </c>
      <c r="T133" s="213" t="n">
        <v>49.1166666666667</v>
      </c>
      <c r="U133" s="213" t="n">
        <v>46.8833333333333</v>
      </c>
      <c r="V133" s="213" t="n">
        <v>7.6</v>
      </c>
      <c r="W133" s="213" t="n">
        <v>7.36666666666667</v>
      </c>
      <c r="X133" s="204" t="n">
        <v>0</v>
      </c>
      <c r="Y133" s="204" t="n">
        <v>9.1</v>
      </c>
    </row>
    <row r="134" customFormat="false" ht="12.75" hidden="false" customHeight="false" outlineLevel="0" collapsed="false">
      <c r="A134" s="215" t="n">
        <v>40475</v>
      </c>
      <c r="B134" s="213" t="n">
        <v>49.1</v>
      </c>
      <c r="C134" s="213" t="n">
        <f aca="false">AVERAGEIFS($B$33:$B$1494,$A$33:$A$1494,A134)</f>
        <v>41.4833333333333</v>
      </c>
      <c r="D134" s="213" t="n">
        <v>45.7</v>
      </c>
      <c r="E134" s="213" t="n">
        <f aca="false">AVERAGEIFS($D$33:$D$1494,$A$33:$A$1494,A134)</f>
        <v>43.1166666666667</v>
      </c>
      <c r="F134" s="213" t="n">
        <v>12.6</v>
      </c>
      <c r="G134" s="213" t="n">
        <f aca="false">AVERAGEIFS($F$33:$F$1494,$A$33:$A$1494,A134)</f>
        <v>12.6</v>
      </c>
      <c r="H134" s="213" t="n">
        <v>12.8</v>
      </c>
      <c r="I134" s="213" t="n">
        <f aca="false">AVERAGEIFS($H$33:$H$1494,$A$33:$A$1494,A134)</f>
        <v>12.8333333333333</v>
      </c>
      <c r="L134" s="215" t="n">
        <v>40475</v>
      </c>
      <c r="M134" s="213" t="n">
        <v>41.4833333333333</v>
      </c>
      <c r="N134" s="213" t="n">
        <v>43.1166666666667</v>
      </c>
      <c r="O134" s="213" t="n">
        <v>12.6</v>
      </c>
      <c r="P134" s="213" t="n">
        <v>12.8333333333333</v>
      </c>
      <c r="S134" s="215" t="n">
        <v>40561</v>
      </c>
      <c r="T134" s="213" t="n">
        <v>48.9666666666667</v>
      </c>
      <c r="U134" s="213" t="n">
        <v>46.75</v>
      </c>
      <c r="V134" s="213" t="n">
        <v>7.61666666666667</v>
      </c>
      <c r="W134" s="213" t="n">
        <v>7.51666666666667</v>
      </c>
      <c r="X134" s="204" t="n">
        <v>0</v>
      </c>
      <c r="Y134" s="204" t="n">
        <v>8.5</v>
      </c>
    </row>
    <row r="135" customFormat="false" ht="12.75" hidden="false" customHeight="false" outlineLevel="0" collapsed="false">
      <c r="A135" s="215" t="n">
        <v>40476</v>
      </c>
      <c r="B135" s="213" t="n">
        <v>45.7</v>
      </c>
      <c r="C135" s="213" t="n">
        <f aca="false">AVERAGEIFS($B$33:$B$1494,$A$33:$A$1494,A135)</f>
        <v>44.7833333333333</v>
      </c>
      <c r="D135" s="213" t="n">
        <v>44.2</v>
      </c>
      <c r="E135" s="213" t="n">
        <f aca="false">AVERAGEIFS($D$33:$D$1494,$A$33:$A$1494,A135)</f>
        <v>44.45</v>
      </c>
      <c r="F135" s="213" t="n">
        <v>11.8</v>
      </c>
      <c r="G135" s="213" t="n">
        <f aca="false">AVERAGEIFS($F$33:$F$1494,$A$33:$A$1494,A135)</f>
        <v>11.0833333333333</v>
      </c>
      <c r="H135" s="213" t="n">
        <v>12.8</v>
      </c>
      <c r="I135" s="213" t="n">
        <f aca="false">AVERAGEIFS($H$33:$H$1494,$A$33:$A$1494,A135)</f>
        <v>12.3</v>
      </c>
      <c r="L135" s="215" t="n">
        <v>40476</v>
      </c>
      <c r="M135" s="213" t="n">
        <v>44.7833333333333</v>
      </c>
      <c r="N135" s="213" t="n">
        <v>44.45</v>
      </c>
      <c r="O135" s="213" t="n">
        <v>11.0833333333333</v>
      </c>
      <c r="P135" s="213" t="n">
        <v>12.3</v>
      </c>
      <c r="S135" s="215" t="n">
        <v>40562</v>
      </c>
      <c r="T135" s="213" t="n">
        <v>48.8333333333333</v>
      </c>
      <c r="U135" s="213" t="n">
        <v>46.6666666666667</v>
      </c>
      <c r="V135" s="213" t="n">
        <v>7.56666666666667</v>
      </c>
      <c r="W135" s="213" t="n">
        <v>7.55</v>
      </c>
      <c r="X135" s="204" t="n">
        <v>0</v>
      </c>
      <c r="Y135" s="204" t="n">
        <v>6.4</v>
      </c>
    </row>
    <row r="136" customFormat="false" ht="12.75" hidden="false" customHeight="false" outlineLevel="0" collapsed="false">
      <c r="A136" s="215" t="n">
        <v>40476</v>
      </c>
      <c r="B136" s="213" t="n">
        <v>45.3</v>
      </c>
      <c r="C136" s="213" t="n">
        <f aca="false">AVERAGEIFS($B$33:$B$1494,$A$33:$A$1494,A136)</f>
        <v>44.7833333333333</v>
      </c>
      <c r="D136" s="213" t="n">
        <v>44</v>
      </c>
      <c r="E136" s="213" t="n">
        <f aca="false">AVERAGEIFS($D$33:$D$1494,$A$33:$A$1494,A136)</f>
        <v>44.45</v>
      </c>
      <c r="F136" s="213" t="n">
        <v>11.2</v>
      </c>
      <c r="G136" s="213" t="n">
        <f aca="false">AVERAGEIFS($F$33:$F$1494,$A$33:$A$1494,A136)</f>
        <v>11.0833333333333</v>
      </c>
      <c r="H136" s="213" t="n">
        <v>12.6</v>
      </c>
      <c r="I136" s="213" t="n">
        <f aca="false">AVERAGEIFS($H$33:$H$1494,$A$33:$A$1494,A136)</f>
        <v>12.3</v>
      </c>
      <c r="L136" s="215" t="n">
        <v>40476</v>
      </c>
      <c r="M136" s="213" t="n">
        <v>44.7833333333333</v>
      </c>
      <c r="N136" s="213" t="n">
        <v>44.45</v>
      </c>
      <c r="O136" s="213" t="n">
        <v>11.0833333333333</v>
      </c>
      <c r="P136" s="213" t="n">
        <v>12.3</v>
      </c>
      <c r="S136" s="215" t="n">
        <v>40563</v>
      </c>
      <c r="T136" s="213" t="n">
        <v>48.7666666666667</v>
      </c>
      <c r="U136" s="213" t="n">
        <v>46.5666666666667</v>
      </c>
      <c r="V136" s="213" t="n">
        <v>5.26666666666667</v>
      </c>
      <c r="W136" s="213" t="n">
        <v>6.81666666666667</v>
      </c>
      <c r="X136" s="204" t="n">
        <v>0</v>
      </c>
      <c r="Y136" s="204" t="n">
        <v>1.9</v>
      </c>
    </row>
    <row r="137" customFormat="false" ht="12.75" hidden="false" customHeight="false" outlineLevel="0" collapsed="false">
      <c r="A137" s="215" t="n">
        <v>40476</v>
      </c>
      <c r="B137" s="213" t="n">
        <v>45.1</v>
      </c>
      <c r="C137" s="213" t="n">
        <f aca="false">AVERAGEIFS($B$33:$B$1494,$A$33:$A$1494,A137)</f>
        <v>44.7833333333333</v>
      </c>
      <c r="D137" s="213" t="n">
        <v>44.9</v>
      </c>
      <c r="E137" s="213" t="n">
        <f aca="false">AVERAGEIFS($D$33:$D$1494,$A$33:$A$1494,A137)</f>
        <v>44.45</v>
      </c>
      <c r="F137" s="213" t="n">
        <v>10.8</v>
      </c>
      <c r="G137" s="213" t="n">
        <f aca="false">AVERAGEIFS($F$33:$F$1494,$A$33:$A$1494,A137)</f>
        <v>11.0833333333333</v>
      </c>
      <c r="H137" s="213" t="n">
        <v>12.3</v>
      </c>
      <c r="I137" s="213" t="n">
        <f aca="false">AVERAGEIFS($H$33:$H$1494,$A$33:$A$1494,A137)</f>
        <v>12.3</v>
      </c>
      <c r="L137" s="215" t="n">
        <v>40476</v>
      </c>
      <c r="M137" s="213" t="n">
        <v>44.7833333333333</v>
      </c>
      <c r="N137" s="213" t="n">
        <v>44.45</v>
      </c>
      <c r="O137" s="213" t="n">
        <v>11.0833333333333</v>
      </c>
      <c r="P137" s="213" t="n">
        <v>12.3</v>
      </c>
      <c r="S137" s="215" t="n">
        <v>40564</v>
      </c>
      <c r="T137" s="213" t="n">
        <v>48.6833333333333</v>
      </c>
      <c r="U137" s="213" t="n">
        <v>46.4833333333333</v>
      </c>
      <c r="V137" s="213" t="n">
        <v>3.93333333333333</v>
      </c>
      <c r="W137" s="213" t="n">
        <v>5.58333333333333</v>
      </c>
      <c r="X137" s="204" t="n">
        <v>0</v>
      </c>
      <c r="Y137" s="204" t="n">
        <v>0.4</v>
      </c>
    </row>
    <row r="138" customFormat="false" ht="12.75" hidden="false" customHeight="false" outlineLevel="0" collapsed="false">
      <c r="A138" s="215" t="n">
        <v>40476</v>
      </c>
      <c r="B138" s="213" t="n">
        <v>44.7</v>
      </c>
      <c r="C138" s="213" t="n">
        <f aca="false">AVERAGEIFS($B$33:$B$1494,$A$33:$A$1494,A138)</f>
        <v>44.7833333333333</v>
      </c>
      <c r="D138" s="213" t="n">
        <v>44.5</v>
      </c>
      <c r="E138" s="213" t="n">
        <f aca="false">AVERAGEIFS($D$33:$D$1494,$A$33:$A$1494,A138)</f>
        <v>44.45</v>
      </c>
      <c r="F138" s="213" t="n">
        <v>10.8</v>
      </c>
      <c r="G138" s="213" t="n">
        <f aca="false">AVERAGEIFS($F$33:$F$1494,$A$33:$A$1494,A138)</f>
        <v>11.0833333333333</v>
      </c>
      <c r="H138" s="213" t="n">
        <v>12.1</v>
      </c>
      <c r="I138" s="213" t="n">
        <f aca="false">AVERAGEIFS($H$33:$H$1494,$A$33:$A$1494,A138)</f>
        <v>12.3</v>
      </c>
      <c r="L138" s="215" t="n">
        <v>40476</v>
      </c>
      <c r="M138" s="213" t="n">
        <v>44.7833333333333</v>
      </c>
      <c r="N138" s="213" t="n">
        <v>44.45</v>
      </c>
      <c r="O138" s="213" t="n">
        <v>11.0833333333333</v>
      </c>
      <c r="P138" s="213" t="n">
        <v>12.3</v>
      </c>
      <c r="S138" s="215" t="n">
        <v>40565</v>
      </c>
      <c r="T138" s="213" t="n">
        <v>48.6</v>
      </c>
      <c r="U138" s="213" t="n">
        <v>46.4</v>
      </c>
      <c r="V138" s="213" t="n">
        <v>2.66666666666667</v>
      </c>
      <c r="W138" s="213" t="n">
        <v>4.55</v>
      </c>
      <c r="X138" s="204" t="n">
        <v>0</v>
      </c>
      <c r="Y138" s="204" t="n">
        <v>-1.8</v>
      </c>
    </row>
    <row r="139" customFormat="false" ht="12.75" hidden="false" customHeight="false" outlineLevel="0" collapsed="false">
      <c r="A139" s="215" t="n">
        <v>40476</v>
      </c>
      <c r="B139" s="213" t="n">
        <v>44.4</v>
      </c>
      <c r="C139" s="213" t="n">
        <f aca="false">AVERAGEIFS($B$33:$B$1494,$A$33:$A$1494,A139)</f>
        <v>44.7833333333333</v>
      </c>
      <c r="D139" s="213" t="n">
        <v>44.5</v>
      </c>
      <c r="E139" s="213" t="n">
        <f aca="false">AVERAGEIFS($D$33:$D$1494,$A$33:$A$1494,A139)</f>
        <v>44.45</v>
      </c>
      <c r="F139" s="213" t="n">
        <v>11.3</v>
      </c>
      <c r="G139" s="213" t="n">
        <f aca="false">AVERAGEIFS($F$33:$F$1494,$A$33:$A$1494,A139)</f>
        <v>11.0833333333333</v>
      </c>
      <c r="H139" s="213" t="n">
        <v>12</v>
      </c>
      <c r="I139" s="213" t="n">
        <f aca="false">AVERAGEIFS($H$33:$H$1494,$A$33:$A$1494,A139)</f>
        <v>12.3</v>
      </c>
      <c r="L139" s="215" t="n">
        <v>40476</v>
      </c>
      <c r="M139" s="213" t="n">
        <v>44.7833333333333</v>
      </c>
      <c r="N139" s="213" t="n">
        <v>44.45</v>
      </c>
      <c r="O139" s="213" t="n">
        <v>11.0833333333333</v>
      </c>
      <c r="P139" s="213" t="n">
        <v>12.3</v>
      </c>
      <c r="S139" s="215" t="n">
        <v>40566</v>
      </c>
      <c r="T139" s="213" t="n">
        <v>48.5666666666667</v>
      </c>
      <c r="U139" s="213" t="n">
        <v>46.3666666666667</v>
      </c>
      <c r="V139" s="213" t="n">
        <v>2.28333333333333</v>
      </c>
      <c r="W139" s="213" t="n">
        <v>3.76666666666667</v>
      </c>
      <c r="X139" s="204" t="n">
        <v>0</v>
      </c>
      <c r="Y139" s="204" t="n">
        <v>-1.1</v>
      </c>
    </row>
    <row r="140" customFormat="false" ht="12.75" hidden="false" customHeight="false" outlineLevel="0" collapsed="false">
      <c r="A140" s="215" t="n">
        <v>40476</v>
      </c>
      <c r="B140" s="213" t="n">
        <v>43.5</v>
      </c>
      <c r="C140" s="213" t="n">
        <f aca="false">AVERAGEIFS($B$33:$B$1494,$A$33:$A$1494,A140)</f>
        <v>44.7833333333333</v>
      </c>
      <c r="D140" s="213" t="n">
        <v>44.6</v>
      </c>
      <c r="E140" s="213" t="n">
        <f aca="false">AVERAGEIFS($D$33:$D$1494,$A$33:$A$1494,A140)</f>
        <v>44.45</v>
      </c>
      <c r="F140" s="213" t="n">
        <v>10.6</v>
      </c>
      <c r="G140" s="213" t="n">
        <f aca="false">AVERAGEIFS($F$33:$F$1494,$A$33:$A$1494,A140)</f>
        <v>11.0833333333333</v>
      </c>
      <c r="H140" s="213" t="n">
        <v>12</v>
      </c>
      <c r="I140" s="213" t="n">
        <f aca="false">AVERAGEIFS($H$33:$H$1494,$A$33:$A$1494,A140)</f>
        <v>12.3</v>
      </c>
      <c r="L140" s="215" t="n">
        <v>40476</v>
      </c>
      <c r="M140" s="213" t="n">
        <v>44.7833333333333</v>
      </c>
      <c r="N140" s="213" t="n">
        <v>44.45</v>
      </c>
      <c r="O140" s="213" t="n">
        <v>11.0833333333333</v>
      </c>
      <c r="P140" s="213" t="n">
        <v>12.3</v>
      </c>
      <c r="S140" s="215" t="n">
        <v>40567</v>
      </c>
      <c r="T140" s="213" t="n">
        <v>48.45</v>
      </c>
      <c r="U140" s="213" t="n">
        <v>46.3</v>
      </c>
      <c r="V140" s="213" t="n">
        <v>1.98333333333333</v>
      </c>
      <c r="W140" s="213" t="n">
        <v>3.46666666666667</v>
      </c>
      <c r="X140" s="204" t="n">
        <v>0</v>
      </c>
      <c r="Y140" s="204" t="n">
        <v>-1.6</v>
      </c>
    </row>
    <row r="141" customFormat="false" ht="12.75" hidden="false" customHeight="false" outlineLevel="0" collapsed="false">
      <c r="A141" s="215" t="n">
        <v>40477</v>
      </c>
      <c r="B141" s="213" t="n">
        <v>44</v>
      </c>
      <c r="C141" s="213" t="n">
        <f aca="false">AVERAGEIFS($B$33:$B$1494,$A$33:$A$1494,A141)</f>
        <v>43.65</v>
      </c>
      <c r="D141" s="213" t="n">
        <v>44.9</v>
      </c>
      <c r="E141" s="213" t="n">
        <f aca="false">AVERAGEIFS($D$33:$D$1494,$A$33:$A$1494,A141)</f>
        <v>43.85</v>
      </c>
      <c r="F141" s="213" t="n">
        <v>9.6</v>
      </c>
      <c r="G141" s="213" t="n">
        <f aca="false">AVERAGEIFS($F$33:$F$1494,$A$33:$A$1494,A141)</f>
        <v>9.25</v>
      </c>
      <c r="H141" s="213" t="n">
        <v>11.8</v>
      </c>
      <c r="I141" s="213" t="n">
        <f aca="false">AVERAGEIFS($H$33:$H$1494,$A$33:$A$1494,A141)</f>
        <v>11.05</v>
      </c>
      <c r="L141" s="215" t="n">
        <v>40477</v>
      </c>
      <c r="M141" s="213" t="n">
        <v>43.65</v>
      </c>
      <c r="N141" s="213" t="n">
        <v>43.85</v>
      </c>
      <c r="O141" s="213" t="n">
        <v>9.25</v>
      </c>
      <c r="P141" s="213" t="n">
        <v>11.05</v>
      </c>
      <c r="S141" s="215" t="n">
        <v>40568</v>
      </c>
      <c r="T141" s="213" t="n">
        <v>48.3333333333333</v>
      </c>
      <c r="U141" s="213" t="n">
        <v>46.2833333333333</v>
      </c>
      <c r="V141" s="213" t="n">
        <v>1.91666666666667</v>
      </c>
      <c r="W141" s="213" t="n">
        <v>3.18333333333333</v>
      </c>
      <c r="X141" s="204" t="n">
        <v>0.2</v>
      </c>
      <c r="Y141" s="204" t="n">
        <v>-0.1</v>
      </c>
    </row>
    <row r="142" customFormat="false" ht="12.75" hidden="false" customHeight="false" outlineLevel="0" collapsed="false">
      <c r="A142" s="215" t="n">
        <v>40477</v>
      </c>
      <c r="B142" s="213" t="n">
        <v>43.9</v>
      </c>
      <c r="C142" s="213" t="n">
        <f aca="false">AVERAGEIFS($B$33:$B$1494,$A$33:$A$1494,A142)</f>
        <v>43.65</v>
      </c>
      <c r="D142" s="213" t="n">
        <v>43.9</v>
      </c>
      <c r="E142" s="213" t="n">
        <f aca="false">AVERAGEIFS($D$33:$D$1494,$A$33:$A$1494,A142)</f>
        <v>43.85</v>
      </c>
      <c r="F142" s="213" t="n">
        <v>8.8</v>
      </c>
      <c r="G142" s="213" t="n">
        <f aca="false">AVERAGEIFS($F$33:$F$1494,$A$33:$A$1494,A142)</f>
        <v>9.25</v>
      </c>
      <c r="H142" s="213" t="n">
        <v>11.4</v>
      </c>
      <c r="I142" s="213" t="n">
        <f aca="false">AVERAGEIFS($H$33:$H$1494,$A$33:$A$1494,A142)</f>
        <v>11.05</v>
      </c>
      <c r="L142" s="215" t="n">
        <v>40477</v>
      </c>
      <c r="M142" s="213" t="n">
        <v>43.65</v>
      </c>
      <c r="N142" s="213" t="n">
        <v>43.85</v>
      </c>
      <c r="O142" s="213" t="n">
        <v>9.25</v>
      </c>
      <c r="P142" s="213" t="n">
        <v>11.05</v>
      </c>
      <c r="S142" s="215" t="n">
        <v>40569</v>
      </c>
      <c r="T142" s="213" t="n">
        <v>48.2666666666667</v>
      </c>
      <c r="U142" s="213" t="n">
        <v>46.2</v>
      </c>
      <c r="V142" s="213" t="n">
        <v>2.4</v>
      </c>
      <c r="W142" s="213" t="n">
        <v>3.15</v>
      </c>
      <c r="X142" s="204" t="n">
        <v>0</v>
      </c>
      <c r="Y142" s="204" t="n">
        <v>1</v>
      </c>
    </row>
    <row r="143" customFormat="false" ht="12.75" hidden="false" customHeight="false" outlineLevel="0" collapsed="false">
      <c r="A143" s="215" t="n">
        <v>40477</v>
      </c>
      <c r="B143" s="213" t="n">
        <v>44.3</v>
      </c>
      <c r="C143" s="213" t="n">
        <f aca="false">AVERAGEIFS($B$33:$B$1494,$A$33:$A$1494,A143)</f>
        <v>43.65</v>
      </c>
      <c r="D143" s="213" t="n">
        <v>43.6</v>
      </c>
      <c r="E143" s="213" t="n">
        <f aca="false">AVERAGEIFS($D$33:$D$1494,$A$33:$A$1494,A143)</f>
        <v>43.85</v>
      </c>
      <c r="F143" s="213" t="n">
        <v>8</v>
      </c>
      <c r="G143" s="213" t="n">
        <f aca="false">AVERAGEIFS($F$33:$F$1494,$A$33:$A$1494,A143)</f>
        <v>9.25</v>
      </c>
      <c r="H143" s="213" t="n">
        <v>11</v>
      </c>
      <c r="I143" s="213" t="n">
        <f aca="false">AVERAGEIFS($H$33:$H$1494,$A$33:$A$1494,A143)</f>
        <v>11.05</v>
      </c>
      <c r="L143" s="215" t="n">
        <v>40477</v>
      </c>
      <c r="M143" s="213" t="n">
        <v>43.65</v>
      </c>
      <c r="N143" s="213" t="n">
        <v>43.85</v>
      </c>
      <c r="O143" s="213" t="n">
        <v>9.25</v>
      </c>
      <c r="P143" s="213" t="n">
        <v>11.05</v>
      </c>
      <c r="S143" s="215" t="n">
        <v>40570</v>
      </c>
      <c r="T143" s="213" t="n">
        <v>48.1833333333333</v>
      </c>
      <c r="U143" s="213" t="n">
        <v>46.1833333333333</v>
      </c>
      <c r="V143" s="213" t="n">
        <v>2.56666666666667</v>
      </c>
      <c r="W143" s="213" t="n">
        <v>3.33333333333333</v>
      </c>
      <c r="X143" s="204" t="n">
        <v>0</v>
      </c>
      <c r="Y143" s="204" t="n">
        <v>3.9</v>
      </c>
    </row>
    <row r="144" customFormat="false" ht="12.75" hidden="false" customHeight="false" outlineLevel="0" collapsed="false">
      <c r="A144" s="215" t="n">
        <v>40477</v>
      </c>
      <c r="B144" s="213" t="n">
        <v>43.5</v>
      </c>
      <c r="C144" s="213" t="n">
        <f aca="false">AVERAGEIFS($B$33:$B$1494,$A$33:$A$1494,A144)</f>
        <v>43.65</v>
      </c>
      <c r="D144" s="213" t="n">
        <v>43.6</v>
      </c>
      <c r="E144" s="213" t="n">
        <f aca="false">AVERAGEIFS($D$33:$D$1494,$A$33:$A$1494,A144)</f>
        <v>43.85</v>
      </c>
      <c r="F144" s="213" t="n">
        <v>8.6</v>
      </c>
      <c r="G144" s="213" t="n">
        <f aca="false">AVERAGEIFS($F$33:$F$1494,$A$33:$A$1494,A144)</f>
        <v>9.25</v>
      </c>
      <c r="H144" s="213" t="n">
        <v>10.7</v>
      </c>
      <c r="I144" s="213" t="n">
        <f aca="false">AVERAGEIFS($H$33:$H$1494,$A$33:$A$1494,A144)</f>
        <v>11.05</v>
      </c>
      <c r="L144" s="215" t="n">
        <v>40477</v>
      </c>
      <c r="M144" s="213" t="n">
        <v>43.65</v>
      </c>
      <c r="N144" s="213" t="n">
        <v>43.85</v>
      </c>
      <c r="O144" s="213" t="n">
        <v>9.25</v>
      </c>
      <c r="P144" s="213" t="n">
        <v>11.05</v>
      </c>
      <c r="S144" s="215" t="n">
        <v>40571</v>
      </c>
      <c r="T144" s="213" t="n">
        <v>48.05</v>
      </c>
      <c r="U144" s="213" t="n">
        <v>46.1</v>
      </c>
      <c r="V144" s="213" t="n">
        <v>4.1</v>
      </c>
      <c r="W144" s="213" t="n">
        <v>3.93333333333333</v>
      </c>
      <c r="X144" s="204" t="n">
        <v>0</v>
      </c>
      <c r="Y144" s="204" t="n">
        <v>7.5</v>
      </c>
    </row>
    <row r="145" customFormat="false" ht="12.75" hidden="false" customHeight="false" outlineLevel="0" collapsed="false">
      <c r="A145" s="215" t="n">
        <v>40477</v>
      </c>
      <c r="B145" s="213" t="n">
        <v>43</v>
      </c>
      <c r="C145" s="213" t="n">
        <f aca="false">AVERAGEIFS($B$33:$B$1494,$A$33:$A$1494,A145)</f>
        <v>43.65</v>
      </c>
      <c r="D145" s="213" t="n">
        <v>43.6</v>
      </c>
      <c r="E145" s="213" t="n">
        <f aca="false">AVERAGEIFS($D$33:$D$1494,$A$33:$A$1494,A145)</f>
        <v>43.85</v>
      </c>
      <c r="F145" s="213" t="n">
        <v>10.5</v>
      </c>
      <c r="G145" s="213" t="n">
        <f aca="false">AVERAGEIFS($F$33:$F$1494,$A$33:$A$1494,A145)</f>
        <v>9.25</v>
      </c>
      <c r="H145" s="213" t="n">
        <v>10.6</v>
      </c>
      <c r="I145" s="213" t="n">
        <f aca="false">AVERAGEIFS($H$33:$H$1494,$A$33:$A$1494,A145)</f>
        <v>11.05</v>
      </c>
      <c r="L145" s="215" t="n">
        <v>40477</v>
      </c>
      <c r="M145" s="213" t="n">
        <v>43.65</v>
      </c>
      <c r="N145" s="213" t="n">
        <v>43.85</v>
      </c>
      <c r="O145" s="213" t="n">
        <v>9.25</v>
      </c>
      <c r="P145" s="213" t="n">
        <v>11.05</v>
      </c>
      <c r="S145" s="215" t="n">
        <v>40572</v>
      </c>
      <c r="T145" s="213" t="n">
        <v>51.0333333333333</v>
      </c>
      <c r="U145" s="213" t="n">
        <v>46.1</v>
      </c>
      <c r="V145" s="213" t="n">
        <v>5.16666666666667</v>
      </c>
      <c r="W145" s="213" t="n">
        <v>4.78333333333333</v>
      </c>
      <c r="X145" s="204" t="n">
        <v>10.9</v>
      </c>
      <c r="Y145" s="204" t="n">
        <v>5.1</v>
      </c>
    </row>
    <row r="146" customFormat="false" ht="12.75" hidden="false" customHeight="false" outlineLevel="0" collapsed="false">
      <c r="A146" s="215" t="n">
        <v>40477</v>
      </c>
      <c r="B146" s="213" t="n">
        <v>43.2</v>
      </c>
      <c r="C146" s="213" t="n">
        <f aca="false">AVERAGEIFS($B$33:$B$1494,$A$33:$A$1494,A146)</f>
        <v>43.65</v>
      </c>
      <c r="D146" s="213" t="n">
        <v>43.5</v>
      </c>
      <c r="E146" s="213" t="n">
        <f aca="false">AVERAGEIFS($D$33:$D$1494,$A$33:$A$1494,A146)</f>
        <v>43.85</v>
      </c>
      <c r="F146" s="213" t="n">
        <v>10</v>
      </c>
      <c r="G146" s="213" t="n">
        <f aca="false">AVERAGEIFS($F$33:$F$1494,$A$33:$A$1494,A146)</f>
        <v>9.25</v>
      </c>
      <c r="H146" s="213" t="n">
        <v>10.8</v>
      </c>
      <c r="I146" s="213" t="n">
        <f aca="false">AVERAGEIFS($H$33:$H$1494,$A$33:$A$1494,A146)</f>
        <v>11.05</v>
      </c>
      <c r="L146" s="215" t="n">
        <v>40477</v>
      </c>
      <c r="M146" s="213" t="n">
        <v>43.65</v>
      </c>
      <c r="N146" s="213" t="n">
        <v>43.85</v>
      </c>
      <c r="O146" s="213" t="n">
        <v>9.25</v>
      </c>
      <c r="P146" s="213" t="n">
        <v>11.05</v>
      </c>
      <c r="S146" s="215" t="n">
        <v>40573</v>
      </c>
      <c r="T146" s="213" t="n">
        <v>55.9833333333333</v>
      </c>
      <c r="U146" s="213" t="n">
        <v>46.1</v>
      </c>
      <c r="V146" s="213" t="n">
        <v>4.96666666666667</v>
      </c>
      <c r="W146" s="213" t="n">
        <v>5.01666666666667</v>
      </c>
      <c r="X146" s="204" t="n">
        <v>0</v>
      </c>
      <c r="Y146" s="204" t="n">
        <v>4</v>
      </c>
    </row>
    <row r="147" customFormat="false" ht="12.75" hidden="false" customHeight="false" outlineLevel="0" collapsed="false">
      <c r="A147" s="215" t="n">
        <v>40478</v>
      </c>
      <c r="B147" s="213" t="n">
        <v>42.7</v>
      </c>
      <c r="C147" s="213" t="n">
        <f aca="false">AVERAGEIFS($B$33:$B$1494,$A$33:$A$1494,A147)</f>
        <v>42.65</v>
      </c>
      <c r="D147" s="213" t="n">
        <v>43.5</v>
      </c>
      <c r="E147" s="213" t="n">
        <f aca="false">AVERAGEIFS($D$33:$D$1494,$A$33:$A$1494,A147)</f>
        <v>43.4</v>
      </c>
      <c r="F147" s="213" t="n">
        <v>8.9</v>
      </c>
      <c r="G147" s="213" t="n">
        <f aca="false">AVERAGEIFS($F$33:$F$1494,$A$33:$A$1494,A147)</f>
        <v>8.88333333333333</v>
      </c>
      <c r="H147" s="213" t="n">
        <v>10.8</v>
      </c>
      <c r="I147" s="213" t="n">
        <f aca="false">AVERAGEIFS($H$33:$H$1494,$A$33:$A$1494,A147)</f>
        <v>10.3166666666667</v>
      </c>
      <c r="L147" s="215" t="n">
        <v>40478</v>
      </c>
      <c r="M147" s="213" t="n">
        <v>42.65</v>
      </c>
      <c r="N147" s="213" t="n">
        <v>43.4</v>
      </c>
      <c r="O147" s="213" t="n">
        <v>8.88333333333333</v>
      </c>
      <c r="P147" s="213" t="n">
        <v>10.3166666666667</v>
      </c>
      <c r="S147" s="215" t="n">
        <v>40574</v>
      </c>
      <c r="T147" s="213" t="n">
        <v>50.7666666666667</v>
      </c>
      <c r="U147" s="213" t="n">
        <v>46.2</v>
      </c>
      <c r="V147" s="213" t="n">
        <v>4.5</v>
      </c>
      <c r="W147" s="213" t="n">
        <v>4.91666666666667</v>
      </c>
      <c r="X147" s="204" t="n">
        <v>0</v>
      </c>
      <c r="Y147" s="204" t="n">
        <v>1</v>
      </c>
    </row>
    <row r="148" customFormat="false" ht="12.75" hidden="false" customHeight="false" outlineLevel="0" collapsed="false">
      <c r="A148" s="215" t="n">
        <v>40478</v>
      </c>
      <c r="B148" s="213" t="n">
        <v>42.7</v>
      </c>
      <c r="C148" s="213" t="n">
        <f aca="false">AVERAGEIFS($B$33:$B$1494,$A$33:$A$1494,A148)</f>
        <v>42.65</v>
      </c>
      <c r="D148" s="213" t="n">
        <v>43.4</v>
      </c>
      <c r="E148" s="213" t="n">
        <f aca="false">AVERAGEIFS($D$33:$D$1494,$A$33:$A$1494,A148)</f>
        <v>43.4</v>
      </c>
      <c r="F148" s="213" t="n">
        <v>7.9</v>
      </c>
      <c r="G148" s="213" t="n">
        <f aca="false">AVERAGEIFS($F$33:$F$1494,$A$33:$A$1494,A148)</f>
        <v>8.88333333333333</v>
      </c>
      <c r="H148" s="213" t="n">
        <v>10.6</v>
      </c>
      <c r="I148" s="213" t="n">
        <f aca="false">AVERAGEIFS($H$33:$H$1494,$A$33:$A$1494,A148)</f>
        <v>10.3166666666667</v>
      </c>
      <c r="L148" s="215" t="n">
        <v>40478</v>
      </c>
      <c r="M148" s="213" t="n">
        <v>42.65</v>
      </c>
      <c r="N148" s="213" t="n">
        <v>43.4</v>
      </c>
      <c r="O148" s="213" t="n">
        <v>8.88333333333333</v>
      </c>
      <c r="P148" s="213" t="n">
        <v>10.3166666666667</v>
      </c>
      <c r="S148" s="215" t="n">
        <v>40575</v>
      </c>
      <c r="T148" s="213" t="n">
        <v>49.7666666666667</v>
      </c>
      <c r="U148" s="213" t="n">
        <v>46.2666666666667</v>
      </c>
      <c r="V148" s="213" t="n">
        <v>3.28333333333333</v>
      </c>
      <c r="W148" s="213" t="n">
        <v>4.3</v>
      </c>
      <c r="X148" s="204" t="n">
        <v>0</v>
      </c>
      <c r="Y148" s="204" t="n">
        <v>-0.5</v>
      </c>
    </row>
    <row r="149" customFormat="false" ht="12.75" hidden="false" customHeight="false" outlineLevel="0" collapsed="false">
      <c r="A149" s="215" t="n">
        <v>40478</v>
      </c>
      <c r="B149" s="213" t="n">
        <v>43.5</v>
      </c>
      <c r="C149" s="213" t="n">
        <f aca="false">AVERAGEIFS($B$33:$B$1494,$A$33:$A$1494,A149)</f>
        <v>42.65</v>
      </c>
      <c r="D149" s="213" t="n">
        <v>43.4</v>
      </c>
      <c r="E149" s="213" t="n">
        <f aca="false">AVERAGEIFS($D$33:$D$1494,$A$33:$A$1494,A149)</f>
        <v>43.4</v>
      </c>
      <c r="F149" s="213" t="n">
        <v>7.1</v>
      </c>
      <c r="G149" s="213" t="n">
        <f aca="false">AVERAGEIFS($F$33:$F$1494,$A$33:$A$1494,A149)</f>
        <v>8.88333333333333</v>
      </c>
      <c r="H149" s="213" t="n">
        <v>10.3</v>
      </c>
      <c r="I149" s="213" t="n">
        <f aca="false">AVERAGEIFS($H$33:$H$1494,$A$33:$A$1494,A149)</f>
        <v>10.3166666666667</v>
      </c>
      <c r="L149" s="215" t="n">
        <v>40478</v>
      </c>
      <c r="M149" s="213" t="n">
        <v>42.65</v>
      </c>
      <c r="N149" s="213" t="n">
        <v>43.4</v>
      </c>
      <c r="O149" s="213" t="n">
        <v>8.88333333333333</v>
      </c>
      <c r="P149" s="213" t="n">
        <v>10.3166666666667</v>
      </c>
      <c r="S149" s="215" t="n">
        <v>40576</v>
      </c>
      <c r="T149" s="213" t="n">
        <v>49.4</v>
      </c>
      <c r="U149" s="213" t="n">
        <v>46.3</v>
      </c>
      <c r="V149" s="213" t="n">
        <v>2.76666666666667</v>
      </c>
      <c r="W149" s="213" t="n">
        <v>3.68333333333333</v>
      </c>
      <c r="X149" s="204" t="n">
        <v>0</v>
      </c>
      <c r="Y149" s="204" t="n">
        <v>2</v>
      </c>
    </row>
    <row r="150" customFormat="false" ht="12.75" hidden="false" customHeight="false" outlineLevel="0" collapsed="false">
      <c r="A150" s="215" t="n">
        <v>40478</v>
      </c>
      <c r="B150" s="213" t="n">
        <v>42.5</v>
      </c>
      <c r="C150" s="213" t="n">
        <f aca="false">AVERAGEIFS($B$33:$B$1494,$A$33:$A$1494,A150)</f>
        <v>42.65</v>
      </c>
      <c r="D150" s="213" t="n">
        <v>43.4</v>
      </c>
      <c r="E150" s="213" t="n">
        <f aca="false">AVERAGEIFS($D$33:$D$1494,$A$33:$A$1494,A150)</f>
        <v>43.4</v>
      </c>
      <c r="F150" s="213" t="n">
        <v>7.9</v>
      </c>
      <c r="G150" s="213" t="n">
        <f aca="false">AVERAGEIFS($F$33:$F$1494,$A$33:$A$1494,A150)</f>
        <v>8.88333333333333</v>
      </c>
      <c r="H150" s="213" t="n">
        <v>9.9</v>
      </c>
      <c r="I150" s="213" t="n">
        <f aca="false">AVERAGEIFS($H$33:$H$1494,$A$33:$A$1494,A150)</f>
        <v>10.3166666666667</v>
      </c>
      <c r="L150" s="215" t="n">
        <v>40478</v>
      </c>
      <c r="M150" s="213" t="n">
        <v>42.65</v>
      </c>
      <c r="N150" s="213" t="n">
        <v>43.4</v>
      </c>
      <c r="O150" s="213" t="n">
        <v>8.88333333333333</v>
      </c>
      <c r="P150" s="213" t="n">
        <v>10.3166666666667</v>
      </c>
      <c r="S150" s="215" t="n">
        <v>40577</v>
      </c>
      <c r="T150" s="213" t="n">
        <v>49.1</v>
      </c>
      <c r="U150" s="213" t="n">
        <v>46.2833333333333</v>
      </c>
      <c r="V150" s="213" t="n">
        <v>4.36666666666667</v>
      </c>
      <c r="W150" s="213" t="n">
        <v>4.1</v>
      </c>
      <c r="X150" s="204" t="n">
        <v>0</v>
      </c>
      <c r="Y150" s="204" t="n">
        <v>7.6</v>
      </c>
    </row>
    <row r="151" customFormat="false" ht="12.75" hidden="false" customHeight="false" outlineLevel="0" collapsed="false">
      <c r="A151" s="215" t="n">
        <v>40478</v>
      </c>
      <c r="B151" s="213" t="n">
        <v>42.3</v>
      </c>
      <c r="C151" s="213" t="n">
        <f aca="false">AVERAGEIFS($B$33:$B$1494,$A$33:$A$1494,A151)</f>
        <v>42.65</v>
      </c>
      <c r="D151" s="213" t="n">
        <v>43.4</v>
      </c>
      <c r="E151" s="213" t="n">
        <f aca="false">AVERAGEIFS($D$33:$D$1494,$A$33:$A$1494,A151)</f>
        <v>43.4</v>
      </c>
      <c r="F151" s="213" t="n">
        <v>10.9</v>
      </c>
      <c r="G151" s="213" t="n">
        <f aca="false">AVERAGEIFS($F$33:$F$1494,$A$33:$A$1494,A151)</f>
        <v>8.88333333333333</v>
      </c>
      <c r="H151" s="213" t="n">
        <v>9.9</v>
      </c>
      <c r="I151" s="213" t="n">
        <f aca="false">AVERAGEIFS($H$33:$H$1494,$A$33:$A$1494,A151)</f>
        <v>10.3166666666667</v>
      </c>
      <c r="L151" s="215" t="n">
        <v>40478</v>
      </c>
      <c r="M151" s="213" t="n">
        <v>42.65</v>
      </c>
      <c r="N151" s="213" t="n">
        <v>43.4</v>
      </c>
      <c r="O151" s="213" t="n">
        <v>8.88333333333333</v>
      </c>
      <c r="P151" s="213" t="n">
        <v>10.3166666666667</v>
      </c>
      <c r="S151" s="215" t="n">
        <v>40578</v>
      </c>
      <c r="T151" s="213" t="n">
        <v>48.85</v>
      </c>
      <c r="U151" s="213" t="n">
        <v>46.25</v>
      </c>
      <c r="V151" s="213" t="n">
        <v>6.11666666666667</v>
      </c>
      <c r="W151" s="213" t="n">
        <v>5.2</v>
      </c>
      <c r="X151" s="204" t="n">
        <v>0</v>
      </c>
      <c r="Y151" s="204" t="n">
        <v>9.3</v>
      </c>
    </row>
    <row r="152" customFormat="false" ht="12.75" hidden="false" customHeight="false" outlineLevel="0" collapsed="false">
      <c r="A152" s="215" t="n">
        <v>40478</v>
      </c>
      <c r="B152" s="213" t="n">
        <v>42.2</v>
      </c>
      <c r="C152" s="213" t="n">
        <f aca="false">AVERAGEIFS($B$33:$B$1494,$A$33:$A$1494,A152)</f>
        <v>42.65</v>
      </c>
      <c r="D152" s="213" t="n">
        <v>43.3</v>
      </c>
      <c r="E152" s="213" t="n">
        <f aca="false">AVERAGEIFS($D$33:$D$1494,$A$33:$A$1494,A152)</f>
        <v>43.4</v>
      </c>
      <c r="F152" s="213" t="n">
        <v>10.6</v>
      </c>
      <c r="G152" s="213" t="n">
        <f aca="false">AVERAGEIFS($F$33:$F$1494,$A$33:$A$1494,A152)</f>
        <v>8.88333333333333</v>
      </c>
      <c r="H152" s="213" t="n">
        <v>10.4</v>
      </c>
      <c r="I152" s="213" t="n">
        <f aca="false">AVERAGEIFS($H$33:$H$1494,$A$33:$A$1494,A152)</f>
        <v>10.3166666666667</v>
      </c>
      <c r="L152" s="215" t="n">
        <v>40478</v>
      </c>
      <c r="M152" s="213" t="n">
        <v>42.65</v>
      </c>
      <c r="N152" s="213" t="n">
        <v>43.4</v>
      </c>
      <c r="O152" s="213" t="n">
        <v>8.88333333333333</v>
      </c>
      <c r="P152" s="213" t="n">
        <v>10.3166666666667</v>
      </c>
      <c r="S152" s="215" t="n">
        <v>40579</v>
      </c>
      <c r="T152" s="213" t="n">
        <v>48.6666666666667</v>
      </c>
      <c r="U152" s="213" t="n">
        <v>46.2</v>
      </c>
      <c r="V152" s="213" t="n">
        <v>6.23333333333333</v>
      </c>
      <c r="W152" s="213" t="n">
        <v>5.88333333333333</v>
      </c>
      <c r="X152" s="204" t="n">
        <v>0</v>
      </c>
      <c r="Y152" s="204" t="n">
        <v>7</v>
      </c>
    </row>
    <row r="153" customFormat="false" ht="12.75" hidden="false" customHeight="false" outlineLevel="0" collapsed="false">
      <c r="A153" s="215" t="n">
        <v>40479</v>
      </c>
      <c r="B153" s="213" t="n">
        <v>42.2</v>
      </c>
      <c r="C153" s="213" t="n">
        <f aca="false">AVERAGEIFS($B$33:$B$1494,$A$33:$A$1494,A153)</f>
        <v>42.2</v>
      </c>
      <c r="D153" s="213" t="n">
        <v>43.3</v>
      </c>
      <c r="E153" s="213" t="n">
        <f aca="false">AVERAGEIFS($D$33:$D$1494,$A$33:$A$1494,A153)</f>
        <v>43.4333333333333</v>
      </c>
      <c r="F153" s="213" t="n">
        <v>9.4</v>
      </c>
      <c r="G153" s="213" t="n">
        <f aca="false">AVERAGEIFS($F$33:$F$1494,$A$33:$A$1494,A153)</f>
        <v>9.8</v>
      </c>
      <c r="H153" s="213" t="n">
        <v>10.7</v>
      </c>
      <c r="I153" s="213" t="n">
        <f aca="false">AVERAGEIFS($H$33:$H$1494,$A$33:$A$1494,A153)</f>
        <v>10.5</v>
      </c>
      <c r="L153" s="215" t="n">
        <v>40479</v>
      </c>
      <c r="M153" s="213" t="n">
        <v>42.2</v>
      </c>
      <c r="N153" s="213" t="n">
        <v>43.4333333333333</v>
      </c>
      <c r="O153" s="213" t="n">
        <v>9.8</v>
      </c>
      <c r="P153" s="213" t="n">
        <v>10.5</v>
      </c>
      <c r="S153" s="215" t="n">
        <v>40580</v>
      </c>
      <c r="T153" s="213" t="n">
        <v>48.5666666666667</v>
      </c>
      <c r="U153" s="213" t="n">
        <v>46.1833333333333</v>
      </c>
      <c r="V153" s="213" t="n">
        <v>5.21666666666667</v>
      </c>
      <c r="W153" s="213" t="n">
        <v>5.65</v>
      </c>
      <c r="X153" s="204" t="n">
        <v>0.4</v>
      </c>
      <c r="Y153" s="204" t="n">
        <v>2.9</v>
      </c>
    </row>
    <row r="154" customFormat="false" ht="12.75" hidden="false" customHeight="false" outlineLevel="0" collapsed="false">
      <c r="A154" s="215" t="n">
        <v>40479</v>
      </c>
      <c r="B154" s="213" t="n">
        <v>42.4</v>
      </c>
      <c r="C154" s="213" t="n">
        <f aca="false">AVERAGEIFS($B$33:$B$1494,$A$33:$A$1494,A154)</f>
        <v>42.2</v>
      </c>
      <c r="D154" s="213" t="n">
        <v>43.5</v>
      </c>
      <c r="E154" s="213" t="n">
        <f aca="false">AVERAGEIFS($D$33:$D$1494,$A$33:$A$1494,A154)</f>
        <v>43.4333333333333</v>
      </c>
      <c r="F154" s="213" t="n">
        <v>8.6</v>
      </c>
      <c r="G154" s="213" t="n">
        <f aca="false">AVERAGEIFS($F$33:$F$1494,$A$33:$A$1494,A154)</f>
        <v>9.8</v>
      </c>
      <c r="H154" s="213" t="n">
        <v>10.6</v>
      </c>
      <c r="I154" s="213" t="n">
        <f aca="false">AVERAGEIFS($H$33:$H$1494,$A$33:$A$1494,A154)</f>
        <v>10.5</v>
      </c>
      <c r="L154" s="215" t="n">
        <v>40479</v>
      </c>
      <c r="M154" s="213" t="n">
        <v>42.2</v>
      </c>
      <c r="N154" s="213" t="n">
        <v>43.4333333333333</v>
      </c>
      <c r="O154" s="213" t="n">
        <v>9.8</v>
      </c>
      <c r="P154" s="213" t="n">
        <v>10.5</v>
      </c>
      <c r="S154" s="215" t="n">
        <v>40581</v>
      </c>
      <c r="T154" s="213" t="n">
        <v>48.4333333333333</v>
      </c>
      <c r="U154" s="213" t="n">
        <v>46.1166666666667</v>
      </c>
      <c r="V154" s="213" t="n">
        <v>5.08333333333333</v>
      </c>
      <c r="W154" s="213" t="n">
        <v>5.3</v>
      </c>
      <c r="X154" s="204" t="n">
        <v>0.2</v>
      </c>
      <c r="Y154" s="204" t="n">
        <v>5.6</v>
      </c>
    </row>
    <row r="155" customFormat="false" ht="12.75" hidden="false" customHeight="false" outlineLevel="0" collapsed="false">
      <c r="A155" s="215" t="n">
        <v>40479</v>
      </c>
      <c r="B155" s="213" t="n">
        <v>42.3</v>
      </c>
      <c r="C155" s="213" t="n">
        <f aca="false">AVERAGEIFS($B$33:$B$1494,$A$33:$A$1494,A155)</f>
        <v>42.2</v>
      </c>
      <c r="D155" s="213" t="n">
        <v>43.5</v>
      </c>
      <c r="E155" s="213" t="n">
        <f aca="false">AVERAGEIFS($D$33:$D$1494,$A$33:$A$1494,A155)</f>
        <v>43.4333333333333</v>
      </c>
      <c r="F155" s="213" t="n">
        <v>8.2</v>
      </c>
      <c r="G155" s="213" t="n">
        <f aca="false">AVERAGEIFS($F$33:$F$1494,$A$33:$A$1494,A155)</f>
        <v>9.8</v>
      </c>
      <c r="H155" s="213" t="n">
        <v>10.4</v>
      </c>
      <c r="I155" s="213" t="n">
        <f aca="false">AVERAGEIFS($H$33:$H$1494,$A$33:$A$1494,A155)</f>
        <v>10.5</v>
      </c>
      <c r="L155" s="215" t="n">
        <v>40479</v>
      </c>
      <c r="M155" s="213" t="n">
        <v>42.2</v>
      </c>
      <c r="N155" s="213" t="n">
        <v>43.4333333333333</v>
      </c>
      <c r="O155" s="213" t="n">
        <v>9.8</v>
      </c>
      <c r="P155" s="213" t="n">
        <v>10.5</v>
      </c>
      <c r="S155" s="215" t="n">
        <v>40582</v>
      </c>
      <c r="T155" s="213" t="n">
        <v>48.25</v>
      </c>
      <c r="U155" s="213" t="n">
        <v>46.1166666666667</v>
      </c>
      <c r="V155" s="213" t="n">
        <v>6.05</v>
      </c>
      <c r="W155" s="213" t="n">
        <v>5.71666666666667</v>
      </c>
      <c r="X155" s="204" t="n">
        <v>0.2</v>
      </c>
      <c r="Y155" s="204" t="n">
        <v>7.2</v>
      </c>
    </row>
    <row r="156" customFormat="false" ht="12.75" hidden="false" customHeight="false" outlineLevel="0" collapsed="false">
      <c r="A156" s="215" t="n">
        <v>40479</v>
      </c>
      <c r="B156" s="213" t="n">
        <v>42.2</v>
      </c>
      <c r="C156" s="213" t="n">
        <f aca="false">AVERAGEIFS($B$33:$B$1494,$A$33:$A$1494,A156)</f>
        <v>42.2</v>
      </c>
      <c r="D156" s="213" t="n">
        <v>43.5</v>
      </c>
      <c r="E156" s="213" t="n">
        <f aca="false">AVERAGEIFS($D$33:$D$1494,$A$33:$A$1494,A156)</f>
        <v>43.4333333333333</v>
      </c>
      <c r="F156" s="213" t="n">
        <v>9.1</v>
      </c>
      <c r="G156" s="213" t="n">
        <f aca="false">AVERAGEIFS($F$33:$F$1494,$A$33:$A$1494,A156)</f>
        <v>9.8</v>
      </c>
      <c r="H156" s="213" t="n">
        <v>10.2</v>
      </c>
      <c r="I156" s="213" t="n">
        <f aca="false">AVERAGEIFS($H$33:$H$1494,$A$33:$A$1494,A156)</f>
        <v>10.5</v>
      </c>
      <c r="L156" s="215" t="n">
        <v>40479</v>
      </c>
      <c r="M156" s="213" t="n">
        <v>42.2</v>
      </c>
      <c r="N156" s="213" t="n">
        <v>43.4333333333333</v>
      </c>
      <c r="O156" s="213" t="n">
        <v>9.8</v>
      </c>
      <c r="P156" s="213" t="n">
        <v>10.5</v>
      </c>
      <c r="S156" s="215" t="n">
        <v>40583</v>
      </c>
      <c r="T156" s="213" t="n">
        <v>48.05</v>
      </c>
      <c r="U156" s="213" t="n">
        <v>45.9666666666667</v>
      </c>
      <c r="V156" s="213" t="n">
        <v>6.2</v>
      </c>
      <c r="W156" s="213" t="n">
        <v>5.95</v>
      </c>
      <c r="X156" s="204" t="n">
        <v>0.2</v>
      </c>
      <c r="Y156" s="204" t="n">
        <v>6.8</v>
      </c>
    </row>
    <row r="157" customFormat="false" ht="12.75" hidden="false" customHeight="false" outlineLevel="0" collapsed="false">
      <c r="A157" s="215" t="n">
        <v>40479</v>
      </c>
      <c r="B157" s="213" t="n">
        <v>42.1</v>
      </c>
      <c r="C157" s="213" t="n">
        <f aca="false">AVERAGEIFS($B$33:$B$1494,$A$33:$A$1494,A157)</f>
        <v>42.2</v>
      </c>
      <c r="D157" s="213" t="n">
        <v>43.4</v>
      </c>
      <c r="E157" s="213" t="n">
        <f aca="false">AVERAGEIFS($D$33:$D$1494,$A$33:$A$1494,A157)</f>
        <v>43.4333333333333</v>
      </c>
      <c r="F157" s="213" t="n">
        <v>11.9</v>
      </c>
      <c r="G157" s="213" t="n">
        <f aca="false">AVERAGEIFS($F$33:$F$1494,$A$33:$A$1494,A157)</f>
        <v>9.8</v>
      </c>
      <c r="H157" s="213" t="n">
        <v>10.3</v>
      </c>
      <c r="I157" s="213" t="n">
        <f aca="false">AVERAGEIFS($H$33:$H$1494,$A$33:$A$1494,A157)</f>
        <v>10.5</v>
      </c>
      <c r="L157" s="215" t="n">
        <v>40479</v>
      </c>
      <c r="M157" s="213" t="n">
        <v>42.2</v>
      </c>
      <c r="N157" s="213" t="n">
        <v>43.4333333333333</v>
      </c>
      <c r="O157" s="213" t="n">
        <v>9.8</v>
      </c>
      <c r="P157" s="213" t="n">
        <v>10.5</v>
      </c>
      <c r="S157" s="215" t="n">
        <v>40584</v>
      </c>
      <c r="T157" s="213" t="n">
        <v>47.8666666666667</v>
      </c>
      <c r="U157" s="213" t="n">
        <v>45.8666666666667</v>
      </c>
      <c r="V157" s="213" t="n">
        <v>6.3</v>
      </c>
      <c r="W157" s="213" t="n">
        <v>6.16666666666667</v>
      </c>
      <c r="X157" s="204" t="n">
        <v>0</v>
      </c>
      <c r="Y157" s="204" t="n">
        <v>6.1</v>
      </c>
    </row>
    <row r="158" customFormat="false" ht="12.75" hidden="false" customHeight="false" outlineLevel="0" collapsed="false">
      <c r="A158" s="215" t="n">
        <v>40479</v>
      </c>
      <c r="B158" s="213" t="n">
        <v>42</v>
      </c>
      <c r="C158" s="213" t="n">
        <f aca="false">AVERAGEIFS($B$33:$B$1494,$A$33:$A$1494,A158)</f>
        <v>42.2</v>
      </c>
      <c r="D158" s="213" t="n">
        <v>43.4</v>
      </c>
      <c r="E158" s="213" t="n">
        <f aca="false">AVERAGEIFS($D$33:$D$1494,$A$33:$A$1494,A158)</f>
        <v>43.4333333333333</v>
      </c>
      <c r="F158" s="213" t="n">
        <v>11.6</v>
      </c>
      <c r="G158" s="213" t="n">
        <f aca="false">AVERAGEIFS($F$33:$F$1494,$A$33:$A$1494,A158)</f>
        <v>9.8</v>
      </c>
      <c r="H158" s="213" t="n">
        <v>10.8</v>
      </c>
      <c r="I158" s="213" t="n">
        <f aca="false">AVERAGEIFS($H$33:$H$1494,$A$33:$A$1494,A158)</f>
        <v>10.5</v>
      </c>
      <c r="L158" s="215" t="n">
        <v>40479</v>
      </c>
      <c r="M158" s="213" t="n">
        <v>42.2</v>
      </c>
      <c r="N158" s="213" t="n">
        <v>43.4333333333333</v>
      </c>
      <c r="O158" s="213" t="n">
        <v>9.8</v>
      </c>
      <c r="P158" s="213" t="n">
        <v>10.5</v>
      </c>
      <c r="S158" s="215" t="n">
        <v>40585</v>
      </c>
      <c r="T158" s="213" t="n">
        <v>47.7333333333333</v>
      </c>
      <c r="U158" s="213" t="n">
        <v>45.7833333333333</v>
      </c>
      <c r="V158" s="213" t="n">
        <v>6.63333333333333</v>
      </c>
      <c r="W158" s="213" t="n">
        <v>6.31666666666667</v>
      </c>
      <c r="X158" s="204" t="n">
        <v>0</v>
      </c>
      <c r="Y158" s="204" t="n">
        <v>8.3</v>
      </c>
    </row>
    <row r="159" customFormat="false" ht="12.75" hidden="false" customHeight="false" outlineLevel="0" collapsed="false">
      <c r="A159" s="215" t="n">
        <v>40480</v>
      </c>
      <c r="B159" s="213" t="n">
        <v>42</v>
      </c>
      <c r="C159" s="213" t="n">
        <f aca="false">AVERAGEIFS($B$33:$B$1494,$A$33:$A$1494,A159)</f>
        <v>41.8666666666667</v>
      </c>
      <c r="D159" s="213" t="n">
        <v>43.4</v>
      </c>
      <c r="E159" s="213" t="n">
        <f aca="false">AVERAGEIFS($D$33:$D$1494,$A$33:$A$1494,A159)</f>
        <v>43.3166666666667</v>
      </c>
      <c r="F159" s="213" t="n">
        <v>10.4</v>
      </c>
      <c r="G159" s="213" t="n">
        <f aca="false">AVERAGEIFS($F$33:$F$1494,$A$33:$A$1494,A159)</f>
        <v>11.05</v>
      </c>
      <c r="H159" s="213" t="n">
        <v>11.1</v>
      </c>
      <c r="I159" s="213" t="n">
        <f aca="false">AVERAGEIFS($H$33:$H$1494,$A$33:$A$1494,A159)</f>
        <v>11.0833333333333</v>
      </c>
      <c r="L159" s="215" t="n">
        <v>40480</v>
      </c>
      <c r="M159" s="213" t="n">
        <v>41.8666666666667</v>
      </c>
      <c r="N159" s="213" t="n">
        <v>43.3166666666667</v>
      </c>
      <c r="O159" s="213" t="n">
        <v>11.05</v>
      </c>
      <c r="P159" s="213" t="n">
        <v>11.0833333333333</v>
      </c>
      <c r="S159" s="215" t="n">
        <v>40586</v>
      </c>
      <c r="T159" s="213" t="n">
        <v>47.5166666666667</v>
      </c>
      <c r="U159" s="213" t="n">
        <v>45.7</v>
      </c>
      <c r="V159" s="213" t="n">
        <v>6.86666666666667</v>
      </c>
      <c r="W159" s="213" t="n">
        <v>6.51666666666667</v>
      </c>
      <c r="X159" s="204" t="n">
        <v>1.2</v>
      </c>
      <c r="Y159" s="204" t="n">
        <v>7.2</v>
      </c>
    </row>
    <row r="160" customFormat="false" ht="12.75" hidden="false" customHeight="false" outlineLevel="0" collapsed="false">
      <c r="A160" s="215" t="n">
        <v>40480</v>
      </c>
      <c r="B160" s="213" t="n">
        <v>42</v>
      </c>
      <c r="C160" s="213" t="n">
        <f aca="false">AVERAGEIFS($B$33:$B$1494,$A$33:$A$1494,A160)</f>
        <v>41.8666666666667</v>
      </c>
      <c r="D160" s="213" t="n">
        <v>43.4</v>
      </c>
      <c r="E160" s="213" t="n">
        <f aca="false">AVERAGEIFS($D$33:$D$1494,$A$33:$A$1494,A160)</f>
        <v>43.3166666666667</v>
      </c>
      <c r="F160" s="213" t="n">
        <v>9.8</v>
      </c>
      <c r="G160" s="213" t="n">
        <f aca="false">AVERAGEIFS($F$33:$F$1494,$A$33:$A$1494,A160)</f>
        <v>11.05</v>
      </c>
      <c r="H160" s="213" t="n">
        <v>11</v>
      </c>
      <c r="I160" s="213" t="n">
        <f aca="false">AVERAGEIFS($H$33:$H$1494,$A$33:$A$1494,A160)</f>
        <v>11.0833333333333</v>
      </c>
      <c r="L160" s="215" t="n">
        <v>40480</v>
      </c>
      <c r="M160" s="213" t="n">
        <v>41.8666666666667</v>
      </c>
      <c r="N160" s="213" t="n">
        <v>43.3166666666667</v>
      </c>
      <c r="O160" s="213" t="n">
        <v>11.05</v>
      </c>
      <c r="P160" s="213" t="n">
        <v>11.0833333333333</v>
      </c>
      <c r="S160" s="215" t="n">
        <v>40587</v>
      </c>
      <c r="T160" s="213" t="n">
        <v>47.2666666666667</v>
      </c>
      <c r="U160" s="213" t="n">
        <v>45.6666666666667</v>
      </c>
      <c r="V160" s="213" t="n">
        <v>7.11666666666667</v>
      </c>
      <c r="W160" s="213" t="n">
        <v>6.78333333333333</v>
      </c>
      <c r="X160" s="204" t="n">
        <v>0.2</v>
      </c>
      <c r="Y160" s="204" t="n">
        <v>7</v>
      </c>
    </row>
    <row r="161" customFormat="false" ht="12.75" hidden="false" customHeight="false" outlineLevel="0" collapsed="false">
      <c r="A161" s="215" t="n">
        <v>40480</v>
      </c>
      <c r="B161" s="213" t="n">
        <v>41.9</v>
      </c>
      <c r="C161" s="213" t="n">
        <f aca="false">AVERAGEIFS($B$33:$B$1494,$A$33:$A$1494,A161)</f>
        <v>41.8666666666667</v>
      </c>
      <c r="D161" s="213" t="n">
        <v>43.3</v>
      </c>
      <c r="E161" s="213" t="n">
        <f aca="false">AVERAGEIFS($D$33:$D$1494,$A$33:$A$1494,A161)</f>
        <v>43.3166666666667</v>
      </c>
      <c r="F161" s="213" t="n">
        <v>10</v>
      </c>
      <c r="G161" s="213" t="n">
        <f aca="false">AVERAGEIFS($F$33:$F$1494,$A$33:$A$1494,A161)</f>
        <v>11.05</v>
      </c>
      <c r="H161" s="213" t="n">
        <v>10.9</v>
      </c>
      <c r="I161" s="213" t="n">
        <f aca="false">AVERAGEIFS($H$33:$H$1494,$A$33:$A$1494,A161)</f>
        <v>11.0833333333333</v>
      </c>
      <c r="L161" s="215" t="n">
        <v>40480</v>
      </c>
      <c r="M161" s="213" t="n">
        <v>41.8666666666667</v>
      </c>
      <c r="N161" s="213" t="n">
        <v>43.3166666666667</v>
      </c>
      <c r="O161" s="213" t="n">
        <v>11.05</v>
      </c>
      <c r="P161" s="213" t="n">
        <v>11.0833333333333</v>
      </c>
      <c r="S161" s="215" t="n">
        <v>40588</v>
      </c>
      <c r="T161" s="213" t="n">
        <v>47.2333333333333</v>
      </c>
      <c r="U161" s="213" t="n">
        <v>45.6</v>
      </c>
      <c r="V161" s="213" t="n">
        <v>7.3</v>
      </c>
      <c r="W161" s="213" t="n">
        <v>6.91666666666667</v>
      </c>
      <c r="X161" s="204" t="n">
        <v>0.6</v>
      </c>
      <c r="Y161" s="204" t="n">
        <v>7.4</v>
      </c>
    </row>
    <row r="162" customFormat="false" ht="12.75" hidden="false" customHeight="false" outlineLevel="0" collapsed="false">
      <c r="A162" s="215" t="n">
        <v>40480</v>
      </c>
      <c r="B162" s="213" t="n">
        <v>41.9</v>
      </c>
      <c r="C162" s="213" t="n">
        <f aca="false">AVERAGEIFS($B$33:$B$1494,$A$33:$A$1494,A162)</f>
        <v>41.8666666666667</v>
      </c>
      <c r="D162" s="213" t="n">
        <v>43.3</v>
      </c>
      <c r="E162" s="213" t="n">
        <f aca="false">AVERAGEIFS($D$33:$D$1494,$A$33:$A$1494,A162)</f>
        <v>43.3166666666667</v>
      </c>
      <c r="F162" s="213" t="n">
        <v>11.1</v>
      </c>
      <c r="G162" s="213" t="n">
        <f aca="false">AVERAGEIFS($F$33:$F$1494,$A$33:$A$1494,A162)</f>
        <v>11.05</v>
      </c>
      <c r="H162" s="213" t="n">
        <v>10.9</v>
      </c>
      <c r="I162" s="213" t="n">
        <f aca="false">AVERAGEIFS($H$33:$H$1494,$A$33:$A$1494,A162)</f>
        <v>11.0833333333333</v>
      </c>
      <c r="L162" s="215" t="n">
        <v>40480</v>
      </c>
      <c r="M162" s="213" t="n">
        <v>41.8666666666667</v>
      </c>
      <c r="N162" s="213" t="n">
        <v>43.3166666666667</v>
      </c>
      <c r="O162" s="213" t="n">
        <v>11.05</v>
      </c>
      <c r="P162" s="213" t="n">
        <v>11.0833333333333</v>
      </c>
      <c r="S162" s="215" t="n">
        <v>40589</v>
      </c>
      <c r="T162" s="213" t="n">
        <v>47.0333333333333</v>
      </c>
      <c r="U162" s="213" t="n">
        <v>45.5666666666667</v>
      </c>
      <c r="V162" s="213" t="n">
        <v>7.03333333333333</v>
      </c>
      <c r="W162" s="213" t="n">
        <v>6.83333333333333</v>
      </c>
      <c r="X162" s="204" t="n">
        <v>0.2</v>
      </c>
      <c r="Y162" s="204" t="n">
        <v>9.4</v>
      </c>
    </row>
    <row r="163" customFormat="false" ht="12.75" hidden="false" customHeight="false" outlineLevel="0" collapsed="false">
      <c r="A163" s="215" t="n">
        <v>40480</v>
      </c>
      <c r="B163" s="213" t="n">
        <v>41.7</v>
      </c>
      <c r="C163" s="213" t="n">
        <f aca="false">AVERAGEIFS($B$33:$B$1494,$A$33:$A$1494,A163)</f>
        <v>41.8666666666667</v>
      </c>
      <c r="D163" s="213" t="n">
        <v>43.3</v>
      </c>
      <c r="E163" s="213" t="n">
        <f aca="false">AVERAGEIFS($D$33:$D$1494,$A$33:$A$1494,A163)</f>
        <v>43.3166666666667</v>
      </c>
      <c r="F163" s="213" t="n">
        <v>12.5</v>
      </c>
      <c r="G163" s="213" t="n">
        <f aca="false">AVERAGEIFS($F$33:$F$1494,$A$33:$A$1494,A163)</f>
        <v>11.05</v>
      </c>
      <c r="H163" s="213" t="n">
        <v>11.1</v>
      </c>
      <c r="I163" s="213" t="n">
        <f aca="false">AVERAGEIFS($H$33:$H$1494,$A$33:$A$1494,A163)</f>
        <v>11.0833333333333</v>
      </c>
      <c r="L163" s="215" t="n">
        <v>40480</v>
      </c>
      <c r="M163" s="213" t="n">
        <v>41.8666666666667</v>
      </c>
      <c r="N163" s="213" t="n">
        <v>43.3166666666667</v>
      </c>
      <c r="O163" s="213" t="n">
        <v>11.05</v>
      </c>
      <c r="P163" s="213" t="n">
        <v>11.0833333333333</v>
      </c>
      <c r="S163" s="215" t="n">
        <v>40590</v>
      </c>
      <c r="T163" s="213" t="n">
        <v>46.8666666666667</v>
      </c>
      <c r="U163" s="213" t="n">
        <v>45.4666666666667</v>
      </c>
      <c r="V163" s="213" t="n">
        <v>7.6</v>
      </c>
      <c r="W163" s="213" t="n">
        <v>7.15</v>
      </c>
      <c r="X163" s="204" t="n">
        <v>0</v>
      </c>
      <c r="Y163" s="204" t="n">
        <v>9</v>
      </c>
    </row>
    <row r="164" customFormat="false" ht="12.75" hidden="false" customHeight="false" outlineLevel="0" collapsed="false">
      <c r="A164" s="215" t="n">
        <v>40480</v>
      </c>
      <c r="B164" s="213" t="n">
        <v>41.7</v>
      </c>
      <c r="C164" s="213" t="n">
        <f aca="false">AVERAGEIFS($B$33:$B$1494,$A$33:$A$1494,A164)</f>
        <v>41.8666666666667</v>
      </c>
      <c r="D164" s="213" t="n">
        <v>43.2</v>
      </c>
      <c r="E164" s="213" t="n">
        <f aca="false">AVERAGEIFS($D$33:$D$1494,$A$33:$A$1494,A164)</f>
        <v>43.3166666666667</v>
      </c>
      <c r="F164" s="213" t="n">
        <v>12.5</v>
      </c>
      <c r="G164" s="213" t="n">
        <f aca="false">AVERAGEIFS($F$33:$F$1494,$A$33:$A$1494,A164)</f>
        <v>11.05</v>
      </c>
      <c r="H164" s="213" t="n">
        <v>11.5</v>
      </c>
      <c r="I164" s="213" t="n">
        <f aca="false">AVERAGEIFS($H$33:$H$1494,$A$33:$A$1494,A164)</f>
        <v>11.0833333333333</v>
      </c>
      <c r="L164" s="215" t="n">
        <v>40480</v>
      </c>
      <c r="M164" s="213" t="n">
        <v>41.8666666666667</v>
      </c>
      <c r="N164" s="213" t="n">
        <v>43.3166666666667</v>
      </c>
      <c r="O164" s="213" t="n">
        <v>11.05</v>
      </c>
      <c r="P164" s="213" t="n">
        <v>11.0833333333333</v>
      </c>
      <c r="S164" s="215" t="n">
        <v>40591</v>
      </c>
      <c r="T164" s="213" t="n">
        <v>46.7666666666667</v>
      </c>
      <c r="U164" s="213" t="n">
        <v>45.4</v>
      </c>
      <c r="V164" s="213" t="n">
        <v>7.41666666666667</v>
      </c>
      <c r="W164" s="213" t="n">
        <v>7.21666666666667</v>
      </c>
      <c r="X164" s="204" t="n">
        <v>0</v>
      </c>
      <c r="Y164" s="204" t="n">
        <v>7.7</v>
      </c>
    </row>
    <row r="165" customFormat="false" ht="12.75" hidden="false" customHeight="false" outlineLevel="0" collapsed="false">
      <c r="A165" s="215" t="n">
        <v>40481</v>
      </c>
      <c r="B165" s="213" t="n">
        <v>41.6</v>
      </c>
      <c r="C165" s="213" t="n">
        <f aca="false">AVERAGEIFS($B$33:$B$1494,$A$33:$A$1494,A165)</f>
        <v>41.5166666666667</v>
      </c>
      <c r="D165" s="213" t="n">
        <v>43.2</v>
      </c>
      <c r="E165" s="213" t="n">
        <f aca="false">AVERAGEIFS($D$33:$D$1494,$A$33:$A$1494,A165)</f>
        <v>43.2333333333333</v>
      </c>
      <c r="F165" s="213" t="n">
        <v>12.4</v>
      </c>
      <c r="G165" s="213" t="n">
        <f aca="false">AVERAGEIFS($F$33:$F$1494,$A$33:$A$1494,A165)</f>
        <v>12.35</v>
      </c>
      <c r="H165" s="213" t="n">
        <v>11.7</v>
      </c>
      <c r="I165" s="213" t="n">
        <f aca="false">AVERAGEIFS($H$33:$H$1494,$A$33:$A$1494,A165)</f>
        <v>11.9166666666667</v>
      </c>
      <c r="L165" s="215" t="n">
        <v>40481</v>
      </c>
      <c r="M165" s="213" t="n">
        <v>41.5166666666667</v>
      </c>
      <c r="N165" s="213" t="n">
        <v>43.2333333333333</v>
      </c>
      <c r="O165" s="213" t="n">
        <v>12.35</v>
      </c>
      <c r="P165" s="213" t="n">
        <v>11.9166666666667</v>
      </c>
      <c r="S165" s="215" t="n">
        <v>40592</v>
      </c>
      <c r="T165" s="213" t="n">
        <v>46.6166666666667</v>
      </c>
      <c r="U165" s="213" t="n">
        <v>45.4166666666667</v>
      </c>
      <c r="V165" s="213" t="n">
        <v>7.86666666666667</v>
      </c>
      <c r="W165" s="213" t="n">
        <v>7.31666666666667</v>
      </c>
      <c r="X165" s="204" t="n">
        <v>0</v>
      </c>
      <c r="Y165" s="204" t="n">
        <v>9.1</v>
      </c>
    </row>
    <row r="166" customFormat="false" ht="12.75" hidden="false" customHeight="false" outlineLevel="0" collapsed="false">
      <c r="A166" s="215" t="n">
        <v>40481</v>
      </c>
      <c r="B166" s="213" t="n">
        <v>41.6</v>
      </c>
      <c r="C166" s="213" t="n">
        <f aca="false">AVERAGEIFS($B$33:$B$1494,$A$33:$A$1494,A166)</f>
        <v>41.5166666666667</v>
      </c>
      <c r="D166" s="213" t="n">
        <v>43.2</v>
      </c>
      <c r="E166" s="213" t="n">
        <f aca="false">AVERAGEIFS($D$33:$D$1494,$A$33:$A$1494,A166)</f>
        <v>43.2333333333333</v>
      </c>
      <c r="F166" s="213" t="n">
        <v>12.3</v>
      </c>
      <c r="G166" s="213" t="n">
        <f aca="false">AVERAGEIFS($F$33:$F$1494,$A$33:$A$1494,A166)</f>
        <v>12.35</v>
      </c>
      <c r="H166" s="213" t="n">
        <v>11.9</v>
      </c>
      <c r="I166" s="213" t="n">
        <f aca="false">AVERAGEIFS($H$33:$H$1494,$A$33:$A$1494,A166)</f>
        <v>11.9166666666667</v>
      </c>
      <c r="L166" s="215" t="n">
        <v>40481</v>
      </c>
      <c r="M166" s="213" t="n">
        <v>41.5166666666667</v>
      </c>
      <c r="N166" s="213" t="n">
        <v>43.2333333333333</v>
      </c>
      <c r="O166" s="213" t="n">
        <v>12.35</v>
      </c>
      <c r="P166" s="213" t="n">
        <v>11.9166666666667</v>
      </c>
      <c r="S166" s="215" t="n">
        <v>40593</v>
      </c>
      <c r="T166" s="213" t="n">
        <v>46.5333333333333</v>
      </c>
      <c r="U166" s="213" t="n">
        <v>45.2</v>
      </c>
      <c r="V166" s="213" t="n">
        <v>7.06666666666667</v>
      </c>
      <c r="W166" s="213" t="n">
        <v>7.23333333333333</v>
      </c>
      <c r="X166" s="204" t="n">
        <v>3.8</v>
      </c>
      <c r="Y166" s="204" t="n">
        <v>7.3</v>
      </c>
    </row>
    <row r="167" customFormat="false" ht="12.75" hidden="false" customHeight="false" outlineLevel="0" collapsed="false">
      <c r="A167" s="215" t="n">
        <v>40481</v>
      </c>
      <c r="B167" s="213" t="n">
        <v>41.6</v>
      </c>
      <c r="C167" s="213" t="n">
        <f aca="false">AVERAGEIFS($B$33:$B$1494,$A$33:$A$1494,A167)</f>
        <v>41.5166666666667</v>
      </c>
      <c r="D167" s="213" t="n">
        <v>43.5</v>
      </c>
      <c r="E167" s="213" t="n">
        <f aca="false">AVERAGEIFS($D$33:$D$1494,$A$33:$A$1494,A167)</f>
        <v>43.2333333333333</v>
      </c>
      <c r="F167" s="213" t="n">
        <v>11.8</v>
      </c>
      <c r="G167" s="213" t="n">
        <f aca="false">AVERAGEIFS($F$33:$F$1494,$A$33:$A$1494,A167)</f>
        <v>12.35</v>
      </c>
      <c r="H167" s="213" t="n">
        <v>11.9</v>
      </c>
      <c r="I167" s="213" t="n">
        <f aca="false">AVERAGEIFS($H$33:$H$1494,$A$33:$A$1494,A167)</f>
        <v>11.9166666666667</v>
      </c>
      <c r="L167" s="215" t="n">
        <v>40481</v>
      </c>
      <c r="M167" s="213" t="n">
        <v>41.5166666666667</v>
      </c>
      <c r="N167" s="213" t="n">
        <v>43.2333333333333</v>
      </c>
      <c r="O167" s="213" t="n">
        <v>12.35</v>
      </c>
      <c r="P167" s="213" t="n">
        <v>11.9166666666667</v>
      </c>
      <c r="S167" s="215" t="n">
        <v>40594</v>
      </c>
      <c r="T167" s="213" t="n">
        <v>46.4333333333333</v>
      </c>
      <c r="U167" s="213" t="n">
        <v>45.1333333333333</v>
      </c>
      <c r="V167" s="213" t="n">
        <v>8.2</v>
      </c>
      <c r="W167" s="213" t="n">
        <v>7.48333333333333</v>
      </c>
      <c r="X167" s="204" t="n">
        <v>0</v>
      </c>
      <c r="Y167" s="204" t="n">
        <v>9</v>
      </c>
    </row>
    <row r="168" customFormat="false" ht="12.75" hidden="false" customHeight="false" outlineLevel="0" collapsed="false">
      <c r="A168" s="215" t="n">
        <v>40481</v>
      </c>
      <c r="B168" s="213" t="n">
        <v>41.5</v>
      </c>
      <c r="C168" s="213" t="n">
        <f aca="false">AVERAGEIFS($B$33:$B$1494,$A$33:$A$1494,A168)</f>
        <v>41.5166666666667</v>
      </c>
      <c r="D168" s="213" t="n">
        <v>43.2</v>
      </c>
      <c r="E168" s="213" t="n">
        <f aca="false">AVERAGEIFS($D$33:$D$1494,$A$33:$A$1494,A168)</f>
        <v>43.2333333333333</v>
      </c>
      <c r="F168" s="213" t="n">
        <v>11.9</v>
      </c>
      <c r="G168" s="213" t="n">
        <f aca="false">AVERAGEIFS($F$33:$F$1494,$A$33:$A$1494,A168)</f>
        <v>12.35</v>
      </c>
      <c r="H168" s="213" t="n">
        <v>11.9</v>
      </c>
      <c r="I168" s="213" t="n">
        <f aca="false">AVERAGEIFS($H$33:$H$1494,$A$33:$A$1494,A168)</f>
        <v>11.9166666666667</v>
      </c>
      <c r="L168" s="215" t="n">
        <v>40481</v>
      </c>
      <c r="M168" s="213" t="n">
        <v>41.5166666666667</v>
      </c>
      <c r="N168" s="213" t="n">
        <v>43.2333333333333</v>
      </c>
      <c r="O168" s="213" t="n">
        <v>12.35</v>
      </c>
      <c r="P168" s="213" t="n">
        <v>11.9166666666667</v>
      </c>
      <c r="S168" s="215" t="n">
        <v>40595</v>
      </c>
      <c r="T168" s="213" t="n">
        <v>48.5833333333333</v>
      </c>
      <c r="U168" s="213" t="n">
        <v>45.1</v>
      </c>
      <c r="V168" s="213" t="n">
        <v>7.76666666666667</v>
      </c>
      <c r="W168" s="213" t="n">
        <v>7.6</v>
      </c>
      <c r="X168" s="204" t="n">
        <v>10.7</v>
      </c>
      <c r="Y168" s="204" t="n">
        <v>9.2</v>
      </c>
    </row>
    <row r="169" customFormat="false" ht="12.75" hidden="false" customHeight="false" outlineLevel="0" collapsed="false">
      <c r="A169" s="215" t="n">
        <v>40481</v>
      </c>
      <c r="B169" s="213" t="n">
        <v>41.4</v>
      </c>
      <c r="C169" s="213" t="n">
        <f aca="false">AVERAGEIFS($B$33:$B$1494,$A$33:$A$1494,A169)</f>
        <v>41.5166666666667</v>
      </c>
      <c r="D169" s="213" t="n">
        <v>43.1</v>
      </c>
      <c r="E169" s="213" t="n">
        <f aca="false">AVERAGEIFS($D$33:$D$1494,$A$33:$A$1494,A169)</f>
        <v>43.2333333333333</v>
      </c>
      <c r="F169" s="213" t="n">
        <v>13</v>
      </c>
      <c r="G169" s="213" t="n">
        <f aca="false">AVERAGEIFS($F$33:$F$1494,$A$33:$A$1494,A169)</f>
        <v>12.35</v>
      </c>
      <c r="H169" s="213" t="n">
        <v>11.9</v>
      </c>
      <c r="I169" s="213" t="n">
        <f aca="false">AVERAGEIFS($H$33:$H$1494,$A$33:$A$1494,A169)</f>
        <v>11.9166666666667</v>
      </c>
      <c r="L169" s="215" t="n">
        <v>40481</v>
      </c>
      <c r="M169" s="213" t="n">
        <v>41.5166666666667</v>
      </c>
      <c r="N169" s="213" t="n">
        <v>43.2333333333333</v>
      </c>
      <c r="O169" s="213" t="n">
        <v>12.35</v>
      </c>
      <c r="P169" s="213" t="n">
        <v>11.9166666666667</v>
      </c>
      <c r="S169" s="215" t="n">
        <v>40596</v>
      </c>
      <c r="T169" s="213" t="n">
        <v>61.0833333333333</v>
      </c>
      <c r="U169" s="213" t="n">
        <v>45.5666666666667</v>
      </c>
      <c r="V169" s="213" t="n">
        <v>8.5</v>
      </c>
      <c r="W169" s="213" t="n">
        <v>7.85</v>
      </c>
      <c r="X169" s="204" t="n">
        <v>3.2</v>
      </c>
      <c r="Y169" s="204" t="n">
        <v>8.5</v>
      </c>
    </row>
    <row r="170" customFormat="false" ht="12.75" hidden="false" customHeight="false" outlineLevel="0" collapsed="false">
      <c r="A170" s="215" t="n">
        <v>40481</v>
      </c>
      <c r="B170" s="213" t="n">
        <v>41.4</v>
      </c>
      <c r="C170" s="213" t="n">
        <f aca="false">AVERAGEIFS($B$33:$B$1494,$A$33:$A$1494,A170)</f>
        <v>41.5166666666667</v>
      </c>
      <c r="D170" s="213" t="n">
        <v>43.2</v>
      </c>
      <c r="E170" s="213" t="n">
        <f aca="false">AVERAGEIFS($D$33:$D$1494,$A$33:$A$1494,A170)</f>
        <v>43.2333333333333</v>
      </c>
      <c r="F170" s="213" t="n">
        <v>12.7</v>
      </c>
      <c r="G170" s="213" t="n">
        <f aca="false">AVERAGEIFS($F$33:$F$1494,$A$33:$A$1494,A170)</f>
        <v>12.35</v>
      </c>
      <c r="H170" s="213" t="n">
        <v>12.2</v>
      </c>
      <c r="I170" s="213" t="n">
        <f aca="false">AVERAGEIFS($H$33:$H$1494,$A$33:$A$1494,A170)</f>
        <v>11.9166666666667</v>
      </c>
      <c r="L170" s="215" t="n">
        <v>40481</v>
      </c>
      <c r="M170" s="213" t="n">
        <v>41.5166666666667</v>
      </c>
      <c r="N170" s="213" t="n">
        <v>43.2333333333333</v>
      </c>
      <c r="O170" s="213" t="n">
        <v>12.35</v>
      </c>
      <c r="P170" s="213" t="n">
        <v>11.9166666666667</v>
      </c>
      <c r="S170" s="215" t="n">
        <v>40597</v>
      </c>
      <c r="T170" s="213" t="n">
        <v>54.3</v>
      </c>
      <c r="U170" s="213" t="n">
        <v>45.95</v>
      </c>
      <c r="V170" s="213" t="n">
        <v>8.1</v>
      </c>
      <c r="W170" s="213" t="n">
        <v>7.78333333333333</v>
      </c>
      <c r="X170" s="204" t="n">
        <v>2.6</v>
      </c>
      <c r="Y170" s="204" t="n">
        <v>9</v>
      </c>
    </row>
    <row r="171" customFormat="false" ht="12.75" hidden="false" customHeight="false" outlineLevel="0" collapsed="false">
      <c r="A171" s="215" t="n">
        <v>40482</v>
      </c>
      <c r="B171" s="213" t="n">
        <v>41.4</v>
      </c>
      <c r="C171" s="213" t="n">
        <f aca="false">AVERAGEIFS($B$33:$B$1494,$A$33:$A$1494,A171)</f>
        <v>41.3833333333333</v>
      </c>
      <c r="D171" s="213" t="n">
        <v>43.1</v>
      </c>
      <c r="E171" s="213" t="n">
        <f aca="false">AVERAGEIFS($D$33:$D$1494,$A$33:$A$1494,A171)</f>
        <v>43.0333333333333</v>
      </c>
      <c r="F171" s="213" t="n">
        <v>12</v>
      </c>
      <c r="G171" s="213" t="n">
        <f aca="false">AVERAGEIFS($F$33:$F$1494,$A$33:$A$1494,A171)</f>
        <v>11.4666666666667</v>
      </c>
      <c r="H171" s="213" t="n">
        <v>12.2</v>
      </c>
      <c r="I171" s="213" t="n">
        <f aca="false">AVERAGEIFS($H$33:$H$1494,$A$33:$A$1494,A171)</f>
        <v>11.9333333333333</v>
      </c>
      <c r="L171" s="215" t="n">
        <v>40482</v>
      </c>
      <c r="M171" s="213" t="n">
        <v>41.3833333333333</v>
      </c>
      <c r="N171" s="213" t="n">
        <v>43.0333333333333</v>
      </c>
      <c r="O171" s="213" t="n">
        <v>11.4666666666667</v>
      </c>
      <c r="P171" s="213" t="n">
        <v>11.9333333333333</v>
      </c>
      <c r="S171" s="215" t="n">
        <v>40598</v>
      </c>
      <c r="T171" s="213" t="n">
        <v>59.7833333333333</v>
      </c>
      <c r="U171" s="213" t="n">
        <v>46.1666666666667</v>
      </c>
      <c r="V171" s="213" t="n">
        <v>9.15</v>
      </c>
      <c r="W171" s="213" t="n">
        <v>8.16666666666667</v>
      </c>
      <c r="X171" s="204" t="n">
        <v>0.6</v>
      </c>
      <c r="Y171" s="204" t="n">
        <v>11.1</v>
      </c>
    </row>
    <row r="172" customFormat="false" ht="12.75" hidden="false" customHeight="false" outlineLevel="0" collapsed="false">
      <c r="A172" s="215" t="n">
        <v>40482</v>
      </c>
      <c r="B172" s="213" t="n">
        <v>41.4</v>
      </c>
      <c r="C172" s="213" t="n">
        <f aca="false">AVERAGEIFS($B$33:$B$1494,$A$33:$A$1494,A172)</f>
        <v>41.3833333333333</v>
      </c>
      <c r="D172" s="213" t="n">
        <v>43.1</v>
      </c>
      <c r="E172" s="213" t="n">
        <f aca="false">AVERAGEIFS($D$33:$D$1494,$A$33:$A$1494,A172)</f>
        <v>43.0333333333333</v>
      </c>
      <c r="F172" s="213" t="n">
        <v>11.3</v>
      </c>
      <c r="G172" s="213" t="n">
        <f aca="false">AVERAGEIFS($F$33:$F$1494,$A$33:$A$1494,A172)</f>
        <v>11.4666666666667</v>
      </c>
      <c r="H172" s="213" t="n">
        <v>12.1</v>
      </c>
      <c r="I172" s="213" t="n">
        <f aca="false">AVERAGEIFS($H$33:$H$1494,$A$33:$A$1494,A172)</f>
        <v>11.9333333333333</v>
      </c>
      <c r="L172" s="215" t="n">
        <v>40482</v>
      </c>
      <c r="M172" s="213" t="n">
        <v>41.3833333333333</v>
      </c>
      <c r="N172" s="213" t="n">
        <v>43.0333333333333</v>
      </c>
      <c r="O172" s="213" t="n">
        <v>11.4666666666667</v>
      </c>
      <c r="P172" s="213" t="n">
        <v>11.9333333333333</v>
      </c>
      <c r="S172" s="215" t="n">
        <v>40599</v>
      </c>
      <c r="T172" s="213" t="n">
        <v>51.7166666666667</v>
      </c>
      <c r="U172" s="213" t="n">
        <v>46.2833333333333</v>
      </c>
      <c r="V172" s="213" t="n">
        <v>9.75</v>
      </c>
      <c r="W172" s="213" t="n">
        <v>8.73333333333333</v>
      </c>
      <c r="X172" s="204" t="n">
        <v>0</v>
      </c>
      <c r="Y172" s="204" t="n">
        <v>10.7</v>
      </c>
    </row>
    <row r="173" customFormat="false" ht="12.75" hidden="false" customHeight="false" outlineLevel="0" collapsed="false">
      <c r="A173" s="215" t="n">
        <v>40482</v>
      </c>
      <c r="B173" s="213" t="n">
        <v>41.4</v>
      </c>
      <c r="C173" s="213" t="n">
        <f aca="false">AVERAGEIFS($B$33:$B$1494,$A$33:$A$1494,A173)</f>
        <v>41.3833333333333</v>
      </c>
      <c r="D173" s="213" t="n">
        <v>43</v>
      </c>
      <c r="E173" s="213" t="n">
        <f aca="false">AVERAGEIFS($D$33:$D$1494,$A$33:$A$1494,A173)</f>
        <v>43.0333333333333</v>
      </c>
      <c r="F173" s="213" t="n">
        <v>10.8</v>
      </c>
      <c r="G173" s="213" t="n">
        <f aca="false">AVERAGEIFS($F$33:$F$1494,$A$33:$A$1494,A173)</f>
        <v>11.4666666666667</v>
      </c>
      <c r="H173" s="213" t="n">
        <v>12</v>
      </c>
      <c r="I173" s="213" t="n">
        <f aca="false">AVERAGEIFS($H$33:$H$1494,$A$33:$A$1494,A173)</f>
        <v>11.9333333333333</v>
      </c>
      <c r="L173" s="215" t="n">
        <v>40482</v>
      </c>
      <c r="M173" s="213" t="n">
        <v>41.3833333333333</v>
      </c>
      <c r="N173" s="213" t="n">
        <v>43.0333333333333</v>
      </c>
      <c r="O173" s="213" t="n">
        <v>11.4666666666667</v>
      </c>
      <c r="P173" s="213" t="n">
        <v>11.9333333333333</v>
      </c>
      <c r="S173" s="215" t="n">
        <v>40600</v>
      </c>
      <c r="T173" s="213" t="n">
        <v>50.0833333333333</v>
      </c>
      <c r="U173" s="213" t="n">
        <v>46.2</v>
      </c>
      <c r="V173" s="213" t="n">
        <v>8.78333333333333</v>
      </c>
      <c r="W173" s="213" t="n">
        <v>8.66666666666667</v>
      </c>
      <c r="X173" s="204" t="n">
        <v>4</v>
      </c>
      <c r="Y173" s="204" t="n">
        <v>9.3</v>
      </c>
    </row>
    <row r="174" customFormat="false" ht="12.75" hidden="false" customHeight="false" outlineLevel="0" collapsed="false">
      <c r="A174" s="215" t="n">
        <v>40482</v>
      </c>
      <c r="B174" s="213" t="n">
        <v>41.5</v>
      </c>
      <c r="C174" s="213" t="n">
        <f aca="false">AVERAGEIFS($B$33:$B$1494,$A$33:$A$1494,A174)</f>
        <v>41.3833333333333</v>
      </c>
      <c r="D174" s="213" t="n">
        <v>43</v>
      </c>
      <c r="E174" s="213" t="n">
        <f aca="false">AVERAGEIFS($D$33:$D$1494,$A$33:$A$1494,A174)</f>
        <v>43.0333333333333</v>
      </c>
      <c r="F174" s="213" t="n">
        <v>11.1</v>
      </c>
      <c r="G174" s="213" t="n">
        <f aca="false">AVERAGEIFS($F$33:$F$1494,$A$33:$A$1494,A174)</f>
        <v>11.4666666666667</v>
      </c>
      <c r="H174" s="213" t="n">
        <v>11.8</v>
      </c>
      <c r="I174" s="213" t="n">
        <f aca="false">AVERAGEIFS($H$33:$H$1494,$A$33:$A$1494,A174)</f>
        <v>11.9333333333333</v>
      </c>
      <c r="L174" s="215" t="n">
        <v>40482</v>
      </c>
      <c r="M174" s="213" t="n">
        <v>41.3833333333333</v>
      </c>
      <c r="N174" s="213" t="n">
        <v>43.0333333333333</v>
      </c>
      <c r="O174" s="213" t="n">
        <v>11.4666666666667</v>
      </c>
      <c r="P174" s="213" t="n">
        <v>11.9333333333333</v>
      </c>
      <c r="S174" s="215" t="n">
        <v>40601</v>
      </c>
      <c r="T174" s="213" t="n">
        <v>53.75</v>
      </c>
      <c r="U174" s="213" t="n">
        <v>46.0833333333333</v>
      </c>
      <c r="V174" s="213" t="n">
        <v>8.48333333333333</v>
      </c>
      <c r="W174" s="213" t="n">
        <v>8.43333333333334</v>
      </c>
      <c r="X174" s="204" t="n">
        <v>2</v>
      </c>
      <c r="Y174" s="204" t="n">
        <v>7.2</v>
      </c>
    </row>
    <row r="175" customFormat="false" ht="12.75" hidden="false" customHeight="false" outlineLevel="0" collapsed="false">
      <c r="A175" s="215" t="n">
        <v>40482</v>
      </c>
      <c r="B175" s="213" t="n">
        <v>41.3</v>
      </c>
      <c r="C175" s="213" t="n">
        <f aca="false">AVERAGEIFS($B$33:$B$1494,$A$33:$A$1494,A175)</f>
        <v>41.3833333333333</v>
      </c>
      <c r="D175" s="213" t="n">
        <v>43</v>
      </c>
      <c r="E175" s="213" t="n">
        <f aca="false">AVERAGEIFS($D$33:$D$1494,$A$33:$A$1494,A175)</f>
        <v>43.0333333333333</v>
      </c>
      <c r="F175" s="213" t="n">
        <v>11.8</v>
      </c>
      <c r="G175" s="213" t="n">
        <f aca="false">AVERAGEIFS($F$33:$F$1494,$A$33:$A$1494,A175)</f>
        <v>11.4666666666667</v>
      </c>
      <c r="H175" s="213" t="n">
        <v>11.7</v>
      </c>
      <c r="I175" s="213" t="n">
        <f aca="false">AVERAGEIFS($H$33:$H$1494,$A$33:$A$1494,A175)</f>
        <v>11.9333333333333</v>
      </c>
      <c r="L175" s="215" t="n">
        <v>40482</v>
      </c>
      <c r="M175" s="213" t="n">
        <v>41.3833333333333</v>
      </c>
      <c r="N175" s="213" t="n">
        <v>43.0333333333333</v>
      </c>
      <c r="O175" s="213" t="n">
        <v>11.4666666666667</v>
      </c>
      <c r="P175" s="213" t="n">
        <v>11.9333333333333</v>
      </c>
      <c r="S175" s="215" t="n">
        <v>40602</v>
      </c>
      <c r="T175" s="213" t="n">
        <v>61.6666666666667</v>
      </c>
      <c r="U175" s="213" t="n">
        <v>46.15</v>
      </c>
      <c r="V175" s="213" t="n">
        <v>7.28333333333333</v>
      </c>
      <c r="W175" s="213" t="n">
        <v>7.75</v>
      </c>
      <c r="X175" s="204" t="n">
        <v>0.6</v>
      </c>
      <c r="Y175" s="204" t="n">
        <v>6.1</v>
      </c>
    </row>
    <row r="176" customFormat="false" ht="12.75" hidden="false" customHeight="false" outlineLevel="0" collapsed="false">
      <c r="A176" s="215" t="n">
        <v>40482</v>
      </c>
      <c r="B176" s="213" t="n">
        <v>41.3</v>
      </c>
      <c r="C176" s="213" t="n">
        <f aca="false">AVERAGEIFS($B$33:$B$1494,$A$33:$A$1494,A176)</f>
        <v>41.3833333333333</v>
      </c>
      <c r="D176" s="213" t="n">
        <v>43</v>
      </c>
      <c r="E176" s="213" t="n">
        <f aca="false">AVERAGEIFS($D$33:$D$1494,$A$33:$A$1494,A176)</f>
        <v>43.0333333333333</v>
      </c>
      <c r="F176" s="213" t="n">
        <v>11.8</v>
      </c>
      <c r="G176" s="213" t="n">
        <f aca="false">AVERAGEIFS($F$33:$F$1494,$A$33:$A$1494,A176)</f>
        <v>11.4666666666667</v>
      </c>
      <c r="H176" s="213" t="n">
        <v>11.8</v>
      </c>
      <c r="I176" s="213" t="n">
        <f aca="false">AVERAGEIFS($H$33:$H$1494,$A$33:$A$1494,A176)</f>
        <v>11.9333333333333</v>
      </c>
      <c r="L176" s="215" t="n">
        <v>40482</v>
      </c>
      <c r="M176" s="213" t="n">
        <v>41.3833333333333</v>
      </c>
      <c r="N176" s="213" t="n">
        <v>43.0333333333333</v>
      </c>
      <c r="O176" s="213" t="n">
        <v>11.4666666666667</v>
      </c>
      <c r="P176" s="213" t="n">
        <v>11.9333333333333</v>
      </c>
      <c r="S176" s="215" t="n">
        <v>40603</v>
      </c>
      <c r="T176" s="213" t="n">
        <v>52.4333333333333</v>
      </c>
      <c r="U176" s="213" t="n">
        <v>46.4166666666667</v>
      </c>
      <c r="V176" s="213" t="n">
        <v>6.46666666666667</v>
      </c>
      <c r="W176" s="213" t="n">
        <v>7.21666666666667</v>
      </c>
      <c r="X176" s="204" t="n">
        <v>0.2</v>
      </c>
      <c r="Y176" s="204" t="n">
        <v>4.7</v>
      </c>
    </row>
    <row r="177" customFormat="false" ht="12.75" hidden="false" customHeight="false" outlineLevel="0" collapsed="false">
      <c r="A177" s="215" t="n">
        <v>40483</v>
      </c>
      <c r="B177" s="213" t="n">
        <v>41.3</v>
      </c>
      <c r="C177" s="213" t="n">
        <f aca="false">AVERAGEIFS($B$33:$B$1494,$A$33:$A$1494,A177)</f>
        <v>42.4166666666667</v>
      </c>
      <c r="D177" s="213" t="n">
        <v>42.9</v>
      </c>
      <c r="E177" s="213" t="n">
        <f aca="false">AVERAGEIFS($D$33:$D$1494,$A$33:$A$1494,A177)</f>
        <v>43.05</v>
      </c>
      <c r="F177" s="213" t="n">
        <v>11.5</v>
      </c>
      <c r="G177" s="213" t="n">
        <f aca="false">AVERAGEIFS($F$33:$F$1494,$A$33:$A$1494,A177)</f>
        <v>11.7166666666667</v>
      </c>
      <c r="H177" s="213" t="n">
        <v>11.8</v>
      </c>
      <c r="I177" s="213" t="n">
        <f aca="false">AVERAGEIFS($H$33:$H$1494,$A$33:$A$1494,A177)</f>
        <v>11.8166666666667</v>
      </c>
      <c r="L177" s="215" t="n">
        <v>40483</v>
      </c>
      <c r="M177" s="213" t="n">
        <v>42.4166666666667</v>
      </c>
      <c r="N177" s="213" t="n">
        <v>43.05</v>
      </c>
      <c r="O177" s="213" t="n">
        <v>11.7166666666667</v>
      </c>
      <c r="P177" s="213" t="n">
        <v>11.8166666666667</v>
      </c>
      <c r="S177" s="215" t="n">
        <v>40604</v>
      </c>
      <c r="T177" s="213" t="n">
        <v>50.8333333333333</v>
      </c>
      <c r="U177" s="213" t="n">
        <v>46.3</v>
      </c>
      <c r="V177" s="213" t="n">
        <v>6.11666666666667</v>
      </c>
      <c r="W177" s="213" t="n">
        <v>6.75</v>
      </c>
      <c r="X177" s="204" t="n">
        <v>0</v>
      </c>
      <c r="Y177" s="204" t="n">
        <v>4.7</v>
      </c>
    </row>
    <row r="178" customFormat="false" ht="12.75" hidden="false" customHeight="false" outlineLevel="0" collapsed="false">
      <c r="A178" s="215" t="n">
        <v>40483</v>
      </c>
      <c r="B178" s="213" t="n">
        <v>41.3</v>
      </c>
      <c r="C178" s="213" t="n">
        <f aca="false">AVERAGEIFS($B$33:$B$1494,$A$33:$A$1494,A178)</f>
        <v>42.4166666666667</v>
      </c>
      <c r="D178" s="213" t="n">
        <v>42.9</v>
      </c>
      <c r="E178" s="213" t="n">
        <f aca="false">AVERAGEIFS($D$33:$D$1494,$A$33:$A$1494,A178)</f>
        <v>43.05</v>
      </c>
      <c r="F178" s="213" t="n">
        <v>11.4</v>
      </c>
      <c r="G178" s="213" t="n">
        <f aca="false">AVERAGEIFS($F$33:$F$1494,$A$33:$A$1494,A178)</f>
        <v>11.7166666666667</v>
      </c>
      <c r="H178" s="213" t="n">
        <v>11.8</v>
      </c>
      <c r="I178" s="213" t="n">
        <f aca="false">AVERAGEIFS($H$33:$H$1494,$A$33:$A$1494,A178)</f>
        <v>11.8166666666667</v>
      </c>
      <c r="L178" s="215" t="n">
        <v>40483</v>
      </c>
      <c r="M178" s="213" t="n">
        <v>42.4166666666667</v>
      </c>
      <c r="N178" s="213" t="n">
        <v>43.05</v>
      </c>
      <c r="O178" s="213" t="n">
        <v>11.7166666666667</v>
      </c>
      <c r="P178" s="213" t="n">
        <v>11.8166666666667</v>
      </c>
      <c r="S178" s="215" t="n">
        <v>40605</v>
      </c>
      <c r="T178" s="213" t="n">
        <v>50.2166666666667</v>
      </c>
      <c r="U178" s="213" t="n">
        <v>46.2166666666667</v>
      </c>
      <c r="V178" s="213" t="n">
        <v>5.68333333333333</v>
      </c>
      <c r="W178" s="213" t="n">
        <v>6.38333333333333</v>
      </c>
      <c r="X178" s="204" t="n">
        <v>1.8</v>
      </c>
      <c r="Y178" s="204" t="n">
        <v>3.7</v>
      </c>
    </row>
    <row r="179" customFormat="false" ht="12.75" hidden="false" customHeight="false" outlineLevel="0" collapsed="false">
      <c r="A179" s="215" t="n">
        <v>40483</v>
      </c>
      <c r="B179" s="213" t="n">
        <v>41.3</v>
      </c>
      <c r="C179" s="213" t="n">
        <f aca="false">AVERAGEIFS($B$33:$B$1494,$A$33:$A$1494,A179)</f>
        <v>42.4166666666667</v>
      </c>
      <c r="D179" s="213" t="n">
        <v>42.9</v>
      </c>
      <c r="E179" s="213" t="n">
        <f aca="false">AVERAGEIFS($D$33:$D$1494,$A$33:$A$1494,A179)</f>
        <v>43.05</v>
      </c>
      <c r="F179" s="213" t="n">
        <v>11.5</v>
      </c>
      <c r="G179" s="213" t="n">
        <f aca="false">AVERAGEIFS($F$33:$F$1494,$A$33:$A$1494,A179)</f>
        <v>11.7166666666667</v>
      </c>
      <c r="H179" s="213" t="n">
        <v>11.8</v>
      </c>
      <c r="I179" s="213" t="n">
        <f aca="false">AVERAGEIFS($H$33:$H$1494,$A$33:$A$1494,A179)</f>
        <v>11.8166666666667</v>
      </c>
      <c r="L179" s="215" t="n">
        <v>40483</v>
      </c>
      <c r="M179" s="213" t="n">
        <v>42.4166666666667</v>
      </c>
      <c r="N179" s="213" t="n">
        <v>43.05</v>
      </c>
      <c r="O179" s="213" t="n">
        <v>11.7166666666667</v>
      </c>
      <c r="P179" s="213" t="n">
        <v>11.8166666666667</v>
      </c>
      <c r="S179" s="215" t="n">
        <v>40606</v>
      </c>
      <c r="T179" s="213" t="n">
        <v>49.7333333333333</v>
      </c>
      <c r="U179" s="213" t="n">
        <v>46.1166666666667</v>
      </c>
      <c r="V179" s="213" t="n">
        <v>5.45</v>
      </c>
      <c r="W179" s="213" t="n">
        <v>6.03333333333333</v>
      </c>
      <c r="X179" s="204" t="n">
        <v>0.2</v>
      </c>
      <c r="Y179" s="204" t="n">
        <v>6.8</v>
      </c>
    </row>
    <row r="180" customFormat="false" ht="12.75" hidden="false" customHeight="false" outlineLevel="0" collapsed="false">
      <c r="A180" s="215" t="n">
        <v>40483</v>
      </c>
      <c r="B180" s="213" t="n">
        <v>43.7</v>
      </c>
      <c r="C180" s="213" t="n">
        <f aca="false">AVERAGEIFS($B$33:$B$1494,$A$33:$A$1494,A180)</f>
        <v>42.4166666666667</v>
      </c>
      <c r="D180" s="213" t="n">
        <v>43.2</v>
      </c>
      <c r="E180" s="213" t="n">
        <f aca="false">AVERAGEIFS($D$33:$D$1494,$A$33:$A$1494,A180)</f>
        <v>43.05</v>
      </c>
      <c r="F180" s="213" t="n">
        <v>11.6</v>
      </c>
      <c r="G180" s="213" t="n">
        <f aca="false">AVERAGEIFS($F$33:$F$1494,$A$33:$A$1494,A180)</f>
        <v>11.7166666666667</v>
      </c>
      <c r="H180" s="213" t="n">
        <v>11.8</v>
      </c>
      <c r="I180" s="213" t="n">
        <f aca="false">AVERAGEIFS($H$33:$H$1494,$A$33:$A$1494,A180)</f>
        <v>11.8166666666667</v>
      </c>
      <c r="L180" s="215" t="n">
        <v>40483</v>
      </c>
      <c r="M180" s="213" t="n">
        <v>42.4166666666667</v>
      </c>
      <c r="N180" s="213" t="n">
        <v>43.05</v>
      </c>
      <c r="O180" s="213" t="n">
        <v>11.7166666666667</v>
      </c>
      <c r="P180" s="213" t="n">
        <v>11.8166666666667</v>
      </c>
      <c r="S180" s="215" t="n">
        <v>40607</v>
      </c>
      <c r="T180" s="213" t="n">
        <v>49.3833333333333</v>
      </c>
      <c r="U180" s="213" t="n">
        <v>45.8666666666667</v>
      </c>
      <c r="V180" s="213" t="n">
        <v>6.06666666666667</v>
      </c>
      <c r="W180" s="213" t="n">
        <v>6.23333333333333</v>
      </c>
      <c r="X180" s="204" t="n">
        <v>0</v>
      </c>
      <c r="Y180" s="204" t="n">
        <v>8.1</v>
      </c>
    </row>
    <row r="181" customFormat="false" ht="12.75" hidden="false" customHeight="false" outlineLevel="0" collapsed="false">
      <c r="A181" s="215" t="n">
        <v>40483</v>
      </c>
      <c r="B181" s="213" t="n">
        <v>43.5</v>
      </c>
      <c r="C181" s="213" t="n">
        <f aca="false">AVERAGEIFS($B$33:$B$1494,$A$33:$A$1494,A181)</f>
        <v>42.4166666666667</v>
      </c>
      <c r="D181" s="213" t="n">
        <v>43.1</v>
      </c>
      <c r="E181" s="213" t="n">
        <f aca="false">AVERAGEIFS($D$33:$D$1494,$A$33:$A$1494,A181)</f>
        <v>43.05</v>
      </c>
      <c r="F181" s="213" t="n">
        <v>12.1</v>
      </c>
      <c r="G181" s="213" t="n">
        <f aca="false">AVERAGEIFS($F$33:$F$1494,$A$33:$A$1494,A181)</f>
        <v>11.7166666666667</v>
      </c>
      <c r="H181" s="213" t="n">
        <v>11.8</v>
      </c>
      <c r="I181" s="213" t="n">
        <f aca="false">AVERAGEIFS($H$33:$H$1494,$A$33:$A$1494,A181)</f>
        <v>11.8166666666667</v>
      </c>
      <c r="L181" s="215" t="n">
        <v>40483</v>
      </c>
      <c r="M181" s="213" t="n">
        <v>42.4166666666667</v>
      </c>
      <c r="N181" s="213" t="n">
        <v>43.05</v>
      </c>
      <c r="O181" s="213" t="n">
        <v>11.7166666666667</v>
      </c>
      <c r="P181" s="213" t="n">
        <v>11.8166666666667</v>
      </c>
      <c r="S181" s="215" t="n">
        <v>40608</v>
      </c>
      <c r="T181" s="213" t="n">
        <v>49.0666666666667</v>
      </c>
      <c r="U181" s="213" t="n">
        <v>45.7666666666667</v>
      </c>
      <c r="V181" s="213" t="n">
        <v>6.53333333333333</v>
      </c>
      <c r="W181" s="213" t="n">
        <v>6.48333333333333</v>
      </c>
      <c r="X181" s="204" t="n">
        <v>0</v>
      </c>
      <c r="Y181" s="204" t="n">
        <v>7.4</v>
      </c>
    </row>
    <row r="182" customFormat="false" ht="12.75" hidden="false" customHeight="false" outlineLevel="0" collapsed="false">
      <c r="A182" s="215" t="n">
        <v>40483</v>
      </c>
      <c r="B182" s="213" t="n">
        <v>43.4</v>
      </c>
      <c r="C182" s="213" t="n">
        <f aca="false">AVERAGEIFS($B$33:$B$1494,$A$33:$A$1494,A182)</f>
        <v>42.4166666666667</v>
      </c>
      <c r="D182" s="213" t="n">
        <v>43.3</v>
      </c>
      <c r="E182" s="213" t="n">
        <f aca="false">AVERAGEIFS($D$33:$D$1494,$A$33:$A$1494,A182)</f>
        <v>43.05</v>
      </c>
      <c r="F182" s="213" t="n">
        <v>12.2</v>
      </c>
      <c r="G182" s="213" t="n">
        <f aca="false">AVERAGEIFS($F$33:$F$1494,$A$33:$A$1494,A182)</f>
        <v>11.7166666666667</v>
      </c>
      <c r="H182" s="213" t="n">
        <v>11.9</v>
      </c>
      <c r="I182" s="213" t="n">
        <f aca="false">AVERAGEIFS($H$33:$H$1494,$A$33:$A$1494,A182)</f>
        <v>11.8166666666667</v>
      </c>
      <c r="L182" s="215" t="n">
        <v>40483</v>
      </c>
      <c r="M182" s="213" t="n">
        <v>42.4166666666667</v>
      </c>
      <c r="N182" s="213" t="n">
        <v>43.05</v>
      </c>
      <c r="O182" s="213" t="n">
        <v>11.7166666666667</v>
      </c>
      <c r="P182" s="213" t="n">
        <v>11.8166666666667</v>
      </c>
      <c r="S182" s="215" t="n">
        <v>40609</v>
      </c>
      <c r="T182" s="213" t="n">
        <v>49.1166666666667</v>
      </c>
      <c r="U182" s="213" t="n">
        <v>45.6666666666667</v>
      </c>
      <c r="V182" s="213" t="n">
        <v>6.28333333333333</v>
      </c>
      <c r="W182" s="213" t="n">
        <v>6.5</v>
      </c>
      <c r="X182" s="204" t="n">
        <v>0</v>
      </c>
      <c r="Y182" s="204" t="n">
        <v>9.1</v>
      </c>
    </row>
    <row r="183" customFormat="false" ht="12.75" hidden="false" customHeight="false" outlineLevel="0" collapsed="false">
      <c r="A183" s="215" t="n">
        <v>40484</v>
      </c>
      <c r="B183" s="213" t="n">
        <v>43.3</v>
      </c>
      <c r="C183" s="213" t="n">
        <f aca="false">AVERAGEIFS($B$33:$B$1494,$A$33:$A$1494,A183)</f>
        <v>43.1166666666667</v>
      </c>
      <c r="D183" s="213" t="n">
        <v>43.4</v>
      </c>
      <c r="E183" s="213" t="n">
        <f aca="false">AVERAGEIFS($D$33:$D$1494,$A$33:$A$1494,A183)</f>
        <v>43.6</v>
      </c>
      <c r="F183" s="213" t="n">
        <v>12</v>
      </c>
      <c r="G183" s="213" t="n">
        <f aca="false">AVERAGEIFS($F$33:$F$1494,$A$33:$A$1494,A183)</f>
        <v>12.15</v>
      </c>
      <c r="H183" s="213" t="n">
        <v>12</v>
      </c>
      <c r="I183" s="213" t="n">
        <f aca="false">AVERAGEIFS($H$33:$H$1494,$A$33:$A$1494,A183)</f>
        <v>11.9833333333333</v>
      </c>
      <c r="L183" s="215" t="n">
        <v>40484</v>
      </c>
      <c r="M183" s="213" t="n">
        <v>43.1166666666667</v>
      </c>
      <c r="N183" s="213" t="n">
        <v>43.6</v>
      </c>
      <c r="O183" s="213" t="n">
        <v>12.15</v>
      </c>
      <c r="P183" s="213" t="n">
        <v>11.9833333333333</v>
      </c>
      <c r="S183" s="215" t="n">
        <v>40610</v>
      </c>
      <c r="T183" s="213" t="n">
        <v>48.6833333333333</v>
      </c>
      <c r="U183" s="213" t="n">
        <v>45.5333333333333</v>
      </c>
      <c r="V183" s="213" t="n">
        <v>7.76666666666667</v>
      </c>
      <c r="W183" s="213" t="n">
        <v>7.01666666666667</v>
      </c>
      <c r="X183" s="204" t="n">
        <v>0</v>
      </c>
      <c r="Y183" s="204" t="n">
        <v>10.2</v>
      </c>
    </row>
    <row r="184" customFormat="false" ht="12.75" hidden="false" customHeight="false" outlineLevel="0" collapsed="false">
      <c r="A184" s="215" t="n">
        <v>40484</v>
      </c>
      <c r="B184" s="213" t="n">
        <v>43.2</v>
      </c>
      <c r="C184" s="213" t="n">
        <f aca="false">AVERAGEIFS($B$33:$B$1494,$A$33:$A$1494,A184)</f>
        <v>43.1166666666667</v>
      </c>
      <c r="D184" s="213" t="n">
        <v>43.6</v>
      </c>
      <c r="E184" s="213" t="n">
        <f aca="false">AVERAGEIFS($D$33:$D$1494,$A$33:$A$1494,A184)</f>
        <v>43.6</v>
      </c>
      <c r="F184" s="213" t="n">
        <v>11.8</v>
      </c>
      <c r="G184" s="213" t="n">
        <f aca="false">AVERAGEIFS($F$33:$F$1494,$A$33:$A$1494,A184)</f>
        <v>12.15</v>
      </c>
      <c r="H184" s="213" t="n">
        <v>12</v>
      </c>
      <c r="I184" s="213" t="n">
        <f aca="false">AVERAGEIFS($H$33:$H$1494,$A$33:$A$1494,A184)</f>
        <v>11.9833333333333</v>
      </c>
      <c r="L184" s="215" t="n">
        <v>40484</v>
      </c>
      <c r="M184" s="213" t="n">
        <v>43.1166666666667</v>
      </c>
      <c r="N184" s="213" t="n">
        <v>43.6</v>
      </c>
      <c r="O184" s="213" t="n">
        <v>12.15</v>
      </c>
      <c r="P184" s="213" t="n">
        <v>11.9833333333333</v>
      </c>
      <c r="S184" s="215" t="n">
        <v>40611</v>
      </c>
      <c r="T184" s="213" t="n">
        <v>48.1166666666667</v>
      </c>
      <c r="U184" s="213" t="n">
        <v>45.3666666666667</v>
      </c>
      <c r="V184" s="213" t="n">
        <v>8.08333333333333</v>
      </c>
      <c r="W184" s="213" t="n">
        <v>7.45</v>
      </c>
      <c r="X184" s="204" t="n">
        <v>0</v>
      </c>
      <c r="Y184" s="204" t="n">
        <v>10.4</v>
      </c>
    </row>
    <row r="185" customFormat="false" ht="12.75" hidden="false" customHeight="false" outlineLevel="0" collapsed="false">
      <c r="A185" s="215" t="n">
        <v>40484</v>
      </c>
      <c r="B185" s="213" t="n">
        <v>43.2</v>
      </c>
      <c r="C185" s="213" t="n">
        <f aca="false">AVERAGEIFS($B$33:$B$1494,$A$33:$A$1494,A185)</f>
        <v>43.1166666666667</v>
      </c>
      <c r="D185" s="213" t="n">
        <v>43.7</v>
      </c>
      <c r="E185" s="213" t="n">
        <f aca="false">AVERAGEIFS($D$33:$D$1494,$A$33:$A$1494,A185)</f>
        <v>43.6</v>
      </c>
      <c r="F185" s="213" t="n">
        <v>11.5</v>
      </c>
      <c r="G185" s="213" t="n">
        <f aca="false">AVERAGEIFS($F$33:$F$1494,$A$33:$A$1494,A185)</f>
        <v>12.15</v>
      </c>
      <c r="H185" s="213" t="n">
        <v>12</v>
      </c>
      <c r="I185" s="213" t="n">
        <f aca="false">AVERAGEIFS($H$33:$H$1494,$A$33:$A$1494,A185)</f>
        <v>11.9833333333333</v>
      </c>
      <c r="L185" s="215" t="n">
        <v>40484</v>
      </c>
      <c r="M185" s="213" t="n">
        <v>43.1166666666667</v>
      </c>
      <c r="N185" s="213" t="n">
        <v>43.6</v>
      </c>
      <c r="O185" s="213" t="n">
        <v>12.15</v>
      </c>
      <c r="P185" s="213" t="n">
        <v>11.9833333333333</v>
      </c>
      <c r="S185" s="215" t="n">
        <v>40612</v>
      </c>
      <c r="T185" s="213" t="n">
        <v>47.5666666666667</v>
      </c>
      <c r="U185" s="213" t="n">
        <v>45.4166666666667</v>
      </c>
      <c r="V185" s="213" t="n">
        <v>7.63333333333333</v>
      </c>
      <c r="W185" s="213" t="n">
        <v>7.51666666666667</v>
      </c>
      <c r="X185" s="204" t="n">
        <v>0</v>
      </c>
      <c r="Y185" s="204" t="n">
        <v>7.7</v>
      </c>
    </row>
    <row r="186" customFormat="false" ht="12.75" hidden="false" customHeight="false" outlineLevel="0" collapsed="false">
      <c r="A186" s="215" t="n">
        <v>40484</v>
      </c>
      <c r="B186" s="213" t="n">
        <v>43.2</v>
      </c>
      <c r="C186" s="213" t="n">
        <f aca="false">AVERAGEIFS($B$33:$B$1494,$A$33:$A$1494,A186)</f>
        <v>43.1166666666667</v>
      </c>
      <c r="D186" s="213" t="n">
        <v>43.7</v>
      </c>
      <c r="E186" s="213" t="n">
        <f aca="false">AVERAGEIFS($D$33:$D$1494,$A$33:$A$1494,A186)</f>
        <v>43.6</v>
      </c>
      <c r="F186" s="213" t="n">
        <v>11.7</v>
      </c>
      <c r="G186" s="213" t="n">
        <f aca="false">AVERAGEIFS($F$33:$F$1494,$A$33:$A$1494,A186)</f>
        <v>12.15</v>
      </c>
      <c r="H186" s="213" t="n">
        <v>11.9</v>
      </c>
      <c r="I186" s="213" t="n">
        <f aca="false">AVERAGEIFS($H$33:$H$1494,$A$33:$A$1494,A186)</f>
        <v>11.9833333333333</v>
      </c>
      <c r="L186" s="215" t="n">
        <v>40484</v>
      </c>
      <c r="M186" s="213" t="n">
        <v>43.1166666666667</v>
      </c>
      <c r="N186" s="213" t="n">
        <v>43.6</v>
      </c>
      <c r="O186" s="213" t="n">
        <v>12.15</v>
      </c>
      <c r="P186" s="213" t="n">
        <v>11.9833333333333</v>
      </c>
      <c r="S186" s="215" t="n">
        <v>40613</v>
      </c>
      <c r="T186" s="213" t="n">
        <v>47.0333333333333</v>
      </c>
      <c r="U186" s="213" t="n">
        <v>45.2333333333333</v>
      </c>
      <c r="V186" s="213" t="n">
        <v>7.28333333333333</v>
      </c>
      <c r="W186" s="213" t="n">
        <v>7.26666666666667</v>
      </c>
      <c r="X186" s="204" t="n">
        <v>0</v>
      </c>
      <c r="Y186" s="204" t="n">
        <v>8.3</v>
      </c>
    </row>
    <row r="187" customFormat="false" ht="12.75" hidden="false" customHeight="false" outlineLevel="0" collapsed="false">
      <c r="A187" s="215" t="n">
        <v>40484</v>
      </c>
      <c r="B187" s="213" t="n">
        <v>42.9</v>
      </c>
      <c r="C187" s="213" t="n">
        <f aca="false">AVERAGEIFS($B$33:$B$1494,$A$33:$A$1494,A187)</f>
        <v>43.1166666666667</v>
      </c>
      <c r="D187" s="213" t="n">
        <v>43.6</v>
      </c>
      <c r="E187" s="213" t="n">
        <f aca="false">AVERAGEIFS($D$33:$D$1494,$A$33:$A$1494,A187)</f>
        <v>43.6</v>
      </c>
      <c r="F187" s="213" t="n">
        <v>13.1</v>
      </c>
      <c r="G187" s="213" t="n">
        <f aca="false">AVERAGEIFS($F$33:$F$1494,$A$33:$A$1494,A187)</f>
        <v>12.15</v>
      </c>
      <c r="H187" s="213" t="n">
        <v>11.9</v>
      </c>
      <c r="I187" s="213" t="n">
        <f aca="false">AVERAGEIFS($H$33:$H$1494,$A$33:$A$1494,A187)</f>
        <v>11.9833333333333</v>
      </c>
      <c r="L187" s="215" t="n">
        <v>40484</v>
      </c>
      <c r="M187" s="213" t="n">
        <v>43.1166666666667</v>
      </c>
      <c r="N187" s="213" t="n">
        <v>43.6</v>
      </c>
      <c r="O187" s="213" t="n">
        <v>12.15</v>
      </c>
      <c r="P187" s="213" t="n">
        <v>11.9833333333333</v>
      </c>
      <c r="S187" s="215" t="n">
        <v>40614</v>
      </c>
      <c r="T187" s="213" t="n">
        <v>46.9666666666667</v>
      </c>
      <c r="U187" s="213" t="n">
        <v>45.1</v>
      </c>
      <c r="V187" s="213" t="n">
        <v>8.4</v>
      </c>
      <c r="W187" s="213" t="n">
        <v>7.73333333333333</v>
      </c>
      <c r="X187" s="204" t="n">
        <v>6.8</v>
      </c>
      <c r="Y187" s="204" t="n">
        <v>10.9</v>
      </c>
    </row>
    <row r="188" customFormat="false" ht="12.75" hidden="false" customHeight="false" outlineLevel="0" collapsed="false">
      <c r="A188" s="215" t="n">
        <v>40484</v>
      </c>
      <c r="B188" s="213" t="n">
        <v>42.9</v>
      </c>
      <c r="C188" s="213" t="n">
        <f aca="false">AVERAGEIFS($B$33:$B$1494,$A$33:$A$1494,A188)</f>
        <v>43.1166666666667</v>
      </c>
      <c r="D188" s="213" t="n">
        <v>43.6</v>
      </c>
      <c r="E188" s="213" t="n">
        <f aca="false">AVERAGEIFS($D$33:$D$1494,$A$33:$A$1494,A188)</f>
        <v>43.6</v>
      </c>
      <c r="F188" s="213" t="n">
        <v>12.8</v>
      </c>
      <c r="G188" s="213" t="n">
        <f aca="false">AVERAGEIFS($F$33:$F$1494,$A$33:$A$1494,A188)</f>
        <v>12.15</v>
      </c>
      <c r="H188" s="213" t="n">
        <v>12.1</v>
      </c>
      <c r="I188" s="213" t="n">
        <f aca="false">AVERAGEIFS($H$33:$H$1494,$A$33:$A$1494,A188)</f>
        <v>11.9833333333333</v>
      </c>
      <c r="L188" s="215" t="n">
        <v>40484</v>
      </c>
      <c r="M188" s="213" t="n">
        <v>43.1166666666667</v>
      </c>
      <c r="N188" s="213" t="n">
        <v>43.6</v>
      </c>
      <c r="O188" s="213" t="n">
        <v>12.15</v>
      </c>
      <c r="P188" s="213" t="n">
        <v>11.9833333333333</v>
      </c>
      <c r="S188" s="215" t="n">
        <v>40615</v>
      </c>
      <c r="T188" s="213" t="n">
        <v>48.9333333333333</v>
      </c>
      <c r="U188" s="213" t="n">
        <v>45.0666666666667</v>
      </c>
      <c r="V188" s="213" t="n">
        <v>9.31666666666667</v>
      </c>
      <c r="W188" s="213" t="n">
        <v>8.23333333333333</v>
      </c>
      <c r="X188" s="204" t="n">
        <v>0</v>
      </c>
      <c r="Y188" s="204" t="n">
        <v>12.2</v>
      </c>
    </row>
    <row r="189" customFormat="false" ht="12.75" hidden="false" customHeight="false" outlineLevel="0" collapsed="false">
      <c r="A189" s="215" t="n">
        <v>40485</v>
      </c>
      <c r="B189" s="213" t="n">
        <v>42.9</v>
      </c>
      <c r="C189" s="213" t="n">
        <f aca="false">AVERAGEIFS($B$33:$B$1494,$A$33:$A$1494,A189)</f>
        <v>42.85</v>
      </c>
      <c r="D189" s="213" t="n">
        <v>43.6</v>
      </c>
      <c r="E189" s="213" t="n">
        <f aca="false">AVERAGEIFS($D$33:$D$1494,$A$33:$A$1494,A189)</f>
        <v>43.6</v>
      </c>
      <c r="F189" s="213" t="n">
        <v>12.6</v>
      </c>
      <c r="G189" s="213" t="n">
        <f aca="false">AVERAGEIFS($F$33:$F$1494,$A$33:$A$1494,A189)</f>
        <v>12.8333333333333</v>
      </c>
      <c r="H189" s="213" t="n">
        <v>12.3</v>
      </c>
      <c r="I189" s="213" t="n">
        <f aca="false">AVERAGEIFS($H$33:$H$1494,$A$33:$A$1494,A189)</f>
        <v>12.3666666666667</v>
      </c>
      <c r="L189" s="215" t="n">
        <v>40485</v>
      </c>
      <c r="M189" s="213" t="n">
        <v>42.85</v>
      </c>
      <c r="N189" s="213" t="n">
        <v>43.6</v>
      </c>
      <c r="O189" s="213" t="n">
        <v>12.8333333333333</v>
      </c>
      <c r="P189" s="213" t="n">
        <v>12.3666666666667</v>
      </c>
      <c r="S189" s="215" t="n">
        <v>40616</v>
      </c>
      <c r="T189" s="213" t="n">
        <v>46.8166666666667</v>
      </c>
      <c r="U189" s="213" t="n">
        <v>44.9333333333333</v>
      </c>
      <c r="V189" s="213" t="n">
        <v>9.96666666666667</v>
      </c>
      <c r="W189" s="213" t="n">
        <v>8.86666666666667</v>
      </c>
      <c r="X189" s="204" t="n">
        <v>0</v>
      </c>
      <c r="Y189" s="204" t="n">
        <v>13.3</v>
      </c>
    </row>
    <row r="190" customFormat="false" ht="12.75" hidden="false" customHeight="false" outlineLevel="0" collapsed="false">
      <c r="A190" s="215" t="n">
        <v>40485</v>
      </c>
      <c r="B190" s="213" t="n">
        <v>42.9</v>
      </c>
      <c r="C190" s="213" t="n">
        <f aca="false">AVERAGEIFS($B$33:$B$1494,$A$33:$A$1494,A190)</f>
        <v>42.85</v>
      </c>
      <c r="D190" s="213" t="n">
        <v>43.6</v>
      </c>
      <c r="E190" s="213" t="n">
        <f aca="false">AVERAGEIFS($D$33:$D$1494,$A$33:$A$1494,A190)</f>
        <v>43.6</v>
      </c>
      <c r="F190" s="213" t="n">
        <v>12.4</v>
      </c>
      <c r="G190" s="213" t="n">
        <f aca="false">AVERAGEIFS($F$33:$F$1494,$A$33:$A$1494,A190)</f>
        <v>12.8333333333333</v>
      </c>
      <c r="H190" s="213" t="n">
        <v>12.3</v>
      </c>
      <c r="I190" s="213" t="n">
        <f aca="false">AVERAGEIFS($H$33:$H$1494,$A$33:$A$1494,A190)</f>
        <v>12.3666666666667</v>
      </c>
      <c r="L190" s="215" t="n">
        <v>40485</v>
      </c>
      <c r="M190" s="213" t="n">
        <v>42.85</v>
      </c>
      <c r="N190" s="213" t="n">
        <v>43.6</v>
      </c>
      <c r="O190" s="213" t="n">
        <v>12.8333333333333</v>
      </c>
      <c r="P190" s="213" t="n">
        <v>12.3666666666667</v>
      </c>
      <c r="S190" s="215" t="n">
        <v>40617</v>
      </c>
      <c r="T190" s="213" t="n">
        <v>46.0166666666667</v>
      </c>
      <c r="U190" s="213" t="n">
        <v>44.8</v>
      </c>
      <c r="V190" s="213" t="n">
        <v>10.6166666666667</v>
      </c>
      <c r="W190" s="213" t="n">
        <v>9.43333333333333</v>
      </c>
      <c r="X190" s="204" t="n">
        <v>8.8</v>
      </c>
      <c r="Y190" s="204" t="n">
        <v>13.2</v>
      </c>
    </row>
    <row r="191" customFormat="false" ht="12.75" hidden="false" customHeight="false" outlineLevel="0" collapsed="false">
      <c r="A191" s="215" t="n">
        <v>40485</v>
      </c>
      <c r="B191" s="213" t="n">
        <v>42.9</v>
      </c>
      <c r="C191" s="213" t="n">
        <f aca="false">AVERAGEIFS($B$33:$B$1494,$A$33:$A$1494,A191)</f>
        <v>42.85</v>
      </c>
      <c r="D191" s="213" t="n">
        <v>43.6</v>
      </c>
      <c r="E191" s="213" t="n">
        <f aca="false">AVERAGEIFS($D$33:$D$1494,$A$33:$A$1494,A191)</f>
        <v>43.6</v>
      </c>
      <c r="F191" s="213" t="n">
        <v>12.3</v>
      </c>
      <c r="G191" s="213" t="n">
        <f aca="false">AVERAGEIFS($F$33:$F$1494,$A$33:$A$1494,A191)</f>
        <v>12.8333333333333</v>
      </c>
      <c r="H191" s="213" t="n">
        <v>12.3</v>
      </c>
      <c r="I191" s="213" t="n">
        <f aca="false">AVERAGEIFS($H$33:$H$1494,$A$33:$A$1494,A191)</f>
        <v>12.3666666666667</v>
      </c>
      <c r="L191" s="215" t="n">
        <v>40485</v>
      </c>
      <c r="M191" s="213" t="n">
        <v>42.85</v>
      </c>
      <c r="N191" s="213" t="n">
        <v>43.6</v>
      </c>
      <c r="O191" s="213" t="n">
        <v>12.8333333333333</v>
      </c>
      <c r="P191" s="213" t="n">
        <v>12.3666666666667</v>
      </c>
      <c r="S191" s="215" t="n">
        <v>40618</v>
      </c>
      <c r="T191" s="213" t="n">
        <v>48.9333333333333</v>
      </c>
      <c r="U191" s="213" t="n">
        <v>44.7166666666667</v>
      </c>
      <c r="V191" s="213" t="n">
        <v>10.65</v>
      </c>
      <c r="W191" s="213" t="n">
        <v>9.71666666666667</v>
      </c>
      <c r="X191" s="204" t="n">
        <v>1.6</v>
      </c>
      <c r="Y191" s="204" t="n">
        <v>11.8</v>
      </c>
    </row>
    <row r="192" customFormat="false" ht="12.75" hidden="false" customHeight="false" outlineLevel="0" collapsed="false">
      <c r="A192" s="215" t="n">
        <v>40485</v>
      </c>
      <c r="B192" s="213" t="n">
        <v>42.8</v>
      </c>
      <c r="C192" s="213" t="n">
        <f aca="false">AVERAGEIFS($B$33:$B$1494,$A$33:$A$1494,A192)</f>
        <v>42.85</v>
      </c>
      <c r="D192" s="213" t="n">
        <v>43.6</v>
      </c>
      <c r="E192" s="213" t="n">
        <f aca="false">AVERAGEIFS($D$33:$D$1494,$A$33:$A$1494,A192)</f>
        <v>43.6</v>
      </c>
      <c r="F192" s="213" t="n">
        <v>12.6</v>
      </c>
      <c r="G192" s="213" t="n">
        <f aca="false">AVERAGEIFS($F$33:$F$1494,$A$33:$A$1494,A192)</f>
        <v>12.8333333333333</v>
      </c>
      <c r="H192" s="213" t="n">
        <v>12.3</v>
      </c>
      <c r="I192" s="213" t="n">
        <f aca="false">AVERAGEIFS($H$33:$H$1494,$A$33:$A$1494,A192)</f>
        <v>12.3666666666667</v>
      </c>
      <c r="L192" s="215" t="n">
        <v>40485</v>
      </c>
      <c r="M192" s="213" t="n">
        <v>42.85</v>
      </c>
      <c r="N192" s="213" t="n">
        <v>43.6</v>
      </c>
      <c r="O192" s="213" t="n">
        <v>12.8333333333333</v>
      </c>
      <c r="P192" s="213" t="n">
        <v>12.3666666666667</v>
      </c>
      <c r="S192" s="215" t="n">
        <v>40619</v>
      </c>
      <c r="T192" s="213" t="n">
        <v>47.6166666666667</v>
      </c>
      <c r="U192" s="213" t="n">
        <v>44.6666666666667</v>
      </c>
      <c r="V192" s="213" t="n">
        <v>10.4833333333333</v>
      </c>
      <c r="W192" s="213" t="n">
        <v>9.81666666666667</v>
      </c>
      <c r="X192" s="204" t="n">
        <v>0</v>
      </c>
      <c r="Y192" s="204" t="n">
        <v>10.9</v>
      </c>
    </row>
    <row r="193" customFormat="false" ht="12.75" hidden="false" customHeight="false" outlineLevel="0" collapsed="false">
      <c r="A193" s="215" t="n">
        <v>40485</v>
      </c>
      <c r="B193" s="213" t="n">
        <v>42.8</v>
      </c>
      <c r="C193" s="213" t="n">
        <f aca="false">AVERAGEIFS($B$33:$B$1494,$A$33:$A$1494,A193)</f>
        <v>42.85</v>
      </c>
      <c r="D193" s="213" t="n">
        <v>43.6</v>
      </c>
      <c r="E193" s="213" t="n">
        <f aca="false">AVERAGEIFS($D$33:$D$1494,$A$33:$A$1494,A193)</f>
        <v>43.6</v>
      </c>
      <c r="F193" s="213" t="n">
        <v>13.4</v>
      </c>
      <c r="G193" s="213" t="n">
        <f aca="false">AVERAGEIFS($F$33:$F$1494,$A$33:$A$1494,A193)</f>
        <v>12.8333333333333</v>
      </c>
      <c r="H193" s="213" t="n">
        <v>12.4</v>
      </c>
      <c r="I193" s="213" t="n">
        <f aca="false">AVERAGEIFS($H$33:$H$1494,$A$33:$A$1494,A193)</f>
        <v>12.3666666666667</v>
      </c>
      <c r="L193" s="215" t="n">
        <v>40485</v>
      </c>
      <c r="M193" s="213" t="n">
        <v>42.85</v>
      </c>
      <c r="N193" s="213" t="n">
        <v>43.6</v>
      </c>
      <c r="O193" s="213" t="n">
        <v>12.8333333333333</v>
      </c>
      <c r="P193" s="213" t="n">
        <v>12.3666666666667</v>
      </c>
      <c r="S193" s="215" t="n">
        <v>40620</v>
      </c>
      <c r="T193" s="213" t="n">
        <v>46.7666666666667</v>
      </c>
      <c r="U193" s="213" t="n">
        <v>44.5166666666667</v>
      </c>
      <c r="V193" s="213" t="n">
        <v>9.73333333333333</v>
      </c>
      <c r="W193" s="213" t="n">
        <v>9.46666666666667</v>
      </c>
      <c r="X193" s="204" t="n">
        <v>0.2</v>
      </c>
      <c r="Y193" s="204" t="n">
        <v>11.1</v>
      </c>
    </row>
    <row r="194" customFormat="false" ht="12.75" hidden="false" customHeight="false" outlineLevel="0" collapsed="false">
      <c r="A194" s="215" t="n">
        <v>40485</v>
      </c>
      <c r="B194" s="213" t="n">
        <v>42.8</v>
      </c>
      <c r="C194" s="213" t="n">
        <f aca="false">AVERAGEIFS($B$33:$B$1494,$A$33:$A$1494,A194)</f>
        <v>42.85</v>
      </c>
      <c r="D194" s="213" t="n">
        <v>43.6</v>
      </c>
      <c r="E194" s="213" t="n">
        <f aca="false">AVERAGEIFS($D$33:$D$1494,$A$33:$A$1494,A194)</f>
        <v>43.6</v>
      </c>
      <c r="F194" s="213" t="n">
        <v>13.7</v>
      </c>
      <c r="G194" s="213" t="n">
        <f aca="false">AVERAGEIFS($F$33:$F$1494,$A$33:$A$1494,A194)</f>
        <v>12.8333333333333</v>
      </c>
      <c r="H194" s="213" t="n">
        <v>12.6</v>
      </c>
      <c r="I194" s="213" t="n">
        <f aca="false">AVERAGEIFS($H$33:$H$1494,$A$33:$A$1494,A194)</f>
        <v>12.3666666666667</v>
      </c>
      <c r="L194" s="215" t="n">
        <v>40485</v>
      </c>
      <c r="M194" s="213" t="n">
        <v>42.85</v>
      </c>
      <c r="N194" s="213" t="n">
        <v>43.6</v>
      </c>
      <c r="O194" s="213" t="n">
        <v>12.8333333333333</v>
      </c>
      <c r="P194" s="213" t="n">
        <v>12.3666666666667</v>
      </c>
      <c r="S194" s="215" t="n">
        <v>40621</v>
      </c>
      <c r="T194" s="213" t="n">
        <v>46.0666666666667</v>
      </c>
      <c r="U194" s="213" t="n">
        <v>44.35</v>
      </c>
      <c r="V194" s="213" t="n">
        <v>10.2333333333333</v>
      </c>
      <c r="W194" s="213" t="n">
        <v>9.51666666666667</v>
      </c>
      <c r="X194" s="204" t="n">
        <v>0</v>
      </c>
      <c r="Y194" s="204" t="n">
        <v>11.6</v>
      </c>
    </row>
    <row r="195" customFormat="false" ht="12.75" hidden="false" customHeight="false" outlineLevel="0" collapsed="false">
      <c r="A195" s="215" t="n">
        <v>40486</v>
      </c>
      <c r="B195" s="213" t="n">
        <v>42.8</v>
      </c>
      <c r="C195" s="213" t="n">
        <f aca="false">AVERAGEIFS($B$33:$B$1494,$A$33:$A$1494,A195)</f>
        <v>42.7166666666667</v>
      </c>
      <c r="D195" s="213" t="n">
        <v>43.7</v>
      </c>
      <c r="E195" s="213" t="n">
        <f aca="false">AVERAGEIFS($D$33:$D$1494,$A$33:$A$1494,A195)</f>
        <v>43.7333333333333</v>
      </c>
      <c r="F195" s="213" t="n">
        <v>13.6</v>
      </c>
      <c r="G195" s="213" t="n">
        <f aca="false">AVERAGEIFS($F$33:$F$1494,$A$33:$A$1494,A195)</f>
        <v>13.6</v>
      </c>
      <c r="H195" s="213" t="n">
        <v>12.8</v>
      </c>
      <c r="I195" s="213" t="n">
        <f aca="false">AVERAGEIFS($H$33:$H$1494,$A$33:$A$1494,A195)</f>
        <v>12.9</v>
      </c>
      <c r="L195" s="215" t="n">
        <v>40486</v>
      </c>
      <c r="M195" s="213" t="n">
        <v>42.7166666666667</v>
      </c>
      <c r="N195" s="213" t="n">
        <v>43.7333333333333</v>
      </c>
      <c r="O195" s="213" t="n">
        <v>13.6</v>
      </c>
      <c r="P195" s="213" t="n">
        <v>12.9</v>
      </c>
      <c r="S195" s="215" t="n">
        <v>40622</v>
      </c>
      <c r="T195" s="213" t="n">
        <v>45.4</v>
      </c>
      <c r="U195" s="213" t="n">
        <v>44.1333333333333</v>
      </c>
      <c r="V195" s="213" t="n">
        <v>9.91666666666667</v>
      </c>
      <c r="W195" s="213" t="n">
        <v>9.55</v>
      </c>
      <c r="X195" s="204" t="n">
        <v>0</v>
      </c>
      <c r="Y195" s="204" t="n">
        <v>10.1</v>
      </c>
    </row>
    <row r="196" customFormat="false" ht="12.75" hidden="false" customHeight="false" outlineLevel="0" collapsed="false">
      <c r="A196" s="215" t="n">
        <v>40486</v>
      </c>
      <c r="B196" s="213" t="n">
        <v>42.8</v>
      </c>
      <c r="C196" s="213" t="n">
        <f aca="false">AVERAGEIFS($B$33:$B$1494,$A$33:$A$1494,A196)</f>
        <v>42.7166666666667</v>
      </c>
      <c r="D196" s="213" t="n">
        <v>43.7</v>
      </c>
      <c r="E196" s="213" t="n">
        <f aca="false">AVERAGEIFS($D$33:$D$1494,$A$33:$A$1494,A196)</f>
        <v>43.7333333333333</v>
      </c>
      <c r="F196" s="213" t="n">
        <v>13.1</v>
      </c>
      <c r="G196" s="213" t="n">
        <f aca="false">AVERAGEIFS($F$33:$F$1494,$A$33:$A$1494,A196)</f>
        <v>13.6</v>
      </c>
      <c r="H196" s="213" t="n">
        <v>12.9</v>
      </c>
      <c r="I196" s="213" t="n">
        <f aca="false">AVERAGEIFS($H$33:$H$1494,$A$33:$A$1494,A196)</f>
        <v>12.9</v>
      </c>
      <c r="L196" s="215" t="n">
        <v>40486</v>
      </c>
      <c r="M196" s="213" t="n">
        <v>42.7166666666667</v>
      </c>
      <c r="N196" s="213" t="n">
        <v>43.7333333333333</v>
      </c>
      <c r="O196" s="213" t="n">
        <v>13.6</v>
      </c>
      <c r="P196" s="213" t="n">
        <v>12.9</v>
      </c>
      <c r="S196" s="215" t="n">
        <v>40623</v>
      </c>
      <c r="T196" s="213" t="n">
        <v>42.9833333333333</v>
      </c>
      <c r="U196" s="213" t="n">
        <v>43.9166666666667</v>
      </c>
      <c r="V196" s="213" t="n">
        <v>9.06666666666667</v>
      </c>
      <c r="W196" s="213" t="n">
        <v>9.18333333333333</v>
      </c>
      <c r="X196" s="204" t="n">
        <v>0</v>
      </c>
      <c r="Y196" s="204" t="n">
        <v>10.2</v>
      </c>
    </row>
    <row r="197" customFormat="false" ht="12.75" hidden="false" customHeight="false" outlineLevel="0" collapsed="false">
      <c r="A197" s="215" t="n">
        <v>40486</v>
      </c>
      <c r="B197" s="213" t="n">
        <v>42.8</v>
      </c>
      <c r="C197" s="213" t="n">
        <f aca="false">AVERAGEIFS($B$33:$B$1494,$A$33:$A$1494,A197)</f>
        <v>42.7166666666667</v>
      </c>
      <c r="D197" s="213" t="n">
        <v>43.7</v>
      </c>
      <c r="E197" s="213" t="n">
        <f aca="false">AVERAGEIFS($D$33:$D$1494,$A$33:$A$1494,A197)</f>
        <v>43.7333333333333</v>
      </c>
      <c r="F197" s="213" t="n">
        <v>13</v>
      </c>
      <c r="G197" s="213" t="n">
        <f aca="false">AVERAGEIFS($F$33:$F$1494,$A$33:$A$1494,A197)</f>
        <v>13.6</v>
      </c>
      <c r="H197" s="213" t="n">
        <v>12.8</v>
      </c>
      <c r="I197" s="213" t="n">
        <f aca="false">AVERAGEIFS($H$33:$H$1494,$A$33:$A$1494,A197)</f>
        <v>12.9</v>
      </c>
      <c r="L197" s="215" t="n">
        <v>40486</v>
      </c>
      <c r="M197" s="213" t="n">
        <v>42.7166666666667</v>
      </c>
      <c r="N197" s="213" t="n">
        <v>43.7333333333333</v>
      </c>
      <c r="O197" s="213" t="n">
        <v>13.6</v>
      </c>
      <c r="P197" s="213" t="n">
        <v>12.9</v>
      </c>
      <c r="S197" s="215" t="n">
        <v>40624</v>
      </c>
      <c r="T197" s="213" t="n">
        <v>34.2833333333333</v>
      </c>
      <c r="U197" s="213" t="n">
        <v>43.5833333333333</v>
      </c>
      <c r="V197" s="213" t="n">
        <v>9.23333333333333</v>
      </c>
      <c r="W197" s="213" t="n">
        <v>9</v>
      </c>
      <c r="X197" s="204" t="n">
        <v>0</v>
      </c>
      <c r="Y197" s="204" t="n">
        <v>11.5</v>
      </c>
    </row>
    <row r="198" customFormat="false" ht="12.75" hidden="false" customHeight="false" outlineLevel="0" collapsed="false">
      <c r="A198" s="215" t="n">
        <v>40486</v>
      </c>
      <c r="B198" s="213" t="n">
        <v>42.7</v>
      </c>
      <c r="C198" s="213" t="n">
        <f aca="false">AVERAGEIFS($B$33:$B$1494,$A$33:$A$1494,A198)</f>
        <v>42.7166666666667</v>
      </c>
      <c r="D198" s="213" t="n">
        <v>43.8</v>
      </c>
      <c r="E198" s="213" t="n">
        <f aca="false">AVERAGEIFS($D$33:$D$1494,$A$33:$A$1494,A198)</f>
        <v>43.7333333333333</v>
      </c>
      <c r="F198" s="213" t="n">
        <v>13.1</v>
      </c>
      <c r="G198" s="213" t="n">
        <f aca="false">AVERAGEIFS($F$33:$F$1494,$A$33:$A$1494,A198)</f>
        <v>13.6</v>
      </c>
      <c r="H198" s="213" t="n">
        <v>12.8</v>
      </c>
      <c r="I198" s="213" t="n">
        <f aca="false">AVERAGEIFS($H$33:$H$1494,$A$33:$A$1494,A198)</f>
        <v>12.9</v>
      </c>
      <c r="L198" s="215" t="n">
        <v>40486</v>
      </c>
      <c r="M198" s="213" t="n">
        <v>42.7166666666667</v>
      </c>
      <c r="N198" s="213" t="n">
        <v>43.7333333333333</v>
      </c>
      <c r="O198" s="213" t="n">
        <v>13.6</v>
      </c>
      <c r="P198" s="213" t="n">
        <v>12.9</v>
      </c>
      <c r="S198" s="215" t="n">
        <v>40625</v>
      </c>
      <c r="T198" s="213" t="n">
        <v>33.4833333333333</v>
      </c>
      <c r="U198" s="213" t="n">
        <v>43.1666666666667</v>
      </c>
      <c r="V198" s="213" t="n">
        <v>9.16666666666667</v>
      </c>
      <c r="W198" s="213" t="n">
        <v>8.93333333333333</v>
      </c>
      <c r="X198" s="204" t="n">
        <v>0</v>
      </c>
      <c r="Y198" s="204" t="n">
        <v>12.1</v>
      </c>
    </row>
    <row r="199" customFormat="false" ht="12.75" hidden="false" customHeight="false" outlineLevel="0" collapsed="false">
      <c r="A199" s="215" t="n">
        <v>40486</v>
      </c>
      <c r="B199" s="213" t="n">
        <v>42.6</v>
      </c>
      <c r="C199" s="213" t="n">
        <f aca="false">AVERAGEIFS($B$33:$B$1494,$A$33:$A$1494,A199)</f>
        <v>42.7166666666667</v>
      </c>
      <c r="D199" s="213" t="n">
        <v>43.8</v>
      </c>
      <c r="E199" s="213" t="n">
        <f aca="false">AVERAGEIFS($D$33:$D$1494,$A$33:$A$1494,A199)</f>
        <v>43.7333333333333</v>
      </c>
      <c r="F199" s="213" t="n">
        <v>14.5</v>
      </c>
      <c r="G199" s="213" t="n">
        <f aca="false">AVERAGEIFS($F$33:$F$1494,$A$33:$A$1494,A199)</f>
        <v>13.6</v>
      </c>
      <c r="H199" s="213" t="n">
        <v>12.9</v>
      </c>
      <c r="I199" s="213" t="n">
        <f aca="false">AVERAGEIFS($H$33:$H$1494,$A$33:$A$1494,A199)</f>
        <v>12.9</v>
      </c>
      <c r="L199" s="215" t="n">
        <v>40486</v>
      </c>
      <c r="M199" s="213" t="n">
        <v>42.7166666666667</v>
      </c>
      <c r="N199" s="213" t="n">
        <v>43.7333333333333</v>
      </c>
      <c r="O199" s="213" t="n">
        <v>13.6</v>
      </c>
      <c r="P199" s="213" t="n">
        <v>12.9</v>
      </c>
      <c r="S199" s="215" t="n">
        <v>40626</v>
      </c>
      <c r="T199" s="213" t="n">
        <v>33.3833333333333</v>
      </c>
      <c r="U199" s="213" t="n">
        <v>42.6</v>
      </c>
      <c r="V199" s="213" t="n">
        <v>9.38333333333334</v>
      </c>
      <c r="W199" s="213" t="n">
        <v>8.95</v>
      </c>
      <c r="X199" s="204" t="n">
        <v>0</v>
      </c>
      <c r="Y199" s="204" t="n">
        <v>12.7</v>
      </c>
    </row>
    <row r="200" customFormat="false" ht="12.75" hidden="false" customHeight="false" outlineLevel="0" collapsed="false">
      <c r="A200" s="215" t="n">
        <v>40486</v>
      </c>
      <c r="B200" s="213" t="n">
        <v>42.6</v>
      </c>
      <c r="C200" s="213" t="n">
        <f aca="false">AVERAGEIFS($B$33:$B$1494,$A$33:$A$1494,A200)</f>
        <v>42.7166666666667</v>
      </c>
      <c r="D200" s="213" t="n">
        <v>43.7</v>
      </c>
      <c r="E200" s="213" t="n">
        <f aca="false">AVERAGEIFS($D$33:$D$1494,$A$33:$A$1494,A200)</f>
        <v>43.7333333333333</v>
      </c>
      <c r="F200" s="213" t="n">
        <v>14.3</v>
      </c>
      <c r="G200" s="213" t="n">
        <f aca="false">AVERAGEIFS($F$33:$F$1494,$A$33:$A$1494,A200)</f>
        <v>13.6</v>
      </c>
      <c r="H200" s="213" t="n">
        <v>13.2</v>
      </c>
      <c r="I200" s="213" t="n">
        <f aca="false">AVERAGEIFS($H$33:$H$1494,$A$33:$A$1494,A200)</f>
        <v>12.9</v>
      </c>
      <c r="L200" s="215" t="n">
        <v>40486</v>
      </c>
      <c r="M200" s="213" t="n">
        <v>42.7166666666667</v>
      </c>
      <c r="N200" s="213" t="n">
        <v>43.7333333333333</v>
      </c>
      <c r="O200" s="213" t="n">
        <v>13.6</v>
      </c>
      <c r="P200" s="213" t="n">
        <v>12.9</v>
      </c>
      <c r="S200" s="215" t="n">
        <v>40627</v>
      </c>
      <c r="T200" s="213" t="n">
        <v>32.8833333333333</v>
      </c>
      <c r="U200" s="213" t="n">
        <v>42.0166666666667</v>
      </c>
      <c r="V200" s="213" t="n">
        <v>9.98333333333333</v>
      </c>
      <c r="W200" s="213" t="n">
        <v>9.26666666666667</v>
      </c>
      <c r="X200" s="204" t="n">
        <v>0</v>
      </c>
      <c r="Y200" s="204" t="n">
        <v>12.1</v>
      </c>
    </row>
    <row r="201" customFormat="false" ht="12.75" hidden="false" customHeight="false" outlineLevel="0" collapsed="false">
      <c r="A201" s="215" t="n">
        <v>40487</v>
      </c>
      <c r="B201" s="213" t="n">
        <v>42.6</v>
      </c>
      <c r="C201" s="213" t="n">
        <f aca="false">AVERAGEIFS($B$33:$B$1494,$A$33:$A$1494,A201)</f>
        <v>42.5333333333333</v>
      </c>
      <c r="D201" s="213" t="n">
        <v>43.8</v>
      </c>
      <c r="E201" s="213" t="n">
        <f aca="false">AVERAGEIFS($D$33:$D$1494,$A$33:$A$1494,A201)</f>
        <v>43.9</v>
      </c>
      <c r="F201" s="213" t="n">
        <v>13.9</v>
      </c>
      <c r="G201" s="213" t="n">
        <f aca="false">AVERAGEIFS($F$33:$F$1494,$A$33:$A$1494,A201)</f>
        <v>13.9</v>
      </c>
      <c r="H201" s="213" t="n">
        <v>13.3</v>
      </c>
      <c r="I201" s="213" t="n">
        <f aca="false">AVERAGEIFS($H$33:$H$1494,$A$33:$A$1494,A201)</f>
        <v>13.3333333333333</v>
      </c>
      <c r="L201" s="215" t="n">
        <v>40487</v>
      </c>
      <c r="M201" s="213" t="n">
        <v>42.5333333333333</v>
      </c>
      <c r="N201" s="213" t="n">
        <v>43.9</v>
      </c>
      <c r="O201" s="213" t="n">
        <v>13.9</v>
      </c>
      <c r="P201" s="213" t="n">
        <v>13.3333333333333</v>
      </c>
      <c r="S201" s="215" t="n">
        <v>40628</v>
      </c>
      <c r="T201" s="213" t="n">
        <v>32.2</v>
      </c>
      <c r="U201" s="213" t="n">
        <v>41.5166666666667</v>
      </c>
      <c r="V201" s="213" t="n">
        <v>10.6</v>
      </c>
      <c r="W201" s="213" t="n">
        <v>9.66666666666667</v>
      </c>
      <c r="X201" s="204" t="n">
        <v>0</v>
      </c>
      <c r="Y201" s="204" t="n">
        <v>13.6</v>
      </c>
    </row>
    <row r="202" customFormat="false" ht="12.75" hidden="false" customHeight="false" outlineLevel="0" collapsed="false">
      <c r="A202" s="215" t="n">
        <v>40487</v>
      </c>
      <c r="B202" s="213" t="n">
        <v>42.6</v>
      </c>
      <c r="C202" s="213" t="n">
        <f aca="false">AVERAGEIFS($B$33:$B$1494,$A$33:$A$1494,A202)</f>
        <v>42.5333333333333</v>
      </c>
      <c r="D202" s="213" t="n">
        <v>43.9</v>
      </c>
      <c r="E202" s="213" t="n">
        <f aca="false">AVERAGEIFS($D$33:$D$1494,$A$33:$A$1494,A202)</f>
        <v>43.9</v>
      </c>
      <c r="F202" s="213" t="n">
        <v>13.8</v>
      </c>
      <c r="G202" s="213" t="n">
        <f aca="false">AVERAGEIFS($F$33:$F$1494,$A$33:$A$1494,A202)</f>
        <v>13.9</v>
      </c>
      <c r="H202" s="213" t="n">
        <v>13.3</v>
      </c>
      <c r="I202" s="213" t="n">
        <f aca="false">AVERAGEIFS($H$33:$H$1494,$A$33:$A$1494,A202)</f>
        <v>13.3333333333333</v>
      </c>
      <c r="L202" s="215" t="n">
        <v>40487</v>
      </c>
      <c r="M202" s="213" t="n">
        <v>42.5333333333333</v>
      </c>
      <c r="N202" s="213" t="n">
        <v>43.9</v>
      </c>
      <c r="O202" s="213" t="n">
        <v>13.9</v>
      </c>
      <c r="P202" s="213" t="n">
        <v>13.3333333333333</v>
      </c>
      <c r="S202" s="215" t="n">
        <v>40629</v>
      </c>
      <c r="T202" s="213" t="n">
        <v>32.4166666666667</v>
      </c>
      <c r="U202" s="213" t="n">
        <v>41.1166666666667</v>
      </c>
      <c r="V202" s="213" t="n">
        <v>11.1166666666667</v>
      </c>
      <c r="W202" s="213" t="n">
        <v>10.1833333333333</v>
      </c>
      <c r="X202" s="204" t="n">
        <v>4.2</v>
      </c>
      <c r="Y202" s="204" t="n">
        <v>12.6</v>
      </c>
    </row>
    <row r="203" customFormat="false" ht="12.75" hidden="false" customHeight="false" outlineLevel="0" collapsed="false">
      <c r="A203" s="215" t="n">
        <v>40487</v>
      </c>
      <c r="B203" s="213" t="n">
        <v>42.5</v>
      </c>
      <c r="C203" s="213" t="n">
        <f aca="false">AVERAGEIFS($B$33:$B$1494,$A$33:$A$1494,A203)</f>
        <v>42.5333333333333</v>
      </c>
      <c r="D203" s="213" t="n">
        <v>43.9</v>
      </c>
      <c r="E203" s="213" t="n">
        <f aca="false">AVERAGEIFS($D$33:$D$1494,$A$33:$A$1494,A203)</f>
        <v>43.9</v>
      </c>
      <c r="F203" s="213" t="n">
        <v>13.8</v>
      </c>
      <c r="G203" s="213" t="n">
        <f aca="false">AVERAGEIFS($F$33:$F$1494,$A$33:$A$1494,A203)</f>
        <v>13.9</v>
      </c>
      <c r="H203" s="213" t="n">
        <v>13.3</v>
      </c>
      <c r="I203" s="213" t="n">
        <f aca="false">AVERAGEIFS($H$33:$H$1494,$A$33:$A$1494,A203)</f>
        <v>13.3333333333333</v>
      </c>
      <c r="L203" s="215" t="n">
        <v>40487</v>
      </c>
      <c r="M203" s="213" t="n">
        <v>42.5333333333333</v>
      </c>
      <c r="N203" s="213" t="n">
        <v>43.9</v>
      </c>
      <c r="O203" s="213" t="n">
        <v>13.9</v>
      </c>
      <c r="P203" s="213" t="n">
        <v>13.3333333333333</v>
      </c>
      <c r="S203" s="215" t="n">
        <v>40630</v>
      </c>
      <c r="T203" s="213" t="n">
        <v>32.3166666666667</v>
      </c>
      <c r="U203" s="213" t="n">
        <v>40.9666666666667</v>
      </c>
      <c r="V203" s="213" t="n">
        <v>10.9666666666667</v>
      </c>
      <c r="W203" s="213" t="n">
        <v>10.2833333333333</v>
      </c>
      <c r="X203" s="204" t="n">
        <v>2.6</v>
      </c>
      <c r="Y203" s="204" t="n">
        <v>11.4</v>
      </c>
    </row>
    <row r="204" customFormat="false" ht="12.75" hidden="false" customHeight="false" outlineLevel="0" collapsed="false">
      <c r="A204" s="215" t="n">
        <v>40487</v>
      </c>
      <c r="B204" s="213" t="n">
        <v>42.5</v>
      </c>
      <c r="C204" s="213" t="n">
        <f aca="false">AVERAGEIFS($B$33:$B$1494,$A$33:$A$1494,A204)</f>
        <v>42.5333333333333</v>
      </c>
      <c r="D204" s="213" t="n">
        <v>43.9</v>
      </c>
      <c r="E204" s="213" t="n">
        <f aca="false">AVERAGEIFS($D$33:$D$1494,$A$33:$A$1494,A204)</f>
        <v>43.9</v>
      </c>
      <c r="F204" s="213" t="n">
        <v>13.8</v>
      </c>
      <c r="G204" s="213" t="n">
        <f aca="false">AVERAGEIFS($F$33:$F$1494,$A$33:$A$1494,A204)</f>
        <v>13.9</v>
      </c>
      <c r="H204" s="213" t="n">
        <v>13.3</v>
      </c>
      <c r="I204" s="213" t="n">
        <f aca="false">AVERAGEIFS($H$33:$H$1494,$A$33:$A$1494,A204)</f>
        <v>13.3333333333333</v>
      </c>
      <c r="L204" s="215" t="n">
        <v>40487</v>
      </c>
      <c r="M204" s="213" t="n">
        <v>42.5333333333333</v>
      </c>
      <c r="N204" s="213" t="n">
        <v>43.9</v>
      </c>
      <c r="O204" s="213" t="n">
        <v>13.9</v>
      </c>
      <c r="P204" s="213" t="n">
        <v>13.3333333333333</v>
      </c>
      <c r="S204" s="215" t="n">
        <v>40631</v>
      </c>
      <c r="T204" s="213" t="n">
        <v>32.1333333333333</v>
      </c>
      <c r="U204" s="213" t="n">
        <v>40.8666666666667</v>
      </c>
      <c r="V204" s="213" t="n">
        <v>10.6666666666667</v>
      </c>
      <c r="W204" s="213" t="n">
        <v>10.2</v>
      </c>
      <c r="X204" s="204" t="n">
        <v>7.2</v>
      </c>
      <c r="Y204" s="204" t="n">
        <v>11.1</v>
      </c>
    </row>
    <row r="205" customFormat="false" ht="12.75" hidden="false" customHeight="false" outlineLevel="0" collapsed="false">
      <c r="A205" s="215" t="n">
        <v>40487</v>
      </c>
      <c r="B205" s="213" t="n">
        <v>42.5</v>
      </c>
      <c r="C205" s="213" t="n">
        <f aca="false">AVERAGEIFS($B$33:$B$1494,$A$33:$A$1494,A205)</f>
        <v>42.5333333333333</v>
      </c>
      <c r="D205" s="213" t="n">
        <v>43.9</v>
      </c>
      <c r="E205" s="213" t="n">
        <f aca="false">AVERAGEIFS($D$33:$D$1494,$A$33:$A$1494,A205)</f>
        <v>43.9</v>
      </c>
      <c r="F205" s="213" t="n">
        <v>14</v>
      </c>
      <c r="G205" s="213" t="n">
        <f aca="false">AVERAGEIFS($F$33:$F$1494,$A$33:$A$1494,A205)</f>
        <v>13.9</v>
      </c>
      <c r="H205" s="213" t="n">
        <v>13.4</v>
      </c>
      <c r="I205" s="213" t="n">
        <f aca="false">AVERAGEIFS($H$33:$H$1494,$A$33:$A$1494,A205)</f>
        <v>13.3333333333333</v>
      </c>
      <c r="L205" s="215" t="n">
        <v>40487</v>
      </c>
      <c r="M205" s="213" t="n">
        <v>42.5333333333333</v>
      </c>
      <c r="N205" s="213" t="n">
        <v>43.9</v>
      </c>
      <c r="O205" s="213" t="n">
        <v>13.9</v>
      </c>
      <c r="P205" s="213" t="n">
        <v>13.3333333333333</v>
      </c>
      <c r="S205" s="215" t="n">
        <v>40632</v>
      </c>
      <c r="T205" s="213" t="n">
        <v>32</v>
      </c>
      <c r="U205" s="213" t="n">
        <v>40.9166666666667</v>
      </c>
      <c r="V205" s="213" t="n">
        <v>10.5333333333333</v>
      </c>
      <c r="W205" s="213" t="n">
        <v>10.1</v>
      </c>
      <c r="X205" s="204" t="n">
        <v>2</v>
      </c>
      <c r="Y205" s="204" t="n">
        <v>11.9</v>
      </c>
    </row>
    <row r="206" customFormat="false" ht="12.75" hidden="false" customHeight="false" outlineLevel="0" collapsed="false">
      <c r="A206" s="215" t="n">
        <v>40487</v>
      </c>
      <c r="B206" s="213" t="n">
        <v>42.5</v>
      </c>
      <c r="C206" s="213" t="n">
        <f aca="false">AVERAGEIFS($B$33:$B$1494,$A$33:$A$1494,A206)</f>
        <v>42.5333333333333</v>
      </c>
      <c r="D206" s="213" t="n">
        <v>44</v>
      </c>
      <c r="E206" s="213" t="n">
        <f aca="false">AVERAGEIFS($D$33:$D$1494,$A$33:$A$1494,A206)</f>
        <v>43.9</v>
      </c>
      <c r="F206" s="213" t="n">
        <v>14.1</v>
      </c>
      <c r="G206" s="213" t="n">
        <f aca="false">AVERAGEIFS($F$33:$F$1494,$A$33:$A$1494,A206)</f>
        <v>13.9</v>
      </c>
      <c r="H206" s="213" t="n">
        <v>13.4</v>
      </c>
      <c r="I206" s="213" t="n">
        <f aca="false">AVERAGEIFS($H$33:$H$1494,$A$33:$A$1494,A206)</f>
        <v>13.3333333333333</v>
      </c>
      <c r="L206" s="215" t="n">
        <v>40487</v>
      </c>
      <c r="M206" s="213" t="n">
        <v>42.5333333333333</v>
      </c>
      <c r="N206" s="213" t="n">
        <v>43.9</v>
      </c>
      <c r="O206" s="213" t="n">
        <v>13.9</v>
      </c>
      <c r="P206" s="213" t="n">
        <v>13.3333333333333</v>
      </c>
      <c r="S206" s="215" t="n">
        <v>40633</v>
      </c>
      <c r="T206" s="213" t="n">
        <v>32.0333333333333</v>
      </c>
      <c r="U206" s="213" t="n">
        <v>40.5</v>
      </c>
      <c r="V206" s="213" t="n">
        <v>11.2333333333333</v>
      </c>
      <c r="W206" s="213" t="n">
        <v>10.3333333333333</v>
      </c>
      <c r="X206" s="204" t="n">
        <v>0.2</v>
      </c>
      <c r="Y206" s="204" t="n">
        <v>13.7</v>
      </c>
    </row>
    <row r="207" customFormat="false" ht="12.75" hidden="false" customHeight="false" outlineLevel="0" collapsed="false">
      <c r="A207" s="215" t="n">
        <v>40488</v>
      </c>
      <c r="B207" s="213" t="n">
        <v>42.5</v>
      </c>
      <c r="C207" s="213" t="n">
        <f aca="false">AVERAGEIFS($B$33:$B$1494,$A$33:$A$1494,A207)</f>
        <v>42.4666666666667</v>
      </c>
      <c r="D207" s="213" t="n">
        <v>44</v>
      </c>
      <c r="E207" s="213" t="n">
        <f aca="false">AVERAGEIFS($D$33:$D$1494,$A$33:$A$1494,A207)</f>
        <v>44</v>
      </c>
      <c r="F207" s="213" t="n">
        <v>13.9</v>
      </c>
      <c r="G207" s="213" t="n">
        <f aca="false">AVERAGEIFS($F$33:$F$1494,$A$33:$A$1494,A207)</f>
        <v>13.9833333333333</v>
      </c>
      <c r="H207" s="213" t="n">
        <v>13.5</v>
      </c>
      <c r="I207" s="213" t="n">
        <f aca="false">AVERAGEIFS($H$33:$H$1494,$A$33:$A$1494,A207)</f>
        <v>13.5</v>
      </c>
      <c r="L207" s="215" t="n">
        <v>40488</v>
      </c>
      <c r="M207" s="213" t="n">
        <v>42.4666666666667</v>
      </c>
      <c r="N207" s="213" t="n">
        <v>44</v>
      </c>
      <c r="O207" s="213" t="n">
        <v>13.9833333333333</v>
      </c>
      <c r="P207" s="213" t="n">
        <v>13.5</v>
      </c>
      <c r="S207" s="215" t="n">
        <v>40634</v>
      </c>
      <c r="T207" s="213" t="n">
        <v>31.95</v>
      </c>
      <c r="U207" s="213" t="n">
        <v>40.1333333333333</v>
      </c>
      <c r="V207" s="213" t="n">
        <v>11.4333333333333</v>
      </c>
      <c r="W207" s="213" t="n">
        <v>10.6</v>
      </c>
      <c r="X207" s="204" t="n">
        <v>0.2</v>
      </c>
      <c r="Y207" s="204" t="n">
        <v>15.3</v>
      </c>
    </row>
    <row r="208" customFormat="false" ht="12.75" hidden="false" customHeight="false" outlineLevel="0" collapsed="false">
      <c r="A208" s="215" t="n">
        <v>40488</v>
      </c>
      <c r="B208" s="213" t="n">
        <v>42.5</v>
      </c>
      <c r="C208" s="213" t="n">
        <f aca="false">AVERAGEIFS($B$33:$B$1494,$A$33:$A$1494,A208)</f>
        <v>42.4666666666667</v>
      </c>
      <c r="D208" s="213" t="n">
        <v>44</v>
      </c>
      <c r="E208" s="213" t="n">
        <f aca="false">AVERAGEIFS($D$33:$D$1494,$A$33:$A$1494,A208)</f>
        <v>44</v>
      </c>
      <c r="F208" s="213" t="n">
        <v>13.8</v>
      </c>
      <c r="G208" s="213" t="n">
        <f aca="false">AVERAGEIFS($F$33:$F$1494,$A$33:$A$1494,A208)</f>
        <v>13.9833333333333</v>
      </c>
      <c r="H208" s="213" t="n">
        <v>13.5</v>
      </c>
      <c r="I208" s="213" t="n">
        <f aca="false">AVERAGEIFS($H$33:$H$1494,$A$33:$A$1494,A208)</f>
        <v>13.5</v>
      </c>
      <c r="L208" s="215" t="n">
        <v>40488</v>
      </c>
      <c r="M208" s="213" t="n">
        <v>42.4666666666667</v>
      </c>
      <c r="N208" s="213" t="n">
        <v>44</v>
      </c>
      <c r="O208" s="213" t="n">
        <v>13.9833333333333</v>
      </c>
      <c r="P208" s="213" t="n">
        <v>13.5</v>
      </c>
      <c r="S208" s="215" t="n">
        <v>40635</v>
      </c>
      <c r="T208" s="213" t="n">
        <v>31.7333333333333</v>
      </c>
      <c r="U208" s="213" t="n">
        <v>39.8</v>
      </c>
      <c r="V208" s="213" t="n">
        <v>12.3166666666667</v>
      </c>
      <c r="W208" s="213" t="n">
        <v>11.1</v>
      </c>
      <c r="X208" s="204" t="n">
        <v>0</v>
      </c>
      <c r="Y208" s="204" t="n">
        <v>14.7</v>
      </c>
    </row>
    <row r="209" customFormat="false" ht="12.75" hidden="false" customHeight="false" outlineLevel="0" collapsed="false">
      <c r="A209" s="215" t="n">
        <v>40488</v>
      </c>
      <c r="B209" s="213" t="n">
        <v>42.5</v>
      </c>
      <c r="C209" s="213" t="n">
        <f aca="false">AVERAGEIFS($B$33:$B$1494,$A$33:$A$1494,A209)</f>
        <v>42.4666666666667</v>
      </c>
      <c r="D209" s="213" t="n">
        <v>44</v>
      </c>
      <c r="E209" s="213" t="n">
        <f aca="false">AVERAGEIFS($D$33:$D$1494,$A$33:$A$1494,A209)</f>
        <v>44</v>
      </c>
      <c r="F209" s="213" t="n">
        <v>13.7</v>
      </c>
      <c r="G209" s="213" t="n">
        <f aca="false">AVERAGEIFS($F$33:$F$1494,$A$33:$A$1494,A209)</f>
        <v>13.9833333333333</v>
      </c>
      <c r="H209" s="213" t="n">
        <v>13.5</v>
      </c>
      <c r="I209" s="213" t="n">
        <f aca="false">AVERAGEIFS($H$33:$H$1494,$A$33:$A$1494,A209)</f>
        <v>13.5</v>
      </c>
      <c r="L209" s="215" t="n">
        <v>40488</v>
      </c>
      <c r="M209" s="213" t="n">
        <v>42.4666666666667</v>
      </c>
      <c r="N209" s="213" t="n">
        <v>44</v>
      </c>
      <c r="O209" s="213" t="n">
        <v>13.9833333333333</v>
      </c>
      <c r="P209" s="213" t="n">
        <v>13.5</v>
      </c>
      <c r="S209" s="215" t="n">
        <v>40636</v>
      </c>
      <c r="T209" s="213" t="n">
        <v>31.5</v>
      </c>
      <c r="U209" s="213" t="n">
        <v>39.55</v>
      </c>
      <c r="V209" s="213" t="n">
        <v>12.5666666666667</v>
      </c>
      <c r="W209" s="213" t="n">
        <v>11.5333333333333</v>
      </c>
      <c r="X209" s="204" t="n">
        <v>0</v>
      </c>
      <c r="Y209" s="204" t="n">
        <v>13.6</v>
      </c>
    </row>
    <row r="210" customFormat="false" ht="12.75" hidden="false" customHeight="false" outlineLevel="0" collapsed="false">
      <c r="A210" s="215" t="n">
        <v>40488</v>
      </c>
      <c r="B210" s="213" t="n">
        <v>42.5</v>
      </c>
      <c r="C210" s="213" t="n">
        <f aca="false">AVERAGEIFS($B$33:$B$1494,$A$33:$A$1494,A210)</f>
        <v>42.4666666666667</v>
      </c>
      <c r="D210" s="213" t="n">
        <v>44</v>
      </c>
      <c r="E210" s="213" t="n">
        <f aca="false">AVERAGEIFS($D$33:$D$1494,$A$33:$A$1494,A210)</f>
        <v>44</v>
      </c>
      <c r="F210" s="213" t="n">
        <v>13.8</v>
      </c>
      <c r="G210" s="213" t="n">
        <f aca="false">AVERAGEIFS($F$33:$F$1494,$A$33:$A$1494,A210)</f>
        <v>13.9833333333333</v>
      </c>
      <c r="H210" s="213" t="n">
        <v>13.4</v>
      </c>
      <c r="I210" s="213" t="n">
        <f aca="false">AVERAGEIFS($H$33:$H$1494,$A$33:$A$1494,A210)</f>
        <v>13.5</v>
      </c>
      <c r="L210" s="215" t="n">
        <v>40488</v>
      </c>
      <c r="M210" s="213" t="n">
        <v>42.4666666666667</v>
      </c>
      <c r="N210" s="213" t="n">
        <v>44</v>
      </c>
      <c r="O210" s="213" t="n">
        <v>13.9833333333333</v>
      </c>
      <c r="P210" s="213" t="n">
        <v>13.5</v>
      </c>
      <c r="S210" s="215" t="n">
        <v>40637</v>
      </c>
      <c r="T210" s="213" t="n">
        <v>31.35</v>
      </c>
      <c r="U210" s="213" t="n">
        <v>39.3833333333333</v>
      </c>
      <c r="V210" s="213" t="n">
        <v>12.05</v>
      </c>
      <c r="W210" s="213" t="n">
        <v>11.4</v>
      </c>
      <c r="X210" s="204" t="n">
        <v>0</v>
      </c>
      <c r="Y210" s="204" t="n">
        <v>12.8</v>
      </c>
    </row>
    <row r="211" customFormat="false" ht="12.75" hidden="false" customHeight="false" outlineLevel="0" collapsed="false">
      <c r="A211" s="215" t="n">
        <v>40488</v>
      </c>
      <c r="B211" s="213" t="n">
        <v>42.4</v>
      </c>
      <c r="C211" s="213" t="n">
        <f aca="false">AVERAGEIFS($B$33:$B$1494,$A$33:$A$1494,A211)</f>
        <v>42.4666666666667</v>
      </c>
      <c r="D211" s="213" t="n">
        <v>44</v>
      </c>
      <c r="E211" s="213" t="n">
        <f aca="false">AVERAGEIFS($D$33:$D$1494,$A$33:$A$1494,A211)</f>
        <v>44</v>
      </c>
      <c r="F211" s="213" t="n">
        <v>14.4</v>
      </c>
      <c r="G211" s="213" t="n">
        <f aca="false">AVERAGEIFS($F$33:$F$1494,$A$33:$A$1494,A211)</f>
        <v>13.9833333333333</v>
      </c>
      <c r="H211" s="213" t="n">
        <v>13.5</v>
      </c>
      <c r="I211" s="213" t="n">
        <f aca="false">AVERAGEIFS($H$33:$H$1494,$A$33:$A$1494,A211)</f>
        <v>13.5</v>
      </c>
      <c r="L211" s="215" t="n">
        <v>40488</v>
      </c>
      <c r="M211" s="213" t="n">
        <v>42.4666666666667</v>
      </c>
      <c r="N211" s="213" t="n">
        <v>44</v>
      </c>
      <c r="O211" s="213" t="n">
        <v>13.9833333333333</v>
      </c>
      <c r="P211" s="213" t="n">
        <v>13.5</v>
      </c>
      <c r="S211" s="215" t="n">
        <v>40638</v>
      </c>
      <c r="T211" s="213" t="n">
        <v>31</v>
      </c>
      <c r="U211" s="213" t="n">
        <v>38.9833333333333</v>
      </c>
      <c r="V211" s="213" t="n">
        <v>11.0166666666667</v>
      </c>
      <c r="W211" s="213" t="n">
        <v>10.9</v>
      </c>
      <c r="X211" s="204" t="n">
        <v>0</v>
      </c>
      <c r="Y211" s="204" t="n">
        <v>13.4</v>
      </c>
    </row>
    <row r="212" customFormat="false" ht="12.75" hidden="false" customHeight="false" outlineLevel="0" collapsed="false">
      <c r="A212" s="215" t="n">
        <v>40488</v>
      </c>
      <c r="B212" s="213" t="n">
        <v>42.4</v>
      </c>
      <c r="C212" s="213" t="n">
        <f aca="false">AVERAGEIFS($B$33:$B$1494,$A$33:$A$1494,A212)</f>
        <v>42.4666666666667</v>
      </c>
      <c r="D212" s="213" t="n">
        <v>44</v>
      </c>
      <c r="E212" s="213" t="n">
        <f aca="false">AVERAGEIFS($D$33:$D$1494,$A$33:$A$1494,A212)</f>
        <v>44</v>
      </c>
      <c r="F212" s="213" t="n">
        <v>14.3</v>
      </c>
      <c r="G212" s="213" t="n">
        <f aca="false">AVERAGEIFS($F$33:$F$1494,$A$33:$A$1494,A212)</f>
        <v>13.9833333333333</v>
      </c>
      <c r="H212" s="213" t="n">
        <v>13.6</v>
      </c>
      <c r="I212" s="213" t="n">
        <f aca="false">AVERAGEIFS($H$33:$H$1494,$A$33:$A$1494,A212)</f>
        <v>13.5</v>
      </c>
      <c r="L212" s="215" t="n">
        <v>40488</v>
      </c>
      <c r="M212" s="213" t="n">
        <v>42.4666666666667</v>
      </c>
      <c r="N212" s="213" t="n">
        <v>44</v>
      </c>
      <c r="O212" s="213" t="n">
        <v>13.9833333333333</v>
      </c>
      <c r="P212" s="213" t="n">
        <v>13.5</v>
      </c>
      <c r="S212" s="215" t="n">
        <v>40639</v>
      </c>
      <c r="T212" s="213" t="n">
        <v>30.6</v>
      </c>
      <c r="U212" s="213" t="n">
        <v>38.4333333333333</v>
      </c>
      <c r="V212" s="213" t="n">
        <v>11.1666666666667</v>
      </c>
      <c r="W212" s="213" t="n">
        <v>10.6666666666667</v>
      </c>
      <c r="X212" s="204" t="n">
        <v>0</v>
      </c>
      <c r="Y212" s="204" t="n">
        <v>16.8</v>
      </c>
    </row>
    <row r="213" customFormat="false" ht="12.75" hidden="false" customHeight="false" outlineLevel="0" collapsed="false">
      <c r="A213" s="215" t="n">
        <v>40489</v>
      </c>
      <c r="B213" s="213" t="n">
        <v>42.4</v>
      </c>
      <c r="C213" s="213" t="n">
        <f aca="false">AVERAGEIFS($B$33:$B$1494,$A$33:$A$1494,A213)</f>
        <v>42.35</v>
      </c>
      <c r="D213" s="213" t="n">
        <v>44</v>
      </c>
      <c r="E213" s="213" t="n">
        <f aca="false">AVERAGEIFS($D$33:$D$1494,$A$33:$A$1494,A213)</f>
        <v>44.0333333333333</v>
      </c>
      <c r="F213" s="213" t="n">
        <v>13.9</v>
      </c>
      <c r="G213" s="213" t="n">
        <f aca="false">AVERAGEIFS($F$33:$F$1494,$A$33:$A$1494,A213)</f>
        <v>13.2166666666667</v>
      </c>
      <c r="H213" s="213" t="n">
        <v>13.6</v>
      </c>
      <c r="I213" s="213" t="n">
        <f aca="false">AVERAGEIFS($H$33:$H$1494,$A$33:$A$1494,A213)</f>
        <v>13.4333333333333</v>
      </c>
      <c r="L213" s="215" t="n">
        <v>40489</v>
      </c>
      <c r="M213" s="213" t="n">
        <v>42.35</v>
      </c>
      <c r="N213" s="213" t="n">
        <v>44.0333333333333</v>
      </c>
      <c r="O213" s="213" t="n">
        <v>13.2166666666667</v>
      </c>
      <c r="P213" s="213" t="n">
        <v>13.4333333333333</v>
      </c>
      <c r="S213" s="215" t="n">
        <v>40640</v>
      </c>
      <c r="T213" s="213" t="n">
        <v>30.1</v>
      </c>
      <c r="U213" s="213" t="n">
        <v>37.7</v>
      </c>
      <c r="V213" s="213" t="n">
        <v>12.4166666666667</v>
      </c>
      <c r="W213" s="213" t="n">
        <v>11.2333333333333</v>
      </c>
      <c r="X213" s="204" t="n">
        <v>0</v>
      </c>
      <c r="Y213" s="204" t="n">
        <v>18.9</v>
      </c>
    </row>
    <row r="214" customFormat="false" ht="12.75" hidden="false" customHeight="false" outlineLevel="0" collapsed="false">
      <c r="A214" s="215" t="n">
        <v>40489</v>
      </c>
      <c r="B214" s="213" t="n">
        <v>42.4</v>
      </c>
      <c r="C214" s="213" t="n">
        <f aca="false">AVERAGEIFS($B$33:$B$1494,$A$33:$A$1494,A214)</f>
        <v>42.35</v>
      </c>
      <c r="D214" s="213" t="n">
        <v>44</v>
      </c>
      <c r="E214" s="213" t="n">
        <f aca="false">AVERAGEIFS($D$33:$D$1494,$A$33:$A$1494,A214)</f>
        <v>44.0333333333333</v>
      </c>
      <c r="F214" s="213" t="n">
        <v>13.6</v>
      </c>
      <c r="G214" s="213" t="n">
        <f aca="false">AVERAGEIFS($F$33:$F$1494,$A$33:$A$1494,A214)</f>
        <v>13.2166666666667</v>
      </c>
      <c r="H214" s="213" t="n">
        <v>13.6</v>
      </c>
      <c r="I214" s="213" t="n">
        <f aca="false">AVERAGEIFS($H$33:$H$1494,$A$33:$A$1494,A214)</f>
        <v>13.4333333333333</v>
      </c>
      <c r="L214" s="215" t="n">
        <v>40489</v>
      </c>
      <c r="M214" s="213" t="n">
        <v>42.35</v>
      </c>
      <c r="N214" s="213" t="n">
        <v>44.0333333333333</v>
      </c>
      <c r="O214" s="213" t="n">
        <v>13.2166666666667</v>
      </c>
      <c r="P214" s="213" t="n">
        <v>13.4333333333333</v>
      </c>
      <c r="S214" s="215" t="n">
        <v>40641</v>
      </c>
      <c r="T214" s="213" t="n">
        <v>29.6</v>
      </c>
      <c r="U214" s="213" t="n">
        <v>37</v>
      </c>
      <c r="V214" s="213" t="n">
        <v>13.3333333333333</v>
      </c>
      <c r="W214" s="213" t="n">
        <v>11.9666666666667</v>
      </c>
      <c r="X214" s="204" t="n">
        <v>0</v>
      </c>
      <c r="Y214" s="204" t="n">
        <v>19.1</v>
      </c>
    </row>
    <row r="215" customFormat="false" ht="12.75" hidden="false" customHeight="false" outlineLevel="0" collapsed="false">
      <c r="A215" s="215" t="n">
        <v>40489</v>
      </c>
      <c r="B215" s="213" t="n">
        <v>42.4</v>
      </c>
      <c r="C215" s="213" t="n">
        <f aca="false">AVERAGEIFS($B$33:$B$1494,$A$33:$A$1494,A215)</f>
        <v>42.35</v>
      </c>
      <c r="D215" s="213" t="n">
        <v>44.1</v>
      </c>
      <c r="E215" s="213" t="n">
        <f aca="false">AVERAGEIFS($D$33:$D$1494,$A$33:$A$1494,A215)</f>
        <v>44.0333333333333</v>
      </c>
      <c r="F215" s="213" t="n">
        <v>13.3</v>
      </c>
      <c r="G215" s="213" t="n">
        <f aca="false">AVERAGEIFS($F$33:$F$1494,$A$33:$A$1494,A215)</f>
        <v>13.2166666666667</v>
      </c>
      <c r="H215" s="213" t="n">
        <v>13.5</v>
      </c>
      <c r="I215" s="213" t="n">
        <f aca="false">AVERAGEIFS($H$33:$H$1494,$A$33:$A$1494,A215)</f>
        <v>13.4333333333333</v>
      </c>
      <c r="L215" s="215" t="n">
        <v>40489</v>
      </c>
      <c r="M215" s="213" t="n">
        <v>42.35</v>
      </c>
      <c r="N215" s="213" t="n">
        <v>44.0333333333333</v>
      </c>
      <c r="O215" s="213" t="n">
        <v>13.2166666666667</v>
      </c>
      <c r="P215" s="213" t="n">
        <v>13.4333333333333</v>
      </c>
      <c r="S215" s="215" t="n">
        <v>40642</v>
      </c>
      <c r="T215" s="213" t="n">
        <v>29.0333333333333</v>
      </c>
      <c r="U215" s="213" t="n">
        <v>36.15</v>
      </c>
      <c r="V215" s="213" t="n">
        <v>13.5666666666667</v>
      </c>
      <c r="W215" s="213" t="n">
        <v>12.3666666666667</v>
      </c>
      <c r="X215" s="204" t="n">
        <v>0</v>
      </c>
      <c r="Y215" s="204" t="n">
        <v>19.1</v>
      </c>
    </row>
    <row r="216" customFormat="false" ht="12.75" hidden="false" customHeight="false" outlineLevel="0" collapsed="false">
      <c r="A216" s="215" t="n">
        <v>40489</v>
      </c>
      <c r="B216" s="213" t="n">
        <v>42.3</v>
      </c>
      <c r="C216" s="213" t="n">
        <f aca="false">AVERAGEIFS($B$33:$B$1494,$A$33:$A$1494,A216)</f>
        <v>42.35</v>
      </c>
      <c r="D216" s="213" t="n">
        <v>44</v>
      </c>
      <c r="E216" s="213" t="n">
        <f aca="false">AVERAGEIFS($D$33:$D$1494,$A$33:$A$1494,A216)</f>
        <v>44.0333333333333</v>
      </c>
      <c r="F216" s="213" t="n">
        <v>13</v>
      </c>
      <c r="G216" s="213" t="n">
        <f aca="false">AVERAGEIFS($F$33:$F$1494,$A$33:$A$1494,A216)</f>
        <v>13.2166666666667</v>
      </c>
      <c r="H216" s="213" t="n">
        <v>13.4</v>
      </c>
      <c r="I216" s="213" t="n">
        <f aca="false">AVERAGEIFS($H$33:$H$1494,$A$33:$A$1494,A216)</f>
        <v>13.4333333333333</v>
      </c>
      <c r="L216" s="215" t="n">
        <v>40489</v>
      </c>
      <c r="M216" s="213" t="n">
        <v>42.35</v>
      </c>
      <c r="N216" s="213" t="n">
        <v>44.0333333333333</v>
      </c>
      <c r="O216" s="213" t="n">
        <v>13.2166666666667</v>
      </c>
      <c r="P216" s="213" t="n">
        <v>13.4333333333333</v>
      </c>
      <c r="S216" s="215" t="n">
        <v>40643</v>
      </c>
      <c r="T216" s="213" t="n">
        <v>28.8166666666667</v>
      </c>
      <c r="U216" s="213" t="n">
        <v>35.4</v>
      </c>
      <c r="V216" s="213" t="n">
        <v>13.8833333333333</v>
      </c>
      <c r="W216" s="213" t="n">
        <v>12.8166666666667</v>
      </c>
      <c r="X216" s="204" t="n">
        <v>0</v>
      </c>
      <c r="Y216" s="204" t="n">
        <v>14.9</v>
      </c>
    </row>
    <row r="217" customFormat="false" ht="12.75" hidden="false" customHeight="false" outlineLevel="0" collapsed="false">
      <c r="A217" s="215" t="n">
        <v>40489</v>
      </c>
      <c r="B217" s="213" t="n">
        <v>42.3</v>
      </c>
      <c r="C217" s="213" t="n">
        <f aca="false">AVERAGEIFS($B$33:$B$1494,$A$33:$A$1494,A217)</f>
        <v>42.35</v>
      </c>
      <c r="D217" s="213" t="n">
        <v>44</v>
      </c>
      <c r="E217" s="213" t="n">
        <f aca="false">AVERAGEIFS($D$33:$D$1494,$A$33:$A$1494,A217)</f>
        <v>44.0333333333333</v>
      </c>
      <c r="F217" s="213" t="n">
        <v>13</v>
      </c>
      <c r="G217" s="213" t="n">
        <f aca="false">AVERAGEIFS($F$33:$F$1494,$A$33:$A$1494,A217)</f>
        <v>13.2166666666667</v>
      </c>
      <c r="H217" s="213" t="n">
        <v>13.3</v>
      </c>
      <c r="I217" s="213" t="n">
        <f aca="false">AVERAGEIFS($H$33:$H$1494,$A$33:$A$1494,A217)</f>
        <v>13.4333333333333</v>
      </c>
      <c r="L217" s="215" t="n">
        <v>40489</v>
      </c>
      <c r="M217" s="213" t="n">
        <v>42.35</v>
      </c>
      <c r="N217" s="213" t="n">
        <v>44.0333333333333</v>
      </c>
      <c r="O217" s="213" t="n">
        <v>13.2166666666667</v>
      </c>
      <c r="P217" s="213" t="n">
        <v>13.4333333333333</v>
      </c>
      <c r="S217" s="215" t="n">
        <v>40644</v>
      </c>
      <c r="T217" s="213" t="n">
        <v>28.45</v>
      </c>
      <c r="U217" s="213" t="n">
        <v>35.15</v>
      </c>
      <c r="V217" s="213" t="n">
        <v>13.5166666666667</v>
      </c>
      <c r="W217" s="213" t="n">
        <v>12.6333333333333</v>
      </c>
      <c r="X217" s="204" t="n">
        <v>0.2</v>
      </c>
      <c r="Y217" s="204" t="n">
        <v>15.3</v>
      </c>
    </row>
    <row r="218" customFormat="false" ht="12.75" hidden="false" customHeight="false" outlineLevel="0" collapsed="false">
      <c r="A218" s="215" t="n">
        <v>40489</v>
      </c>
      <c r="B218" s="213" t="n">
        <v>42.3</v>
      </c>
      <c r="C218" s="213" t="n">
        <f aca="false">AVERAGEIFS($B$33:$B$1494,$A$33:$A$1494,A218)</f>
        <v>42.35</v>
      </c>
      <c r="D218" s="213" t="n">
        <v>44.1</v>
      </c>
      <c r="E218" s="213" t="n">
        <f aca="false">AVERAGEIFS($D$33:$D$1494,$A$33:$A$1494,A218)</f>
        <v>44.0333333333333</v>
      </c>
      <c r="F218" s="213" t="n">
        <v>12.5</v>
      </c>
      <c r="G218" s="213" t="n">
        <f aca="false">AVERAGEIFS($F$33:$F$1494,$A$33:$A$1494,A218)</f>
        <v>13.2166666666667</v>
      </c>
      <c r="H218" s="213" t="n">
        <v>13.2</v>
      </c>
      <c r="I218" s="213" t="n">
        <f aca="false">AVERAGEIFS($H$33:$H$1494,$A$33:$A$1494,A218)</f>
        <v>13.4333333333333</v>
      </c>
      <c r="L218" s="215" t="n">
        <v>40489</v>
      </c>
      <c r="M218" s="213" t="n">
        <v>42.35</v>
      </c>
      <c r="N218" s="213" t="n">
        <v>44.0333333333333</v>
      </c>
      <c r="O218" s="213" t="n">
        <v>13.2166666666667</v>
      </c>
      <c r="P218" s="213" t="n">
        <v>13.4333333333333</v>
      </c>
      <c r="S218" s="215" t="n">
        <v>40645</v>
      </c>
      <c r="T218" s="213" t="n">
        <v>28.0666666666667</v>
      </c>
      <c r="U218" s="213" t="n">
        <v>34.6166666666667</v>
      </c>
      <c r="V218" s="213" t="n">
        <v>13.2333333333333</v>
      </c>
      <c r="W218" s="213" t="n">
        <v>12.6</v>
      </c>
      <c r="X218" s="204" t="n">
        <v>1.8</v>
      </c>
      <c r="Y218" s="204" t="n">
        <v>13.2</v>
      </c>
    </row>
    <row r="219" customFormat="false" ht="12.75" hidden="false" customHeight="false" outlineLevel="0" collapsed="false">
      <c r="A219" s="215" t="n">
        <v>40490</v>
      </c>
      <c r="B219" s="213" t="n">
        <v>42.3</v>
      </c>
      <c r="C219" s="213" t="n">
        <f aca="false">AVERAGEIFS($B$33:$B$1494,$A$33:$A$1494,A219)</f>
        <v>42.4333333333333</v>
      </c>
      <c r="D219" s="213" t="n">
        <v>44.1</v>
      </c>
      <c r="E219" s="213" t="n">
        <f aca="false">AVERAGEIFS($D$33:$D$1494,$A$33:$A$1494,A219)</f>
        <v>44.1</v>
      </c>
      <c r="F219" s="213" t="n">
        <v>11.6</v>
      </c>
      <c r="G219" s="213" t="n">
        <f aca="false">AVERAGEIFS($F$33:$F$1494,$A$33:$A$1494,A219)</f>
        <v>10.6833333333333</v>
      </c>
      <c r="H219" s="213" t="n">
        <v>13</v>
      </c>
      <c r="I219" s="213" t="n">
        <f aca="false">AVERAGEIFS($H$33:$H$1494,$A$33:$A$1494,A219)</f>
        <v>12.2166666666667</v>
      </c>
      <c r="L219" s="215" t="n">
        <v>40490</v>
      </c>
      <c r="M219" s="213" t="n">
        <v>42.4333333333333</v>
      </c>
      <c r="N219" s="213" t="n">
        <v>44.1</v>
      </c>
      <c r="O219" s="213" t="n">
        <v>10.6833333333333</v>
      </c>
      <c r="P219" s="213" t="n">
        <v>12.2166666666667</v>
      </c>
      <c r="S219" s="215" t="n">
        <v>40646</v>
      </c>
      <c r="T219" s="213" t="n">
        <v>27.5833333333333</v>
      </c>
      <c r="U219" s="213" t="n">
        <v>33.8666666666667</v>
      </c>
      <c r="V219" s="213" t="n">
        <v>11.5833333333333</v>
      </c>
      <c r="W219" s="213" t="n">
        <v>11.85</v>
      </c>
      <c r="X219" s="204" t="n">
        <v>0</v>
      </c>
      <c r="Y219" s="204" t="n">
        <v>11.9</v>
      </c>
    </row>
    <row r="220" customFormat="false" ht="12.75" hidden="false" customHeight="false" outlineLevel="0" collapsed="false">
      <c r="A220" s="215" t="n">
        <v>40490</v>
      </c>
      <c r="B220" s="213" t="n">
        <v>42.3</v>
      </c>
      <c r="C220" s="213" t="n">
        <f aca="false">AVERAGEIFS($B$33:$B$1494,$A$33:$A$1494,A220)</f>
        <v>42.4333333333333</v>
      </c>
      <c r="D220" s="213" t="n">
        <v>44.1</v>
      </c>
      <c r="E220" s="213" t="n">
        <f aca="false">AVERAGEIFS($D$33:$D$1494,$A$33:$A$1494,A220)</f>
        <v>44.1</v>
      </c>
      <c r="F220" s="213" t="n">
        <v>10.8</v>
      </c>
      <c r="G220" s="213" t="n">
        <f aca="false">AVERAGEIFS($F$33:$F$1494,$A$33:$A$1494,A220)</f>
        <v>10.6833333333333</v>
      </c>
      <c r="H220" s="213" t="n">
        <v>12.7</v>
      </c>
      <c r="I220" s="213" t="n">
        <f aca="false">AVERAGEIFS($H$33:$H$1494,$A$33:$A$1494,A220)</f>
        <v>12.2166666666667</v>
      </c>
      <c r="L220" s="215" t="n">
        <v>40490</v>
      </c>
      <c r="M220" s="213" t="n">
        <v>42.4333333333333</v>
      </c>
      <c r="N220" s="213" t="n">
        <v>44.1</v>
      </c>
      <c r="O220" s="213" t="n">
        <v>10.6833333333333</v>
      </c>
      <c r="P220" s="213" t="n">
        <v>12.2166666666667</v>
      </c>
      <c r="S220" s="215" t="n">
        <v>40647</v>
      </c>
      <c r="T220" s="213" t="n">
        <v>27.05</v>
      </c>
      <c r="U220" s="213" t="n">
        <v>33.0166666666667</v>
      </c>
      <c r="V220" s="213" t="n">
        <v>11.2333333333333</v>
      </c>
      <c r="W220" s="213" t="n">
        <v>11.2666666666667</v>
      </c>
      <c r="X220" s="204" t="n">
        <v>0</v>
      </c>
      <c r="Y220" s="204" t="n">
        <v>13.7</v>
      </c>
    </row>
    <row r="221" customFormat="false" ht="12.75" hidden="false" customHeight="false" outlineLevel="0" collapsed="false">
      <c r="A221" s="215" t="n">
        <v>40490</v>
      </c>
      <c r="B221" s="213" t="n">
        <v>42.3</v>
      </c>
      <c r="C221" s="213" t="n">
        <f aca="false">AVERAGEIFS($B$33:$B$1494,$A$33:$A$1494,A221)</f>
        <v>42.4333333333333</v>
      </c>
      <c r="D221" s="213" t="n">
        <v>44.1</v>
      </c>
      <c r="E221" s="213" t="n">
        <f aca="false">AVERAGEIFS($D$33:$D$1494,$A$33:$A$1494,A221)</f>
        <v>44.1</v>
      </c>
      <c r="F221" s="213" t="n">
        <v>10.3</v>
      </c>
      <c r="G221" s="213" t="n">
        <f aca="false">AVERAGEIFS($F$33:$F$1494,$A$33:$A$1494,A221)</f>
        <v>10.6833333333333</v>
      </c>
      <c r="H221" s="213" t="n">
        <v>12.3</v>
      </c>
      <c r="I221" s="213" t="n">
        <f aca="false">AVERAGEIFS($H$33:$H$1494,$A$33:$A$1494,A221)</f>
        <v>12.2166666666667</v>
      </c>
      <c r="L221" s="215" t="n">
        <v>40490</v>
      </c>
      <c r="M221" s="213" t="n">
        <v>42.4333333333333</v>
      </c>
      <c r="N221" s="213" t="n">
        <v>44.1</v>
      </c>
      <c r="O221" s="213" t="n">
        <v>10.6833333333333</v>
      </c>
      <c r="P221" s="213" t="n">
        <v>12.2166666666667</v>
      </c>
      <c r="S221" s="215" t="n">
        <v>40648</v>
      </c>
      <c r="T221" s="213" t="n">
        <v>26.4333333333333</v>
      </c>
      <c r="U221" s="213" t="n">
        <v>32.1</v>
      </c>
      <c r="V221" s="213" t="n">
        <v>11.55</v>
      </c>
      <c r="W221" s="213" t="n">
        <v>11.2333333333333</v>
      </c>
      <c r="X221" s="204" t="n">
        <v>0</v>
      </c>
      <c r="Y221" s="204" t="n">
        <v>12.9</v>
      </c>
    </row>
    <row r="222" customFormat="false" ht="12.75" hidden="false" customHeight="false" outlineLevel="0" collapsed="false">
      <c r="A222" s="215" t="n">
        <v>40490</v>
      </c>
      <c r="B222" s="213" t="n">
        <v>42.3</v>
      </c>
      <c r="C222" s="213" t="n">
        <f aca="false">AVERAGEIFS($B$33:$B$1494,$A$33:$A$1494,A222)</f>
        <v>42.4333333333333</v>
      </c>
      <c r="D222" s="213" t="n">
        <v>44.1</v>
      </c>
      <c r="E222" s="213" t="n">
        <f aca="false">AVERAGEIFS($D$33:$D$1494,$A$33:$A$1494,A222)</f>
        <v>44.1</v>
      </c>
      <c r="F222" s="213" t="n">
        <v>10.3</v>
      </c>
      <c r="G222" s="213" t="n">
        <f aca="false">AVERAGEIFS($F$33:$F$1494,$A$33:$A$1494,A222)</f>
        <v>10.6833333333333</v>
      </c>
      <c r="H222" s="213" t="n">
        <v>12</v>
      </c>
      <c r="I222" s="213" t="n">
        <f aca="false">AVERAGEIFS($H$33:$H$1494,$A$33:$A$1494,A222)</f>
        <v>12.2166666666667</v>
      </c>
      <c r="L222" s="215" t="n">
        <v>40490</v>
      </c>
      <c r="M222" s="213" t="n">
        <v>42.4333333333333</v>
      </c>
      <c r="N222" s="213" t="n">
        <v>44.1</v>
      </c>
      <c r="O222" s="213" t="n">
        <v>10.6833333333333</v>
      </c>
      <c r="P222" s="213" t="n">
        <v>12.2166666666667</v>
      </c>
      <c r="S222" s="215" t="n">
        <v>40649</v>
      </c>
      <c r="T222" s="213" t="n">
        <v>25.95</v>
      </c>
      <c r="U222" s="213" t="n">
        <v>31.25</v>
      </c>
      <c r="V222" s="213" t="n">
        <v>11.3666666666667</v>
      </c>
      <c r="W222" s="213" t="n">
        <v>11.1666666666667</v>
      </c>
      <c r="X222" s="204" t="n">
        <v>0</v>
      </c>
      <c r="Y222" s="204" t="n">
        <v>13.4</v>
      </c>
    </row>
    <row r="223" customFormat="false" ht="12.75" hidden="false" customHeight="false" outlineLevel="0" collapsed="false">
      <c r="A223" s="215" t="n">
        <v>40490</v>
      </c>
      <c r="B223" s="213" t="n">
        <v>42.3</v>
      </c>
      <c r="C223" s="213" t="n">
        <f aca="false">AVERAGEIFS($B$33:$B$1494,$A$33:$A$1494,A223)</f>
        <v>42.4333333333333</v>
      </c>
      <c r="D223" s="213" t="n">
        <v>44.1</v>
      </c>
      <c r="E223" s="213" t="n">
        <f aca="false">AVERAGEIFS($D$33:$D$1494,$A$33:$A$1494,A223)</f>
        <v>44.1</v>
      </c>
      <c r="F223" s="213" t="n">
        <v>10.5</v>
      </c>
      <c r="G223" s="213" t="n">
        <f aca="false">AVERAGEIFS($F$33:$F$1494,$A$33:$A$1494,A223)</f>
        <v>10.6833333333333</v>
      </c>
      <c r="H223" s="213" t="n">
        <v>11.7</v>
      </c>
      <c r="I223" s="213" t="n">
        <f aca="false">AVERAGEIFS($H$33:$H$1494,$A$33:$A$1494,A223)</f>
        <v>12.2166666666667</v>
      </c>
      <c r="L223" s="215" t="n">
        <v>40490</v>
      </c>
      <c r="M223" s="213" t="n">
        <v>42.4333333333333</v>
      </c>
      <c r="N223" s="213" t="n">
        <v>44.1</v>
      </c>
      <c r="O223" s="213" t="n">
        <v>10.6833333333333</v>
      </c>
      <c r="P223" s="213" t="n">
        <v>12.2166666666667</v>
      </c>
      <c r="S223" s="215" t="n">
        <v>40650</v>
      </c>
      <c r="T223" s="213" t="n">
        <v>25.5333333333333</v>
      </c>
      <c r="U223" s="213" t="n">
        <v>30.3</v>
      </c>
      <c r="V223" s="213" t="n">
        <v>11.6</v>
      </c>
      <c r="W223" s="213" t="n">
        <v>11.15</v>
      </c>
      <c r="X223" s="204" t="n">
        <v>0</v>
      </c>
      <c r="Y223" s="204" t="n">
        <v>14.8</v>
      </c>
    </row>
    <row r="224" customFormat="false" ht="12.75" hidden="false" customHeight="false" outlineLevel="0" collapsed="false">
      <c r="A224" s="215" t="n">
        <v>40490</v>
      </c>
      <c r="B224" s="213" t="n">
        <v>43.1</v>
      </c>
      <c r="C224" s="213" t="n">
        <f aca="false">AVERAGEIFS($B$33:$B$1494,$A$33:$A$1494,A224)</f>
        <v>42.4333333333333</v>
      </c>
      <c r="D224" s="213" t="n">
        <v>44.1</v>
      </c>
      <c r="E224" s="213" t="n">
        <f aca="false">AVERAGEIFS($D$33:$D$1494,$A$33:$A$1494,A224)</f>
        <v>44.1</v>
      </c>
      <c r="F224" s="213" t="n">
        <v>10.6</v>
      </c>
      <c r="G224" s="213" t="n">
        <f aca="false">AVERAGEIFS($F$33:$F$1494,$A$33:$A$1494,A224)</f>
        <v>10.6833333333333</v>
      </c>
      <c r="H224" s="213" t="n">
        <v>11.6</v>
      </c>
      <c r="I224" s="213" t="n">
        <f aca="false">AVERAGEIFS($H$33:$H$1494,$A$33:$A$1494,A224)</f>
        <v>12.2166666666667</v>
      </c>
      <c r="L224" s="215" t="n">
        <v>40490</v>
      </c>
      <c r="M224" s="213" t="n">
        <v>42.4333333333333</v>
      </c>
      <c r="N224" s="213" t="n">
        <v>44.1</v>
      </c>
      <c r="O224" s="213" t="n">
        <v>10.6833333333333</v>
      </c>
      <c r="P224" s="213" t="n">
        <v>12.2166666666667</v>
      </c>
      <c r="S224" s="215" t="n">
        <v>40651</v>
      </c>
      <c r="T224" s="213" t="n">
        <v>25.1</v>
      </c>
      <c r="U224" s="213" t="n">
        <v>29.4</v>
      </c>
      <c r="V224" s="213" t="n">
        <v>12.95</v>
      </c>
      <c r="W224" s="213" t="n">
        <v>11.8333333333333</v>
      </c>
      <c r="X224" s="204" t="n">
        <v>0</v>
      </c>
      <c r="Y224" s="204" t="n">
        <v>16.1</v>
      </c>
    </row>
    <row r="225" customFormat="false" ht="12.75" hidden="false" customHeight="false" outlineLevel="0" collapsed="false">
      <c r="A225" s="215" t="n">
        <v>40491</v>
      </c>
      <c r="B225" s="213" t="n">
        <v>43.7</v>
      </c>
      <c r="C225" s="213" t="n">
        <f aca="false">AVERAGEIFS($B$33:$B$1494,$A$33:$A$1494,A225)</f>
        <v>45.2333333333333</v>
      </c>
      <c r="D225" s="213" t="n">
        <v>44.4</v>
      </c>
      <c r="E225" s="213" t="n">
        <f aca="false">AVERAGEIFS($D$33:$D$1494,$A$33:$A$1494,A225)</f>
        <v>46.65</v>
      </c>
      <c r="F225" s="213" t="n">
        <v>10.4</v>
      </c>
      <c r="G225" s="213" t="n">
        <f aca="false">AVERAGEIFS($F$33:$F$1494,$A$33:$A$1494,A225)</f>
        <v>10.4666666666667</v>
      </c>
      <c r="H225" s="213" t="n">
        <v>11.5</v>
      </c>
      <c r="I225" s="213" t="n">
        <f aca="false">AVERAGEIFS($H$33:$H$1494,$A$33:$A$1494,A225)</f>
        <v>11.3</v>
      </c>
      <c r="L225" s="215" t="n">
        <v>40491</v>
      </c>
      <c r="M225" s="213" t="n">
        <v>45.2333333333333</v>
      </c>
      <c r="N225" s="213" t="n">
        <v>46.65</v>
      </c>
      <c r="O225" s="213" t="n">
        <v>10.4666666666667</v>
      </c>
      <c r="P225" s="213" t="n">
        <v>11.3</v>
      </c>
      <c r="S225" s="215" t="n">
        <v>40652</v>
      </c>
      <c r="T225" s="213" t="n">
        <v>24.5666666666667</v>
      </c>
      <c r="U225" s="213" t="n">
        <v>28.6166666666667</v>
      </c>
      <c r="V225" s="213" t="n">
        <v>13.0666666666667</v>
      </c>
      <c r="W225" s="213" t="n">
        <v>12.2666666666667</v>
      </c>
      <c r="X225" s="204" t="n">
        <v>0</v>
      </c>
      <c r="Y225" s="204" t="n">
        <v>14.9</v>
      </c>
    </row>
    <row r="226" customFormat="false" ht="12.75" hidden="false" customHeight="false" outlineLevel="0" collapsed="false">
      <c r="A226" s="215" t="n">
        <v>40491</v>
      </c>
      <c r="B226" s="213" t="n">
        <v>44</v>
      </c>
      <c r="C226" s="213" t="n">
        <f aca="false">AVERAGEIFS($B$33:$B$1494,$A$33:$A$1494,A226)</f>
        <v>45.2333333333333</v>
      </c>
      <c r="D226" s="213" t="n">
        <v>44.8</v>
      </c>
      <c r="E226" s="213" t="n">
        <f aca="false">AVERAGEIFS($D$33:$D$1494,$A$33:$A$1494,A226)</f>
        <v>46.65</v>
      </c>
      <c r="F226" s="213" t="n">
        <v>10.3</v>
      </c>
      <c r="G226" s="213" t="n">
        <f aca="false">AVERAGEIFS($F$33:$F$1494,$A$33:$A$1494,A226)</f>
        <v>10.4666666666667</v>
      </c>
      <c r="H226" s="213" t="n">
        <v>11.4</v>
      </c>
      <c r="I226" s="213" t="n">
        <f aca="false">AVERAGEIFS($H$33:$H$1494,$A$33:$A$1494,A226)</f>
        <v>11.3</v>
      </c>
      <c r="L226" s="215" t="n">
        <v>40491</v>
      </c>
      <c r="M226" s="213" t="n">
        <v>45.2333333333333</v>
      </c>
      <c r="N226" s="213" t="n">
        <v>46.65</v>
      </c>
      <c r="O226" s="213" t="n">
        <v>10.4666666666667</v>
      </c>
      <c r="P226" s="213" t="n">
        <v>11.3</v>
      </c>
      <c r="S226" s="215" t="n">
        <v>40653</v>
      </c>
      <c r="T226" s="213" t="n">
        <v>24.05</v>
      </c>
      <c r="U226" s="213" t="n">
        <v>27.9166666666667</v>
      </c>
      <c r="V226" s="213" t="n">
        <v>13.3333333333333</v>
      </c>
      <c r="W226" s="213" t="n">
        <v>12.4</v>
      </c>
      <c r="X226" s="204" t="n">
        <v>0.4</v>
      </c>
      <c r="Y226" s="204" t="n">
        <v>15.8</v>
      </c>
    </row>
    <row r="227" customFormat="false" ht="12.75" hidden="false" customHeight="false" outlineLevel="0" collapsed="false">
      <c r="A227" s="215" t="n">
        <v>40491</v>
      </c>
      <c r="B227" s="213" t="n">
        <v>47.8</v>
      </c>
      <c r="C227" s="213" t="n">
        <f aca="false">AVERAGEIFS($B$33:$B$1494,$A$33:$A$1494,A227)</f>
        <v>45.2333333333333</v>
      </c>
      <c r="D227" s="213" t="n">
        <v>47.1</v>
      </c>
      <c r="E227" s="213" t="n">
        <f aca="false">AVERAGEIFS($D$33:$D$1494,$A$33:$A$1494,A227)</f>
        <v>46.65</v>
      </c>
      <c r="F227" s="213" t="n">
        <v>10.1</v>
      </c>
      <c r="G227" s="213" t="n">
        <f aca="false">AVERAGEIFS($F$33:$F$1494,$A$33:$A$1494,A227)</f>
        <v>10.4666666666667</v>
      </c>
      <c r="H227" s="213" t="n">
        <v>11.3</v>
      </c>
      <c r="I227" s="213" t="n">
        <f aca="false">AVERAGEIFS($H$33:$H$1494,$A$33:$A$1494,A227)</f>
        <v>11.3</v>
      </c>
      <c r="L227" s="215" t="n">
        <v>40491</v>
      </c>
      <c r="M227" s="213" t="n">
        <v>45.2333333333333</v>
      </c>
      <c r="N227" s="213" t="n">
        <v>46.65</v>
      </c>
      <c r="O227" s="213" t="n">
        <v>10.4666666666667</v>
      </c>
      <c r="P227" s="213" t="n">
        <v>11.3</v>
      </c>
      <c r="S227" s="215" t="n">
        <v>40654</v>
      </c>
      <c r="T227" s="213" t="n">
        <v>23.6333333333333</v>
      </c>
      <c r="U227" s="213" t="n">
        <v>27.2833333333333</v>
      </c>
      <c r="V227" s="213" t="n">
        <v>13.8666666666667</v>
      </c>
      <c r="W227" s="213" t="n">
        <v>12.7333333333333</v>
      </c>
      <c r="X227" s="204" t="n">
        <v>0</v>
      </c>
      <c r="Y227" s="204" t="n">
        <v>16.7</v>
      </c>
    </row>
    <row r="228" customFormat="false" ht="12.75" hidden="false" customHeight="false" outlineLevel="0" collapsed="false">
      <c r="A228" s="215" t="n">
        <v>40491</v>
      </c>
      <c r="B228" s="213" t="n">
        <v>46.3</v>
      </c>
      <c r="C228" s="213" t="n">
        <f aca="false">AVERAGEIFS($B$33:$B$1494,$A$33:$A$1494,A228)</f>
        <v>45.2333333333333</v>
      </c>
      <c r="D228" s="213" t="n">
        <v>48.6</v>
      </c>
      <c r="E228" s="213" t="n">
        <f aca="false">AVERAGEIFS($D$33:$D$1494,$A$33:$A$1494,A228)</f>
        <v>46.65</v>
      </c>
      <c r="F228" s="213" t="n">
        <v>10.2</v>
      </c>
      <c r="G228" s="213" t="n">
        <f aca="false">AVERAGEIFS($F$33:$F$1494,$A$33:$A$1494,A228)</f>
        <v>10.4666666666667</v>
      </c>
      <c r="H228" s="213" t="n">
        <v>11.2</v>
      </c>
      <c r="I228" s="213" t="n">
        <f aca="false">AVERAGEIFS($H$33:$H$1494,$A$33:$A$1494,A228)</f>
        <v>11.3</v>
      </c>
      <c r="L228" s="215" t="n">
        <v>40491</v>
      </c>
      <c r="M228" s="213" t="n">
        <v>45.2333333333333</v>
      </c>
      <c r="N228" s="213" t="n">
        <v>46.65</v>
      </c>
      <c r="O228" s="213" t="n">
        <v>10.4666666666667</v>
      </c>
      <c r="P228" s="213" t="n">
        <v>11.3</v>
      </c>
      <c r="S228" s="215" t="n">
        <v>40655</v>
      </c>
      <c r="T228" s="213" t="n">
        <v>23.2333333333333</v>
      </c>
      <c r="U228" s="213" t="n">
        <v>26.6666666666667</v>
      </c>
      <c r="V228" s="213" t="n">
        <v>14.1666666666667</v>
      </c>
      <c r="W228" s="213" t="n">
        <v>13.1</v>
      </c>
      <c r="X228" s="204" t="n">
        <v>0</v>
      </c>
      <c r="Y228" s="204" t="n">
        <v>15.6</v>
      </c>
    </row>
    <row r="229" customFormat="false" ht="12.75" hidden="false" customHeight="false" outlineLevel="0" collapsed="false">
      <c r="A229" s="215" t="n">
        <v>40491</v>
      </c>
      <c r="B229" s="213" t="n">
        <v>45</v>
      </c>
      <c r="C229" s="213" t="n">
        <f aca="false">AVERAGEIFS($B$33:$B$1494,$A$33:$A$1494,A229)</f>
        <v>45.2333333333333</v>
      </c>
      <c r="D229" s="213" t="n">
        <v>47.8</v>
      </c>
      <c r="E229" s="213" t="n">
        <f aca="false">AVERAGEIFS($D$33:$D$1494,$A$33:$A$1494,A229)</f>
        <v>46.65</v>
      </c>
      <c r="F229" s="213" t="n">
        <v>10.9</v>
      </c>
      <c r="G229" s="213" t="n">
        <f aca="false">AVERAGEIFS($F$33:$F$1494,$A$33:$A$1494,A229)</f>
        <v>10.4666666666667</v>
      </c>
      <c r="H229" s="213" t="n">
        <v>11.1</v>
      </c>
      <c r="I229" s="213" t="n">
        <f aca="false">AVERAGEIFS($H$33:$H$1494,$A$33:$A$1494,A229)</f>
        <v>11.3</v>
      </c>
      <c r="L229" s="215" t="n">
        <v>40491</v>
      </c>
      <c r="M229" s="213" t="n">
        <v>45.2333333333333</v>
      </c>
      <c r="N229" s="213" t="n">
        <v>46.65</v>
      </c>
      <c r="O229" s="213" t="n">
        <v>10.4666666666667</v>
      </c>
      <c r="P229" s="213" t="n">
        <v>11.3</v>
      </c>
      <c r="S229" s="215" t="n">
        <v>40656</v>
      </c>
      <c r="T229" s="213" t="n">
        <v>22.9333333333333</v>
      </c>
      <c r="U229" s="213" t="n">
        <v>26.3</v>
      </c>
      <c r="V229" s="213" t="n">
        <v>13.6166666666667</v>
      </c>
      <c r="W229" s="213" t="n">
        <v>13.0666666666667</v>
      </c>
      <c r="X229" s="204" t="n">
        <v>4.2</v>
      </c>
      <c r="Y229" s="204" t="n">
        <v>13.4</v>
      </c>
    </row>
    <row r="230" customFormat="false" ht="12.75" hidden="false" customHeight="false" outlineLevel="0" collapsed="false">
      <c r="A230" s="215" t="n">
        <v>40491</v>
      </c>
      <c r="B230" s="213" t="n">
        <v>44.6</v>
      </c>
      <c r="C230" s="213" t="n">
        <f aca="false">AVERAGEIFS($B$33:$B$1494,$A$33:$A$1494,A230)</f>
        <v>45.2333333333333</v>
      </c>
      <c r="D230" s="213" t="n">
        <v>47.2</v>
      </c>
      <c r="E230" s="213" t="n">
        <f aca="false">AVERAGEIFS($D$33:$D$1494,$A$33:$A$1494,A230)</f>
        <v>46.65</v>
      </c>
      <c r="F230" s="213" t="n">
        <v>10.9</v>
      </c>
      <c r="G230" s="213" t="n">
        <f aca="false">AVERAGEIFS($F$33:$F$1494,$A$33:$A$1494,A230)</f>
        <v>10.4666666666667</v>
      </c>
      <c r="H230" s="213" t="n">
        <v>11.3</v>
      </c>
      <c r="I230" s="213" t="n">
        <f aca="false">AVERAGEIFS($H$33:$H$1494,$A$33:$A$1494,A230)</f>
        <v>11.3</v>
      </c>
      <c r="L230" s="215" t="n">
        <v>40491</v>
      </c>
      <c r="M230" s="213" t="n">
        <v>45.2333333333333</v>
      </c>
      <c r="N230" s="213" t="n">
        <v>46.65</v>
      </c>
      <c r="O230" s="213" t="n">
        <v>10.4666666666667</v>
      </c>
      <c r="P230" s="213" t="n">
        <v>11.3</v>
      </c>
      <c r="S230" s="215" t="n">
        <v>40657</v>
      </c>
      <c r="T230" s="213" t="n">
        <v>22.8666666666667</v>
      </c>
      <c r="U230" s="213" t="n">
        <v>26.2</v>
      </c>
      <c r="V230" s="213" t="n">
        <v>13.8166666666667</v>
      </c>
      <c r="W230" s="213" t="n">
        <v>12.9166666666667</v>
      </c>
      <c r="X230" s="204" t="n">
        <v>0</v>
      </c>
      <c r="Y230" s="204" t="n">
        <v>16.3</v>
      </c>
    </row>
    <row r="231" customFormat="false" ht="12.75" hidden="false" customHeight="false" outlineLevel="0" collapsed="false">
      <c r="A231" s="215" t="n">
        <v>40492</v>
      </c>
      <c r="B231" s="213" t="n">
        <v>44.4</v>
      </c>
      <c r="C231" s="213" t="n">
        <f aca="false">AVERAGEIFS($B$33:$B$1494,$A$33:$A$1494,A231)</f>
        <v>44.6833333333333</v>
      </c>
      <c r="D231" s="213" t="n">
        <v>46.9</v>
      </c>
      <c r="E231" s="213" t="n">
        <f aca="false">AVERAGEIFS($D$33:$D$1494,$A$33:$A$1494,A231)</f>
        <v>46.6833333333333</v>
      </c>
      <c r="F231" s="213" t="n">
        <v>10.6</v>
      </c>
      <c r="G231" s="213" t="n">
        <f aca="false">AVERAGEIFS($F$33:$F$1494,$A$33:$A$1494,A231)</f>
        <v>10.3333333333333</v>
      </c>
      <c r="H231" s="213" t="n">
        <v>11.3</v>
      </c>
      <c r="I231" s="213" t="n">
        <f aca="false">AVERAGEIFS($H$33:$H$1494,$A$33:$A$1494,A231)</f>
        <v>11.1</v>
      </c>
      <c r="L231" s="215" t="n">
        <v>40492</v>
      </c>
      <c r="M231" s="213" t="n">
        <v>44.6833333333333</v>
      </c>
      <c r="N231" s="213" t="n">
        <v>46.6833333333333</v>
      </c>
      <c r="O231" s="213" t="n">
        <v>10.3333333333333</v>
      </c>
      <c r="P231" s="213" t="n">
        <v>11.1</v>
      </c>
      <c r="S231" s="215" t="n">
        <v>40658</v>
      </c>
      <c r="T231" s="213" t="n">
        <v>22.7</v>
      </c>
      <c r="U231" s="213" t="n">
        <v>25.95</v>
      </c>
      <c r="V231" s="213" t="n">
        <v>14.2166666666667</v>
      </c>
      <c r="W231" s="213" t="n">
        <v>13.1833333333333</v>
      </c>
      <c r="X231" s="204" t="n">
        <v>29.7</v>
      </c>
      <c r="Y231" s="204" t="n">
        <v>15.8</v>
      </c>
    </row>
    <row r="232" customFormat="false" ht="12.75" hidden="false" customHeight="false" outlineLevel="0" collapsed="false">
      <c r="A232" s="215" t="n">
        <v>40492</v>
      </c>
      <c r="B232" s="213" t="n">
        <v>44.2</v>
      </c>
      <c r="C232" s="213" t="n">
        <f aca="false">AVERAGEIFS($B$33:$B$1494,$A$33:$A$1494,A232)</f>
        <v>44.6833333333333</v>
      </c>
      <c r="D232" s="213" t="n">
        <v>46.7</v>
      </c>
      <c r="E232" s="213" t="n">
        <f aca="false">AVERAGEIFS($D$33:$D$1494,$A$33:$A$1494,A232)</f>
        <v>46.6833333333333</v>
      </c>
      <c r="F232" s="213" t="n">
        <v>10.3</v>
      </c>
      <c r="G232" s="213" t="n">
        <f aca="false">AVERAGEIFS($F$33:$F$1494,$A$33:$A$1494,A232)</f>
        <v>10.3333333333333</v>
      </c>
      <c r="H232" s="213" t="n">
        <v>11.2</v>
      </c>
      <c r="I232" s="213" t="n">
        <f aca="false">AVERAGEIFS($H$33:$H$1494,$A$33:$A$1494,A232)</f>
        <v>11.1</v>
      </c>
      <c r="L232" s="215" t="n">
        <v>40492</v>
      </c>
      <c r="M232" s="213" t="n">
        <v>44.6833333333333</v>
      </c>
      <c r="N232" s="213" t="n">
        <v>46.6833333333333</v>
      </c>
      <c r="O232" s="213" t="n">
        <v>10.3333333333333</v>
      </c>
      <c r="P232" s="213" t="n">
        <v>11.1</v>
      </c>
      <c r="S232" s="215" t="n">
        <v>40659</v>
      </c>
      <c r="T232" s="213" t="n">
        <v>22.6666666666667</v>
      </c>
      <c r="U232" s="213" t="n">
        <v>25.8666666666667</v>
      </c>
      <c r="V232" s="213" t="n">
        <v>14.65</v>
      </c>
      <c r="W232" s="213" t="n">
        <v>13.4666666666667</v>
      </c>
      <c r="X232" s="204" t="n">
        <v>0</v>
      </c>
      <c r="Y232" s="204" t="n">
        <v>17.2</v>
      </c>
    </row>
    <row r="233" customFormat="false" ht="12.75" hidden="false" customHeight="false" outlineLevel="0" collapsed="false">
      <c r="A233" s="215" t="n">
        <v>40492</v>
      </c>
      <c r="B233" s="213" t="n">
        <v>44.2</v>
      </c>
      <c r="C233" s="213" t="n">
        <f aca="false">AVERAGEIFS($B$33:$B$1494,$A$33:$A$1494,A233)</f>
        <v>44.6833333333333</v>
      </c>
      <c r="D233" s="213" t="n">
        <v>46.5</v>
      </c>
      <c r="E233" s="213" t="n">
        <f aca="false">AVERAGEIFS($D$33:$D$1494,$A$33:$A$1494,A233)</f>
        <v>46.6833333333333</v>
      </c>
      <c r="F233" s="213" t="n">
        <v>10</v>
      </c>
      <c r="G233" s="213" t="n">
        <f aca="false">AVERAGEIFS($F$33:$F$1494,$A$33:$A$1494,A233)</f>
        <v>10.3333333333333</v>
      </c>
      <c r="H233" s="213" t="n">
        <v>11.1</v>
      </c>
      <c r="I233" s="213" t="n">
        <f aca="false">AVERAGEIFS($H$33:$H$1494,$A$33:$A$1494,A233)</f>
        <v>11.1</v>
      </c>
      <c r="L233" s="215" t="n">
        <v>40492</v>
      </c>
      <c r="M233" s="213" t="n">
        <v>44.6833333333333</v>
      </c>
      <c r="N233" s="213" t="n">
        <v>46.6833333333333</v>
      </c>
      <c r="O233" s="213" t="n">
        <v>10.3333333333333</v>
      </c>
      <c r="P233" s="213" t="n">
        <v>11.1</v>
      </c>
      <c r="S233" s="215" t="n">
        <v>40660</v>
      </c>
      <c r="T233" s="213" t="n">
        <v>22.5666666666667</v>
      </c>
      <c r="U233" s="213" t="n">
        <v>25.75</v>
      </c>
      <c r="V233" s="213" t="n">
        <v>15.0333333333333</v>
      </c>
      <c r="W233" s="213" t="n">
        <v>13.8</v>
      </c>
      <c r="X233" s="204" t="n">
        <v>0</v>
      </c>
      <c r="Y233" s="204" t="n">
        <v>16.8</v>
      </c>
    </row>
    <row r="234" customFormat="false" ht="12.75" hidden="false" customHeight="false" outlineLevel="0" collapsed="false">
      <c r="A234" s="215" t="n">
        <v>40492</v>
      </c>
      <c r="B234" s="213" t="n">
        <v>44.5</v>
      </c>
      <c r="C234" s="213" t="n">
        <f aca="false">AVERAGEIFS($B$33:$B$1494,$A$33:$A$1494,A234)</f>
        <v>44.6833333333333</v>
      </c>
      <c r="D234" s="213" t="n">
        <v>46.4</v>
      </c>
      <c r="E234" s="213" t="n">
        <f aca="false">AVERAGEIFS($D$33:$D$1494,$A$33:$A$1494,A234)</f>
        <v>46.6833333333333</v>
      </c>
      <c r="F234" s="213" t="n">
        <v>10.1</v>
      </c>
      <c r="G234" s="213" t="n">
        <f aca="false">AVERAGEIFS($F$33:$F$1494,$A$33:$A$1494,A234)</f>
        <v>10.3333333333333</v>
      </c>
      <c r="H234" s="213" t="n">
        <v>11</v>
      </c>
      <c r="I234" s="213" t="n">
        <f aca="false">AVERAGEIFS($H$33:$H$1494,$A$33:$A$1494,A234)</f>
        <v>11.1</v>
      </c>
      <c r="L234" s="215" t="n">
        <v>40492</v>
      </c>
      <c r="M234" s="213" t="n">
        <v>44.6833333333333</v>
      </c>
      <c r="N234" s="213" t="n">
        <v>46.6833333333333</v>
      </c>
      <c r="O234" s="213" t="n">
        <v>10.3333333333333</v>
      </c>
      <c r="P234" s="213" t="n">
        <v>11.1</v>
      </c>
      <c r="S234" s="215" t="n">
        <v>40661</v>
      </c>
      <c r="T234" s="213" t="n">
        <v>22.35</v>
      </c>
      <c r="U234" s="213" t="n">
        <v>25.5</v>
      </c>
      <c r="V234" s="213" t="n">
        <v>14.5166666666667</v>
      </c>
      <c r="W234" s="213" t="n">
        <v>13.7333333333333</v>
      </c>
      <c r="X234" s="204" t="n">
        <v>0</v>
      </c>
      <c r="Y234" s="204" t="n">
        <v>15.6</v>
      </c>
    </row>
    <row r="235" customFormat="false" ht="12.75" hidden="false" customHeight="false" outlineLevel="0" collapsed="false">
      <c r="A235" s="215" t="n">
        <v>40492</v>
      </c>
      <c r="B235" s="213" t="n">
        <v>44.6</v>
      </c>
      <c r="C235" s="213" t="n">
        <f aca="false">AVERAGEIFS($B$33:$B$1494,$A$33:$A$1494,A235)</f>
        <v>44.6833333333333</v>
      </c>
      <c r="D235" s="213" t="n">
        <v>46.7</v>
      </c>
      <c r="E235" s="213" t="n">
        <f aca="false">AVERAGEIFS($D$33:$D$1494,$A$33:$A$1494,A235)</f>
        <v>46.6833333333333</v>
      </c>
      <c r="F235" s="213" t="n">
        <v>10.6</v>
      </c>
      <c r="G235" s="213" t="n">
        <f aca="false">AVERAGEIFS($F$33:$F$1494,$A$33:$A$1494,A235)</f>
        <v>10.3333333333333</v>
      </c>
      <c r="H235" s="213" t="n">
        <v>11</v>
      </c>
      <c r="I235" s="213" t="n">
        <f aca="false">AVERAGEIFS($H$33:$H$1494,$A$33:$A$1494,A235)</f>
        <v>11.1</v>
      </c>
      <c r="L235" s="215" t="n">
        <v>40492</v>
      </c>
      <c r="M235" s="213" t="n">
        <v>44.6833333333333</v>
      </c>
      <c r="N235" s="213" t="n">
        <v>46.6833333333333</v>
      </c>
      <c r="O235" s="213" t="n">
        <v>10.3333333333333</v>
      </c>
      <c r="P235" s="213" t="n">
        <v>11.1</v>
      </c>
      <c r="S235" s="215" t="n">
        <v>40662</v>
      </c>
      <c r="T235" s="213" t="n">
        <v>22.1</v>
      </c>
      <c r="U235" s="213" t="n">
        <v>25.1333333333333</v>
      </c>
      <c r="V235" s="213" t="n">
        <v>13.9833333333333</v>
      </c>
      <c r="W235" s="213" t="n">
        <v>13.4666666666667</v>
      </c>
      <c r="X235" s="204" t="n">
        <v>0</v>
      </c>
      <c r="Y235" s="204" t="n">
        <v>15.2</v>
      </c>
    </row>
    <row r="236" customFormat="false" ht="12.75" hidden="false" customHeight="false" outlineLevel="0" collapsed="false">
      <c r="A236" s="215" t="n">
        <v>40492</v>
      </c>
      <c r="B236" s="213" t="n">
        <v>46.2</v>
      </c>
      <c r="C236" s="213" t="n">
        <f aca="false">AVERAGEIFS($B$33:$B$1494,$A$33:$A$1494,A236)</f>
        <v>44.6833333333333</v>
      </c>
      <c r="D236" s="213" t="n">
        <v>46.9</v>
      </c>
      <c r="E236" s="213" t="n">
        <f aca="false">AVERAGEIFS($D$33:$D$1494,$A$33:$A$1494,A236)</f>
        <v>46.6833333333333</v>
      </c>
      <c r="F236" s="213" t="n">
        <v>10.4</v>
      </c>
      <c r="G236" s="213" t="n">
        <f aca="false">AVERAGEIFS($F$33:$F$1494,$A$33:$A$1494,A236)</f>
        <v>10.3333333333333</v>
      </c>
      <c r="H236" s="213" t="n">
        <v>11</v>
      </c>
      <c r="I236" s="213" t="n">
        <f aca="false">AVERAGEIFS($H$33:$H$1494,$A$33:$A$1494,A236)</f>
        <v>11.1</v>
      </c>
      <c r="L236" s="215" t="n">
        <v>40492</v>
      </c>
      <c r="M236" s="213" t="n">
        <v>44.6833333333333</v>
      </c>
      <c r="N236" s="213" t="n">
        <v>46.6833333333333</v>
      </c>
      <c r="O236" s="213" t="n">
        <v>10.3333333333333</v>
      </c>
      <c r="P236" s="213" t="n">
        <v>11.1</v>
      </c>
      <c r="S236" s="215" t="n">
        <v>40663</v>
      </c>
      <c r="T236" s="213" t="n">
        <v>21.9166666666667</v>
      </c>
      <c r="U236" s="213" t="n">
        <v>24.8</v>
      </c>
      <c r="V236" s="213" t="n">
        <v>14.7833333333333</v>
      </c>
      <c r="W236" s="213" t="n">
        <v>13.65</v>
      </c>
      <c r="X236" s="204" t="n">
        <v>0</v>
      </c>
      <c r="Y236" s="204" t="n">
        <v>16.7</v>
      </c>
    </row>
    <row r="237" customFormat="false" ht="12.75" hidden="false" customHeight="false" outlineLevel="0" collapsed="false">
      <c r="A237" s="215" t="n">
        <v>40493</v>
      </c>
      <c r="B237" s="213" t="n">
        <v>45.5</v>
      </c>
      <c r="C237" s="213" t="n">
        <f aca="false">AVERAGEIFS($B$33:$B$1494,$A$33:$A$1494,A237)</f>
        <v>44.8</v>
      </c>
      <c r="D237" s="213" t="n">
        <v>47.4</v>
      </c>
      <c r="E237" s="213" t="n">
        <f aca="false">AVERAGEIFS($D$33:$D$1494,$A$33:$A$1494,A237)</f>
        <v>47.0166666666667</v>
      </c>
      <c r="F237" s="213" t="n">
        <v>10</v>
      </c>
      <c r="G237" s="213" t="n">
        <f aca="false">AVERAGEIFS($F$33:$F$1494,$A$33:$A$1494,A237)</f>
        <v>9.7</v>
      </c>
      <c r="H237" s="213" t="n">
        <v>11</v>
      </c>
      <c r="I237" s="213" t="n">
        <f aca="false">AVERAGEIFS($H$33:$H$1494,$A$33:$A$1494,A237)</f>
        <v>10.65</v>
      </c>
      <c r="L237" s="215" t="n">
        <v>40493</v>
      </c>
      <c r="M237" s="213" t="n">
        <v>44.8</v>
      </c>
      <c r="N237" s="213" t="n">
        <v>47.0166666666667</v>
      </c>
      <c r="O237" s="213" t="n">
        <v>9.7</v>
      </c>
      <c r="P237" s="213" t="n">
        <v>10.65</v>
      </c>
      <c r="S237" s="215" t="n">
        <v>40664</v>
      </c>
      <c r="T237" s="213" t="n">
        <v>21.75</v>
      </c>
      <c r="U237" s="213" t="n">
        <v>24.5</v>
      </c>
      <c r="V237" s="213" t="n">
        <v>15.3</v>
      </c>
      <c r="W237" s="213" t="n">
        <v>14.0333333333333</v>
      </c>
      <c r="X237" s="204" t="n">
        <v>0</v>
      </c>
      <c r="Y237" s="204" t="n">
        <v>17.4</v>
      </c>
    </row>
    <row r="238" customFormat="false" ht="12.75" hidden="false" customHeight="false" outlineLevel="0" collapsed="false">
      <c r="A238" s="215" t="n">
        <v>40493</v>
      </c>
      <c r="B238" s="213" t="n">
        <v>45.1</v>
      </c>
      <c r="C238" s="213" t="n">
        <f aca="false">AVERAGEIFS($B$33:$B$1494,$A$33:$A$1494,A238)</f>
        <v>44.8</v>
      </c>
      <c r="D238" s="213" t="n">
        <v>47.4</v>
      </c>
      <c r="E238" s="213" t="n">
        <f aca="false">AVERAGEIFS($D$33:$D$1494,$A$33:$A$1494,A238)</f>
        <v>47.0166666666667</v>
      </c>
      <c r="F238" s="213" t="n">
        <v>9.5</v>
      </c>
      <c r="G238" s="213" t="n">
        <f aca="false">AVERAGEIFS($F$33:$F$1494,$A$33:$A$1494,A238)</f>
        <v>9.7</v>
      </c>
      <c r="H238" s="213" t="n">
        <v>10.8</v>
      </c>
      <c r="I238" s="213" t="n">
        <f aca="false">AVERAGEIFS($H$33:$H$1494,$A$33:$A$1494,A238)</f>
        <v>10.65</v>
      </c>
      <c r="L238" s="215" t="n">
        <v>40493</v>
      </c>
      <c r="M238" s="213" t="n">
        <v>44.8</v>
      </c>
      <c r="N238" s="213" t="n">
        <v>47.0166666666667</v>
      </c>
      <c r="O238" s="213" t="n">
        <v>9.7</v>
      </c>
      <c r="P238" s="213" t="n">
        <v>10.65</v>
      </c>
      <c r="S238" s="215" t="n">
        <v>40665</v>
      </c>
      <c r="T238" s="213" t="n">
        <v>21.6166666666667</v>
      </c>
      <c r="U238" s="213" t="n">
        <v>24.2333333333333</v>
      </c>
      <c r="V238" s="213" t="n">
        <v>15.8333333333333</v>
      </c>
      <c r="W238" s="213" t="n">
        <v>14.5166666666667</v>
      </c>
      <c r="X238" s="204" t="n">
        <v>2.2</v>
      </c>
      <c r="Y238" s="204" t="n">
        <v>16.8</v>
      </c>
    </row>
    <row r="239" customFormat="false" ht="12.75" hidden="false" customHeight="false" outlineLevel="0" collapsed="false">
      <c r="A239" s="215" t="n">
        <v>40493</v>
      </c>
      <c r="B239" s="213" t="n">
        <v>44.8</v>
      </c>
      <c r="C239" s="213" t="n">
        <f aca="false">AVERAGEIFS($B$33:$B$1494,$A$33:$A$1494,A239)</f>
        <v>44.8</v>
      </c>
      <c r="D239" s="213" t="n">
        <v>47.2</v>
      </c>
      <c r="E239" s="213" t="n">
        <f aca="false">AVERAGEIFS($D$33:$D$1494,$A$33:$A$1494,A239)</f>
        <v>47.0166666666667</v>
      </c>
      <c r="F239" s="213" t="n">
        <v>9</v>
      </c>
      <c r="G239" s="213" t="n">
        <f aca="false">AVERAGEIFS($F$33:$F$1494,$A$33:$A$1494,A239)</f>
        <v>9.7</v>
      </c>
      <c r="H239" s="213" t="n">
        <v>10.7</v>
      </c>
      <c r="I239" s="213" t="n">
        <f aca="false">AVERAGEIFS($H$33:$H$1494,$A$33:$A$1494,A239)</f>
        <v>10.65</v>
      </c>
      <c r="L239" s="215" t="n">
        <v>40493</v>
      </c>
      <c r="M239" s="213" t="n">
        <v>44.8</v>
      </c>
      <c r="N239" s="213" t="n">
        <v>47.0166666666667</v>
      </c>
      <c r="O239" s="213" t="n">
        <v>9.7</v>
      </c>
      <c r="P239" s="213" t="n">
        <v>10.65</v>
      </c>
      <c r="S239" s="215" t="n">
        <v>40666</v>
      </c>
      <c r="T239" s="213" t="n">
        <v>21.5166666666667</v>
      </c>
      <c r="U239" s="213" t="n">
        <v>24.0666666666667</v>
      </c>
      <c r="V239" s="213" t="n">
        <v>15.5833333333333</v>
      </c>
      <c r="W239" s="213" t="n">
        <v>14.5833333333333</v>
      </c>
      <c r="X239" s="204" t="n">
        <v>2.4</v>
      </c>
      <c r="Y239" s="204" t="n">
        <v>15.9</v>
      </c>
    </row>
    <row r="240" customFormat="false" ht="12.75" hidden="false" customHeight="false" outlineLevel="0" collapsed="false">
      <c r="A240" s="215" t="n">
        <v>40493</v>
      </c>
      <c r="B240" s="213" t="n">
        <v>44.7</v>
      </c>
      <c r="C240" s="213" t="n">
        <f aca="false">AVERAGEIFS($B$33:$B$1494,$A$33:$A$1494,A240)</f>
        <v>44.8</v>
      </c>
      <c r="D240" s="213" t="n">
        <v>46.9</v>
      </c>
      <c r="E240" s="213" t="n">
        <f aca="false">AVERAGEIFS($D$33:$D$1494,$A$33:$A$1494,A240)</f>
        <v>47.0166666666667</v>
      </c>
      <c r="F240" s="213" t="n">
        <v>8.9</v>
      </c>
      <c r="G240" s="213" t="n">
        <f aca="false">AVERAGEIFS($F$33:$F$1494,$A$33:$A$1494,A240)</f>
        <v>9.7</v>
      </c>
      <c r="H240" s="213" t="n">
        <v>10.5</v>
      </c>
      <c r="I240" s="213" t="n">
        <f aca="false">AVERAGEIFS($H$33:$H$1494,$A$33:$A$1494,A240)</f>
        <v>10.65</v>
      </c>
      <c r="L240" s="215" t="n">
        <v>40493</v>
      </c>
      <c r="M240" s="213" t="n">
        <v>44.8</v>
      </c>
      <c r="N240" s="213" t="n">
        <v>47.0166666666667</v>
      </c>
      <c r="O240" s="213" t="n">
        <v>9.7</v>
      </c>
      <c r="P240" s="213" t="n">
        <v>10.65</v>
      </c>
      <c r="S240" s="215" t="n">
        <v>40667</v>
      </c>
      <c r="T240" s="213" t="n">
        <v>21.4333333333333</v>
      </c>
      <c r="U240" s="213" t="n">
        <v>23.95</v>
      </c>
      <c r="V240" s="213" t="n">
        <v>15.0666666666667</v>
      </c>
      <c r="W240" s="213" t="n">
        <v>14.2833333333333</v>
      </c>
      <c r="X240" s="204" t="n">
        <v>0</v>
      </c>
      <c r="Y240" s="204" t="n">
        <v>16</v>
      </c>
    </row>
    <row r="241" customFormat="false" ht="12.75" hidden="false" customHeight="false" outlineLevel="0" collapsed="false">
      <c r="A241" s="215" t="n">
        <v>40493</v>
      </c>
      <c r="B241" s="213" t="n">
        <v>44.4</v>
      </c>
      <c r="C241" s="213" t="n">
        <f aca="false">AVERAGEIFS($B$33:$B$1494,$A$33:$A$1494,A241)</f>
        <v>44.8</v>
      </c>
      <c r="D241" s="213" t="n">
        <v>46.7</v>
      </c>
      <c r="E241" s="213" t="n">
        <f aca="false">AVERAGEIFS($D$33:$D$1494,$A$33:$A$1494,A241)</f>
        <v>47.0166666666667</v>
      </c>
      <c r="F241" s="213" t="n">
        <v>10.2</v>
      </c>
      <c r="G241" s="213" t="n">
        <f aca="false">AVERAGEIFS($F$33:$F$1494,$A$33:$A$1494,A241)</f>
        <v>9.7</v>
      </c>
      <c r="H241" s="213" t="n">
        <v>10.4</v>
      </c>
      <c r="I241" s="213" t="n">
        <f aca="false">AVERAGEIFS($H$33:$H$1494,$A$33:$A$1494,A241)</f>
        <v>10.65</v>
      </c>
      <c r="L241" s="215" t="n">
        <v>40493</v>
      </c>
      <c r="M241" s="213" t="n">
        <v>44.8</v>
      </c>
      <c r="N241" s="213" t="n">
        <v>47.0166666666667</v>
      </c>
      <c r="O241" s="213" t="n">
        <v>9.7</v>
      </c>
      <c r="P241" s="213" t="n">
        <v>10.65</v>
      </c>
      <c r="S241" s="215" t="n">
        <v>40668</v>
      </c>
      <c r="T241" s="213" t="n">
        <v>21.2833333333333</v>
      </c>
      <c r="U241" s="213" t="n">
        <v>23.75</v>
      </c>
      <c r="V241" s="213" t="n">
        <v>15.1333333333333</v>
      </c>
      <c r="W241" s="213" t="n">
        <v>14.2</v>
      </c>
      <c r="X241" s="204" t="n">
        <v>0</v>
      </c>
      <c r="Y241" s="204" t="n">
        <v>17.7</v>
      </c>
    </row>
    <row r="242" customFormat="false" ht="12.75" hidden="false" customHeight="false" outlineLevel="0" collapsed="false">
      <c r="A242" s="215" t="n">
        <v>40493</v>
      </c>
      <c r="B242" s="213" t="n">
        <v>44.3</v>
      </c>
      <c r="C242" s="213" t="n">
        <f aca="false">AVERAGEIFS($B$33:$B$1494,$A$33:$A$1494,A242)</f>
        <v>44.8</v>
      </c>
      <c r="D242" s="213" t="n">
        <v>46.5</v>
      </c>
      <c r="E242" s="213" t="n">
        <f aca="false">AVERAGEIFS($D$33:$D$1494,$A$33:$A$1494,A242)</f>
        <v>47.0166666666667</v>
      </c>
      <c r="F242" s="213" t="n">
        <v>10.6</v>
      </c>
      <c r="G242" s="213" t="n">
        <f aca="false">AVERAGEIFS($F$33:$F$1494,$A$33:$A$1494,A242)</f>
        <v>9.7</v>
      </c>
      <c r="H242" s="213" t="n">
        <v>10.5</v>
      </c>
      <c r="I242" s="213" t="n">
        <f aca="false">AVERAGEIFS($H$33:$H$1494,$A$33:$A$1494,A242)</f>
        <v>10.65</v>
      </c>
      <c r="L242" s="215" t="n">
        <v>40493</v>
      </c>
      <c r="M242" s="213" t="n">
        <v>44.8</v>
      </c>
      <c r="N242" s="213" t="n">
        <v>47.0166666666667</v>
      </c>
      <c r="O242" s="213" t="n">
        <v>9.7</v>
      </c>
      <c r="P242" s="213" t="n">
        <v>10.65</v>
      </c>
      <c r="S242" s="215" t="n">
        <v>40669</v>
      </c>
      <c r="T242" s="213" t="n">
        <v>21.2166666666667</v>
      </c>
      <c r="U242" s="213" t="n">
        <v>23.6</v>
      </c>
      <c r="V242" s="213" t="n">
        <v>16.4</v>
      </c>
      <c r="W242" s="213" t="n">
        <v>14.8333333333333</v>
      </c>
      <c r="X242" s="204" t="n">
        <v>0</v>
      </c>
      <c r="Y242" s="204" t="n">
        <v>18.2</v>
      </c>
    </row>
    <row r="243" customFormat="false" ht="12.75" hidden="false" customHeight="false" outlineLevel="0" collapsed="false">
      <c r="A243" s="215" t="n">
        <v>40494</v>
      </c>
      <c r="B243" s="213" t="n">
        <v>44.3</v>
      </c>
      <c r="C243" s="213" t="n">
        <f aca="false">AVERAGEIFS($B$33:$B$1494,$A$33:$A$1494,A243)</f>
        <v>44.0666666666667</v>
      </c>
      <c r="D243" s="213" t="n">
        <v>46.5</v>
      </c>
      <c r="E243" s="213" t="n">
        <f aca="false">AVERAGEIFS($D$33:$D$1494,$A$33:$A$1494,A243)</f>
        <v>46.1666666666667</v>
      </c>
      <c r="F243" s="213" t="n">
        <v>10.7</v>
      </c>
      <c r="G243" s="213" t="n">
        <f aca="false">AVERAGEIFS($F$33:$F$1494,$A$33:$A$1494,A243)</f>
        <v>11.6333333333333</v>
      </c>
      <c r="H243" s="213" t="n">
        <v>10.7</v>
      </c>
      <c r="I243" s="213" t="n">
        <f aca="false">AVERAGEIFS($H$33:$H$1494,$A$33:$A$1494,A243)</f>
        <v>11.0666666666667</v>
      </c>
      <c r="L243" s="215" t="n">
        <v>40494</v>
      </c>
      <c r="M243" s="213" t="n">
        <v>44.0666666666667</v>
      </c>
      <c r="N243" s="213" t="n">
        <v>46.1666666666667</v>
      </c>
      <c r="O243" s="213" t="n">
        <v>11.6333333333333</v>
      </c>
      <c r="P243" s="213" t="n">
        <v>11.0666666666667</v>
      </c>
      <c r="S243" s="215" t="n">
        <v>40670</v>
      </c>
      <c r="T243" s="213" t="n">
        <v>21.1333333333333</v>
      </c>
      <c r="U243" s="213" t="n">
        <v>23.4833333333333</v>
      </c>
      <c r="V243" s="213" t="n">
        <v>16.1666666666667</v>
      </c>
      <c r="W243" s="213" t="n">
        <v>15.2</v>
      </c>
      <c r="X243" s="204" t="n">
        <v>0</v>
      </c>
      <c r="Y243" s="204" t="n">
        <v>17</v>
      </c>
    </row>
    <row r="244" customFormat="false" ht="12.75" hidden="false" customHeight="false" outlineLevel="0" collapsed="false">
      <c r="A244" s="215" t="n">
        <v>40494</v>
      </c>
      <c r="B244" s="213" t="n">
        <v>44.2</v>
      </c>
      <c r="C244" s="213" t="n">
        <f aca="false">AVERAGEIFS($B$33:$B$1494,$A$33:$A$1494,A244)</f>
        <v>44.0666666666667</v>
      </c>
      <c r="D244" s="213" t="n">
        <v>46.4</v>
      </c>
      <c r="E244" s="213" t="n">
        <f aca="false">AVERAGEIFS($D$33:$D$1494,$A$33:$A$1494,A244)</f>
        <v>46.1666666666667</v>
      </c>
      <c r="F244" s="213" t="n">
        <v>10.9</v>
      </c>
      <c r="G244" s="213" t="n">
        <f aca="false">AVERAGEIFS($F$33:$F$1494,$A$33:$A$1494,A244)</f>
        <v>11.6333333333333</v>
      </c>
      <c r="H244" s="213" t="n">
        <v>10.8</v>
      </c>
      <c r="I244" s="213" t="n">
        <f aca="false">AVERAGEIFS($H$33:$H$1494,$A$33:$A$1494,A244)</f>
        <v>11.0666666666667</v>
      </c>
      <c r="L244" s="215" t="n">
        <v>40494</v>
      </c>
      <c r="M244" s="213" t="n">
        <v>44.0666666666667</v>
      </c>
      <c r="N244" s="213" t="n">
        <v>46.1666666666667</v>
      </c>
      <c r="O244" s="213" t="n">
        <v>11.6333333333333</v>
      </c>
      <c r="P244" s="213" t="n">
        <v>11.0666666666667</v>
      </c>
      <c r="S244" s="215" t="n">
        <v>40671</v>
      </c>
      <c r="T244" s="213" t="n">
        <v>21.05</v>
      </c>
      <c r="U244" s="213" t="n">
        <v>23.3666666666667</v>
      </c>
      <c r="V244" s="213" t="n">
        <v>16.5</v>
      </c>
      <c r="W244" s="213" t="n">
        <v>15.05</v>
      </c>
      <c r="X244" s="204" t="n">
        <v>0</v>
      </c>
      <c r="Y244" s="204" t="n">
        <v>19.5</v>
      </c>
    </row>
    <row r="245" customFormat="false" ht="12.75" hidden="false" customHeight="false" outlineLevel="0" collapsed="false">
      <c r="A245" s="215" t="n">
        <v>40494</v>
      </c>
      <c r="B245" s="213" t="n">
        <v>44.1</v>
      </c>
      <c r="C245" s="213" t="n">
        <f aca="false">AVERAGEIFS($B$33:$B$1494,$A$33:$A$1494,A245)</f>
        <v>44.0666666666667</v>
      </c>
      <c r="D245" s="213" t="n">
        <v>46.3</v>
      </c>
      <c r="E245" s="213" t="n">
        <f aca="false">AVERAGEIFS($D$33:$D$1494,$A$33:$A$1494,A245)</f>
        <v>46.1666666666667</v>
      </c>
      <c r="F245" s="213" t="n">
        <v>11.3</v>
      </c>
      <c r="G245" s="213" t="n">
        <f aca="false">AVERAGEIFS($F$33:$F$1494,$A$33:$A$1494,A245)</f>
        <v>11.6333333333333</v>
      </c>
      <c r="H245" s="213" t="n">
        <v>10.9</v>
      </c>
      <c r="I245" s="213" t="n">
        <f aca="false">AVERAGEIFS($H$33:$H$1494,$A$33:$A$1494,A245)</f>
        <v>11.0666666666667</v>
      </c>
      <c r="L245" s="215" t="n">
        <v>40494</v>
      </c>
      <c r="M245" s="213" t="n">
        <v>44.0666666666667</v>
      </c>
      <c r="N245" s="213" t="n">
        <v>46.1666666666667</v>
      </c>
      <c r="O245" s="213" t="n">
        <v>11.6333333333333</v>
      </c>
      <c r="P245" s="213" t="n">
        <v>11.0666666666667</v>
      </c>
      <c r="S245" s="215" t="n">
        <v>40672</v>
      </c>
      <c r="T245" s="213" t="n">
        <v>21.0166666666667</v>
      </c>
      <c r="U245" s="213" t="n">
        <v>23.2333333333333</v>
      </c>
      <c r="V245" s="213" t="n">
        <v>17.3333333333333</v>
      </c>
      <c r="W245" s="213" t="n">
        <v>15.6333333333333</v>
      </c>
      <c r="X245" s="204" t="n">
        <v>0</v>
      </c>
      <c r="Y245" s="204" t="n">
        <v>19.6</v>
      </c>
    </row>
    <row r="246" customFormat="false" ht="12.75" hidden="false" customHeight="false" outlineLevel="0" collapsed="false">
      <c r="A246" s="215" t="n">
        <v>40494</v>
      </c>
      <c r="B246" s="213" t="n">
        <v>44</v>
      </c>
      <c r="C246" s="213" t="n">
        <f aca="false">AVERAGEIFS($B$33:$B$1494,$A$33:$A$1494,A246)</f>
        <v>44.0666666666667</v>
      </c>
      <c r="D246" s="213" t="n">
        <v>46.2</v>
      </c>
      <c r="E246" s="213" t="n">
        <f aca="false">AVERAGEIFS($D$33:$D$1494,$A$33:$A$1494,A246)</f>
        <v>46.1666666666667</v>
      </c>
      <c r="F246" s="213" t="n">
        <v>11.7</v>
      </c>
      <c r="G246" s="213" t="n">
        <f aca="false">AVERAGEIFS($F$33:$F$1494,$A$33:$A$1494,A246)</f>
        <v>11.6333333333333</v>
      </c>
      <c r="H246" s="213" t="n">
        <v>11.1</v>
      </c>
      <c r="I246" s="213" t="n">
        <f aca="false">AVERAGEIFS($H$33:$H$1494,$A$33:$A$1494,A246)</f>
        <v>11.0666666666667</v>
      </c>
      <c r="L246" s="215" t="n">
        <v>40494</v>
      </c>
      <c r="M246" s="213" t="n">
        <v>44.0666666666667</v>
      </c>
      <c r="N246" s="213" t="n">
        <v>46.1666666666667</v>
      </c>
      <c r="O246" s="213" t="n">
        <v>11.6333333333333</v>
      </c>
      <c r="P246" s="213" t="n">
        <v>11.0666666666667</v>
      </c>
      <c r="S246" s="215" t="n">
        <v>40673</v>
      </c>
      <c r="T246" s="213" t="n">
        <v>20.95</v>
      </c>
      <c r="U246" s="213" t="n">
        <v>23.1333333333333</v>
      </c>
      <c r="V246" s="213" t="n">
        <v>17.8666666666667</v>
      </c>
      <c r="W246" s="213" t="n">
        <v>16.1833333333333</v>
      </c>
      <c r="X246" s="204" t="n">
        <v>0</v>
      </c>
      <c r="Y246" s="204" t="n">
        <v>19</v>
      </c>
    </row>
    <row r="247" customFormat="false" ht="12.75" hidden="false" customHeight="false" outlineLevel="0" collapsed="false">
      <c r="A247" s="215" t="n">
        <v>40494</v>
      </c>
      <c r="B247" s="213" t="n">
        <v>43.9</v>
      </c>
      <c r="C247" s="213" t="n">
        <f aca="false">AVERAGEIFS($B$33:$B$1494,$A$33:$A$1494,A247)</f>
        <v>44.0666666666667</v>
      </c>
      <c r="D247" s="213" t="n">
        <v>45.8</v>
      </c>
      <c r="E247" s="213" t="n">
        <f aca="false">AVERAGEIFS($D$33:$D$1494,$A$33:$A$1494,A247)</f>
        <v>46.1666666666667</v>
      </c>
      <c r="F247" s="213" t="n">
        <v>12.6</v>
      </c>
      <c r="G247" s="213" t="n">
        <f aca="false">AVERAGEIFS($F$33:$F$1494,$A$33:$A$1494,A247)</f>
        <v>11.6333333333333</v>
      </c>
      <c r="H247" s="213" t="n">
        <v>11.3</v>
      </c>
      <c r="I247" s="213" t="n">
        <f aca="false">AVERAGEIFS($H$33:$H$1494,$A$33:$A$1494,A247)</f>
        <v>11.0666666666667</v>
      </c>
      <c r="L247" s="215" t="n">
        <v>40494</v>
      </c>
      <c r="M247" s="213" t="n">
        <v>44.0666666666667</v>
      </c>
      <c r="N247" s="213" t="n">
        <v>46.1666666666667</v>
      </c>
      <c r="O247" s="213" t="n">
        <v>11.6333333333333</v>
      </c>
      <c r="P247" s="213" t="n">
        <v>11.0666666666667</v>
      </c>
      <c r="S247" s="215" t="n">
        <v>40674</v>
      </c>
      <c r="T247" s="213" t="n">
        <v>20.8666666666667</v>
      </c>
      <c r="U247" s="213" t="n">
        <v>22.9833333333333</v>
      </c>
      <c r="V247" s="213" t="n">
        <v>18.0333333333333</v>
      </c>
      <c r="W247" s="213" t="n">
        <v>16.4166666666667</v>
      </c>
      <c r="X247" s="204" t="n">
        <v>0</v>
      </c>
      <c r="Y247" s="204" t="n">
        <v>20.9</v>
      </c>
    </row>
    <row r="248" customFormat="false" ht="12.75" hidden="false" customHeight="false" outlineLevel="0" collapsed="false">
      <c r="A248" s="215" t="n">
        <v>40494</v>
      </c>
      <c r="B248" s="213" t="n">
        <v>43.9</v>
      </c>
      <c r="C248" s="213" t="n">
        <f aca="false">AVERAGEIFS($B$33:$B$1494,$A$33:$A$1494,A248)</f>
        <v>44.0666666666667</v>
      </c>
      <c r="D248" s="213" t="n">
        <v>45.8</v>
      </c>
      <c r="E248" s="213" t="n">
        <f aca="false">AVERAGEIFS($D$33:$D$1494,$A$33:$A$1494,A248)</f>
        <v>46.1666666666667</v>
      </c>
      <c r="F248" s="213" t="n">
        <v>12.6</v>
      </c>
      <c r="G248" s="213" t="n">
        <f aca="false">AVERAGEIFS($F$33:$F$1494,$A$33:$A$1494,A248)</f>
        <v>11.6333333333333</v>
      </c>
      <c r="H248" s="213" t="n">
        <v>11.6</v>
      </c>
      <c r="I248" s="213" t="n">
        <f aca="false">AVERAGEIFS($H$33:$H$1494,$A$33:$A$1494,A248)</f>
        <v>11.0666666666667</v>
      </c>
      <c r="L248" s="215" t="n">
        <v>40494</v>
      </c>
      <c r="M248" s="213" t="n">
        <v>44.0666666666667</v>
      </c>
      <c r="N248" s="213" t="n">
        <v>46.1666666666667</v>
      </c>
      <c r="O248" s="213" t="n">
        <v>11.6333333333333</v>
      </c>
      <c r="P248" s="213" t="n">
        <v>11.0666666666667</v>
      </c>
      <c r="S248" s="215" t="n">
        <v>40675</v>
      </c>
      <c r="T248" s="213" t="n">
        <v>20.8166666666667</v>
      </c>
      <c r="U248" s="213" t="n">
        <v>22.9166666666667</v>
      </c>
      <c r="V248" s="213" t="n">
        <v>18.3166666666667</v>
      </c>
      <c r="W248" s="213" t="n">
        <v>16.85</v>
      </c>
      <c r="X248" s="204" t="n">
        <v>0</v>
      </c>
      <c r="Y248" s="204" t="n">
        <v>18.8</v>
      </c>
    </row>
    <row r="249" customFormat="false" ht="12.75" hidden="false" customHeight="false" outlineLevel="0" collapsed="false">
      <c r="A249" s="215" t="n">
        <v>40495</v>
      </c>
      <c r="B249" s="213" t="n">
        <v>44</v>
      </c>
      <c r="C249" s="213" t="n">
        <f aca="false">AVERAGEIFS($B$33:$B$1494,$A$33:$A$1494,A249)</f>
        <v>43.8666666666667</v>
      </c>
      <c r="D249" s="213" t="n">
        <v>45.8</v>
      </c>
      <c r="E249" s="213" t="n">
        <f aca="false">AVERAGEIFS($D$33:$D$1494,$A$33:$A$1494,A249)</f>
        <v>45.6833333333333</v>
      </c>
      <c r="F249" s="213" t="n">
        <v>12</v>
      </c>
      <c r="G249" s="213" t="n">
        <f aca="false">AVERAGEIFS($F$33:$F$1494,$A$33:$A$1494,A249)</f>
        <v>11.6333333333333</v>
      </c>
      <c r="H249" s="213" t="n">
        <v>11.8</v>
      </c>
      <c r="I249" s="213" t="n">
        <f aca="false">AVERAGEIFS($H$33:$H$1494,$A$33:$A$1494,A249)</f>
        <v>11.6333333333333</v>
      </c>
      <c r="L249" s="215" t="n">
        <v>40495</v>
      </c>
      <c r="M249" s="213" t="n">
        <v>43.8666666666667</v>
      </c>
      <c r="N249" s="213" t="n">
        <v>45.6833333333333</v>
      </c>
      <c r="O249" s="213" t="n">
        <v>11.6333333333333</v>
      </c>
      <c r="P249" s="213" t="n">
        <v>11.6333333333333</v>
      </c>
      <c r="S249" s="215" t="n">
        <v>40676</v>
      </c>
      <c r="T249" s="213" t="n">
        <v>20.8</v>
      </c>
      <c r="U249" s="213" t="n">
        <v>22.85</v>
      </c>
      <c r="V249" s="213" t="n">
        <v>18.6666666666667</v>
      </c>
      <c r="W249" s="213" t="n">
        <v>16.7833333333333</v>
      </c>
      <c r="X249" s="204" t="n">
        <v>0</v>
      </c>
      <c r="Y249" s="204" t="n">
        <v>21</v>
      </c>
    </row>
    <row r="250" customFormat="false" ht="12.75" hidden="false" customHeight="false" outlineLevel="0" collapsed="false">
      <c r="A250" s="215" t="n">
        <v>40495</v>
      </c>
      <c r="B250" s="213" t="n">
        <v>43.9</v>
      </c>
      <c r="C250" s="213" t="n">
        <f aca="false">AVERAGEIFS($B$33:$B$1494,$A$33:$A$1494,A250)</f>
        <v>43.8666666666667</v>
      </c>
      <c r="D250" s="213" t="n">
        <v>45.8</v>
      </c>
      <c r="E250" s="213" t="n">
        <f aca="false">AVERAGEIFS($D$33:$D$1494,$A$33:$A$1494,A250)</f>
        <v>45.6833333333333</v>
      </c>
      <c r="F250" s="213" t="n">
        <v>11.5</v>
      </c>
      <c r="G250" s="213" t="n">
        <f aca="false">AVERAGEIFS($F$33:$F$1494,$A$33:$A$1494,A250)</f>
        <v>11.6333333333333</v>
      </c>
      <c r="H250" s="213" t="n">
        <v>11.8</v>
      </c>
      <c r="I250" s="213" t="n">
        <f aca="false">AVERAGEIFS($H$33:$H$1494,$A$33:$A$1494,A250)</f>
        <v>11.6333333333333</v>
      </c>
      <c r="L250" s="215" t="n">
        <v>40495</v>
      </c>
      <c r="M250" s="213" t="n">
        <v>43.8666666666667</v>
      </c>
      <c r="N250" s="213" t="n">
        <v>45.6833333333333</v>
      </c>
      <c r="O250" s="213" t="n">
        <v>11.6333333333333</v>
      </c>
      <c r="P250" s="213" t="n">
        <v>11.6333333333333</v>
      </c>
      <c r="S250" s="215" t="n">
        <v>40677</v>
      </c>
      <c r="T250" s="213" t="n">
        <v>20.7666666666667</v>
      </c>
      <c r="U250" s="213" t="n">
        <v>22.8</v>
      </c>
      <c r="V250" s="213" t="n">
        <v>17.9166666666667</v>
      </c>
      <c r="W250" s="213" t="n">
        <v>17.15</v>
      </c>
      <c r="X250" s="204" t="n">
        <v>4.8</v>
      </c>
      <c r="Y250" s="204" t="n">
        <v>15.1</v>
      </c>
    </row>
    <row r="251" customFormat="false" ht="13.8" hidden="false" customHeight="false" outlineLevel="0" collapsed="false">
      <c r="A251" s="215" t="n">
        <v>40495</v>
      </c>
      <c r="B251" s="213" t="n">
        <v>43.9</v>
      </c>
      <c r="C251" s="213" t="n">
        <f aca="false">AVERAGEIFS($B$33:$B$1494,$A$33:$A$1494,A251)</f>
        <v>43.8666666666667</v>
      </c>
      <c r="D251" s="213" t="n">
        <v>45.8</v>
      </c>
      <c r="E251" s="213" t="n">
        <f aca="false">AVERAGEIFS($D$33:$D$1494,$A$33:$A$1494,A251)</f>
        <v>45.6833333333333</v>
      </c>
      <c r="F251" s="213" t="n">
        <v>10.9</v>
      </c>
      <c r="G251" s="213" t="n">
        <f aca="false">AVERAGEIFS($F$33:$F$1494,$A$33:$A$1494,A251)</f>
        <v>11.6333333333333</v>
      </c>
      <c r="H251" s="213" t="n">
        <v>11.7</v>
      </c>
      <c r="I251" s="213" t="n">
        <f aca="false">AVERAGEIFS($H$33:$H$1494,$A$33:$A$1494,A251)</f>
        <v>11.6333333333333</v>
      </c>
      <c r="L251" s="215" t="n">
        <v>40495</v>
      </c>
      <c r="M251" s="213" t="n">
        <v>43.8666666666667</v>
      </c>
      <c r="N251" s="213" t="n">
        <v>45.6833333333333</v>
      </c>
      <c r="O251" s="213" t="n">
        <v>11.6333333333333</v>
      </c>
      <c r="P251" s="213" t="n">
        <v>11.6333333333333</v>
      </c>
      <c r="S251" s="215" t="n">
        <v>40678</v>
      </c>
      <c r="T251" s="213" t="n">
        <v>20.7</v>
      </c>
      <c r="U251" s="213" t="n">
        <v>22.75</v>
      </c>
      <c r="V251" s="213" t="n">
        <v>15.6166666666667</v>
      </c>
      <c r="W251" s="213" t="n">
        <v>15.65</v>
      </c>
      <c r="X251" s="205" t="s">
        <v>768</v>
      </c>
      <c r="Y251" s="205" t="s">
        <v>768</v>
      </c>
    </row>
    <row r="252" customFormat="false" ht="12.75" hidden="false" customHeight="false" outlineLevel="0" collapsed="false">
      <c r="A252" s="215" t="n">
        <v>40495</v>
      </c>
      <c r="B252" s="213" t="n">
        <v>43.9</v>
      </c>
      <c r="C252" s="213" t="n">
        <f aca="false">AVERAGEIFS($B$33:$B$1494,$A$33:$A$1494,A252)</f>
        <v>43.8666666666667</v>
      </c>
      <c r="D252" s="213" t="n">
        <v>45.7</v>
      </c>
      <c r="E252" s="213" t="n">
        <f aca="false">AVERAGEIFS($D$33:$D$1494,$A$33:$A$1494,A252)</f>
        <v>45.6833333333333</v>
      </c>
      <c r="F252" s="213" t="n">
        <v>10.8</v>
      </c>
      <c r="G252" s="213" t="n">
        <f aca="false">AVERAGEIFS($F$33:$F$1494,$A$33:$A$1494,A252)</f>
        <v>11.6333333333333</v>
      </c>
      <c r="H252" s="213" t="n">
        <v>11.5</v>
      </c>
      <c r="I252" s="213" t="n">
        <f aca="false">AVERAGEIFS($H$33:$H$1494,$A$33:$A$1494,A252)</f>
        <v>11.6333333333333</v>
      </c>
      <c r="L252" s="215" t="n">
        <v>40495</v>
      </c>
      <c r="M252" s="213" t="n">
        <v>43.8666666666667</v>
      </c>
      <c r="N252" s="213" t="n">
        <v>45.6833333333333</v>
      </c>
      <c r="O252" s="213" t="n">
        <v>11.6333333333333</v>
      </c>
      <c r="P252" s="213" t="n">
        <v>11.6333333333333</v>
      </c>
      <c r="S252" s="215" t="n">
        <v>40679</v>
      </c>
      <c r="T252" s="213" t="n">
        <v>20.6333333333333</v>
      </c>
      <c r="U252" s="213" t="n">
        <v>22.6833333333333</v>
      </c>
      <c r="V252" s="213" t="n">
        <v>14.8666666666667</v>
      </c>
      <c r="W252" s="213" t="n">
        <v>14.8166666666667</v>
      </c>
      <c r="X252" s="204" t="n">
        <v>0</v>
      </c>
      <c r="Y252" s="204" t="n">
        <v>16.1</v>
      </c>
    </row>
    <row r="253" customFormat="false" ht="12.75" hidden="false" customHeight="false" outlineLevel="0" collapsed="false">
      <c r="A253" s="215" t="n">
        <v>40495</v>
      </c>
      <c r="B253" s="213" t="n">
        <v>43.8</v>
      </c>
      <c r="C253" s="213" t="n">
        <f aca="false">AVERAGEIFS($B$33:$B$1494,$A$33:$A$1494,A253)</f>
        <v>43.8666666666667</v>
      </c>
      <c r="D253" s="213" t="n">
        <v>45.5</v>
      </c>
      <c r="E253" s="213" t="n">
        <f aca="false">AVERAGEIFS($D$33:$D$1494,$A$33:$A$1494,A253)</f>
        <v>45.6833333333333</v>
      </c>
      <c r="F253" s="213" t="n">
        <v>12.2</v>
      </c>
      <c r="G253" s="213" t="n">
        <f aca="false">AVERAGEIFS($F$33:$F$1494,$A$33:$A$1494,A253)</f>
        <v>11.6333333333333</v>
      </c>
      <c r="H253" s="213" t="n">
        <v>11.4</v>
      </c>
      <c r="I253" s="213" t="n">
        <f aca="false">AVERAGEIFS($H$33:$H$1494,$A$33:$A$1494,A253)</f>
        <v>11.6333333333333</v>
      </c>
      <c r="L253" s="215" t="n">
        <v>40495</v>
      </c>
      <c r="M253" s="213" t="n">
        <v>43.8666666666667</v>
      </c>
      <c r="N253" s="213" t="n">
        <v>45.6833333333333</v>
      </c>
      <c r="O253" s="213" t="n">
        <v>11.6333333333333</v>
      </c>
      <c r="P253" s="213" t="n">
        <v>11.6333333333333</v>
      </c>
      <c r="S253" s="215" t="n">
        <v>40680</v>
      </c>
      <c r="T253" s="213" t="n">
        <v>20.65</v>
      </c>
      <c r="U253" s="213" t="n">
        <v>22.7</v>
      </c>
      <c r="V253" s="213" t="n">
        <v>15.9166666666667</v>
      </c>
      <c r="W253" s="213" t="n">
        <v>15</v>
      </c>
      <c r="X253" s="204" t="n">
        <v>0</v>
      </c>
      <c r="Y253" s="204" t="n">
        <v>19.2</v>
      </c>
    </row>
    <row r="254" customFormat="false" ht="12.75" hidden="false" customHeight="false" outlineLevel="0" collapsed="false">
      <c r="A254" s="215" t="n">
        <v>40495</v>
      </c>
      <c r="B254" s="213" t="n">
        <v>43.7</v>
      </c>
      <c r="C254" s="213" t="n">
        <f aca="false">AVERAGEIFS($B$33:$B$1494,$A$33:$A$1494,A254)</f>
        <v>43.8666666666667</v>
      </c>
      <c r="D254" s="213" t="n">
        <v>45.5</v>
      </c>
      <c r="E254" s="213" t="n">
        <f aca="false">AVERAGEIFS($D$33:$D$1494,$A$33:$A$1494,A254)</f>
        <v>45.6833333333333</v>
      </c>
      <c r="F254" s="213" t="n">
        <v>12.4</v>
      </c>
      <c r="G254" s="213" t="n">
        <f aca="false">AVERAGEIFS($F$33:$F$1494,$A$33:$A$1494,A254)</f>
        <v>11.6333333333333</v>
      </c>
      <c r="H254" s="213" t="n">
        <v>11.6</v>
      </c>
      <c r="I254" s="213" t="n">
        <f aca="false">AVERAGEIFS($H$33:$H$1494,$A$33:$A$1494,A254)</f>
        <v>11.6333333333333</v>
      </c>
      <c r="L254" s="215" t="n">
        <v>40495</v>
      </c>
      <c r="M254" s="213" t="n">
        <v>43.8666666666667</v>
      </c>
      <c r="N254" s="213" t="n">
        <v>45.6833333333333</v>
      </c>
      <c r="O254" s="213" t="n">
        <v>11.6333333333333</v>
      </c>
      <c r="P254" s="213" t="n">
        <v>11.6333333333333</v>
      </c>
      <c r="S254" s="215" t="n">
        <v>40681</v>
      </c>
      <c r="T254" s="213" t="n">
        <v>20.6833333333333</v>
      </c>
      <c r="U254" s="213" t="n">
        <v>22.75</v>
      </c>
      <c r="V254" s="213" t="n">
        <v>17.2166666666667</v>
      </c>
      <c r="W254" s="213" t="n">
        <v>15.7333333333333</v>
      </c>
      <c r="X254" s="204" t="n">
        <v>0</v>
      </c>
      <c r="Y254" s="204" t="n">
        <v>20.1</v>
      </c>
    </row>
    <row r="255" customFormat="false" ht="12.75" hidden="false" customHeight="false" outlineLevel="0" collapsed="false">
      <c r="A255" s="215" t="n">
        <v>40496</v>
      </c>
      <c r="B255" s="213" t="n">
        <v>43.7</v>
      </c>
      <c r="C255" s="213" t="n">
        <f aca="false">AVERAGEIFS($B$33:$B$1494,$A$33:$A$1494,A255)</f>
        <v>43.6333333333333</v>
      </c>
      <c r="D255" s="213" t="n">
        <v>45.5</v>
      </c>
      <c r="E255" s="213" t="n">
        <f aca="false">AVERAGEIFS($D$33:$D$1494,$A$33:$A$1494,A255)</f>
        <v>45.4333333333333</v>
      </c>
      <c r="F255" s="213" t="n">
        <v>12.2</v>
      </c>
      <c r="G255" s="213" t="n">
        <f aca="false">AVERAGEIFS($F$33:$F$1494,$A$33:$A$1494,A255)</f>
        <v>12.3333333333333</v>
      </c>
      <c r="H255" s="213" t="n">
        <v>11.8</v>
      </c>
      <c r="I255" s="213" t="n">
        <f aca="false">AVERAGEIFS($H$33:$H$1494,$A$33:$A$1494,A255)</f>
        <v>11.9166666666667</v>
      </c>
      <c r="L255" s="215" t="n">
        <v>40496</v>
      </c>
      <c r="M255" s="213" t="n">
        <v>43.6333333333333</v>
      </c>
      <c r="N255" s="213" t="n">
        <v>45.4333333333333</v>
      </c>
      <c r="O255" s="213" t="n">
        <v>12.3333333333333</v>
      </c>
      <c r="P255" s="213" t="n">
        <v>11.9166666666667</v>
      </c>
      <c r="S255" s="215" t="n">
        <v>40682</v>
      </c>
      <c r="T255" s="213" t="n">
        <v>20.75</v>
      </c>
      <c r="U255" s="213" t="n">
        <v>22.8</v>
      </c>
      <c r="V255" s="213" t="n">
        <v>18.2166666666667</v>
      </c>
      <c r="W255" s="213" t="n">
        <v>16.4833333333333</v>
      </c>
      <c r="X255" s="204" t="n">
        <v>0</v>
      </c>
      <c r="Y255" s="204" t="n">
        <v>19.5</v>
      </c>
    </row>
    <row r="256" customFormat="false" ht="12.75" hidden="false" customHeight="false" outlineLevel="0" collapsed="false">
      <c r="A256" s="215" t="n">
        <v>40496</v>
      </c>
      <c r="B256" s="213" t="n">
        <v>43.7</v>
      </c>
      <c r="C256" s="213" t="n">
        <f aca="false">AVERAGEIFS($B$33:$B$1494,$A$33:$A$1494,A256)</f>
        <v>43.6333333333333</v>
      </c>
      <c r="D256" s="213" t="n">
        <v>45.5</v>
      </c>
      <c r="E256" s="213" t="n">
        <f aca="false">AVERAGEIFS($D$33:$D$1494,$A$33:$A$1494,A256)</f>
        <v>45.4333333333333</v>
      </c>
      <c r="F256" s="213" t="n">
        <v>12</v>
      </c>
      <c r="G256" s="213" t="n">
        <f aca="false">AVERAGEIFS($F$33:$F$1494,$A$33:$A$1494,A256)</f>
        <v>12.3333333333333</v>
      </c>
      <c r="H256" s="213" t="n">
        <v>11.9</v>
      </c>
      <c r="I256" s="213" t="n">
        <f aca="false">AVERAGEIFS($H$33:$H$1494,$A$33:$A$1494,A256)</f>
        <v>11.9166666666667</v>
      </c>
      <c r="L256" s="215" t="n">
        <v>40496</v>
      </c>
      <c r="M256" s="213" t="n">
        <v>43.6333333333333</v>
      </c>
      <c r="N256" s="213" t="n">
        <v>45.4333333333333</v>
      </c>
      <c r="O256" s="213" t="n">
        <v>12.3333333333333</v>
      </c>
      <c r="P256" s="213" t="n">
        <v>11.9166666666667</v>
      </c>
      <c r="S256" s="215" t="n">
        <v>40683</v>
      </c>
      <c r="T256" s="213" t="n">
        <v>20.75</v>
      </c>
      <c r="U256" s="213" t="n">
        <v>22.9</v>
      </c>
      <c r="V256" s="213" t="n">
        <v>18.2666666666667</v>
      </c>
      <c r="W256" s="213" t="n">
        <v>16.8333333333333</v>
      </c>
      <c r="X256" s="204" t="n">
        <v>0</v>
      </c>
      <c r="Y256" s="204" t="n">
        <v>20.7</v>
      </c>
    </row>
    <row r="257" customFormat="false" ht="12.75" hidden="false" customHeight="false" outlineLevel="0" collapsed="false">
      <c r="A257" s="215" t="n">
        <v>40496</v>
      </c>
      <c r="B257" s="213" t="n">
        <v>43.7</v>
      </c>
      <c r="C257" s="213" t="n">
        <f aca="false">AVERAGEIFS($B$33:$B$1494,$A$33:$A$1494,A257)</f>
        <v>43.6333333333333</v>
      </c>
      <c r="D257" s="213" t="n">
        <v>45.5</v>
      </c>
      <c r="E257" s="213" t="n">
        <f aca="false">AVERAGEIFS($D$33:$D$1494,$A$33:$A$1494,A257)</f>
        <v>45.4333333333333</v>
      </c>
      <c r="F257" s="213" t="n">
        <v>11.9</v>
      </c>
      <c r="G257" s="213" t="n">
        <f aca="false">AVERAGEIFS($F$33:$F$1494,$A$33:$A$1494,A257)</f>
        <v>12.3333333333333</v>
      </c>
      <c r="H257" s="213" t="n">
        <v>11.9</v>
      </c>
      <c r="I257" s="213" t="n">
        <f aca="false">AVERAGEIFS($H$33:$H$1494,$A$33:$A$1494,A257)</f>
        <v>11.9166666666667</v>
      </c>
      <c r="L257" s="215" t="n">
        <v>40496</v>
      </c>
      <c r="M257" s="213" t="n">
        <v>43.6333333333333</v>
      </c>
      <c r="N257" s="213" t="n">
        <v>45.4333333333333</v>
      </c>
      <c r="O257" s="213" t="n">
        <v>12.3333333333333</v>
      </c>
      <c r="P257" s="213" t="n">
        <v>11.9166666666667</v>
      </c>
      <c r="S257" s="215" t="n">
        <v>40684</v>
      </c>
      <c r="T257" s="213" t="n">
        <v>20.7666666666667</v>
      </c>
      <c r="U257" s="213" t="n">
        <v>22.9</v>
      </c>
      <c r="V257" s="213" t="n">
        <v>19.3166666666667</v>
      </c>
      <c r="W257" s="213" t="n">
        <v>17.35</v>
      </c>
      <c r="X257" s="204" t="n">
        <v>0</v>
      </c>
      <c r="Y257" s="204" t="n">
        <v>21.7</v>
      </c>
    </row>
    <row r="258" customFormat="false" ht="12.75" hidden="false" customHeight="false" outlineLevel="0" collapsed="false">
      <c r="A258" s="215" t="n">
        <v>40496</v>
      </c>
      <c r="B258" s="213" t="n">
        <v>43.7</v>
      </c>
      <c r="C258" s="213" t="n">
        <f aca="false">AVERAGEIFS($B$33:$B$1494,$A$33:$A$1494,A258)</f>
        <v>43.6333333333333</v>
      </c>
      <c r="D258" s="213" t="n">
        <v>45.5</v>
      </c>
      <c r="E258" s="213" t="n">
        <f aca="false">AVERAGEIFS($D$33:$D$1494,$A$33:$A$1494,A258)</f>
        <v>45.4333333333333</v>
      </c>
      <c r="F258" s="213" t="n">
        <v>12</v>
      </c>
      <c r="G258" s="213" t="n">
        <f aca="false">AVERAGEIFS($F$33:$F$1494,$A$33:$A$1494,A258)</f>
        <v>12.3333333333333</v>
      </c>
      <c r="H258" s="213" t="n">
        <v>11.9</v>
      </c>
      <c r="I258" s="213" t="n">
        <f aca="false">AVERAGEIFS($H$33:$H$1494,$A$33:$A$1494,A258)</f>
        <v>11.9166666666667</v>
      </c>
      <c r="L258" s="215" t="n">
        <v>40496</v>
      </c>
      <c r="M258" s="213" t="n">
        <v>43.6333333333333</v>
      </c>
      <c r="N258" s="213" t="n">
        <v>45.4333333333333</v>
      </c>
      <c r="O258" s="213" t="n">
        <v>12.3333333333333</v>
      </c>
      <c r="P258" s="213" t="n">
        <v>11.9166666666667</v>
      </c>
      <c r="S258" s="215" t="n">
        <v>40685</v>
      </c>
      <c r="T258" s="213" t="n">
        <v>20.7666666666667</v>
      </c>
      <c r="U258" s="213" t="n">
        <v>22.95</v>
      </c>
      <c r="V258" s="213" t="n">
        <v>18.95</v>
      </c>
      <c r="W258" s="213" t="n">
        <v>17.7333333333333</v>
      </c>
      <c r="X258" s="204" t="n">
        <v>0</v>
      </c>
      <c r="Y258" s="204" t="n">
        <v>18.2</v>
      </c>
    </row>
    <row r="259" customFormat="false" ht="12.75" hidden="false" customHeight="false" outlineLevel="0" collapsed="false">
      <c r="A259" s="215" t="n">
        <v>40496</v>
      </c>
      <c r="B259" s="213" t="n">
        <v>43.5</v>
      </c>
      <c r="C259" s="213" t="n">
        <f aca="false">AVERAGEIFS($B$33:$B$1494,$A$33:$A$1494,A259)</f>
        <v>43.6333333333333</v>
      </c>
      <c r="D259" s="213" t="n">
        <v>45.3</v>
      </c>
      <c r="E259" s="213" t="n">
        <f aca="false">AVERAGEIFS($D$33:$D$1494,$A$33:$A$1494,A259)</f>
        <v>45.4333333333333</v>
      </c>
      <c r="F259" s="213" t="n">
        <v>13</v>
      </c>
      <c r="G259" s="213" t="n">
        <f aca="false">AVERAGEIFS($F$33:$F$1494,$A$33:$A$1494,A259)</f>
        <v>12.3333333333333</v>
      </c>
      <c r="H259" s="213" t="n">
        <v>11.9</v>
      </c>
      <c r="I259" s="213" t="n">
        <f aca="false">AVERAGEIFS($H$33:$H$1494,$A$33:$A$1494,A259)</f>
        <v>11.9166666666667</v>
      </c>
      <c r="L259" s="215" t="n">
        <v>40496</v>
      </c>
      <c r="M259" s="213" t="n">
        <v>43.6333333333333</v>
      </c>
      <c r="N259" s="213" t="n">
        <v>45.4333333333333</v>
      </c>
      <c r="O259" s="213" t="n">
        <v>12.3333333333333</v>
      </c>
      <c r="P259" s="213" t="n">
        <v>11.9166666666667</v>
      </c>
      <c r="S259" s="215" t="n">
        <v>40686</v>
      </c>
      <c r="T259" s="213" t="n">
        <v>20.7</v>
      </c>
      <c r="U259" s="213" t="n">
        <v>22.9</v>
      </c>
      <c r="V259" s="213" t="n">
        <v>18.3833333333333</v>
      </c>
      <c r="W259" s="213" t="n">
        <v>17.1333333333333</v>
      </c>
      <c r="X259" s="204" t="n">
        <v>0</v>
      </c>
      <c r="Y259" s="204" t="n">
        <v>21</v>
      </c>
    </row>
    <row r="260" customFormat="false" ht="12.75" hidden="false" customHeight="false" outlineLevel="0" collapsed="false">
      <c r="A260" s="215" t="n">
        <v>40496</v>
      </c>
      <c r="B260" s="213" t="n">
        <v>43.5</v>
      </c>
      <c r="C260" s="213" t="n">
        <f aca="false">AVERAGEIFS($B$33:$B$1494,$A$33:$A$1494,A260)</f>
        <v>43.6333333333333</v>
      </c>
      <c r="D260" s="213" t="n">
        <v>45.3</v>
      </c>
      <c r="E260" s="213" t="n">
        <f aca="false">AVERAGEIFS($D$33:$D$1494,$A$33:$A$1494,A260)</f>
        <v>45.4333333333333</v>
      </c>
      <c r="F260" s="213" t="n">
        <v>12.9</v>
      </c>
      <c r="G260" s="213" t="n">
        <f aca="false">AVERAGEIFS($F$33:$F$1494,$A$33:$A$1494,A260)</f>
        <v>12.3333333333333</v>
      </c>
      <c r="H260" s="213" t="n">
        <v>12.1</v>
      </c>
      <c r="I260" s="213" t="n">
        <f aca="false">AVERAGEIFS($H$33:$H$1494,$A$33:$A$1494,A260)</f>
        <v>11.9166666666667</v>
      </c>
      <c r="L260" s="215" t="n">
        <v>40496</v>
      </c>
      <c r="M260" s="213" t="n">
        <v>43.6333333333333</v>
      </c>
      <c r="N260" s="213" t="n">
        <v>45.4333333333333</v>
      </c>
      <c r="O260" s="213" t="n">
        <v>12.3333333333333</v>
      </c>
      <c r="P260" s="213" t="n">
        <v>11.9166666666667</v>
      </c>
      <c r="S260" s="215" t="n">
        <v>40687</v>
      </c>
      <c r="T260" s="213" t="n">
        <v>20.75</v>
      </c>
      <c r="U260" s="213" t="n">
        <v>22.9</v>
      </c>
      <c r="V260" s="213" t="n">
        <v>19.3166666666667</v>
      </c>
      <c r="W260" s="213" t="n">
        <v>17.6666666666667</v>
      </c>
      <c r="X260" s="204" t="n">
        <v>0</v>
      </c>
      <c r="Y260" s="204" t="n">
        <v>20.9</v>
      </c>
    </row>
    <row r="261" customFormat="false" ht="12.75" hidden="false" customHeight="false" outlineLevel="0" collapsed="false">
      <c r="A261" s="215" t="n">
        <v>40497</v>
      </c>
      <c r="B261" s="213" t="n">
        <v>44.1</v>
      </c>
      <c r="C261" s="213" t="n">
        <f aca="false">AVERAGEIFS($B$33:$B$1494,$A$33:$A$1494,A261)</f>
        <v>46.4166666666667</v>
      </c>
      <c r="D261" s="213" t="n">
        <v>45.3</v>
      </c>
      <c r="E261" s="213" t="n">
        <f aca="false">AVERAGEIFS($D$33:$D$1494,$A$33:$A$1494,A261)</f>
        <v>48.2833333333333</v>
      </c>
      <c r="F261" s="213" t="n">
        <v>12.4</v>
      </c>
      <c r="G261" s="213" t="n">
        <f aca="false">AVERAGEIFS($F$33:$F$1494,$A$33:$A$1494,A261)</f>
        <v>11.75</v>
      </c>
      <c r="H261" s="213" t="n">
        <v>12.2</v>
      </c>
      <c r="I261" s="213" t="n">
        <f aca="false">AVERAGEIFS($H$33:$H$1494,$A$33:$A$1494,A261)</f>
        <v>12</v>
      </c>
      <c r="L261" s="215" t="n">
        <v>40497</v>
      </c>
      <c r="M261" s="213" t="n">
        <v>46.4166666666667</v>
      </c>
      <c r="N261" s="213" t="n">
        <v>48.2833333333333</v>
      </c>
      <c r="O261" s="213" t="n">
        <v>11.75</v>
      </c>
      <c r="P261" s="213" t="n">
        <v>12</v>
      </c>
      <c r="S261" s="215" t="n">
        <v>40688</v>
      </c>
      <c r="T261" s="213" t="n">
        <v>20.7833333333333</v>
      </c>
      <c r="U261" s="213" t="n">
        <v>23</v>
      </c>
      <c r="V261" s="213" t="n">
        <v>20.2333333333333</v>
      </c>
      <c r="W261" s="213" t="n">
        <v>18.2166666666667</v>
      </c>
      <c r="X261" s="204" t="n">
        <v>0</v>
      </c>
      <c r="Y261" s="204" t="n">
        <v>22.9</v>
      </c>
    </row>
    <row r="262" customFormat="false" ht="12.75" hidden="false" customHeight="false" outlineLevel="0" collapsed="false">
      <c r="A262" s="215" t="n">
        <v>40497</v>
      </c>
      <c r="B262" s="213" t="n">
        <v>43.7</v>
      </c>
      <c r="C262" s="213" t="n">
        <f aca="false">AVERAGEIFS($B$33:$B$1494,$A$33:$A$1494,A262)</f>
        <v>46.4166666666667</v>
      </c>
      <c r="D262" s="213" t="n">
        <v>45.3</v>
      </c>
      <c r="E262" s="213" t="n">
        <f aca="false">AVERAGEIFS($D$33:$D$1494,$A$33:$A$1494,A262)</f>
        <v>48.2833333333333</v>
      </c>
      <c r="F262" s="213" t="n">
        <v>11.9</v>
      </c>
      <c r="G262" s="213" t="n">
        <f aca="false">AVERAGEIFS($F$33:$F$1494,$A$33:$A$1494,A262)</f>
        <v>11.75</v>
      </c>
      <c r="H262" s="213" t="n">
        <v>12.2</v>
      </c>
      <c r="I262" s="213" t="n">
        <f aca="false">AVERAGEIFS($H$33:$H$1494,$A$33:$A$1494,A262)</f>
        <v>12</v>
      </c>
      <c r="L262" s="215" t="n">
        <v>40497</v>
      </c>
      <c r="M262" s="213" t="n">
        <v>46.4166666666667</v>
      </c>
      <c r="N262" s="213" t="n">
        <v>48.2833333333333</v>
      </c>
      <c r="O262" s="213" t="n">
        <v>11.75</v>
      </c>
      <c r="P262" s="213" t="n">
        <v>12</v>
      </c>
      <c r="S262" s="215" t="n">
        <v>40689</v>
      </c>
      <c r="T262" s="213" t="n">
        <v>20.8166666666667</v>
      </c>
      <c r="U262" s="213" t="n">
        <v>23</v>
      </c>
      <c r="V262" s="213" t="n">
        <v>19.8666666666667</v>
      </c>
      <c r="W262" s="213" t="n">
        <v>18.6833333333333</v>
      </c>
      <c r="X262" s="204" t="n">
        <v>0</v>
      </c>
      <c r="Y262" s="204" t="n">
        <v>19.6</v>
      </c>
    </row>
    <row r="263" customFormat="false" ht="12.75" hidden="false" customHeight="false" outlineLevel="0" collapsed="false">
      <c r="A263" s="215" t="n">
        <v>40497</v>
      </c>
      <c r="B263" s="213" t="n">
        <v>44.1</v>
      </c>
      <c r="C263" s="213" t="n">
        <f aca="false">AVERAGEIFS($B$33:$B$1494,$A$33:$A$1494,A263)</f>
        <v>46.4166666666667</v>
      </c>
      <c r="D263" s="213" t="n">
        <v>45.3</v>
      </c>
      <c r="E263" s="213" t="n">
        <f aca="false">AVERAGEIFS($D$33:$D$1494,$A$33:$A$1494,A263)</f>
        <v>48.2833333333333</v>
      </c>
      <c r="F263" s="213" t="n">
        <v>11.5</v>
      </c>
      <c r="G263" s="213" t="n">
        <f aca="false">AVERAGEIFS($F$33:$F$1494,$A$33:$A$1494,A263)</f>
        <v>11.75</v>
      </c>
      <c r="H263" s="213" t="n">
        <v>12.1</v>
      </c>
      <c r="I263" s="213" t="n">
        <f aca="false">AVERAGEIFS($H$33:$H$1494,$A$33:$A$1494,A263)</f>
        <v>12</v>
      </c>
      <c r="L263" s="215" t="n">
        <v>40497</v>
      </c>
      <c r="M263" s="213" t="n">
        <v>46.4166666666667</v>
      </c>
      <c r="N263" s="213" t="n">
        <v>48.2833333333333</v>
      </c>
      <c r="O263" s="213" t="n">
        <v>11.75</v>
      </c>
      <c r="P263" s="213" t="n">
        <v>12</v>
      </c>
      <c r="S263" s="215" t="n">
        <v>40690</v>
      </c>
      <c r="T263" s="213" t="n">
        <v>20.7166666666667</v>
      </c>
      <c r="U263" s="213" t="n">
        <v>22.9333333333333</v>
      </c>
      <c r="V263" s="213" t="n">
        <v>18.55</v>
      </c>
      <c r="W263" s="213" t="n">
        <v>17.8833333333333</v>
      </c>
      <c r="X263" s="204" t="n">
        <v>0</v>
      </c>
      <c r="Y263" s="204" t="n">
        <v>16.3</v>
      </c>
    </row>
    <row r="264" customFormat="false" ht="12.75" hidden="false" customHeight="false" outlineLevel="0" collapsed="false">
      <c r="A264" s="215" t="n">
        <v>40497</v>
      </c>
      <c r="B264" s="213" t="n">
        <v>52.4</v>
      </c>
      <c r="C264" s="213" t="n">
        <f aca="false">AVERAGEIFS($B$33:$B$1494,$A$33:$A$1494,A264)</f>
        <v>46.4166666666667</v>
      </c>
      <c r="D264" s="213" t="n">
        <v>51.7</v>
      </c>
      <c r="E264" s="213" t="n">
        <f aca="false">AVERAGEIFS($D$33:$D$1494,$A$33:$A$1494,A264)</f>
        <v>48.2833333333333</v>
      </c>
      <c r="F264" s="213" t="n">
        <v>11.4</v>
      </c>
      <c r="G264" s="213" t="n">
        <f aca="false">AVERAGEIFS($F$33:$F$1494,$A$33:$A$1494,A264)</f>
        <v>11.75</v>
      </c>
      <c r="H264" s="213" t="n">
        <v>11.9</v>
      </c>
      <c r="I264" s="213" t="n">
        <f aca="false">AVERAGEIFS($H$33:$H$1494,$A$33:$A$1494,A264)</f>
        <v>12</v>
      </c>
      <c r="L264" s="215" t="n">
        <v>40497</v>
      </c>
      <c r="M264" s="213" t="n">
        <v>46.4166666666667</v>
      </c>
      <c r="N264" s="213" t="n">
        <v>48.2833333333333</v>
      </c>
      <c r="O264" s="213" t="n">
        <v>11.75</v>
      </c>
      <c r="P264" s="213" t="n">
        <v>12</v>
      </c>
      <c r="S264" s="215" t="n">
        <v>40691</v>
      </c>
      <c r="T264" s="213" t="n">
        <v>20.6666666666667</v>
      </c>
      <c r="U264" s="213" t="n">
        <v>22.9</v>
      </c>
      <c r="V264" s="213" t="n">
        <v>18.1666666666667</v>
      </c>
      <c r="W264" s="213" t="n">
        <v>17.4</v>
      </c>
      <c r="X264" s="204" t="n">
        <v>0</v>
      </c>
      <c r="Y264" s="204" t="n">
        <v>18</v>
      </c>
    </row>
    <row r="265" customFormat="false" ht="12.75" hidden="false" customHeight="false" outlineLevel="0" collapsed="false">
      <c r="A265" s="215" t="n">
        <v>40497</v>
      </c>
      <c r="B265" s="213" t="n">
        <v>48.1</v>
      </c>
      <c r="C265" s="213" t="n">
        <f aca="false">AVERAGEIFS($B$33:$B$1494,$A$33:$A$1494,A265)</f>
        <v>46.4166666666667</v>
      </c>
      <c r="D265" s="213" t="n">
        <v>51.7</v>
      </c>
      <c r="E265" s="213" t="n">
        <f aca="false">AVERAGEIFS($D$33:$D$1494,$A$33:$A$1494,A265)</f>
        <v>48.2833333333333</v>
      </c>
      <c r="F265" s="213" t="n">
        <v>11.7</v>
      </c>
      <c r="G265" s="213" t="n">
        <f aca="false">AVERAGEIFS($F$33:$F$1494,$A$33:$A$1494,A265)</f>
        <v>11.75</v>
      </c>
      <c r="H265" s="213" t="n">
        <v>11.8</v>
      </c>
      <c r="I265" s="213" t="n">
        <f aca="false">AVERAGEIFS($H$33:$H$1494,$A$33:$A$1494,A265)</f>
        <v>12</v>
      </c>
      <c r="L265" s="215" t="n">
        <v>40497</v>
      </c>
      <c r="M265" s="213" t="n">
        <v>46.4166666666667</v>
      </c>
      <c r="N265" s="213" t="n">
        <v>48.2833333333333</v>
      </c>
      <c r="O265" s="213" t="n">
        <v>11.75</v>
      </c>
      <c r="P265" s="213" t="n">
        <v>12</v>
      </c>
      <c r="S265" s="215" t="n">
        <v>40692</v>
      </c>
      <c r="T265" s="213" t="n">
        <v>20.7</v>
      </c>
      <c r="U265" s="213" t="n">
        <v>22.9</v>
      </c>
      <c r="V265" s="213" t="n">
        <v>18.9166666666667</v>
      </c>
      <c r="W265" s="213" t="n">
        <v>17.75</v>
      </c>
      <c r="X265" s="204" t="n">
        <v>0</v>
      </c>
      <c r="Y265" s="204" t="n">
        <v>21</v>
      </c>
    </row>
    <row r="266" customFormat="false" ht="12.75" hidden="false" customHeight="false" outlineLevel="0" collapsed="false">
      <c r="A266" s="215" t="n">
        <v>40497</v>
      </c>
      <c r="B266" s="213" t="n">
        <v>46.1</v>
      </c>
      <c r="C266" s="213" t="n">
        <f aca="false">AVERAGEIFS($B$33:$B$1494,$A$33:$A$1494,A266)</f>
        <v>46.4166666666667</v>
      </c>
      <c r="D266" s="213" t="n">
        <v>50.4</v>
      </c>
      <c r="E266" s="213" t="n">
        <f aca="false">AVERAGEIFS($D$33:$D$1494,$A$33:$A$1494,A266)</f>
        <v>48.2833333333333</v>
      </c>
      <c r="F266" s="213" t="n">
        <v>11.6</v>
      </c>
      <c r="G266" s="213" t="n">
        <f aca="false">AVERAGEIFS($F$33:$F$1494,$A$33:$A$1494,A266)</f>
        <v>11.75</v>
      </c>
      <c r="H266" s="213" t="n">
        <v>11.8</v>
      </c>
      <c r="I266" s="213" t="n">
        <f aca="false">AVERAGEIFS($H$33:$H$1494,$A$33:$A$1494,A266)</f>
        <v>12</v>
      </c>
      <c r="L266" s="215" t="n">
        <v>40497</v>
      </c>
      <c r="M266" s="213" t="n">
        <v>46.4166666666667</v>
      </c>
      <c r="N266" s="213" t="n">
        <v>48.2833333333333</v>
      </c>
      <c r="O266" s="213" t="n">
        <v>11.75</v>
      </c>
      <c r="P266" s="213" t="n">
        <v>12</v>
      </c>
      <c r="S266" s="215" t="n">
        <v>40693</v>
      </c>
      <c r="T266" s="213" t="n">
        <v>20.7833333333333</v>
      </c>
      <c r="U266" s="213" t="n">
        <v>23</v>
      </c>
      <c r="V266" s="213" t="n">
        <v>19.9666666666667</v>
      </c>
      <c r="W266" s="213" t="n">
        <v>18.6333333333333</v>
      </c>
      <c r="X266" s="204" t="n">
        <v>9.7</v>
      </c>
      <c r="Y266" s="204" t="n">
        <v>20.1</v>
      </c>
    </row>
    <row r="267" customFormat="false" ht="12.75" hidden="false" customHeight="false" outlineLevel="0" collapsed="false">
      <c r="A267" s="215" t="n">
        <v>40498</v>
      </c>
      <c r="B267" s="213" t="n">
        <v>45.5</v>
      </c>
      <c r="C267" s="213" t="n">
        <f aca="false">AVERAGEIFS($B$33:$B$1494,$A$33:$A$1494,A267)</f>
        <v>45.0666666666667</v>
      </c>
      <c r="D267" s="213" t="n">
        <v>49.5</v>
      </c>
      <c r="E267" s="213" t="n">
        <f aca="false">AVERAGEIFS($D$33:$D$1494,$A$33:$A$1494,A267)</f>
        <v>47.55</v>
      </c>
      <c r="F267" s="213" t="n">
        <v>11.1</v>
      </c>
      <c r="G267" s="213" t="n">
        <f aca="false">AVERAGEIFS($F$33:$F$1494,$A$33:$A$1494,A267)</f>
        <v>10.6166666666667</v>
      </c>
      <c r="H267" s="213" t="n">
        <v>11.8</v>
      </c>
      <c r="I267" s="213" t="n">
        <f aca="false">AVERAGEIFS($H$33:$H$1494,$A$33:$A$1494,A267)</f>
        <v>11.4333333333333</v>
      </c>
      <c r="L267" s="215" t="n">
        <v>40498</v>
      </c>
      <c r="M267" s="213" t="n">
        <v>45.0666666666667</v>
      </c>
      <c r="N267" s="213" t="n">
        <v>47.55</v>
      </c>
      <c r="O267" s="213" t="n">
        <v>10.6166666666667</v>
      </c>
      <c r="P267" s="213" t="n">
        <v>11.4333333333333</v>
      </c>
      <c r="S267" s="215" t="n">
        <v>40694</v>
      </c>
      <c r="T267" s="213" t="n">
        <v>26.2166666666667</v>
      </c>
      <c r="U267" s="213" t="n">
        <v>23</v>
      </c>
      <c r="V267" s="213" t="n">
        <v>18.1666666666667</v>
      </c>
      <c r="W267" s="213" t="n">
        <v>18.0833333333333</v>
      </c>
      <c r="X267" s="204" t="n">
        <v>2.4</v>
      </c>
      <c r="Y267" s="204" t="n">
        <v>15.3</v>
      </c>
    </row>
    <row r="268" customFormat="false" ht="12.75" hidden="false" customHeight="false" outlineLevel="0" collapsed="false">
      <c r="A268" s="215" t="n">
        <v>40498</v>
      </c>
      <c r="B268" s="213" t="n">
        <v>45.3</v>
      </c>
      <c r="C268" s="213" t="n">
        <f aca="false">AVERAGEIFS($B$33:$B$1494,$A$33:$A$1494,A268)</f>
        <v>45.0666666666667</v>
      </c>
      <c r="D268" s="213" t="n">
        <v>48.2</v>
      </c>
      <c r="E268" s="213" t="n">
        <f aca="false">AVERAGEIFS($D$33:$D$1494,$A$33:$A$1494,A268)</f>
        <v>47.55</v>
      </c>
      <c r="F268" s="213" t="n">
        <v>10.7</v>
      </c>
      <c r="G268" s="213" t="n">
        <f aca="false">AVERAGEIFS($F$33:$F$1494,$A$33:$A$1494,A268)</f>
        <v>10.6166666666667</v>
      </c>
      <c r="H268" s="213" t="n">
        <v>11.6</v>
      </c>
      <c r="I268" s="213" t="n">
        <f aca="false">AVERAGEIFS($H$33:$H$1494,$A$33:$A$1494,A268)</f>
        <v>11.4333333333333</v>
      </c>
      <c r="L268" s="215" t="n">
        <v>40498</v>
      </c>
      <c r="M268" s="213" t="n">
        <v>45.0666666666667</v>
      </c>
      <c r="N268" s="213" t="n">
        <v>47.55</v>
      </c>
      <c r="O268" s="213" t="n">
        <v>10.6166666666667</v>
      </c>
      <c r="P268" s="213" t="n">
        <v>11.4333333333333</v>
      </c>
      <c r="S268" s="215" t="n">
        <v>40695</v>
      </c>
      <c r="T268" s="213" t="n">
        <v>24.7833333333333</v>
      </c>
      <c r="U268" s="213" t="n">
        <v>22.9333333333333</v>
      </c>
      <c r="V268" s="213" t="n">
        <v>15.6</v>
      </c>
      <c r="W268" s="213" t="n">
        <v>16.5333333333333</v>
      </c>
      <c r="X268" s="204" t="n">
        <v>5</v>
      </c>
      <c r="Y268" s="204" t="n">
        <v>12.9</v>
      </c>
    </row>
    <row r="269" customFormat="false" ht="12.75" hidden="false" customHeight="false" outlineLevel="0" collapsed="false">
      <c r="A269" s="215" t="n">
        <v>40498</v>
      </c>
      <c r="B269" s="213" t="n">
        <v>45.1</v>
      </c>
      <c r="C269" s="213" t="n">
        <f aca="false">AVERAGEIFS($B$33:$B$1494,$A$33:$A$1494,A269)</f>
        <v>45.0666666666667</v>
      </c>
      <c r="D269" s="213" t="n">
        <v>47.5</v>
      </c>
      <c r="E269" s="213" t="n">
        <f aca="false">AVERAGEIFS($D$33:$D$1494,$A$33:$A$1494,A269)</f>
        <v>47.55</v>
      </c>
      <c r="F269" s="213" t="n">
        <v>10.4</v>
      </c>
      <c r="G269" s="213" t="n">
        <f aca="false">AVERAGEIFS($F$33:$F$1494,$A$33:$A$1494,A269)</f>
        <v>10.6166666666667</v>
      </c>
      <c r="H269" s="213" t="n">
        <v>11.5</v>
      </c>
      <c r="I269" s="213" t="n">
        <f aca="false">AVERAGEIFS($H$33:$H$1494,$A$33:$A$1494,A269)</f>
        <v>11.4333333333333</v>
      </c>
      <c r="L269" s="215" t="n">
        <v>40498</v>
      </c>
      <c r="M269" s="213" t="n">
        <v>45.0666666666667</v>
      </c>
      <c r="N269" s="213" t="n">
        <v>47.55</v>
      </c>
      <c r="O269" s="213" t="n">
        <v>10.6166666666667</v>
      </c>
      <c r="P269" s="213" t="n">
        <v>11.4333333333333</v>
      </c>
      <c r="S269" s="215" t="n">
        <v>40696</v>
      </c>
      <c r="T269" s="213" t="n">
        <v>23.85</v>
      </c>
      <c r="U269" s="213" t="n">
        <v>22.8333333333333</v>
      </c>
      <c r="V269" s="213" t="n">
        <v>14.85</v>
      </c>
      <c r="W269" s="213" t="n">
        <v>15.4</v>
      </c>
      <c r="X269" s="204" t="n">
        <v>1.8</v>
      </c>
      <c r="Y269" s="204" t="n">
        <v>13.3</v>
      </c>
    </row>
    <row r="270" customFormat="false" ht="12.75" hidden="false" customHeight="false" outlineLevel="0" collapsed="false">
      <c r="A270" s="215" t="n">
        <v>40498</v>
      </c>
      <c r="B270" s="213" t="n">
        <v>45</v>
      </c>
      <c r="C270" s="213" t="n">
        <f aca="false">AVERAGEIFS($B$33:$B$1494,$A$33:$A$1494,A270)</f>
        <v>45.0666666666667</v>
      </c>
      <c r="D270" s="213" t="n">
        <v>47.1</v>
      </c>
      <c r="E270" s="213" t="n">
        <f aca="false">AVERAGEIFS($D$33:$D$1494,$A$33:$A$1494,A270)</f>
        <v>47.55</v>
      </c>
      <c r="F270" s="213" t="n">
        <v>10.4</v>
      </c>
      <c r="G270" s="213" t="n">
        <f aca="false">AVERAGEIFS($F$33:$F$1494,$A$33:$A$1494,A270)</f>
        <v>10.6166666666667</v>
      </c>
      <c r="H270" s="213" t="n">
        <v>11.3</v>
      </c>
      <c r="I270" s="213" t="n">
        <f aca="false">AVERAGEIFS($H$33:$H$1494,$A$33:$A$1494,A270)</f>
        <v>11.4333333333333</v>
      </c>
      <c r="L270" s="215" t="n">
        <v>40498</v>
      </c>
      <c r="M270" s="213" t="n">
        <v>45.0666666666667</v>
      </c>
      <c r="N270" s="213" t="n">
        <v>47.55</v>
      </c>
      <c r="O270" s="213" t="n">
        <v>10.6166666666667</v>
      </c>
      <c r="P270" s="213" t="n">
        <v>11.4333333333333</v>
      </c>
      <c r="S270" s="215" t="n">
        <v>40697</v>
      </c>
      <c r="T270" s="213" t="n">
        <v>23.55</v>
      </c>
      <c r="U270" s="213" t="n">
        <v>22.8166666666667</v>
      </c>
      <c r="V270" s="213" t="n">
        <v>16.1666666666667</v>
      </c>
      <c r="W270" s="213" t="n">
        <v>15.4666666666667</v>
      </c>
      <c r="X270" s="204" t="n">
        <v>0</v>
      </c>
      <c r="Y270" s="204" t="n">
        <v>17.2</v>
      </c>
    </row>
    <row r="271" customFormat="false" ht="12.75" hidden="false" customHeight="false" outlineLevel="0" collapsed="false">
      <c r="A271" s="215" t="n">
        <v>40498</v>
      </c>
      <c r="B271" s="213" t="n">
        <v>44.8</v>
      </c>
      <c r="C271" s="213" t="n">
        <f aca="false">AVERAGEIFS($B$33:$B$1494,$A$33:$A$1494,A271)</f>
        <v>45.0666666666667</v>
      </c>
      <c r="D271" s="213" t="n">
        <v>46.5</v>
      </c>
      <c r="E271" s="213" t="n">
        <f aca="false">AVERAGEIFS($D$33:$D$1494,$A$33:$A$1494,A271)</f>
        <v>47.55</v>
      </c>
      <c r="F271" s="213" t="n">
        <v>10.7</v>
      </c>
      <c r="G271" s="213" t="n">
        <f aca="false">AVERAGEIFS($F$33:$F$1494,$A$33:$A$1494,A271)</f>
        <v>10.6166666666667</v>
      </c>
      <c r="H271" s="213" t="n">
        <v>11.2</v>
      </c>
      <c r="I271" s="213" t="n">
        <f aca="false">AVERAGEIFS($H$33:$H$1494,$A$33:$A$1494,A271)</f>
        <v>11.4333333333333</v>
      </c>
      <c r="L271" s="215" t="n">
        <v>40498</v>
      </c>
      <c r="M271" s="213" t="n">
        <v>45.0666666666667</v>
      </c>
      <c r="N271" s="213" t="n">
        <v>47.55</v>
      </c>
      <c r="O271" s="213" t="n">
        <v>10.6166666666667</v>
      </c>
      <c r="P271" s="213" t="n">
        <v>11.4333333333333</v>
      </c>
      <c r="S271" s="215" t="n">
        <v>40698</v>
      </c>
      <c r="T271" s="213" t="n">
        <v>23.5333333333333</v>
      </c>
      <c r="U271" s="213" t="n">
        <v>22.9</v>
      </c>
      <c r="V271" s="213" t="n">
        <v>16.9666666666667</v>
      </c>
      <c r="W271" s="213" t="n">
        <v>16.2333333333333</v>
      </c>
      <c r="X271" s="204" t="n">
        <v>2.2</v>
      </c>
      <c r="Y271" s="204" t="n">
        <v>17.6</v>
      </c>
    </row>
    <row r="272" customFormat="false" ht="12.75" hidden="false" customHeight="false" outlineLevel="0" collapsed="false">
      <c r="A272" s="215" t="n">
        <v>40498</v>
      </c>
      <c r="B272" s="213" t="n">
        <v>44.7</v>
      </c>
      <c r="C272" s="213" t="n">
        <f aca="false">AVERAGEIFS($B$33:$B$1494,$A$33:$A$1494,A272)</f>
        <v>45.0666666666667</v>
      </c>
      <c r="D272" s="213" t="n">
        <v>46.5</v>
      </c>
      <c r="E272" s="213" t="n">
        <f aca="false">AVERAGEIFS($D$33:$D$1494,$A$33:$A$1494,A272)</f>
        <v>47.55</v>
      </c>
      <c r="F272" s="213" t="n">
        <v>10.4</v>
      </c>
      <c r="G272" s="213" t="n">
        <f aca="false">AVERAGEIFS($F$33:$F$1494,$A$33:$A$1494,A272)</f>
        <v>10.6166666666667</v>
      </c>
      <c r="H272" s="213" t="n">
        <v>11.2</v>
      </c>
      <c r="I272" s="213" t="n">
        <f aca="false">AVERAGEIFS($H$33:$H$1494,$A$33:$A$1494,A272)</f>
        <v>11.4333333333333</v>
      </c>
      <c r="L272" s="215" t="n">
        <v>40498</v>
      </c>
      <c r="M272" s="213" t="n">
        <v>45.0666666666667</v>
      </c>
      <c r="N272" s="213" t="n">
        <v>47.55</v>
      </c>
      <c r="O272" s="213" t="n">
        <v>10.6166666666667</v>
      </c>
      <c r="P272" s="213" t="n">
        <v>11.4333333333333</v>
      </c>
      <c r="S272" s="215" t="n">
        <v>40699</v>
      </c>
      <c r="T272" s="213" t="n">
        <v>23.5333333333333</v>
      </c>
      <c r="U272" s="213" t="n">
        <v>22.9333333333333</v>
      </c>
      <c r="V272" s="213" t="n">
        <v>17.4166666666667</v>
      </c>
      <c r="W272" s="213" t="n">
        <v>16.4166666666667</v>
      </c>
      <c r="X272" s="204" t="n">
        <v>0</v>
      </c>
      <c r="Y272" s="204" t="n">
        <v>19</v>
      </c>
    </row>
    <row r="273" customFormat="false" ht="12.75" hidden="false" customHeight="false" outlineLevel="0" collapsed="false">
      <c r="A273" s="215" t="n">
        <v>40499</v>
      </c>
      <c r="B273" s="213" t="n">
        <v>44.7</v>
      </c>
      <c r="C273" s="213" t="n">
        <f aca="false">AVERAGEIFS($B$33:$B$1494,$A$33:$A$1494,A273)</f>
        <v>46.9166666666667</v>
      </c>
      <c r="D273" s="213" t="n">
        <v>46.4</v>
      </c>
      <c r="E273" s="213" t="n">
        <f aca="false">AVERAGEIFS($D$33:$D$1494,$A$33:$A$1494,A273)</f>
        <v>50.7166666666667</v>
      </c>
      <c r="F273" s="213" t="n">
        <v>9.5</v>
      </c>
      <c r="G273" s="213" t="n">
        <f aca="false">AVERAGEIFS($F$33:$F$1494,$A$33:$A$1494,A273)</f>
        <v>8.6</v>
      </c>
      <c r="H273" s="213" t="n">
        <v>11.1</v>
      </c>
      <c r="I273" s="213" t="n">
        <f aca="false">AVERAGEIFS($H$33:$H$1494,$A$33:$A$1494,A273)</f>
        <v>10.4166666666667</v>
      </c>
      <c r="L273" s="215" t="n">
        <v>40499</v>
      </c>
      <c r="M273" s="213" t="n">
        <v>46.9166666666667</v>
      </c>
      <c r="N273" s="213" t="n">
        <v>50.7166666666667</v>
      </c>
      <c r="O273" s="213" t="n">
        <v>8.6</v>
      </c>
      <c r="P273" s="213" t="n">
        <v>10.4166666666667</v>
      </c>
      <c r="S273" s="215" t="n">
        <v>40700</v>
      </c>
      <c r="T273" s="213" t="n">
        <v>23.5833333333333</v>
      </c>
      <c r="U273" s="213" t="n">
        <v>23</v>
      </c>
      <c r="V273" s="213" t="n">
        <v>18.1333333333333</v>
      </c>
      <c r="W273" s="213" t="n">
        <v>16.9166666666667</v>
      </c>
      <c r="X273" s="204" t="n">
        <v>0</v>
      </c>
      <c r="Y273" s="204" t="n">
        <v>19.6</v>
      </c>
    </row>
    <row r="274" customFormat="false" ht="12.75" hidden="false" customHeight="false" outlineLevel="0" collapsed="false">
      <c r="A274" s="215" t="n">
        <v>40499</v>
      </c>
      <c r="B274" s="213" t="n">
        <v>44.6</v>
      </c>
      <c r="C274" s="213" t="n">
        <f aca="false">AVERAGEIFS($B$33:$B$1494,$A$33:$A$1494,A274)</f>
        <v>46.9166666666667</v>
      </c>
      <c r="D274" s="213" t="n">
        <v>46.3</v>
      </c>
      <c r="E274" s="213" t="n">
        <f aca="false">AVERAGEIFS($D$33:$D$1494,$A$33:$A$1494,A274)</f>
        <v>50.7166666666667</v>
      </c>
      <c r="F274" s="213" t="n">
        <v>8.7</v>
      </c>
      <c r="G274" s="213" t="n">
        <f aca="false">AVERAGEIFS($F$33:$F$1494,$A$33:$A$1494,A274)</f>
        <v>8.6</v>
      </c>
      <c r="H274" s="213" t="n">
        <v>10.8</v>
      </c>
      <c r="I274" s="213" t="n">
        <f aca="false">AVERAGEIFS($H$33:$H$1494,$A$33:$A$1494,A274)</f>
        <v>10.4166666666667</v>
      </c>
      <c r="L274" s="215" t="n">
        <v>40499</v>
      </c>
      <c r="M274" s="213" t="n">
        <v>46.9166666666667</v>
      </c>
      <c r="N274" s="213" t="n">
        <v>50.7166666666667</v>
      </c>
      <c r="O274" s="213" t="n">
        <v>8.6</v>
      </c>
      <c r="P274" s="213" t="n">
        <v>10.4166666666667</v>
      </c>
      <c r="S274" s="215" t="n">
        <v>40701</v>
      </c>
      <c r="T274" s="213" t="n">
        <v>23.6166666666667</v>
      </c>
      <c r="U274" s="213" t="n">
        <v>23.0833333333333</v>
      </c>
      <c r="V274" s="213" t="n">
        <v>17.7</v>
      </c>
      <c r="W274" s="213" t="n">
        <v>17.2166666666667</v>
      </c>
      <c r="X274" s="204" t="n">
        <v>18</v>
      </c>
      <c r="Y274" s="204" t="n">
        <v>15.4</v>
      </c>
    </row>
    <row r="275" customFormat="false" ht="12.75" hidden="false" customHeight="false" outlineLevel="0" collapsed="false">
      <c r="A275" s="215" t="n">
        <v>40499</v>
      </c>
      <c r="B275" s="213" t="n">
        <v>44.6</v>
      </c>
      <c r="C275" s="213" t="n">
        <f aca="false">AVERAGEIFS($B$33:$B$1494,$A$33:$A$1494,A275)</f>
        <v>46.9166666666667</v>
      </c>
      <c r="D275" s="213" t="n">
        <v>46.3</v>
      </c>
      <c r="E275" s="213" t="n">
        <f aca="false">AVERAGEIFS($D$33:$D$1494,$A$33:$A$1494,A275)</f>
        <v>50.7166666666667</v>
      </c>
      <c r="F275" s="213" t="n">
        <v>8.1</v>
      </c>
      <c r="G275" s="213" t="n">
        <f aca="false">AVERAGEIFS($F$33:$F$1494,$A$33:$A$1494,A275)</f>
        <v>8.6</v>
      </c>
      <c r="H275" s="213" t="n">
        <v>10.5</v>
      </c>
      <c r="I275" s="213" t="n">
        <f aca="false">AVERAGEIFS($H$33:$H$1494,$A$33:$A$1494,A275)</f>
        <v>10.4166666666667</v>
      </c>
      <c r="L275" s="215" t="n">
        <v>40499</v>
      </c>
      <c r="M275" s="213" t="n">
        <v>46.9166666666667</v>
      </c>
      <c r="N275" s="213" t="n">
        <v>50.7166666666667</v>
      </c>
      <c r="O275" s="213" t="n">
        <v>8.6</v>
      </c>
      <c r="P275" s="213" t="n">
        <v>10.4166666666667</v>
      </c>
      <c r="S275" s="215" t="n">
        <v>40702</v>
      </c>
      <c r="T275" s="213" t="n">
        <v>23.525</v>
      </c>
      <c r="U275" s="213" t="n">
        <v>23</v>
      </c>
      <c r="V275" s="213" t="n">
        <v>15.925</v>
      </c>
      <c r="W275" s="213" t="n">
        <v>16.4</v>
      </c>
      <c r="X275" s="204" t="n">
        <v>3.2</v>
      </c>
      <c r="Y275" s="204" t="n">
        <v>15.1</v>
      </c>
    </row>
    <row r="276" customFormat="false" ht="13.8" hidden="false" customHeight="false" outlineLevel="0" collapsed="false">
      <c r="A276" s="215" t="n">
        <v>40499</v>
      </c>
      <c r="B276" s="213" t="n">
        <v>44.5</v>
      </c>
      <c r="C276" s="213" t="n">
        <f aca="false">AVERAGEIFS($B$33:$B$1494,$A$33:$A$1494,A276)</f>
        <v>46.9166666666667</v>
      </c>
      <c r="D276" s="213" t="n">
        <v>46.1</v>
      </c>
      <c r="E276" s="213" t="n">
        <f aca="false">AVERAGEIFS($D$33:$D$1494,$A$33:$A$1494,A276)</f>
        <v>50.7166666666667</v>
      </c>
      <c r="F276" s="213" t="n">
        <v>8</v>
      </c>
      <c r="G276" s="213" t="n">
        <f aca="false">AVERAGEIFS($F$33:$F$1494,$A$33:$A$1494,A276)</f>
        <v>8.6</v>
      </c>
      <c r="H276" s="213" t="n">
        <v>10.2</v>
      </c>
      <c r="I276" s="213" t="n">
        <f aca="false">AVERAGEIFS($H$33:$H$1494,$A$33:$A$1494,A276)</f>
        <v>10.4166666666667</v>
      </c>
      <c r="L276" s="215" t="n">
        <v>40499</v>
      </c>
      <c r="M276" s="213" t="n">
        <v>46.9166666666667</v>
      </c>
      <c r="N276" s="213" t="n">
        <v>50.7166666666667</v>
      </c>
      <c r="O276" s="213" t="n">
        <v>8.6</v>
      </c>
      <c r="P276" s="213" t="n">
        <v>10.4166666666667</v>
      </c>
      <c r="S276" s="215" t="n">
        <v>40703</v>
      </c>
      <c r="T276" s="214" t="s">
        <v>768</v>
      </c>
      <c r="U276" s="214" t="s">
        <v>768</v>
      </c>
      <c r="V276" s="214" t="s">
        <v>768</v>
      </c>
      <c r="W276" s="214" t="s">
        <v>768</v>
      </c>
      <c r="X276" s="204" t="n">
        <v>0.4</v>
      </c>
      <c r="Y276" s="204" t="n">
        <v>17</v>
      </c>
    </row>
    <row r="277" customFormat="false" ht="13.8" hidden="false" customHeight="false" outlineLevel="0" collapsed="false">
      <c r="A277" s="215" t="n">
        <v>40499</v>
      </c>
      <c r="B277" s="213" t="n">
        <v>44.5</v>
      </c>
      <c r="C277" s="213" t="n">
        <f aca="false">AVERAGEIFS($B$33:$B$1494,$A$33:$A$1494,A277)</f>
        <v>46.9166666666667</v>
      </c>
      <c r="D277" s="213" t="n">
        <v>46.1</v>
      </c>
      <c r="E277" s="213" t="n">
        <f aca="false">AVERAGEIFS($D$33:$D$1494,$A$33:$A$1494,A277)</f>
        <v>50.7166666666667</v>
      </c>
      <c r="F277" s="213" t="n">
        <v>8.5</v>
      </c>
      <c r="G277" s="213" t="n">
        <f aca="false">AVERAGEIFS($F$33:$F$1494,$A$33:$A$1494,A277)</f>
        <v>8.6</v>
      </c>
      <c r="H277" s="213" t="n">
        <v>10</v>
      </c>
      <c r="I277" s="213" t="n">
        <f aca="false">AVERAGEIFS($H$33:$H$1494,$A$33:$A$1494,A277)</f>
        <v>10.4166666666667</v>
      </c>
      <c r="L277" s="215" t="n">
        <v>40499</v>
      </c>
      <c r="M277" s="213" t="n">
        <v>46.9166666666667</v>
      </c>
      <c r="N277" s="213" t="n">
        <v>50.7166666666667</v>
      </c>
      <c r="O277" s="213" t="n">
        <v>8.6</v>
      </c>
      <c r="P277" s="213" t="n">
        <v>10.4166666666667</v>
      </c>
      <c r="S277" s="215" t="n">
        <v>40704</v>
      </c>
      <c r="T277" s="214" t="s">
        <v>768</v>
      </c>
      <c r="U277" s="214" t="s">
        <v>768</v>
      </c>
      <c r="V277" s="214" t="s">
        <v>768</v>
      </c>
      <c r="W277" s="214" t="s">
        <v>768</v>
      </c>
      <c r="X277" s="204" t="n">
        <v>0.6</v>
      </c>
      <c r="Y277" s="204" t="n">
        <v>15.7</v>
      </c>
    </row>
    <row r="278" customFormat="false" ht="12.75" hidden="false" customHeight="false" outlineLevel="0" collapsed="false">
      <c r="A278" s="215" t="n">
        <v>40499</v>
      </c>
      <c r="B278" s="213" t="n">
        <v>58.6</v>
      </c>
      <c r="C278" s="213" t="n">
        <f aca="false">AVERAGEIFS($B$33:$B$1494,$A$33:$A$1494,A278)</f>
        <v>46.9166666666667</v>
      </c>
      <c r="D278" s="213" t="n">
        <v>73.1</v>
      </c>
      <c r="E278" s="213" t="n">
        <f aca="false">AVERAGEIFS($D$33:$D$1494,$A$33:$A$1494,A278)</f>
        <v>50.7166666666667</v>
      </c>
      <c r="F278" s="213" t="n">
        <v>8.8</v>
      </c>
      <c r="G278" s="213" t="n">
        <f aca="false">AVERAGEIFS($F$33:$F$1494,$A$33:$A$1494,A278)</f>
        <v>8.6</v>
      </c>
      <c r="H278" s="213" t="n">
        <v>9.9</v>
      </c>
      <c r="I278" s="213" t="n">
        <f aca="false">AVERAGEIFS($H$33:$H$1494,$A$33:$A$1494,A278)</f>
        <v>10.4166666666667</v>
      </c>
      <c r="L278" s="215" t="n">
        <v>40499</v>
      </c>
      <c r="M278" s="213" t="n">
        <v>46.9166666666667</v>
      </c>
      <c r="N278" s="213" t="n">
        <v>50.7166666666667</v>
      </c>
      <c r="O278" s="213" t="n">
        <v>8.6</v>
      </c>
      <c r="P278" s="213" t="n">
        <v>10.4166666666667</v>
      </c>
    </row>
    <row r="279" customFormat="false" ht="12.75" hidden="false" customHeight="false" outlineLevel="0" collapsed="false">
      <c r="A279" s="215" t="n">
        <v>40500</v>
      </c>
      <c r="B279" s="213" t="n">
        <v>55.9</v>
      </c>
      <c r="C279" s="213" t="n">
        <f aca="false">AVERAGEIFS($B$33:$B$1494,$A$33:$A$1494,A279)</f>
        <v>48.75</v>
      </c>
      <c r="D279" s="213" t="n">
        <v>73.4</v>
      </c>
      <c r="E279" s="213" t="n">
        <f aca="false">AVERAGEIFS($D$33:$D$1494,$A$33:$A$1494,A279)</f>
        <v>62.8333333333333</v>
      </c>
      <c r="F279" s="213" t="n">
        <v>9</v>
      </c>
      <c r="G279" s="213" t="n">
        <f aca="false">AVERAGEIFS($F$33:$F$1494,$A$33:$A$1494,A279)</f>
        <v>9.11666666666667</v>
      </c>
      <c r="H279" s="213" t="n">
        <v>9.9</v>
      </c>
      <c r="I279" s="213" t="n">
        <f aca="false">AVERAGEIFS($H$33:$H$1494,$A$33:$A$1494,A279)</f>
        <v>9.86666666666667</v>
      </c>
      <c r="L279" s="215" t="n">
        <v>40500</v>
      </c>
      <c r="M279" s="213" t="n">
        <v>48.75</v>
      </c>
      <c r="N279" s="213" t="n">
        <v>62.8333333333333</v>
      </c>
      <c r="O279" s="213" t="n">
        <v>9.11666666666667</v>
      </c>
      <c r="P279" s="213" t="n">
        <v>9.86666666666667</v>
      </c>
    </row>
    <row r="280" customFormat="false" ht="12.75" hidden="false" customHeight="false" outlineLevel="0" collapsed="false">
      <c r="A280" s="215" t="n">
        <v>40500</v>
      </c>
      <c r="B280" s="213" t="n">
        <v>51</v>
      </c>
      <c r="C280" s="213" t="n">
        <f aca="false">AVERAGEIFS($B$33:$B$1494,$A$33:$A$1494,A280)</f>
        <v>48.75</v>
      </c>
      <c r="D280" s="213" t="n">
        <v>73.5</v>
      </c>
      <c r="E280" s="213" t="n">
        <f aca="false">AVERAGEIFS($D$33:$D$1494,$A$33:$A$1494,A280)</f>
        <v>62.8333333333333</v>
      </c>
      <c r="F280" s="213" t="n">
        <v>9.1</v>
      </c>
      <c r="G280" s="213" t="n">
        <f aca="false">AVERAGEIFS($F$33:$F$1494,$A$33:$A$1494,A280)</f>
        <v>9.11666666666667</v>
      </c>
      <c r="H280" s="213" t="n">
        <v>9.9</v>
      </c>
      <c r="I280" s="213" t="n">
        <f aca="false">AVERAGEIFS($H$33:$H$1494,$A$33:$A$1494,A280)</f>
        <v>9.86666666666667</v>
      </c>
      <c r="L280" s="215" t="n">
        <v>40500</v>
      </c>
      <c r="M280" s="213" t="n">
        <v>48.75</v>
      </c>
      <c r="N280" s="213" t="n">
        <v>62.8333333333333</v>
      </c>
      <c r="O280" s="213" t="n">
        <v>9.11666666666667</v>
      </c>
      <c r="P280" s="213" t="n">
        <v>9.86666666666667</v>
      </c>
    </row>
    <row r="281" customFormat="false" ht="12.75" hidden="false" customHeight="false" outlineLevel="0" collapsed="false">
      <c r="A281" s="215" t="n">
        <v>40500</v>
      </c>
      <c r="B281" s="213" t="n">
        <v>47.6</v>
      </c>
      <c r="C281" s="213" t="n">
        <f aca="false">AVERAGEIFS($B$33:$B$1494,$A$33:$A$1494,A281)</f>
        <v>48.75</v>
      </c>
      <c r="D281" s="213" t="n">
        <v>66.3</v>
      </c>
      <c r="E281" s="213" t="n">
        <f aca="false">AVERAGEIFS($D$33:$D$1494,$A$33:$A$1494,A281)</f>
        <v>62.8333333333333</v>
      </c>
      <c r="F281" s="213" t="n">
        <v>8.8</v>
      </c>
      <c r="G281" s="213" t="n">
        <f aca="false">AVERAGEIFS($F$33:$F$1494,$A$33:$A$1494,A281)</f>
        <v>9.11666666666667</v>
      </c>
      <c r="H281" s="213" t="n">
        <v>9.9</v>
      </c>
      <c r="I281" s="213" t="n">
        <f aca="false">AVERAGEIFS($H$33:$H$1494,$A$33:$A$1494,A281)</f>
        <v>9.86666666666667</v>
      </c>
      <c r="L281" s="215" t="n">
        <v>40500</v>
      </c>
      <c r="M281" s="213" t="n">
        <v>48.75</v>
      </c>
      <c r="N281" s="213" t="n">
        <v>62.8333333333333</v>
      </c>
      <c r="O281" s="213" t="n">
        <v>9.11666666666667</v>
      </c>
      <c r="P281" s="213" t="n">
        <v>9.86666666666667</v>
      </c>
    </row>
    <row r="282" customFormat="false" ht="12.75" hidden="false" customHeight="false" outlineLevel="0" collapsed="false">
      <c r="A282" s="215" t="n">
        <v>40500</v>
      </c>
      <c r="B282" s="213" t="n">
        <v>46.5</v>
      </c>
      <c r="C282" s="213" t="n">
        <f aca="false">AVERAGEIFS($B$33:$B$1494,$A$33:$A$1494,A282)</f>
        <v>48.75</v>
      </c>
      <c r="D282" s="213" t="n">
        <v>58.1</v>
      </c>
      <c r="E282" s="213" t="n">
        <f aca="false">AVERAGEIFS($D$33:$D$1494,$A$33:$A$1494,A282)</f>
        <v>62.8333333333333</v>
      </c>
      <c r="F282" s="213" t="n">
        <v>8.8</v>
      </c>
      <c r="G282" s="213" t="n">
        <f aca="false">AVERAGEIFS($F$33:$F$1494,$A$33:$A$1494,A282)</f>
        <v>9.11666666666667</v>
      </c>
      <c r="H282" s="213" t="n">
        <v>9.8</v>
      </c>
      <c r="I282" s="213" t="n">
        <f aca="false">AVERAGEIFS($H$33:$H$1494,$A$33:$A$1494,A282)</f>
        <v>9.86666666666667</v>
      </c>
      <c r="L282" s="215" t="n">
        <v>40500</v>
      </c>
      <c r="M282" s="213" t="n">
        <v>48.75</v>
      </c>
      <c r="N282" s="213" t="n">
        <v>62.8333333333333</v>
      </c>
      <c r="O282" s="213" t="n">
        <v>9.11666666666667</v>
      </c>
      <c r="P282" s="213" t="n">
        <v>9.86666666666667</v>
      </c>
    </row>
    <row r="283" customFormat="false" ht="12.75" hidden="false" customHeight="false" outlineLevel="0" collapsed="false">
      <c r="A283" s="215" t="n">
        <v>40500</v>
      </c>
      <c r="B283" s="213" t="n">
        <v>45.9</v>
      </c>
      <c r="C283" s="213" t="n">
        <f aca="false">AVERAGEIFS($B$33:$B$1494,$A$33:$A$1494,A283)</f>
        <v>48.75</v>
      </c>
      <c r="D283" s="213" t="n">
        <v>54.2</v>
      </c>
      <c r="E283" s="213" t="n">
        <f aca="false">AVERAGEIFS($D$33:$D$1494,$A$33:$A$1494,A283)</f>
        <v>62.8333333333333</v>
      </c>
      <c r="F283" s="213" t="n">
        <v>9.5</v>
      </c>
      <c r="G283" s="213" t="n">
        <f aca="false">AVERAGEIFS($F$33:$F$1494,$A$33:$A$1494,A283)</f>
        <v>9.11666666666667</v>
      </c>
      <c r="H283" s="213" t="n">
        <v>9.8</v>
      </c>
      <c r="I283" s="213" t="n">
        <f aca="false">AVERAGEIFS($H$33:$H$1494,$A$33:$A$1494,A283)</f>
        <v>9.86666666666667</v>
      </c>
      <c r="L283" s="215" t="n">
        <v>40500</v>
      </c>
      <c r="M283" s="213" t="n">
        <v>48.75</v>
      </c>
      <c r="N283" s="213" t="n">
        <v>62.8333333333333</v>
      </c>
      <c r="O283" s="213" t="n">
        <v>9.11666666666667</v>
      </c>
      <c r="P283" s="213" t="n">
        <v>9.86666666666667</v>
      </c>
    </row>
    <row r="284" customFormat="false" ht="12.75" hidden="false" customHeight="false" outlineLevel="0" collapsed="false">
      <c r="A284" s="215" t="n">
        <v>40500</v>
      </c>
      <c r="B284" s="213" t="n">
        <v>45.6</v>
      </c>
      <c r="C284" s="213" t="n">
        <f aca="false">AVERAGEIFS($B$33:$B$1494,$A$33:$A$1494,A284)</f>
        <v>48.75</v>
      </c>
      <c r="D284" s="213" t="n">
        <v>51.5</v>
      </c>
      <c r="E284" s="213" t="n">
        <f aca="false">AVERAGEIFS($D$33:$D$1494,$A$33:$A$1494,A284)</f>
        <v>62.8333333333333</v>
      </c>
      <c r="F284" s="213" t="n">
        <v>9.5</v>
      </c>
      <c r="G284" s="213" t="n">
        <f aca="false">AVERAGEIFS($F$33:$F$1494,$A$33:$A$1494,A284)</f>
        <v>9.11666666666667</v>
      </c>
      <c r="H284" s="213" t="n">
        <v>9.9</v>
      </c>
      <c r="I284" s="213" t="n">
        <f aca="false">AVERAGEIFS($H$33:$H$1494,$A$33:$A$1494,A284)</f>
        <v>9.86666666666667</v>
      </c>
      <c r="L284" s="215" t="n">
        <v>40500</v>
      </c>
      <c r="M284" s="213" t="n">
        <v>48.75</v>
      </c>
      <c r="N284" s="213" t="n">
        <v>62.8333333333333</v>
      </c>
      <c r="O284" s="213" t="n">
        <v>9.11666666666667</v>
      </c>
      <c r="P284" s="213" t="n">
        <v>9.86666666666667</v>
      </c>
    </row>
    <row r="285" customFormat="false" ht="12.75" hidden="false" customHeight="false" outlineLevel="0" collapsed="false">
      <c r="A285" s="215" t="n">
        <v>40501</v>
      </c>
      <c r="B285" s="213" t="n">
        <v>45.4</v>
      </c>
      <c r="C285" s="213" t="n">
        <f aca="false">AVERAGEIFS($B$33:$B$1494,$A$33:$A$1494,A285)</f>
        <v>45.1833333333333</v>
      </c>
      <c r="D285" s="213" t="n">
        <v>49.9</v>
      </c>
      <c r="E285" s="213" t="n">
        <f aca="false">AVERAGEIFS($D$33:$D$1494,$A$33:$A$1494,A285)</f>
        <v>48.2</v>
      </c>
      <c r="F285" s="213" t="n">
        <v>9.4</v>
      </c>
      <c r="G285" s="213" t="n">
        <f aca="false">AVERAGEIFS($F$33:$F$1494,$A$33:$A$1494,A285)</f>
        <v>9.1</v>
      </c>
      <c r="H285" s="213" t="n">
        <v>10</v>
      </c>
      <c r="I285" s="213" t="n">
        <f aca="false">AVERAGEIFS($H$33:$H$1494,$A$33:$A$1494,A285)</f>
        <v>9.83333333333333</v>
      </c>
      <c r="L285" s="215" t="n">
        <v>40501</v>
      </c>
      <c r="M285" s="213" t="n">
        <v>45.1833333333333</v>
      </c>
      <c r="N285" s="213" t="n">
        <v>48.2</v>
      </c>
      <c r="O285" s="213" t="n">
        <v>9.1</v>
      </c>
      <c r="P285" s="213" t="n">
        <v>9.83333333333333</v>
      </c>
    </row>
    <row r="286" customFormat="false" ht="12.75" hidden="false" customHeight="false" outlineLevel="0" collapsed="false">
      <c r="A286" s="215" t="n">
        <v>40501</v>
      </c>
      <c r="B286" s="213" t="n">
        <v>45.3</v>
      </c>
      <c r="C286" s="213" t="n">
        <f aca="false">AVERAGEIFS($B$33:$B$1494,$A$33:$A$1494,A286)</f>
        <v>45.1833333333333</v>
      </c>
      <c r="D286" s="213" t="n">
        <v>48.5</v>
      </c>
      <c r="E286" s="213" t="n">
        <f aca="false">AVERAGEIFS($D$33:$D$1494,$A$33:$A$1494,A286)</f>
        <v>48.2</v>
      </c>
      <c r="F286" s="213" t="n">
        <v>9.1</v>
      </c>
      <c r="G286" s="213" t="n">
        <f aca="false">AVERAGEIFS($F$33:$F$1494,$A$33:$A$1494,A286)</f>
        <v>9.1</v>
      </c>
      <c r="H286" s="213" t="n">
        <v>9.9</v>
      </c>
      <c r="I286" s="213" t="n">
        <f aca="false">AVERAGEIFS($H$33:$H$1494,$A$33:$A$1494,A286)</f>
        <v>9.83333333333333</v>
      </c>
      <c r="L286" s="215" t="n">
        <v>40501</v>
      </c>
      <c r="M286" s="213" t="n">
        <v>45.1833333333333</v>
      </c>
      <c r="N286" s="213" t="n">
        <v>48.2</v>
      </c>
      <c r="O286" s="213" t="n">
        <v>9.1</v>
      </c>
      <c r="P286" s="213" t="n">
        <v>9.83333333333333</v>
      </c>
    </row>
    <row r="287" customFormat="false" ht="12.75" hidden="false" customHeight="false" outlineLevel="0" collapsed="false">
      <c r="A287" s="215" t="n">
        <v>40501</v>
      </c>
      <c r="B287" s="213" t="n">
        <v>45.2</v>
      </c>
      <c r="C287" s="213" t="n">
        <f aca="false">AVERAGEIFS($B$33:$B$1494,$A$33:$A$1494,A287)</f>
        <v>45.1833333333333</v>
      </c>
      <c r="D287" s="213" t="n">
        <v>48.1</v>
      </c>
      <c r="E287" s="213" t="n">
        <f aca="false">AVERAGEIFS($D$33:$D$1494,$A$33:$A$1494,A287)</f>
        <v>48.2</v>
      </c>
      <c r="F287" s="213" t="n">
        <v>8.7</v>
      </c>
      <c r="G287" s="213" t="n">
        <f aca="false">AVERAGEIFS($F$33:$F$1494,$A$33:$A$1494,A287)</f>
        <v>9.1</v>
      </c>
      <c r="H287" s="213" t="n">
        <v>9.9</v>
      </c>
      <c r="I287" s="213" t="n">
        <f aca="false">AVERAGEIFS($H$33:$H$1494,$A$33:$A$1494,A287)</f>
        <v>9.83333333333333</v>
      </c>
      <c r="L287" s="215" t="n">
        <v>40501</v>
      </c>
      <c r="M287" s="213" t="n">
        <v>45.1833333333333</v>
      </c>
      <c r="N287" s="213" t="n">
        <v>48.2</v>
      </c>
      <c r="O287" s="213" t="n">
        <v>9.1</v>
      </c>
      <c r="P287" s="213" t="n">
        <v>9.83333333333333</v>
      </c>
    </row>
    <row r="288" customFormat="false" ht="12.75" hidden="false" customHeight="false" outlineLevel="0" collapsed="false">
      <c r="A288" s="215" t="n">
        <v>40501</v>
      </c>
      <c r="B288" s="213" t="n">
        <v>45.2</v>
      </c>
      <c r="C288" s="213" t="n">
        <f aca="false">AVERAGEIFS($B$33:$B$1494,$A$33:$A$1494,A288)</f>
        <v>45.1833333333333</v>
      </c>
      <c r="D288" s="213" t="n">
        <v>47.8</v>
      </c>
      <c r="E288" s="213" t="n">
        <f aca="false">AVERAGEIFS($D$33:$D$1494,$A$33:$A$1494,A288)</f>
        <v>48.2</v>
      </c>
      <c r="F288" s="213" t="n">
        <v>8.5</v>
      </c>
      <c r="G288" s="213" t="n">
        <f aca="false">AVERAGEIFS($F$33:$F$1494,$A$33:$A$1494,A288)</f>
        <v>9.1</v>
      </c>
      <c r="H288" s="213" t="n">
        <v>9.7</v>
      </c>
      <c r="I288" s="213" t="n">
        <f aca="false">AVERAGEIFS($H$33:$H$1494,$A$33:$A$1494,A288)</f>
        <v>9.83333333333333</v>
      </c>
      <c r="L288" s="215" t="n">
        <v>40501</v>
      </c>
      <c r="M288" s="213" t="n">
        <v>45.1833333333333</v>
      </c>
      <c r="N288" s="213" t="n">
        <v>48.2</v>
      </c>
      <c r="O288" s="213" t="n">
        <v>9.1</v>
      </c>
      <c r="P288" s="213" t="n">
        <v>9.83333333333333</v>
      </c>
    </row>
    <row r="289" customFormat="false" ht="12.75" hidden="false" customHeight="false" outlineLevel="0" collapsed="false">
      <c r="A289" s="215" t="n">
        <v>40501</v>
      </c>
      <c r="B289" s="213" t="n">
        <v>45</v>
      </c>
      <c r="C289" s="213" t="n">
        <f aca="false">AVERAGEIFS($B$33:$B$1494,$A$33:$A$1494,A289)</f>
        <v>45.1833333333333</v>
      </c>
      <c r="D289" s="213" t="n">
        <v>47.5</v>
      </c>
      <c r="E289" s="213" t="n">
        <f aca="false">AVERAGEIFS($D$33:$D$1494,$A$33:$A$1494,A289)</f>
        <v>48.2</v>
      </c>
      <c r="F289" s="213" t="n">
        <v>9.3</v>
      </c>
      <c r="G289" s="213" t="n">
        <f aca="false">AVERAGEIFS($F$33:$F$1494,$A$33:$A$1494,A289)</f>
        <v>9.1</v>
      </c>
      <c r="H289" s="213" t="n">
        <v>9.7</v>
      </c>
      <c r="I289" s="213" t="n">
        <f aca="false">AVERAGEIFS($H$33:$H$1494,$A$33:$A$1494,A289)</f>
        <v>9.83333333333333</v>
      </c>
      <c r="L289" s="215" t="n">
        <v>40501</v>
      </c>
      <c r="M289" s="213" t="n">
        <v>45.1833333333333</v>
      </c>
      <c r="N289" s="213" t="n">
        <v>48.2</v>
      </c>
      <c r="O289" s="213" t="n">
        <v>9.1</v>
      </c>
      <c r="P289" s="213" t="n">
        <v>9.83333333333333</v>
      </c>
    </row>
    <row r="290" customFormat="false" ht="12.75" hidden="false" customHeight="false" outlineLevel="0" collapsed="false">
      <c r="A290" s="215" t="n">
        <v>40501</v>
      </c>
      <c r="B290" s="213" t="n">
        <v>45</v>
      </c>
      <c r="C290" s="213" t="n">
        <f aca="false">AVERAGEIFS($B$33:$B$1494,$A$33:$A$1494,A290)</f>
        <v>45.1833333333333</v>
      </c>
      <c r="D290" s="213" t="n">
        <v>47.4</v>
      </c>
      <c r="E290" s="213" t="n">
        <f aca="false">AVERAGEIFS($D$33:$D$1494,$A$33:$A$1494,A290)</f>
        <v>48.2</v>
      </c>
      <c r="F290" s="213" t="n">
        <v>9.6</v>
      </c>
      <c r="G290" s="213" t="n">
        <f aca="false">AVERAGEIFS($F$33:$F$1494,$A$33:$A$1494,A290)</f>
        <v>9.1</v>
      </c>
      <c r="H290" s="213" t="n">
        <v>9.8</v>
      </c>
      <c r="I290" s="213" t="n">
        <f aca="false">AVERAGEIFS($H$33:$H$1494,$A$33:$A$1494,A290)</f>
        <v>9.83333333333333</v>
      </c>
      <c r="L290" s="215" t="n">
        <v>40501</v>
      </c>
      <c r="M290" s="213" t="n">
        <v>45.1833333333333</v>
      </c>
      <c r="N290" s="213" t="n">
        <v>48.2</v>
      </c>
      <c r="O290" s="213" t="n">
        <v>9.1</v>
      </c>
      <c r="P290" s="213" t="n">
        <v>9.83333333333333</v>
      </c>
    </row>
    <row r="291" customFormat="false" ht="12.75" hidden="false" customHeight="false" outlineLevel="0" collapsed="false">
      <c r="A291" s="215" t="n">
        <v>40502</v>
      </c>
      <c r="B291" s="213" t="n">
        <v>44.9</v>
      </c>
      <c r="C291" s="213" t="n">
        <f aca="false">AVERAGEIFS($B$33:$B$1494,$A$33:$A$1494,A291)</f>
        <v>44.8166666666667</v>
      </c>
      <c r="D291" s="213" t="n">
        <v>47.3</v>
      </c>
      <c r="E291" s="213" t="n">
        <f aca="false">AVERAGEIFS($D$33:$D$1494,$A$33:$A$1494,A291)</f>
        <v>47.0666666666667</v>
      </c>
      <c r="F291" s="213" t="n">
        <v>9.5</v>
      </c>
      <c r="G291" s="213" t="n">
        <f aca="false">AVERAGEIFS($F$33:$F$1494,$A$33:$A$1494,A291)</f>
        <v>9.33333333333333</v>
      </c>
      <c r="H291" s="213" t="n">
        <v>9.9</v>
      </c>
      <c r="I291" s="213" t="n">
        <f aca="false">AVERAGEIFS($H$33:$H$1494,$A$33:$A$1494,A291)</f>
        <v>9.86666666666667</v>
      </c>
      <c r="L291" s="215" t="n">
        <v>40502</v>
      </c>
      <c r="M291" s="213" t="n">
        <v>44.8166666666667</v>
      </c>
      <c r="N291" s="213" t="n">
        <v>47.0666666666667</v>
      </c>
      <c r="O291" s="213" t="n">
        <v>9.33333333333333</v>
      </c>
      <c r="P291" s="213" t="n">
        <v>9.86666666666667</v>
      </c>
    </row>
    <row r="292" customFormat="false" ht="12.75" hidden="false" customHeight="false" outlineLevel="0" collapsed="false">
      <c r="A292" s="215" t="n">
        <v>40502</v>
      </c>
      <c r="B292" s="213" t="n">
        <v>44.9</v>
      </c>
      <c r="C292" s="213" t="n">
        <f aca="false">AVERAGEIFS($B$33:$B$1494,$A$33:$A$1494,A292)</f>
        <v>44.8166666666667</v>
      </c>
      <c r="D292" s="213" t="n">
        <v>47.2</v>
      </c>
      <c r="E292" s="213" t="n">
        <f aca="false">AVERAGEIFS($D$33:$D$1494,$A$33:$A$1494,A292)</f>
        <v>47.0666666666667</v>
      </c>
      <c r="F292" s="213" t="n">
        <v>9.2</v>
      </c>
      <c r="G292" s="213" t="n">
        <f aca="false">AVERAGEIFS($F$33:$F$1494,$A$33:$A$1494,A292)</f>
        <v>9.33333333333333</v>
      </c>
      <c r="H292" s="213" t="n">
        <v>9.9</v>
      </c>
      <c r="I292" s="213" t="n">
        <f aca="false">AVERAGEIFS($H$33:$H$1494,$A$33:$A$1494,A292)</f>
        <v>9.86666666666667</v>
      </c>
      <c r="L292" s="215" t="n">
        <v>40502</v>
      </c>
      <c r="M292" s="213" t="n">
        <v>44.8166666666667</v>
      </c>
      <c r="N292" s="213" t="n">
        <v>47.0666666666667</v>
      </c>
      <c r="O292" s="213" t="n">
        <v>9.33333333333333</v>
      </c>
      <c r="P292" s="213" t="n">
        <v>9.86666666666667</v>
      </c>
    </row>
    <row r="293" customFormat="false" ht="12.75" hidden="false" customHeight="false" outlineLevel="0" collapsed="false">
      <c r="A293" s="215" t="n">
        <v>40502</v>
      </c>
      <c r="B293" s="213" t="n">
        <v>44.8</v>
      </c>
      <c r="C293" s="213" t="n">
        <f aca="false">AVERAGEIFS($B$33:$B$1494,$A$33:$A$1494,A293)</f>
        <v>44.8166666666667</v>
      </c>
      <c r="D293" s="213" t="n">
        <v>47.1</v>
      </c>
      <c r="E293" s="213" t="n">
        <f aca="false">AVERAGEIFS($D$33:$D$1494,$A$33:$A$1494,A293)</f>
        <v>47.0666666666667</v>
      </c>
      <c r="F293" s="213" t="n">
        <v>8.9</v>
      </c>
      <c r="G293" s="213" t="n">
        <f aca="false">AVERAGEIFS($F$33:$F$1494,$A$33:$A$1494,A293)</f>
        <v>9.33333333333333</v>
      </c>
      <c r="H293" s="213" t="n">
        <v>9.9</v>
      </c>
      <c r="I293" s="213" t="n">
        <f aca="false">AVERAGEIFS($H$33:$H$1494,$A$33:$A$1494,A293)</f>
        <v>9.86666666666667</v>
      </c>
      <c r="L293" s="215" t="n">
        <v>40502</v>
      </c>
      <c r="M293" s="213" t="n">
        <v>44.8166666666667</v>
      </c>
      <c r="N293" s="213" t="n">
        <v>47.0666666666667</v>
      </c>
      <c r="O293" s="213" t="n">
        <v>9.33333333333333</v>
      </c>
      <c r="P293" s="213" t="n">
        <v>9.86666666666667</v>
      </c>
    </row>
    <row r="294" customFormat="false" ht="12.75" hidden="false" customHeight="false" outlineLevel="0" collapsed="false">
      <c r="A294" s="215" t="n">
        <v>40502</v>
      </c>
      <c r="B294" s="213" t="n">
        <v>44.8</v>
      </c>
      <c r="C294" s="213" t="n">
        <f aca="false">AVERAGEIFS($B$33:$B$1494,$A$33:$A$1494,A294)</f>
        <v>44.8166666666667</v>
      </c>
      <c r="D294" s="213" t="n">
        <v>47</v>
      </c>
      <c r="E294" s="213" t="n">
        <f aca="false">AVERAGEIFS($D$33:$D$1494,$A$33:$A$1494,A294)</f>
        <v>47.0666666666667</v>
      </c>
      <c r="F294" s="213" t="n">
        <v>9</v>
      </c>
      <c r="G294" s="213" t="n">
        <f aca="false">AVERAGEIFS($F$33:$F$1494,$A$33:$A$1494,A294)</f>
        <v>9.33333333333333</v>
      </c>
      <c r="H294" s="213" t="n">
        <v>9.8</v>
      </c>
      <c r="I294" s="213" t="n">
        <f aca="false">AVERAGEIFS($H$33:$H$1494,$A$33:$A$1494,A294)</f>
        <v>9.86666666666667</v>
      </c>
      <c r="L294" s="215" t="n">
        <v>40502</v>
      </c>
      <c r="M294" s="213" t="n">
        <v>44.8166666666667</v>
      </c>
      <c r="N294" s="213" t="n">
        <v>47.0666666666667</v>
      </c>
      <c r="O294" s="213" t="n">
        <v>9.33333333333333</v>
      </c>
      <c r="P294" s="213" t="n">
        <v>9.86666666666667</v>
      </c>
    </row>
    <row r="295" customFormat="false" ht="12.75" hidden="false" customHeight="false" outlineLevel="0" collapsed="false">
      <c r="A295" s="215" t="n">
        <v>40502</v>
      </c>
      <c r="B295" s="213" t="n">
        <v>44.8</v>
      </c>
      <c r="C295" s="213" t="n">
        <f aca="false">AVERAGEIFS($B$33:$B$1494,$A$33:$A$1494,A295)</f>
        <v>44.8166666666667</v>
      </c>
      <c r="D295" s="213" t="n">
        <v>46.9</v>
      </c>
      <c r="E295" s="213" t="n">
        <f aca="false">AVERAGEIFS($D$33:$D$1494,$A$33:$A$1494,A295)</f>
        <v>47.0666666666667</v>
      </c>
      <c r="F295" s="213" t="n">
        <v>9.7</v>
      </c>
      <c r="G295" s="213" t="n">
        <f aca="false">AVERAGEIFS($F$33:$F$1494,$A$33:$A$1494,A295)</f>
        <v>9.33333333333333</v>
      </c>
      <c r="H295" s="213" t="n">
        <v>9.8</v>
      </c>
      <c r="I295" s="213" t="n">
        <f aca="false">AVERAGEIFS($H$33:$H$1494,$A$33:$A$1494,A295)</f>
        <v>9.86666666666667</v>
      </c>
      <c r="L295" s="215" t="n">
        <v>40502</v>
      </c>
      <c r="M295" s="213" t="n">
        <v>44.8166666666667</v>
      </c>
      <c r="N295" s="213" t="n">
        <v>47.0666666666667</v>
      </c>
      <c r="O295" s="213" t="n">
        <v>9.33333333333333</v>
      </c>
      <c r="P295" s="213" t="n">
        <v>9.86666666666667</v>
      </c>
    </row>
    <row r="296" customFormat="false" ht="12.75" hidden="false" customHeight="false" outlineLevel="0" collapsed="false">
      <c r="A296" s="215" t="n">
        <v>40502</v>
      </c>
      <c r="B296" s="213" t="n">
        <v>44.7</v>
      </c>
      <c r="C296" s="213" t="n">
        <f aca="false">AVERAGEIFS($B$33:$B$1494,$A$33:$A$1494,A296)</f>
        <v>44.8166666666667</v>
      </c>
      <c r="D296" s="213" t="n">
        <v>46.9</v>
      </c>
      <c r="E296" s="213" t="n">
        <f aca="false">AVERAGEIFS($D$33:$D$1494,$A$33:$A$1494,A296)</f>
        <v>47.0666666666667</v>
      </c>
      <c r="F296" s="213" t="n">
        <v>9.7</v>
      </c>
      <c r="G296" s="213" t="n">
        <f aca="false">AVERAGEIFS($F$33:$F$1494,$A$33:$A$1494,A296)</f>
        <v>9.33333333333333</v>
      </c>
      <c r="H296" s="213" t="n">
        <v>9.9</v>
      </c>
      <c r="I296" s="213" t="n">
        <f aca="false">AVERAGEIFS($H$33:$H$1494,$A$33:$A$1494,A296)</f>
        <v>9.86666666666667</v>
      </c>
      <c r="L296" s="215" t="n">
        <v>40502</v>
      </c>
      <c r="M296" s="213" t="n">
        <v>44.8166666666667</v>
      </c>
      <c r="N296" s="213" t="n">
        <v>47.0666666666667</v>
      </c>
      <c r="O296" s="213" t="n">
        <v>9.33333333333333</v>
      </c>
      <c r="P296" s="213" t="n">
        <v>9.86666666666667</v>
      </c>
    </row>
    <row r="297" customFormat="false" ht="12.75" hidden="false" customHeight="false" outlineLevel="0" collapsed="false">
      <c r="A297" s="215" t="n">
        <v>40503</v>
      </c>
      <c r="B297" s="213" t="n">
        <v>44.7</v>
      </c>
      <c r="C297" s="213" t="n">
        <f aca="false">AVERAGEIFS($B$33:$B$1494,$A$33:$A$1494,A297)</f>
        <v>44.7166666666667</v>
      </c>
      <c r="D297" s="213" t="n">
        <v>46.8</v>
      </c>
      <c r="E297" s="213" t="n">
        <f aca="false">AVERAGEIFS($D$33:$D$1494,$A$33:$A$1494,A297)</f>
        <v>46.8166666666667</v>
      </c>
      <c r="F297" s="213" t="n">
        <v>9.3</v>
      </c>
      <c r="G297" s="213" t="n">
        <f aca="false">AVERAGEIFS($F$33:$F$1494,$A$33:$A$1494,A297)</f>
        <v>9.35</v>
      </c>
      <c r="H297" s="213" t="n">
        <v>9.9</v>
      </c>
      <c r="I297" s="213" t="n">
        <f aca="false">AVERAGEIFS($H$33:$H$1494,$A$33:$A$1494,A297)</f>
        <v>9.86666666666667</v>
      </c>
      <c r="L297" s="215" t="n">
        <v>40503</v>
      </c>
      <c r="M297" s="213" t="n">
        <v>44.7166666666667</v>
      </c>
      <c r="N297" s="213" t="n">
        <v>46.8166666666667</v>
      </c>
      <c r="O297" s="213" t="n">
        <v>9.35</v>
      </c>
      <c r="P297" s="213" t="n">
        <v>9.86666666666667</v>
      </c>
    </row>
    <row r="298" customFormat="false" ht="12.75" hidden="false" customHeight="false" outlineLevel="0" collapsed="false">
      <c r="A298" s="215" t="n">
        <v>40503</v>
      </c>
      <c r="B298" s="213" t="n">
        <v>44.7</v>
      </c>
      <c r="C298" s="213" t="n">
        <f aca="false">AVERAGEIFS($B$33:$B$1494,$A$33:$A$1494,A298)</f>
        <v>44.7166666666667</v>
      </c>
      <c r="D298" s="213" t="n">
        <v>46.8</v>
      </c>
      <c r="E298" s="213" t="n">
        <f aca="false">AVERAGEIFS($D$33:$D$1494,$A$33:$A$1494,A298)</f>
        <v>46.8166666666667</v>
      </c>
      <c r="F298" s="213" t="n">
        <v>9.3</v>
      </c>
      <c r="G298" s="213" t="n">
        <f aca="false">AVERAGEIFS($F$33:$F$1494,$A$33:$A$1494,A298)</f>
        <v>9.35</v>
      </c>
      <c r="H298" s="213" t="n">
        <v>9.9</v>
      </c>
      <c r="I298" s="213" t="n">
        <f aca="false">AVERAGEIFS($H$33:$H$1494,$A$33:$A$1494,A298)</f>
        <v>9.86666666666667</v>
      </c>
      <c r="L298" s="215" t="n">
        <v>40503</v>
      </c>
      <c r="M298" s="213" t="n">
        <v>44.7166666666667</v>
      </c>
      <c r="N298" s="213" t="n">
        <v>46.8166666666667</v>
      </c>
      <c r="O298" s="213" t="n">
        <v>9.35</v>
      </c>
      <c r="P298" s="213" t="n">
        <v>9.86666666666667</v>
      </c>
    </row>
    <row r="299" customFormat="false" ht="12.75" hidden="false" customHeight="false" outlineLevel="0" collapsed="false">
      <c r="A299" s="215" t="n">
        <v>40503</v>
      </c>
      <c r="B299" s="213" t="n">
        <v>44.7</v>
      </c>
      <c r="C299" s="213" t="n">
        <f aca="false">AVERAGEIFS($B$33:$B$1494,$A$33:$A$1494,A299)</f>
        <v>44.7166666666667</v>
      </c>
      <c r="D299" s="213" t="n">
        <v>46.8</v>
      </c>
      <c r="E299" s="213" t="n">
        <f aca="false">AVERAGEIFS($D$33:$D$1494,$A$33:$A$1494,A299)</f>
        <v>46.8166666666667</v>
      </c>
      <c r="F299" s="213" t="n">
        <v>9.1</v>
      </c>
      <c r="G299" s="213" t="n">
        <f aca="false">AVERAGEIFS($F$33:$F$1494,$A$33:$A$1494,A299)</f>
        <v>9.35</v>
      </c>
      <c r="H299" s="213" t="n">
        <v>9.9</v>
      </c>
      <c r="I299" s="213" t="n">
        <f aca="false">AVERAGEIFS($H$33:$H$1494,$A$33:$A$1494,A299)</f>
        <v>9.86666666666667</v>
      </c>
      <c r="L299" s="215" t="n">
        <v>40503</v>
      </c>
      <c r="M299" s="213" t="n">
        <v>44.7166666666667</v>
      </c>
      <c r="N299" s="213" t="n">
        <v>46.8166666666667</v>
      </c>
      <c r="O299" s="213" t="n">
        <v>9.35</v>
      </c>
      <c r="P299" s="213" t="n">
        <v>9.86666666666667</v>
      </c>
    </row>
    <row r="300" customFormat="false" ht="12.75" hidden="false" customHeight="false" outlineLevel="0" collapsed="false">
      <c r="A300" s="215" t="n">
        <v>40503</v>
      </c>
      <c r="B300" s="213" t="n">
        <v>44.7</v>
      </c>
      <c r="C300" s="213" t="n">
        <f aca="false">AVERAGEIFS($B$33:$B$1494,$A$33:$A$1494,A300)</f>
        <v>44.7166666666667</v>
      </c>
      <c r="D300" s="213" t="n">
        <v>46.9</v>
      </c>
      <c r="E300" s="213" t="n">
        <f aca="false">AVERAGEIFS($D$33:$D$1494,$A$33:$A$1494,A300)</f>
        <v>46.8166666666667</v>
      </c>
      <c r="F300" s="213" t="n">
        <v>9.1</v>
      </c>
      <c r="G300" s="213" t="n">
        <f aca="false">AVERAGEIFS($F$33:$F$1494,$A$33:$A$1494,A300)</f>
        <v>9.35</v>
      </c>
      <c r="H300" s="213" t="n">
        <v>9.8</v>
      </c>
      <c r="I300" s="213" t="n">
        <f aca="false">AVERAGEIFS($H$33:$H$1494,$A$33:$A$1494,A300)</f>
        <v>9.86666666666667</v>
      </c>
      <c r="L300" s="215" t="n">
        <v>40503</v>
      </c>
      <c r="M300" s="213" t="n">
        <v>44.7166666666667</v>
      </c>
      <c r="N300" s="213" t="n">
        <v>46.8166666666667</v>
      </c>
      <c r="O300" s="213" t="n">
        <v>9.35</v>
      </c>
      <c r="P300" s="213" t="n">
        <v>9.86666666666667</v>
      </c>
    </row>
    <row r="301" customFormat="false" ht="12.75" hidden="false" customHeight="false" outlineLevel="0" collapsed="false">
      <c r="A301" s="215" t="n">
        <v>40503</v>
      </c>
      <c r="B301" s="213" t="n">
        <v>44.7</v>
      </c>
      <c r="C301" s="213" t="n">
        <f aca="false">AVERAGEIFS($B$33:$B$1494,$A$33:$A$1494,A301)</f>
        <v>44.7166666666667</v>
      </c>
      <c r="D301" s="213" t="n">
        <v>46.8</v>
      </c>
      <c r="E301" s="213" t="n">
        <f aca="false">AVERAGEIFS($D$33:$D$1494,$A$33:$A$1494,A301)</f>
        <v>46.8166666666667</v>
      </c>
      <c r="F301" s="213" t="n">
        <v>9.6</v>
      </c>
      <c r="G301" s="213" t="n">
        <f aca="false">AVERAGEIFS($F$33:$F$1494,$A$33:$A$1494,A301)</f>
        <v>9.35</v>
      </c>
      <c r="H301" s="213" t="n">
        <v>9.8</v>
      </c>
      <c r="I301" s="213" t="n">
        <f aca="false">AVERAGEIFS($H$33:$H$1494,$A$33:$A$1494,A301)</f>
        <v>9.86666666666667</v>
      </c>
      <c r="L301" s="215" t="n">
        <v>40503</v>
      </c>
      <c r="M301" s="213" t="n">
        <v>44.7166666666667</v>
      </c>
      <c r="N301" s="213" t="n">
        <v>46.8166666666667</v>
      </c>
      <c r="O301" s="213" t="n">
        <v>9.35</v>
      </c>
      <c r="P301" s="213" t="n">
        <v>9.86666666666667</v>
      </c>
    </row>
    <row r="302" customFormat="false" ht="12.75" hidden="false" customHeight="false" outlineLevel="0" collapsed="false">
      <c r="A302" s="215" t="n">
        <v>40503</v>
      </c>
      <c r="B302" s="213" t="n">
        <v>44.8</v>
      </c>
      <c r="C302" s="213" t="n">
        <f aca="false">AVERAGEIFS($B$33:$B$1494,$A$33:$A$1494,A302)</f>
        <v>44.7166666666667</v>
      </c>
      <c r="D302" s="213" t="n">
        <v>46.8</v>
      </c>
      <c r="E302" s="213" t="n">
        <f aca="false">AVERAGEIFS($D$33:$D$1494,$A$33:$A$1494,A302)</f>
        <v>46.8166666666667</v>
      </c>
      <c r="F302" s="213" t="n">
        <v>9.7</v>
      </c>
      <c r="G302" s="213" t="n">
        <f aca="false">AVERAGEIFS($F$33:$F$1494,$A$33:$A$1494,A302)</f>
        <v>9.35</v>
      </c>
      <c r="H302" s="213" t="n">
        <v>9.9</v>
      </c>
      <c r="I302" s="213" t="n">
        <f aca="false">AVERAGEIFS($H$33:$H$1494,$A$33:$A$1494,A302)</f>
        <v>9.86666666666667</v>
      </c>
      <c r="L302" s="215" t="n">
        <v>40503</v>
      </c>
      <c r="M302" s="213" t="n">
        <v>44.7166666666667</v>
      </c>
      <c r="N302" s="213" t="n">
        <v>46.8166666666667</v>
      </c>
      <c r="O302" s="213" t="n">
        <v>9.35</v>
      </c>
      <c r="P302" s="213" t="n">
        <v>9.86666666666667</v>
      </c>
    </row>
    <row r="303" customFormat="false" ht="12.75" hidden="false" customHeight="false" outlineLevel="0" collapsed="false">
      <c r="A303" s="215" t="n">
        <v>40504</v>
      </c>
      <c r="B303" s="213" t="n">
        <v>72.7</v>
      </c>
      <c r="C303" s="213" t="n">
        <f aca="false">AVERAGEIFS($B$33:$B$1494,$A$33:$A$1494,A303)</f>
        <v>62.45</v>
      </c>
      <c r="D303" s="213" t="n">
        <v>71.3</v>
      </c>
      <c r="E303" s="213" t="n">
        <f aca="false">AVERAGEIFS($D$33:$D$1494,$A$33:$A$1494,A303)</f>
        <v>69.1</v>
      </c>
      <c r="F303" s="213" t="n">
        <v>9.6</v>
      </c>
      <c r="G303" s="213" t="n">
        <f aca="false">AVERAGEIFS($F$33:$F$1494,$A$33:$A$1494,A303)</f>
        <v>9.31666666666667</v>
      </c>
      <c r="H303" s="213" t="n">
        <v>9.9</v>
      </c>
      <c r="I303" s="213" t="n">
        <f aca="false">AVERAGEIFS($H$33:$H$1494,$A$33:$A$1494,A303)</f>
        <v>9.83333333333333</v>
      </c>
      <c r="L303" s="215" t="n">
        <v>40504</v>
      </c>
      <c r="M303" s="213" t="n">
        <v>62.45</v>
      </c>
      <c r="N303" s="213" t="n">
        <v>69.1</v>
      </c>
      <c r="O303" s="213" t="n">
        <v>9.31666666666667</v>
      </c>
      <c r="P303" s="213" t="n">
        <v>9.83333333333333</v>
      </c>
    </row>
    <row r="304" customFormat="false" ht="12.75" hidden="false" customHeight="false" outlineLevel="0" collapsed="false">
      <c r="A304" s="215" t="n">
        <v>40504</v>
      </c>
      <c r="B304" s="213" t="n">
        <v>72.9</v>
      </c>
      <c r="C304" s="213" t="n">
        <f aca="false">AVERAGEIFS($B$33:$B$1494,$A$33:$A$1494,A304)</f>
        <v>62.45</v>
      </c>
      <c r="D304" s="213" t="n">
        <v>72.3</v>
      </c>
      <c r="E304" s="213" t="n">
        <f aca="false">AVERAGEIFS($D$33:$D$1494,$A$33:$A$1494,A304)</f>
        <v>69.1</v>
      </c>
      <c r="F304" s="213" t="n">
        <v>9.5</v>
      </c>
      <c r="G304" s="213" t="n">
        <f aca="false">AVERAGEIFS($F$33:$F$1494,$A$33:$A$1494,A304)</f>
        <v>9.31666666666667</v>
      </c>
      <c r="H304" s="213" t="n">
        <v>9.9</v>
      </c>
      <c r="I304" s="213" t="n">
        <f aca="false">AVERAGEIFS($H$33:$H$1494,$A$33:$A$1494,A304)</f>
        <v>9.83333333333333</v>
      </c>
      <c r="L304" s="215" t="n">
        <v>40504</v>
      </c>
      <c r="M304" s="213" t="n">
        <v>62.45</v>
      </c>
      <c r="N304" s="213" t="n">
        <v>69.1</v>
      </c>
      <c r="O304" s="213" t="n">
        <v>9.31666666666667</v>
      </c>
      <c r="P304" s="213" t="n">
        <v>9.83333333333333</v>
      </c>
    </row>
    <row r="305" customFormat="false" ht="12.75" hidden="false" customHeight="false" outlineLevel="0" collapsed="false">
      <c r="A305" s="215" t="n">
        <v>40504</v>
      </c>
      <c r="B305" s="213" t="n">
        <v>72.5</v>
      </c>
      <c r="C305" s="213" t="n">
        <f aca="false">AVERAGEIFS($B$33:$B$1494,$A$33:$A$1494,A305)</f>
        <v>62.45</v>
      </c>
      <c r="D305" s="213" t="n">
        <v>72.6</v>
      </c>
      <c r="E305" s="213" t="n">
        <f aca="false">AVERAGEIFS($D$33:$D$1494,$A$33:$A$1494,A305)</f>
        <v>69.1</v>
      </c>
      <c r="F305" s="213" t="n">
        <v>9.3</v>
      </c>
      <c r="G305" s="213" t="n">
        <f aca="false">AVERAGEIFS($F$33:$F$1494,$A$33:$A$1494,A305)</f>
        <v>9.31666666666667</v>
      </c>
      <c r="H305" s="213" t="n">
        <v>9.9</v>
      </c>
      <c r="I305" s="213" t="n">
        <f aca="false">AVERAGEIFS($H$33:$H$1494,$A$33:$A$1494,A305)</f>
        <v>9.83333333333333</v>
      </c>
      <c r="L305" s="215" t="n">
        <v>40504</v>
      </c>
      <c r="M305" s="213" t="n">
        <v>62.45</v>
      </c>
      <c r="N305" s="213" t="n">
        <v>69.1</v>
      </c>
      <c r="O305" s="213" t="n">
        <v>9.31666666666667</v>
      </c>
      <c r="P305" s="213" t="n">
        <v>9.83333333333333</v>
      </c>
    </row>
    <row r="306" customFormat="false" ht="12.75" hidden="false" customHeight="false" outlineLevel="0" collapsed="false">
      <c r="A306" s="215" t="n">
        <v>40504</v>
      </c>
      <c r="B306" s="213" t="n">
        <v>56.1</v>
      </c>
      <c r="C306" s="213" t="n">
        <f aca="false">AVERAGEIFS($B$33:$B$1494,$A$33:$A$1494,A306)</f>
        <v>62.45</v>
      </c>
      <c r="D306" s="213" t="n">
        <v>72.7</v>
      </c>
      <c r="E306" s="213" t="n">
        <f aca="false">AVERAGEIFS($D$33:$D$1494,$A$33:$A$1494,A306)</f>
        <v>69.1</v>
      </c>
      <c r="F306" s="213" t="n">
        <v>9.2</v>
      </c>
      <c r="G306" s="213" t="n">
        <f aca="false">AVERAGEIFS($F$33:$F$1494,$A$33:$A$1494,A306)</f>
        <v>9.31666666666667</v>
      </c>
      <c r="H306" s="213" t="n">
        <v>9.8</v>
      </c>
      <c r="I306" s="213" t="n">
        <f aca="false">AVERAGEIFS($H$33:$H$1494,$A$33:$A$1494,A306)</f>
        <v>9.83333333333333</v>
      </c>
      <c r="L306" s="215" t="n">
        <v>40504</v>
      </c>
      <c r="M306" s="213" t="n">
        <v>62.45</v>
      </c>
      <c r="N306" s="213" t="n">
        <v>69.1</v>
      </c>
      <c r="O306" s="213" t="n">
        <v>9.31666666666667</v>
      </c>
      <c r="P306" s="213" t="n">
        <v>9.83333333333333</v>
      </c>
    </row>
    <row r="307" customFormat="false" ht="12.75" hidden="false" customHeight="false" outlineLevel="0" collapsed="false">
      <c r="A307" s="215" t="n">
        <v>40504</v>
      </c>
      <c r="B307" s="213" t="n">
        <v>51.7</v>
      </c>
      <c r="C307" s="213" t="n">
        <f aca="false">AVERAGEIFS($B$33:$B$1494,$A$33:$A$1494,A307)</f>
        <v>62.45</v>
      </c>
      <c r="D307" s="213" t="n">
        <v>69.3</v>
      </c>
      <c r="E307" s="213" t="n">
        <f aca="false">AVERAGEIFS($D$33:$D$1494,$A$33:$A$1494,A307)</f>
        <v>69.1</v>
      </c>
      <c r="F307" s="213" t="n">
        <v>9.2</v>
      </c>
      <c r="G307" s="213" t="n">
        <f aca="false">AVERAGEIFS($F$33:$F$1494,$A$33:$A$1494,A307)</f>
        <v>9.31666666666667</v>
      </c>
      <c r="H307" s="213" t="n">
        <v>9.8</v>
      </c>
      <c r="I307" s="213" t="n">
        <f aca="false">AVERAGEIFS($H$33:$H$1494,$A$33:$A$1494,A307)</f>
        <v>9.83333333333333</v>
      </c>
      <c r="L307" s="215" t="n">
        <v>40504</v>
      </c>
      <c r="M307" s="213" t="n">
        <v>62.45</v>
      </c>
      <c r="N307" s="213" t="n">
        <v>69.1</v>
      </c>
      <c r="O307" s="213" t="n">
        <v>9.31666666666667</v>
      </c>
      <c r="P307" s="213" t="n">
        <v>9.83333333333333</v>
      </c>
    </row>
    <row r="308" customFormat="false" ht="12.75" hidden="false" customHeight="false" outlineLevel="0" collapsed="false">
      <c r="A308" s="215" t="n">
        <v>40504</v>
      </c>
      <c r="B308" s="213" t="n">
        <v>48.8</v>
      </c>
      <c r="C308" s="213" t="n">
        <f aca="false">AVERAGEIFS($B$33:$B$1494,$A$33:$A$1494,A308)</f>
        <v>62.45</v>
      </c>
      <c r="D308" s="213" t="n">
        <v>56.4</v>
      </c>
      <c r="E308" s="213" t="n">
        <f aca="false">AVERAGEIFS($D$33:$D$1494,$A$33:$A$1494,A308)</f>
        <v>69.1</v>
      </c>
      <c r="F308" s="213" t="n">
        <v>9.1</v>
      </c>
      <c r="G308" s="213" t="n">
        <f aca="false">AVERAGEIFS($F$33:$F$1494,$A$33:$A$1494,A308)</f>
        <v>9.31666666666667</v>
      </c>
      <c r="H308" s="213" t="n">
        <v>9.7</v>
      </c>
      <c r="I308" s="213" t="n">
        <f aca="false">AVERAGEIFS($H$33:$H$1494,$A$33:$A$1494,A308)</f>
        <v>9.83333333333333</v>
      </c>
      <c r="L308" s="215" t="n">
        <v>40504</v>
      </c>
      <c r="M308" s="213" t="n">
        <v>62.45</v>
      </c>
      <c r="N308" s="213" t="n">
        <v>69.1</v>
      </c>
      <c r="O308" s="213" t="n">
        <v>9.31666666666667</v>
      </c>
      <c r="P308" s="213" t="n">
        <v>9.83333333333333</v>
      </c>
    </row>
    <row r="309" customFormat="false" ht="12.75" hidden="false" customHeight="false" outlineLevel="0" collapsed="false">
      <c r="A309" s="215" t="n">
        <v>40505</v>
      </c>
      <c r="B309" s="213" t="n">
        <v>47.7</v>
      </c>
      <c r="C309" s="213" t="n">
        <f aca="false">AVERAGEIFS($B$33:$B$1494,$A$33:$A$1494,A309)</f>
        <v>46.75</v>
      </c>
      <c r="D309" s="213" t="n">
        <v>53.8</v>
      </c>
      <c r="E309" s="213" t="n">
        <f aca="false">AVERAGEIFS($D$33:$D$1494,$A$33:$A$1494,A309)</f>
        <v>51.0833333333333</v>
      </c>
      <c r="F309" s="213" t="n">
        <v>8.8</v>
      </c>
      <c r="G309" s="213" t="n">
        <f aca="false">AVERAGEIFS($F$33:$F$1494,$A$33:$A$1494,A309)</f>
        <v>8.76666666666667</v>
      </c>
      <c r="H309" s="213" t="n">
        <v>9.7</v>
      </c>
      <c r="I309" s="213" t="n">
        <f aca="false">AVERAGEIFS($H$33:$H$1494,$A$33:$A$1494,A309)</f>
        <v>9.53333333333333</v>
      </c>
      <c r="L309" s="215" t="n">
        <v>40505</v>
      </c>
      <c r="M309" s="213" t="n">
        <v>46.75</v>
      </c>
      <c r="N309" s="213" t="n">
        <v>51.0833333333333</v>
      </c>
      <c r="O309" s="213" t="n">
        <v>8.76666666666667</v>
      </c>
      <c r="P309" s="213" t="n">
        <v>9.53333333333333</v>
      </c>
    </row>
    <row r="310" customFormat="false" ht="12.75" hidden="false" customHeight="false" outlineLevel="0" collapsed="false">
      <c r="A310" s="215" t="n">
        <v>40505</v>
      </c>
      <c r="B310" s="213" t="n">
        <v>47.5</v>
      </c>
      <c r="C310" s="213" t="n">
        <f aca="false">AVERAGEIFS($B$33:$B$1494,$A$33:$A$1494,A310)</f>
        <v>46.75</v>
      </c>
      <c r="D310" s="213" t="n">
        <v>52.2</v>
      </c>
      <c r="E310" s="213" t="n">
        <f aca="false">AVERAGEIFS($D$33:$D$1494,$A$33:$A$1494,A310)</f>
        <v>51.0833333333333</v>
      </c>
      <c r="F310" s="213" t="n">
        <v>8.7</v>
      </c>
      <c r="G310" s="213" t="n">
        <f aca="false">AVERAGEIFS($F$33:$F$1494,$A$33:$A$1494,A310)</f>
        <v>8.76666666666667</v>
      </c>
      <c r="H310" s="213" t="n">
        <v>9.6</v>
      </c>
      <c r="I310" s="213" t="n">
        <f aca="false">AVERAGEIFS($H$33:$H$1494,$A$33:$A$1494,A310)</f>
        <v>9.53333333333333</v>
      </c>
      <c r="L310" s="215" t="n">
        <v>40505</v>
      </c>
      <c r="M310" s="213" t="n">
        <v>46.75</v>
      </c>
      <c r="N310" s="213" t="n">
        <v>51.0833333333333</v>
      </c>
      <c r="O310" s="213" t="n">
        <v>8.76666666666667</v>
      </c>
      <c r="P310" s="213" t="n">
        <v>9.53333333333333</v>
      </c>
    </row>
    <row r="311" customFormat="false" ht="12.75" hidden="false" customHeight="false" outlineLevel="0" collapsed="false">
      <c r="A311" s="215" t="n">
        <v>40505</v>
      </c>
      <c r="B311" s="213" t="n">
        <v>47.1</v>
      </c>
      <c r="C311" s="213" t="n">
        <f aca="false">AVERAGEIFS($B$33:$B$1494,$A$33:$A$1494,A311)</f>
        <v>46.75</v>
      </c>
      <c r="D311" s="213" t="n">
        <v>51.3</v>
      </c>
      <c r="E311" s="213" t="n">
        <f aca="false">AVERAGEIFS($D$33:$D$1494,$A$33:$A$1494,A311)</f>
        <v>51.0833333333333</v>
      </c>
      <c r="F311" s="213" t="n">
        <v>8.6</v>
      </c>
      <c r="G311" s="213" t="n">
        <f aca="false">AVERAGEIFS($F$33:$F$1494,$A$33:$A$1494,A311)</f>
        <v>8.76666666666667</v>
      </c>
      <c r="H311" s="213" t="n">
        <v>9.5</v>
      </c>
      <c r="I311" s="213" t="n">
        <f aca="false">AVERAGEIFS($H$33:$H$1494,$A$33:$A$1494,A311)</f>
        <v>9.53333333333333</v>
      </c>
      <c r="L311" s="215" t="n">
        <v>40505</v>
      </c>
      <c r="M311" s="213" t="n">
        <v>46.75</v>
      </c>
      <c r="N311" s="213" t="n">
        <v>51.0833333333333</v>
      </c>
      <c r="O311" s="213" t="n">
        <v>8.76666666666667</v>
      </c>
      <c r="P311" s="213" t="n">
        <v>9.53333333333333</v>
      </c>
    </row>
    <row r="312" customFormat="false" ht="12.75" hidden="false" customHeight="false" outlineLevel="0" collapsed="false">
      <c r="A312" s="215" t="n">
        <v>40505</v>
      </c>
      <c r="B312" s="213" t="n">
        <v>46.3</v>
      </c>
      <c r="C312" s="213" t="n">
        <f aca="false">AVERAGEIFS($B$33:$B$1494,$A$33:$A$1494,A312)</f>
        <v>46.75</v>
      </c>
      <c r="D312" s="213" t="n">
        <v>50.3</v>
      </c>
      <c r="E312" s="213" t="n">
        <f aca="false">AVERAGEIFS($D$33:$D$1494,$A$33:$A$1494,A312)</f>
        <v>51.0833333333333</v>
      </c>
      <c r="F312" s="213" t="n">
        <v>8.7</v>
      </c>
      <c r="G312" s="213" t="n">
        <f aca="false">AVERAGEIFS($F$33:$F$1494,$A$33:$A$1494,A312)</f>
        <v>8.76666666666667</v>
      </c>
      <c r="H312" s="213" t="n">
        <v>9.5</v>
      </c>
      <c r="I312" s="213" t="n">
        <f aca="false">AVERAGEIFS($H$33:$H$1494,$A$33:$A$1494,A312)</f>
        <v>9.53333333333333</v>
      </c>
      <c r="L312" s="215" t="n">
        <v>40505</v>
      </c>
      <c r="M312" s="213" t="n">
        <v>46.75</v>
      </c>
      <c r="N312" s="213" t="n">
        <v>51.0833333333333</v>
      </c>
      <c r="O312" s="213" t="n">
        <v>8.76666666666667</v>
      </c>
      <c r="P312" s="213" t="n">
        <v>9.53333333333333</v>
      </c>
    </row>
    <row r="313" customFormat="false" ht="12.75" hidden="false" customHeight="false" outlineLevel="0" collapsed="false">
      <c r="A313" s="215" t="n">
        <v>40505</v>
      </c>
      <c r="B313" s="213" t="n">
        <v>46.2</v>
      </c>
      <c r="C313" s="213" t="n">
        <f aca="false">AVERAGEIFS($B$33:$B$1494,$A$33:$A$1494,A313)</f>
        <v>46.75</v>
      </c>
      <c r="D313" s="213" t="n">
        <v>49.7</v>
      </c>
      <c r="E313" s="213" t="n">
        <f aca="false">AVERAGEIFS($D$33:$D$1494,$A$33:$A$1494,A313)</f>
        <v>51.0833333333333</v>
      </c>
      <c r="F313" s="213" t="n">
        <v>9</v>
      </c>
      <c r="G313" s="213" t="n">
        <f aca="false">AVERAGEIFS($F$33:$F$1494,$A$33:$A$1494,A313)</f>
        <v>8.76666666666667</v>
      </c>
      <c r="H313" s="213" t="n">
        <v>9.4</v>
      </c>
      <c r="I313" s="213" t="n">
        <f aca="false">AVERAGEIFS($H$33:$H$1494,$A$33:$A$1494,A313)</f>
        <v>9.53333333333333</v>
      </c>
      <c r="L313" s="215" t="n">
        <v>40505</v>
      </c>
      <c r="M313" s="213" t="n">
        <v>46.75</v>
      </c>
      <c r="N313" s="213" t="n">
        <v>51.0833333333333</v>
      </c>
      <c r="O313" s="213" t="n">
        <v>8.76666666666667</v>
      </c>
      <c r="P313" s="213" t="n">
        <v>9.53333333333333</v>
      </c>
    </row>
    <row r="314" customFormat="false" ht="12.75" hidden="false" customHeight="false" outlineLevel="0" collapsed="false">
      <c r="A314" s="215" t="n">
        <v>40505</v>
      </c>
      <c r="B314" s="213" t="n">
        <v>45.7</v>
      </c>
      <c r="C314" s="213" t="n">
        <f aca="false">AVERAGEIFS($B$33:$B$1494,$A$33:$A$1494,A314)</f>
        <v>46.75</v>
      </c>
      <c r="D314" s="213" t="n">
        <v>49.2</v>
      </c>
      <c r="E314" s="213" t="n">
        <f aca="false">AVERAGEIFS($D$33:$D$1494,$A$33:$A$1494,A314)</f>
        <v>51.0833333333333</v>
      </c>
      <c r="F314" s="213" t="n">
        <v>8.8</v>
      </c>
      <c r="G314" s="213" t="n">
        <f aca="false">AVERAGEIFS($F$33:$F$1494,$A$33:$A$1494,A314)</f>
        <v>8.76666666666667</v>
      </c>
      <c r="H314" s="213" t="n">
        <v>9.5</v>
      </c>
      <c r="I314" s="213" t="n">
        <f aca="false">AVERAGEIFS($H$33:$H$1494,$A$33:$A$1494,A314)</f>
        <v>9.53333333333333</v>
      </c>
      <c r="L314" s="215" t="n">
        <v>40505</v>
      </c>
      <c r="M314" s="213" t="n">
        <v>46.75</v>
      </c>
      <c r="N314" s="213" t="n">
        <v>51.0833333333333</v>
      </c>
      <c r="O314" s="213" t="n">
        <v>8.76666666666667</v>
      </c>
      <c r="P314" s="213" t="n">
        <v>9.53333333333333</v>
      </c>
    </row>
    <row r="315" customFormat="false" ht="12.75" hidden="false" customHeight="false" outlineLevel="0" collapsed="false">
      <c r="A315" s="215" t="n">
        <v>40506</v>
      </c>
      <c r="B315" s="213" t="n">
        <v>45.6</v>
      </c>
      <c r="C315" s="213" t="n">
        <f aca="false">AVERAGEIFS($B$33:$B$1494,$A$33:$A$1494,A315)</f>
        <v>45.8833333333333</v>
      </c>
      <c r="D315" s="213" t="n">
        <v>49</v>
      </c>
      <c r="E315" s="213" t="n">
        <f aca="false">AVERAGEIFS($D$33:$D$1494,$A$33:$A$1494,A315)</f>
        <v>48.5666666666667</v>
      </c>
      <c r="F315" s="213" t="n">
        <v>8</v>
      </c>
      <c r="G315" s="213" t="n">
        <f aca="false">AVERAGEIFS($F$33:$F$1494,$A$33:$A$1494,A315)</f>
        <v>7.38333333333333</v>
      </c>
      <c r="H315" s="213" t="n">
        <v>9.4</v>
      </c>
      <c r="I315" s="213" t="n">
        <f aca="false">AVERAGEIFS($H$33:$H$1494,$A$33:$A$1494,A315)</f>
        <v>8.9</v>
      </c>
      <c r="L315" s="215" t="n">
        <v>40506</v>
      </c>
      <c r="M315" s="213" t="n">
        <v>45.8833333333333</v>
      </c>
      <c r="N315" s="213" t="n">
        <v>48.5666666666667</v>
      </c>
      <c r="O315" s="213" t="n">
        <v>7.38333333333333</v>
      </c>
      <c r="P315" s="213" t="n">
        <v>8.9</v>
      </c>
    </row>
    <row r="316" customFormat="false" ht="12.75" hidden="false" customHeight="false" outlineLevel="0" collapsed="false">
      <c r="A316" s="215" t="n">
        <v>40506</v>
      </c>
      <c r="B316" s="213" t="n">
        <v>46.5</v>
      </c>
      <c r="C316" s="213" t="n">
        <f aca="false">AVERAGEIFS($B$33:$B$1494,$A$33:$A$1494,A316)</f>
        <v>45.8833333333333</v>
      </c>
      <c r="D316" s="213" t="n">
        <v>48.8</v>
      </c>
      <c r="E316" s="213" t="n">
        <f aca="false">AVERAGEIFS($D$33:$D$1494,$A$33:$A$1494,A316)</f>
        <v>48.5666666666667</v>
      </c>
      <c r="F316" s="213" t="n">
        <v>7.4</v>
      </c>
      <c r="G316" s="213" t="n">
        <f aca="false">AVERAGEIFS($F$33:$F$1494,$A$33:$A$1494,A316)</f>
        <v>7.38333333333333</v>
      </c>
      <c r="H316" s="213" t="n">
        <v>9.2</v>
      </c>
      <c r="I316" s="213" t="n">
        <f aca="false">AVERAGEIFS($H$33:$H$1494,$A$33:$A$1494,A316)</f>
        <v>8.9</v>
      </c>
      <c r="L316" s="215" t="n">
        <v>40506</v>
      </c>
      <c r="M316" s="213" t="n">
        <v>45.8833333333333</v>
      </c>
      <c r="N316" s="213" t="n">
        <v>48.5666666666667</v>
      </c>
      <c r="O316" s="213" t="n">
        <v>7.38333333333333</v>
      </c>
      <c r="P316" s="213" t="n">
        <v>8.9</v>
      </c>
    </row>
    <row r="317" customFormat="false" ht="12.75" hidden="false" customHeight="false" outlineLevel="0" collapsed="false">
      <c r="A317" s="215" t="n">
        <v>40506</v>
      </c>
      <c r="B317" s="213" t="n">
        <v>46.2</v>
      </c>
      <c r="C317" s="213" t="n">
        <f aca="false">AVERAGEIFS($B$33:$B$1494,$A$33:$A$1494,A317)</f>
        <v>45.8833333333333</v>
      </c>
      <c r="D317" s="213" t="n">
        <v>48.6</v>
      </c>
      <c r="E317" s="213" t="n">
        <f aca="false">AVERAGEIFS($D$33:$D$1494,$A$33:$A$1494,A317)</f>
        <v>48.5666666666667</v>
      </c>
      <c r="F317" s="213" t="n">
        <v>6.9</v>
      </c>
      <c r="G317" s="213" t="n">
        <f aca="false">AVERAGEIFS($F$33:$F$1494,$A$33:$A$1494,A317)</f>
        <v>7.38333333333333</v>
      </c>
      <c r="H317" s="213" t="n">
        <v>9</v>
      </c>
      <c r="I317" s="213" t="n">
        <f aca="false">AVERAGEIFS($H$33:$H$1494,$A$33:$A$1494,A317)</f>
        <v>8.9</v>
      </c>
      <c r="L317" s="215" t="n">
        <v>40506</v>
      </c>
      <c r="M317" s="213" t="n">
        <v>45.8833333333333</v>
      </c>
      <c r="N317" s="213" t="n">
        <v>48.5666666666667</v>
      </c>
      <c r="O317" s="213" t="n">
        <v>7.38333333333333</v>
      </c>
      <c r="P317" s="213" t="n">
        <v>8.9</v>
      </c>
    </row>
    <row r="318" customFormat="false" ht="12.75" hidden="false" customHeight="false" outlineLevel="0" collapsed="false">
      <c r="A318" s="215" t="n">
        <v>40506</v>
      </c>
      <c r="B318" s="213" t="n">
        <v>45.9</v>
      </c>
      <c r="C318" s="213" t="n">
        <f aca="false">AVERAGEIFS($B$33:$B$1494,$A$33:$A$1494,A318)</f>
        <v>45.8833333333333</v>
      </c>
      <c r="D318" s="213" t="n">
        <v>48.5</v>
      </c>
      <c r="E318" s="213" t="n">
        <f aca="false">AVERAGEIFS($D$33:$D$1494,$A$33:$A$1494,A318)</f>
        <v>48.5666666666667</v>
      </c>
      <c r="F318" s="213" t="n">
        <v>6.8</v>
      </c>
      <c r="G318" s="213" t="n">
        <f aca="false">AVERAGEIFS($F$33:$F$1494,$A$33:$A$1494,A318)</f>
        <v>7.38333333333333</v>
      </c>
      <c r="H318" s="213" t="n">
        <v>8.7</v>
      </c>
      <c r="I318" s="213" t="n">
        <f aca="false">AVERAGEIFS($H$33:$H$1494,$A$33:$A$1494,A318)</f>
        <v>8.9</v>
      </c>
      <c r="L318" s="215" t="n">
        <v>40506</v>
      </c>
      <c r="M318" s="213" t="n">
        <v>45.8833333333333</v>
      </c>
      <c r="N318" s="213" t="n">
        <v>48.5666666666667</v>
      </c>
      <c r="O318" s="213" t="n">
        <v>7.38333333333333</v>
      </c>
      <c r="P318" s="213" t="n">
        <v>8.9</v>
      </c>
    </row>
    <row r="319" customFormat="false" ht="12.75" hidden="false" customHeight="false" outlineLevel="0" collapsed="false">
      <c r="A319" s="215" t="n">
        <v>40506</v>
      </c>
      <c r="B319" s="213" t="n">
        <v>45.6</v>
      </c>
      <c r="C319" s="213" t="n">
        <f aca="false">AVERAGEIFS($B$33:$B$1494,$A$33:$A$1494,A319)</f>
        <v>45.8833333333333</v>
      </c>
      <c r="D319" s="213" t="n">
        <v>48.3</v>
      </c>
      <c r="E319" s="213" t="n">
        <f aca="false">AVERAGEIFS($D$33:$D$1494,$A$33:$A$1494,A319)</f>
        <v>48.5666666666667</v>
      </c>
      <c r="F319" s="213" t="n">
        <v>7.6</v>
      </c>
      <c r="G319" s="213" t="n">
        <f aca="false">AVERAGEIFS($F$33:$F$1494,$A$33:$A$1494,A319)</f>
        <v>7.38333333333333</v>
      </c>
      <c r="H319" s="213" t="n">
        <v>8.5</v>
      </c>
      <c r="I319" s="213" t="n">
        <f aca="false">AVERAGEIFS($H$33:$H$1494,$A$33:$A$1494,A319)</f>
        <v>8.9</v>
      </c>
      <c r="L319" s="215" t="n">
        <v>40506</v>
      </c>
      <c r="M319" s="213" t="n">
        <v>45.8833333333333</v>
      </c>
      <c r="N319" s="213" t="n">
        <v>48.5666666666667</v>
      </c>
      <c r="O319" s="213" t="n">
        <v>7.38333333333333</v>
      </c>
      <c r="P319" s="213" t="n">
        <v>8.9</v>
      </c>
    </row>
    <row r="320" customFormat="false" ht="12.75" hidden="false" customHeight="false" outlineLevel="0" collapsed="false">
      <c r="A320" s="215" t="n">
        <v>40506</v>
      </c>
      <c r="B320" s="213" t="n">
        <v>45.5</v>
      </c>
      <c r="C320" s="213" t="n">
        <f aca="false">AVERAGEIFS($B$33:$B$1494,$A$33:$A$1494,A320)</f>
        <v>45.8833333333333</v>
      </c>
      <c r="D320" s="213" t="n">
        <v>48.2</v>
      </c>
      <c r="E320" s="213" t="n">
        <f aca="false">AVERAGEIFS($D$33:$D$1494,$A$33:$A$1494,A320)</f>
        <v>48.5666666666667</v>
      </c>
      <c r="F320" s="213" t="n">
        <v>7.6</v>
      </c>
      <c r="G320" s="213" t="n">
        <f aca="false">AVERAGEIFS($F$33:$F$1494,$A$33:$A$1494,A320)</f>
        <v>7.38333333333333</v>
      </c>
      <c r="H320" s="213" t="n">
        <v>8.6</v>
      </c>
      <c r="I320" s="213" t="n">
        <f aca="false">AVERAGEIFS($H$33:$H$1494,$A$33:$A$1494,A320)</f>
        <v>8.9</v>
      </c>
      <c r="L320" s="215" t="n">
        <v>40506</v>
      </c>
      <c r="M320" s="213" t="n">
        <v>45.8833333333333</v>
      </c>
      <c r="N320" s="213" t="n">
        <v>48.5666666666667</v>
      </c>
      <c r="O320" s="213" t="n">
        <v>7.38333333333333</v>
      </c>
      <c r="P320" s="213" t="n">
        <v>8.9</v>
      </c>
    </row>
    <row r="321" customFormat="false" ht="12.75" hidden="false" customHeight="false" outlineLevel="0" collapsed="false">
      <c r="A321" s="215" t="n">
        <v>40507</v>
      </c>
      <c r="B321" s="213" t="n">
        <v>45.5</v>
      </c>
      <c r="C321" s="213" t="n">
        <f aca="false">AVERAGEIFS($B$33:$B$1494,$A$33:$A$1494,A321)</f>
        <v>45.3833333333333</v>
      </c>
      <c r="D321" s="213" t="n">
        <v>48.2</v>
      </c>
      <c r="E321" s="213" t="n">
        <f aca="false">AVERAGEIFS($D$33:$D$1494,$A$33:$A$1494,A321)</f>
        <v>47.95</v>
      </c>
      <c r="F321" s="213" t="n">
        <v>7</v>
      </c>
      <c r="G321" s="213" t="n">
        <f aca="false">AVERAGEIFS($F$33:$F$1494,$A$33:$A$1494,A321)</f>
        <v>7</v>
      </c>
      <c r="H321" s="213" t="n">
        <v>8.6</v>
      </c>
      <c r="I321" s="213" t="n">
        <f aca="false">AVERAGEIFS($H$33:$H$1494,$A$33:$A$1494,A321)</f>
        <v>8.26666666666667</v>
      </c>
      <c r="L321" s="215" t="n">
        <v>40507</v>
      </c>
      <c r="M321" s="213" t="n">
        <v>45.3833333333333</v>
      </c>
      <c r="N321" s="213" t="n">
        <v>47.95</v>
      </c>
      <c r="O321" s="213" t="n">
        <v>7</v>
      </c>
      <c r="P321" s="213" t="n">
        <v>8.26666666666667</v>
      </c>
    </row>
    <row r="322" customFormat="false" ht="12.75" hidden="false" customHeight="false" outlineLevel="0" collapsed="false">
      <c r="A322" s="215" t="n">
        <v>40507</v>
      </c>
      <c r="B322" s="213" t="n">
        <v>45.4</v>
      </c>
      <c r="C322" s="213" t="n">
        <f aca="false">AVERAGEIFS($B$33:$B$1494,$A$33:$A$1494,A322)</f>
        <v>45.3833333333333</v>
      </c>
      <c r="D322" s="213" t="n">
        <v>48.1</v>
      </c>
      <c r="E322" s="213" t="n">
        <f aca="false">AVERAGEIFS($D$33:$D$1494,$A$33:$A$1494,A322)</f>
        <v>47.95</v>
      </c>
      <c r="F322" s="213" t="n">
        <v>6.8</v>
      </c>
      <c r="G322" s="213" t="n">
        <f aca="false">AVERAGEIFS($F$33:$F$1494,$A$33:$A$1494,A322)</f>
        <v>7</v>
      </c>
      <c r="H322" s="213" t="n">
        <v>8.4</v>
      </c>
      <c r="I322" s="213" t="n">
        <f aca="false">AVERAGEIFS($H$33:$H$1494,$A$33:$A$1494,A322)</f>
        <v>8.26666666666667</v>
      </c>
      <c r="L322" s="215" t="n">
        <v>40507</v>
      </c>
      <c r="M322" s="213" t="n">
        <v>45.3833333333333</v>
      </c>
      <c r="N322" s="213" t="n">
        <v>47.95</v>
      </c>
      <c r="O322" s="213" t="n">
        <v>7</v>
      </c>
      <c r="P322" s="213" t="n">
        <v>8.26666666666667</v>
      </c>
    </row>
    <row r="323" customFormat="false" ht="12.75" hidden="false" customHeight="false" outlineLevel="0" collapsed="false">
      <c r="A323" s="215" t="n">
        <v>40507</v>
      </c>
      <c r="B323" s="213" t="n">
        <v>45.4</v>
      </c>
      <c r="C323" s="213" t="n">
        <f aca="false">AVERAGEIFS($B$33:$B$1494,$A$33:$A$1494,A323)</f>
        <v>45.3833333333333</v>
      </c>
      <c r="D323" s="213" t="n">
        <v>48</v>
      </c>
      <c r="E323" s="213" t="n">
        <f aca="false">AVERAGEIFS($D$33:$D$1494,$A$33:$A$1494,A323)</f>
        <v>47.95</v>
      </c>
      <c r="F323" s="213" t="n">
        <v>6.6</v>
      </c>
      <c r="G323" s="213" t="n">
        <f aca="false">AVERAGEIFS($F$33:$F$1494,$A$33:$A$1494,A323)</f>
        <v>7</v>
      </c>
      <c r="H323" s="213" t="n">
        <v>8.2</v>
      </c>
      <c r="I323" s="213" t="n">
        <f aca="false">AVERAGEIFS($H$33:$H$1494,$A$33:$A$1494,A323)</f>
        <v>8.26666666666667</v>
      </c>
      <c r="L323" s="215" t="n">
        <v>40507</v>
      </c>
      <c r="M323" s="213" t="n">
        <v>45.3833333333333</v>
      </c>
      <c r="N323" s="213" t="n">
        <v>47.95</v>
      </c>
      <c r="O323" s="213" t="n">
        <v>7</v>
      </c>
      <c r="P323" s="213" t="n">
        <v>8.26666666666667</v>
      </c>
    </row>
    <row r="324" customFormat="false" ht="12.75" hidden="false" customHeight="false" outlineLevel="0" collapsed="false">
      <c r="A324" s="215" t="n">
        <v>40507</v>
      </c>
      <c r="B324" s="213" t="n">
        <v>45.3</v>
      </c>
      <c r="C324" s="213" t="n">
        <f aca="false">AVERAGEIFS($B$33:$B$1494,$A$33:$A$1494,A324)</f>
        <v>45.3833333333333</v>
      </c>
      <c r="D324" s="213" t="n">
        <v>47.9</v>
      </c>
      <c r="E324" s="213" t="n">
        <f aca="false">AVERAGEIFS($D$33:$D$1494,$A$33:$A$1494,A324)</f>
        <v>47.95</v>
      </c>
      <c r="F324" s="213" t="n">
        <v>6.8</v>
      </c>
      <c r="G324" s="213" t="n">
        <f aca="false">AVERAGEIFS($F$33:$F$1494,$A$33:$A$1494,A324)</f>
        <v>7</v>
      </c>
      <c r="H324" s="213" t="n">
        <v>8.1</v>
      </c>
      <c r="I324" s="213" t="n">
        <f aca="false">AVERAGEIFS($H$33:$H$1494,$A$33:$A$1494,A324)</f>
        <v>8.26666666666667</v>
      </c>
      <c r="L324" s="215" t="n">
        <v>40507</v>
      </c>
      <c r="M324" s="213" t="n">
        <v>45.3833333333333</v>
      </c>
      <c r="N324" s="213" t="n">
        <v>47.95</v>
      </c>
      <c r="O324" s="213" t="n">
        <v>7</v>
      </c>
      <c r="P324" s="213" t="n">
        <v>8.26666666666667</v>
      </c>
    </row>
    <row r="325" customFormat="false" ht="12.75" hidden="false" customHeight="false" outlineLevel="0" collapsed="false">
      <c r="A325" s="215" t="n">
        <v>40507</v>
      </c>
      <c r="B325" s="213" t="n">
        <v>45.3</v>
      </c>
      <c r="C325" s="213" t="n">
        <f aca="false">AVERAGEIFS($B$33:$B$1494,$A$33:$A$1494,A325)</f>
        <v>45.3833333333333</v>
      </c>
      <c r="D325" s="213" t="n">
        <v>47.8</v>
      </c>
      <c r="E325" s="213" t="n">
        <f aca="false">AVERAGEIFS($D$33:$D$1494,$A$33:$A$1494,A325)</f>
        <v>47.95</v>
      </c>
      <c r="F325" s="213" t="n">
        <v>7.4</v>
      </c>
      <c r="G325" s="213" t="n">
        <f aca="false">AVERAGEIFS($F$33:$F$1494,$A$33:$A$1494,A325)</f>
        <v>7</v>
      </c>
      <c r="H325" s="213" t="n">
        <v>8.1</v>
      </c>
      <c r="I325" s="213" t="n">
        <f aca="false">AVERAGEIFS($H$33:$H$1494,$A$33:$A$1494,A325)</f>
        <v>8.26666666666667</v>
      </c>
      <c r="L325" s="215" t="n">
        <v>40507</v>
      </c>
      <c r="M325" s="213" t="n">
        <v>45.3833333333333</v>
      </c>
      <c r="N325" s="213" t="n">
        <v>47.95</v>
      </c>
      <c r="O325" s="213" t="n">
        <v>7</v>
      </c>
      <c r="P325" s="213" t="n">
        <v>8.26666666666667</v>
      </c>
    </row>
    <row r="326" customFormat="false" ht="12.75" hidden="false" customHeight="false" outlineLevel="0" collapsed="false">
      <c r="A326" s="215" t="n">
        <v>40507</v>
      </c>
      <c r="B326" s="213" t="n">
        <v>45.4</v>
      </c>
      <c r="C326" s="213" t="n">
        <f aca="false">AVERAGEIFS($B$33:$B$1494,$A$33:$A$1494,A326)</f>
        <v>45.3833333333333</v>
      </c>
      <c r="D326" s="213" t="n">
        <v>47.7</v>
      </c>
      <c r="E326" s="213" t="n">
        <f aca="false">AVERAGEIFS($D$33:$D$1494,$A$33:$A$1494,A326)</f>
        <v>47.95</v>
      </c>
      <c r="F326" s="213" t="n">
        <v>7.4</v>
      </c>
      <c r="G326" s="213" t="n">
        <f aca="false">AVERAGEIFS($F$33:$F$1494,$A$33:$A$1494,A326)</f>
        <v>7</v>
      </c>
      <c r="H326" s="213" t="n">
        <v>8.2</v>
      </c>
      <c r="I326" s="213" t="n">
        <f aca="false">AVERAGEIFS($H$33:$H$1494,$A$33:$A$1494,A326)</f>
        <v>8.26666666666667</v>
      </c>
      <c r="L326" s="215" t="n">
        <v>40507</v>
      </c>
      <c r="M326" s="213" t="n">
        <v>45.3833333333333</v>
      </c>
      <c r="N326" s="213" t="n">
        <v>47.95</v>
      </c>
      <c r="O326" s="213" t="n">
        <v>7</v>
      </c>
      <c r="P326" s="213" t="n">
        <v>8.26666666666667</v>
      </c>
    </row>
    <row r="327" customFormat="false" ht="12.75" hidden="false" customHeight="false" outlineLevel="0" collapsed="false">
      <c r="A327" s="215" t="n">
        <v>40508</v>
      </c>
      <c r="B327" s="213" t="n">
        <v>45.6</v>
      </c>
      <c r="C327" s="213" t="n">
        <f aca="false">AVERAGEIFS($B$33:$B$1494,$A$33:$A$1494,A327)</f>
        <v>45.55</v>
      </c>
      <c r="D327" s="213" t="n">
        <v>47.8</v>
      </c>
      <c r="E327" s="213" t="n">
        <f aca="false">AVERAGEIFS($D$33:$D$1494,$A$33:$A$1494,A327)</f>
        <v>47.75</v>
      </c>
      <c r="F327" s="213" t="n">
        <v>7</v>
      </c>
      <c r="G327" s="213" t="n">
        <f aca="false">AVERAGEIFS($F$33:$F$1494,$A$33:$A$1494,A327)</f>
        <v>6.58333333333333</v>
      </c>
      <c r="H327" s="213" t="n">
        <v>8.2</v>
      </c>
      <c r="I327" s="213" t="n">
        <f aca="false">AVERAGEIFS($H$33:$H$1494,$A$33:$A$1494,A327)</f>
        <v>7.91666666666667</v>
      </c>
      <c r="L327" s="215" t="n">
        <v>40508</v>
      </c>
      <c r="M327" s="213" t="n">
        <v>45.55</v>
      </c>
      <c r="N327" s="213" t="n">
        <v>47.75</v>
      </c>
      <c r="O327" s="213" t="n">
        <v>6.58333333333333</v>
      </c>
      <c r="P327" s="213" t="n">
        <v>7.91666666666667</v>
      </c>
    </row>
    <row r="328" customFormat="false" ht="12.75" hidden="false" customHeight="false" outlineLevel="0" collapsed="false">
      <c r="A328" s="215" t="n">
        <v>40508</v>
      </c>
      <c r="B328" s="213" t="n">
        <v>45.6</v>
      </c>
      <c r="C328" s="213" t="n">
        <f aca="false">AVERAGEIFS($B$33:$B$1494,$A$33:$A$1494,A328)</f>
        <v>45.55</v>
      </c>
      <c r="D328" s="213" t="n">
        <v>47.8</v>
      </c>
      <c r="E328" s="213" t="n">
        <f aca="false">AVERAGEIFS($D$33:$D$1494,$A$33:$A$1494,A328)</f>
        <v>47.75</v>
      </c>
      <c r="F328" s="213" t="n">
        <v>6.7</v>
      </c>
      <c r="G328" s="213" t="n">
        <f aca="false">AVERAGEIFS($F$33:$F$1494,$A$33:$A$1494,A328)</f>
        <v>6.58333333333333</v>
      </c>
      <c r="H328" s="213" t="n">
        <v>8.1</v>
      </c>
      <c r="I328" s="213" t="n">
        <f aca="false">AVERAGEIFS($H$33:$H$1494,$A$33:$A$1494,A328)</f>
        <v>7.91666666666667</v>
      </c>
      <c r="L328" s="215" t="n">
        <v>40508</v>
      </c>
      <c r="M328" s="213" t="n">
        <v>45.55</v>
      </c>
      <c r="N328" s="213" t="n">
        <v>47.75</v>
      </c>
      <c r="O328" s="213" t="n">
        <v>6.58333333333333</v>
      </c>
      <c r="P328" s="213" t="n">
        <v>7.91666666666667</v>
      </c>
    </row>
    <row r="329" customFormat="false" ht="12.75" hidden="false" customHeight="false" outlineLevel="0" collapsed="false">
      <c r="A329" s="215" t="n">
        <v>40508</v>
      </c>
      <c r="B329" s="213" t="n">
        <v>45.6</v>
      </c>
      <c r="C329" s="213" t="n">
        <f aca="false">AVERAGEIFS($B$33:$B$1494,$A$33:$A$1494,A329)</f>
        <v>45.55</v>
      </c>
      <c r="D329" s="213" t="n">
        <v>47.8</v>
      </c>
      <c r="E329" s="213" t="n">
        <f aca="false">AVERAGEIFS($D$33:$D$1494,$A$33:$A$1494,A329)</f>
        <v>47.75</v>
      </c>
      <c r="F329" s="213" t="n">
        <v>6.4</v>
      </c>
      <c r="G329" s="213" t="n">
        <f aca="false">AVERAGEIFS($F$33:$F$1494,$A$33:$A$1494,A329)</f>
        <v>6.58333333333333</v>
      </c>
      <c r="H329" s="213" t="n">
        <v>8</v>
      </c>
      <c r="I329" s="213" t="n">
        <f aca="false">AVERAGEIFS($H$33:$H$1494,$A$33:$A$1494,A329)</f>
        <v>7.91666666666667</v>
      </c>
      <c r="L329" s="215" t="n">
        <v>40508</v>
      </c>
      <c r="M329" s="213" t="n">
        <v>45.55</v>
      </c>
      <c r="N329" s="213" t="n">
        <v>47.75</v>
      </c>
      <c r="O329" s="213" t="n">
        <v>6.58333333333333</v>
      </c>
      <c r="P329" s="213" t="n">
        <v>7.91666666666667</v>
      </c>
    </row>
    <row r="330" customFormat="false" ht="12.75" hidden="false" customHeight="false" outlineLevel="0" collapsed="false">
      <c r="A330" s="215" t="n">
        <v>40508</v>
      </c>
      <c r="B330" s="213" t="n">
        <v>45.6</v>
      </c>
      <c r="C330" s="213" t="n">
        <f aca="false">AVERAGEIFS($B$33:$B$1494,$A$33:$A$1494,A330)</f>
        <v>45.55</v>
      </c>
      <c r="D330" s="213" t="n">
        <v>47.8</v>
      </c>
      <c r="E330" s="213" t="n">
        <f aca="false">AVERAGEIFS($D$33:$D$1494,$A$33:$A$1494,A330)</f>
        <v>47.75</v>
      </c>
      <c r="F330" s="213" t="n">
        <v>6.2</v>
      </c>
      <c r="G330" s="213" t="n">
        <f aca="false">AVERAGEIFS($F$33:$F$1494,$A$33:$A$1494,A330)</f>
        <v>6.58333333333333</v>
      </c>
      <c r="H330" s="213" t="n">
        <v>7.8</v>
      </c>
      <c r="I330" s="213" t="n">
        <f aca="false">AVERAGEIFS($H$33:$H$1494,$A$33:$A$1494,A330)</f>
        <v>7.91666666666667</v>
      </c>
      <c r="L330" s="215" t="n">
        <v>40508</v>
      </c>
      <c r="M330" s="213" t="n">
        <v>45.55</v>
      </c>
      <c r="N330" s="213" t="n">
        <v>47.75</v>
      </c>
      <c r="O330" s="213" t="n">
        <v>6.58333333333333</v>
      </c>
      <c r="P330" s="213" t="n">
        <v>7.91666666666667</v>
      </c>
    </row>
    <row r="331" customFormat="false" ht="12.75" hidden="false" customHeight="false" outlineLevel="0" collapsed="false">
      <c r="A331" s="215" t="n">
        <v>40508</v>
      </c>
      <c r="B331" s="213" t="n">
        <v>45.5</v>
      </c>
      <c r="C331" s="213" t="n">
        <f aca="false">AVERAGEIFS($B$33:$B$1494,$A$33:$A$1494,A331)</f>
        <v>45.55</v>
      </c>
      <c r="D331" s="213" t="n">
        <v>47.7</v>
      </c>
      <c r="E331" s="213" t="n">
        <f aca="false">AVERAGEIFS($D$33:$D$1494,$A$33:$A$1494,A331)</f>
        <v>47.75</v>
      </c>
      <c r="F331" s="213" t="n">
        <v>6.7</v>
      </c>
      <c r="G331" s="213" t="n">
        <f aca="false">AVERAGEIFS($F$33:$F$1494,$A$33:$A$1494,A331)</f>
        <v>6.58333333333333</v>
      </c>
      <c r="H331" s="213" t="n">
        <v>7.7</v>
      </c>
      <c r="I331" s="213" t="n">
        <f aca="false">AVERAGEIFS($H$33:$H$1494,$A$33:$A$1494,A331)</f>
        <v>7.91666666666667</v>
      </c>
      <c r="L331" s="215" t="n">
        <v>40508</v>
      </c>
      <c r="M331" s="213" t="n">
        <v>45.55</v>
      </c>
      <c r="N331" s="213" t="n">
        <v>47.75</v>
      </c>
      <c r="O331" s="213" t="n">
        <v>6.58333333333333</v>
      </c>
      <c r="P331" s="213" t="n">
        <v>7.91666666666667</v>
      </c>
    </row>
    <row r="332" customFormat="false" ht="12.75" hidden="false" customHeight="false" outlineLevel="0" collapsed="false">
      <c r="A332" s="215" t="n">
        <v>40508</v>
      </c>
      <c r="B332" s="213" t="n">
        <v>45.4</v>
      </c>
      <c r="C332" s="213" t="n">
        <f aca="false">AVERAGEIFS($B$33:$B$1494,$A$33:$A$1494,A332)</f>
        <v>45.55</v>
      </c>
      <c r="D332" s="213" t="n">
        <v>47.6</v>
      </c>
      <c r="E332" s="213" t="n">
        <f aca="false">AVERAGEIFS($D$33:$D$1494,$A$33:$A$1494,A332)</f>
        <v>47.75</v>
      </c>
      <c r="F332" s="213" t="n">
        <v>6.5</v>
      </c>
      <c r="G332" s="213" t="n">
        <f aca="false">AVERAGEIFS($F$33:$F$1494,$A$33:$A$1494,A332)</f>
        <v>6.58333333333333</v>
      </c>
      <c r="H332" s="213" t="n">
        <v>7.7</v>
      </c>
      <c r="I332" s="213" t="n">
        <f aca="false">AVERAGEIFS($H$33:$H$1494,$A$33:$A$1494,A332)</f>
        <v>7.91666666666667</v>
      </c>
      <c r="L332" s="215" t="n">
        <v>40508</v>
      </c>
      <c r="M332" s="213" t="n">
        <v>45.55</v>
      </c>
      <c r="N332" s="213" t="n">
        <v>47.75</v>
      </c>
      <c r="O332" s="213" t="n">
        <v>6.58333333333333</v>
      </c>
      <c r="P332" s="213" t="n">
        <v>7.91666666666667</v>
      </c>
    </row>
    <row r="333" customFormat="false" ht="12.75" hidden="false" customHeight="false" outlineLevel="0" collapsed="false">
      <c r="A333" s="215" t="n">
        <v>40509</v>
      </c>
      <c r="B333" s="213" t="n">
        <v>45.4</v>
      </c>
      <c r="C333" s="213" t="n">
        <f aca="false">AVERAGEIFS($B$33:$B$1494,$A$33:$A$1494,A333)</f>
        <v>45.3666666666667</v>
      </c>
      <c r="D333" s="213" t="n">
        <v>47.9</v>
      </c>
      <c r="E333" s="213" t="n">
        <f aca="false">AVERAGEIFS($D$33:$D$1494,$A$33:$A$1494,A333)</f>
        <v>47.8</v>
      </c>
      <c r="F333" s="213" t="n">
        <v>6</v>
      </c>
      <c r="G333" s="213" t="n">
        <f aca="false">AVERAGEIFS($F$33:$F$1494,$A$33:$A$1494,A333)</f>
        <v>5.28333333333333</v>
      </c>
      <c r="H333" s="213" t="n">
        <v>7.7</v>
      </c>
      <c r="I333" s="213" t="n">
        <f aca="false">AVERAGEIFS($H$33:$H$1494,$A$33:$A$1494,A333)</f>
        <v>7.18333333333333</v>
      </c>
      <c r="L333" s="215" t="n">
        <v>40509</v>
      </c>
      <c r="M333" s="213" t="n">
        <v>45.3666666666667</v>
      </c>
      <c r="N333" s="213" t="n">
        <v>47.8</v>
      </c>
      <c r="O333" s="213" t="n">
        <v>5.28333333333333</v>
      </c>
      <c r="P333" s="213" t="n">
        <v>7.18333333333333</v>
      </c>
    </row>
    <row r="334" customFormat="false" ht="12.75" hidden="false" customHeight="false" outlineLevel="0" collapsed="false">
      <c r="A334" s="215" t="n">
        <v>40509</v>
      </c>
      <c r="B334" s="213" t="n">
        <v>45.4</v>
      </c>
      <c r="C334" s="213" t="n">
        <f aca="false">AVERAGEIFS($B$33:$B$1494,$A$33:$A$1494,A334)</f>
        <v>45.3666666666667</v>
      </c>
      <c r="D334" s="213" t="n">
        <v>47.8</v>
      </c>
      <c r="E334" s="213" t="n">
        <f aca="false">AVERAGEIFS($D$33:$D$1494,$A$33:$A$1494,A334)</f>
        <v>47.8</v>
      </c>
      <c r="F334" s="213" t="n">
        <v>5.4</v>
      </c>
      <c r="G334" s="213" t="n">
        <f aca="false">AVERAGEIFS($F$33:$F$1494,$A$33:$A$1494,A334)</f>
        <v>5.28333333333333</v>
      </c>
      <c r="H334" s="213" t="n">
        <v>7.5</v>
      </c>
      <c r="I334" s="213" t="n">
        <f aca="false">AVERAGEIFS($H$33:$H$1494,$A$33:$A$1494,A334)</f>
        <v>7.18333333333333</v>
      </c>
      <c r="L334" s="215" t="n">
        <v>40509</v>
      </c>
      <c r="M334" s="213" t="n">
        <v>45.3666666666667</v>
      </c>
      <c r="N334" s="213" t="n">
        <v>47.8</v>
      </c>
      <c r="O334" s="213" t="n">
        <v>5.28333333333333</v>
      </c>
      <c r="P334" s="213" t="n">
        <v>7.18333333333333</v>
      </c>
    </row>
    <row r="335" customFormat="false" ht="12.75" hidden="false" customHeight="false" outlineLevel="0" collapsed="false">
      <c r="A335" s="215" t="n">
        <v>40509</v>
      </c>
      <c r="B335" s="213" t="n">
        <v>45.4</v>
      </c>
      <c r="C335" s="213" t="n">
        <f aca="false">AVERAGEIFS($B$33:$B$1494,$A$33:$A$1494,A335)</f>
        <v>45.3666666666667</v>
      </c>
      <c r="D335" s="213" t="n">
        <v>47.8</v>
      </c>
      <c r="E335" s="213" t="n">
        <f aca="false">AVERAGEIFS($D$33:$D$1494,$A$33:$A$1494,A335)</f>
        <v>47.8</v>
      </c>
      <c r="F335" s="213" t="n">
        <v>4.7</v>
      </c>
      <c r="G335" s="213" t="n">
        <f aca="false">AVERAGEIFS($F$33:$F$1494,$A$33:$A$1494,A335)</f>
        <v>5.28333333333333</v>
      </c>
      <c r="H335" s="213" t="n">
        <v>7.3</v>
      </c>
      <c r="I335" s="213" t="n">
        <f aca="false">AVERAGEIFS($H$33:$H$1494,$A$33:$A$1494,A335)</f>
        <v>7.18333333333333</v>
      </c>
      <c r="L335" s="215" t="n">
        <v>40509</v>
      </c>
      <c r="M335" s="213" t="n">
        <v>45.3666666666667</v>
      </c>
      <c r="N335" s="213" t="n">
        <v>47.8</v>
      </c>
      <c r="O335" s="213" t="n">
        <v>5.28333333333333</v>
      </c>
      <c r="P335" s="213" t="n">
        <v>7.18333333333333</v>
      </c>
    </row>
    <row r="336" customFormat="false" ht="12.75" hidden="false" customHeight="false" outlineLevel="0" collapsed="false">
      <c r="A336" s="215" t="n">
        <v>40509</v>
      </c>
      <c r="B336" s="213" t="n">
        <v>45.4</v>
      </c>
      <c r="C336" s="213" t="n">
        <f aca="false">AVERAGEIFS($B$33:$B$1494,$A$33:$A$1494,A336)</f>
        <v>45.3666666666667</v>
      </c>
      <c r="D336" s="213" t="n">
        <v>48.1</v>
      </c>
      <c r="E336" s="213" t="n">
        <f aca="false">AVERAGEIFS($D$33:$D$1494,$A$33:$A$1494,A336)</f>
        <v>47.8</v>
      </c>
      <c r="F336" s="213" t="n">
        <v>4.6</v>
      </c>
      <c r="G336" s="213" t="n">
        <f aca="false">AVERAGEIFS($F$33:$F$1494,$A$33:$A$1494,A336)</f>
        <v>5.28333333333333</v>
      </c>
      <c r="H336" s="213" t="n">
        <v>7</v>
      </c>
      <c r="I336" s="213" t="n">
        <f aca="false">AVERAGEIFS($H$33:$H$1494,$A$33:$A$1494,A336)</f>
        <v>7.18333333333333</v>
      </c>
      <c r="L336" s="215" t="n">
        <v>40509</v>
      </c>
      <c r="M336" s="213" t="n">
        <v>45.3666666666667</v>
      </c>
      <c r="N336" s="213" t="n">
        <v>47.8</v>
      </c>
      <c r="O336" s="213" t="n">
        <v>5.28333333333333</v>
      </c>
      <c r="P336" s="213" t="n">
        <v>7.18333333333333</v>
      </c>
    </row>
    <row r="337" customFormat="false" ht="12.75" hidden="false" customHeight="false" outlineLevel="0" collapsed="false">
      <c r="A337" s="215" t="n">
        <v>40509</v>
      </c>
      <c r="B337" s="213" t="n">
        <v>45.3</v>
      </c>
      <c r="C337" s="213" t="n">
        <f aca="false">AVERAGEIFS($B$33:$B$1494,$A$33:$A$1494,A337)</f>
        <v>45.3666666666667</v>
      </c>
      <c r="D337" s="213" t="n">
        <v>47.7</v>
      </c>
      <c r="E337" s="213" t="n">
        <f aca="false">AVERAGEIFS($D$33:$D$1494,$A$33:$A$1494,A337)</f>
        <v>47.8</v>
      </c>
      <c r="F337" s="213" t="n">
        <v>5.3</v>
      </c>
      <c r="G337" s="213" t="n">
        <f aca="false">AVERAGEIFS($F$33:$F$1494,$A$33:$A$1494,A337)</f>
        <v>5.28333333333333</v>
      </c>
      <c r="H337" s="213" t="n">
        <v>6.8</v>
      </c>
      <c r="I337" s="213" t="n">
        <f aca="false">AVERAGEIFS($H$33:$H$1494,$A$33:$A$1494,A337)</f>
        <v>7.18333333333333</v>
      </c>
      <c r="L337" s="215" t="n">
        <v>40509</v>
      </c>
      <c r="M337" s="213" t="n">
        <v>45.3666666666667</v>
      </c>
      <c r="N337" s="213" t="n">
        <v>47.8</v>
      </c>
      <c r="O337" s="213" t="n">
        <v>5.28333333333333</v>
      </c>
      <c r="P337" s="213" t="n">
        <v>7.18333333333333</v>
      </c>
    </row>
    <row r="338" customFormat="false" ht="12.75" hidden="false" customHeight="false" outlineLevel="0" collapsed="false">
      <c r="A338" s="215" t="n">
        <v>40509</v>
      </c>
      <c r="B338" s="213" t="n">
        <v>45.3</v>
      </c>
      <c r="C338" s="213" t="n">
        <f aca="false">AVERAGEIFS($B$33:$B$1494,$A$33:$A$1494,A338)</f>
        <v>45.3666666666667</v>
      </c>
      <c r="D338" s="213" t="n">
        <v>47.5</v>
      </c>
      <c r="E338" s="213" t="n">
        <f aca="false">AVERAGEIFS($D$33:$D$1494,$A$33:$A$1494,A338)</f>
        <v>47.8</v>
      </c>
      <c r="F338" s="213" t="n">
        <v>5.7</v>
      </c>
      <c r="G338" s="213" t="n">
        <f aca="false">AVERAGEIFS($F$33:$F$1494,$A$33:$A$1494,A338)</f>
        <v>5.28333333333333</v>
      </c>
      <c r="H338" s="213" t="n">
        <v>6.8</v>
      </c>
      <c r="I338" s="213" t="n">
        <f aca="false">AVERAGEIFS($H$33:$H$1494,$A$33:$A$1494,A338)</f>
        <v>7.18333333333333</v>
      </c>
      <c r="L338" s="215" t="n">
        <v>40509</v>
      </c>
      <c r="M338" s="213" t="n">
        <v>45.3666666666667</v>
      </c>
      <c r="N338" s="213" t="n">
        <v>47.8</v>
      </c>
      <c r="O338" s="213" t="n">
        <v>5.28333333333333</v>
      </c>
      <c r="P338" s="213" t="n">
        <v>7.18333333333333</v>
      </c>
    </row>
    <row r="339" customFormat="false" ht="12.75" hidden="false" customHeight="false" outlineLevel="0" collapsed="false">
      <c r="A339" s="215" t="n">
        <v>40510</v>
      </c>
      <c r="B339" s="213" t="n">
        <v>45.3</v>
      </c>
      <c r="C339" s="213" t="n">
        <f aca="false">AVERAGEIFS($B$33:$B$1494,$A$33:$A$1494,A339)</f>
        <v>45.2666666666667</v>
      </c>
      <c r="D339" s="213" t="n">
        <v>47.4</v>
      </c>
      <c r="E339" s="213" t="n">
        <f aca="false">AVERAGEIFS($D$33:$D$1494,$A$33:$A$1494,A339)</f>
        <v>47.3666666666667</v>
      </c>
      <c r="F339" s="213" t="n">
        <v>5.5</v>
      </c>
      <c r="G339" s="213" t="n">
        <f aca="false">AVERAGEIFS($F$33:$F$1494,$A$33:$A$1494,A339)</f>
        <v>5.16666666666667</v>
      </c>
      <c r="H339" s="213" t="n">
        <v>6.9</v>
      </c>
      <c r="I339" s="213" t="n">
        <f aca="false">AVERAGEIFS($H$33:$H$1494,$A$33:$A$1494,A339)</f>
        <v>6.68333333333333</v>
      </c>
      <c r="L339" s="215" t="n">
        <v>40510</v>
      </c>
      <c r="M339" s="213" t="n">
        <v>45.2666666666667</v>
      </c>
      <c r="N339" s="213" t="n">
        <v>47.3666666666667</v>
      </c>
      <c r="O339" s="213" t="n">
        <v>5.16666666666667</v>
      </c>
      <c r="P339" s="213" t="n">
        <v>6.68333333333333</v>
      </c>
    </row>
    <row r="340" customFormat="false" ht="12.75" hidden="false" customHeight="false" outlineLevel="0" collapsed="false">
      <c r="A340" s="215" t="n">
        <v>40510</v>
      </c>
      <c r="B340" s="213" t="n">
        <v>45.3</v>
      </c>
      <c r="C340" s="213" t="n">
        <f aca="false">AVERAGEIFS($B$33:$B$1494,$A$33:$A$1494,A340)</f>
        <v>45.2666666666667</v>
      </c>
      <c r="D340" s="213" t="n">
        <v>47.4</v>
      </c>
      <c r="E340" s="213" t="n">
        <f aca="false">AVERAGEIFS($D$33:$D$1494,$A$33:$A$1494,A340)</f>
        <v>47.3666666666667</v>
      </c>
      <c r="F340" s="213" t="n">
        <v>5.2</v>
      </c>
      <c r="G340" s="213" t="n">
        <f aca="false">AVERAGEIFS($F$33:$F$1494,$A$33:$A$1494,A340)</f>
        <v>5.16666666666667</v>
      </c>
      <c r="H340" s="213" t="n">
        <v>6.9</v>
      </c>
      <c r="I340" s="213" t="n">
        <f aca="false">AVERAGEIFS($H$33:$H$1494,$A$33:$A$1494,A340)</f>
        <v>6.68333333333333</v>
      </c>
      <c r="L340" s="215" t="n">
        <v>40510</v>
      </c>
      <c r="M340" s="213" t="n">
        <v>45.2666666666667</v>
      </c>
      <c r="N340" s="213" t="n">
        <v>47.3666666666667</v>
      </c>
      <c r="O340" s="213" t="n">
        <v>5.16666666666667</v>
      </c>
      <c r="P340" s="213" t="n">
        <v>6.68333333333333</v>
      </c>
    </row>
    <row r="341" customFormat="false" ht="12.75" hidden="false" customHeight="false" outlineLevel="0" collapsed="false">
      <c r="A341" s="215" t="n">
        <v>40510</v>
      </c>
      <c r="B341" s="213" t="n">
        <v>45.3</v>
      </c>
      <c r="C341" s="213" t="n">
        <f aca="false">AVERAGEIFS($B$33:$B$1494,$A$33:$A$1494,A341)</f>
        <v>45.2666666666667</v>
      </c>
      <c r="D341" s="213" t="n">
        <v>47.4</v>
      </c>
      <c r="E341" s="213" t="n">
        <f aca="false">AVERAGEIFS($D$33:$D$1494,$A$33:$A$1494,A341)</f>
        <v>47.3666666666667</v>
      </c>
      <c r="F341" s="213" t="n">
        <v>4.7</v>
      </c>
      <c r="G341" s="213" t="n">
        <f aca="false">AVERAGEIFS($F$33:$F$1494,$A$33:$A$1494,A341)</f>
        <v>5.16666666666667</v>
      </c>
      <c r="H341" s="213" t="n">
        <v>6.7</v>
      </c>
      <c r="I341" s="213" t="n">
        <f aca="false">AVERAGEIFS($H$33:$H$1494,$A$33:$A$1494,A341)</f>
        <v>6.68333333333333</v>
      </c>
      <c r="L341" s="215" t="n">
        <v>40510</v>
      </c>
      <c r="M341" s="213" t="n">
        <v>45.2666666666667</v>
      </c>
      <c r="N341" s="213" t="n">
        <v>47.3666666666667</v>
      </c>
      <c r="O341" s="213" t="n">
        <v>5.16666666666667</v>
      </c>
      <c r="P341" s="213" t="n">
        <v>6.68333333333333</v>
      </c>
    </row>
    <row r="342" customFormat="false" ht="12.75" hidden="false" customHeight="false" outlineLevel="0" collapsed="false">
      <c r="A342" s="215" t="n">
        <v>40510</v>
      </c>
      <c r="B342" s="213" t="n">
        <v>45.3</v>
      </c>
      <c r="C342" s="213" t="n">
        <f aca="false">AVERAGEIFS($B$33:$B$1494,$A$33:$A$1494,A342)</f>
        <v>45.2666666666667</v>
      </c>
      <c r="D342" s="213" t="n">
        <v>47.4</v>
      </c>
      <c r="E342" s="213" t="n">
        <f aca="false">AVERAGEIFS($D$33:$D$1494,$A$33:$A$1494,A342)</f>
        <v>47.3666666666667</v>
      </c>
      <c r="F342" s="213" t="n">
        <v>4.6</v>
      </c>
      <c r="G342" s="213" t="n">
        <f aca="false">AVERAGEIFS($F$33:$F$1494,$A$33:$A$1494,A342)</f>
        <v>5.16666666666667</v>
      </c>
      <c r="H342" s="213" t="n">
        <v>6.6</v>
      </c>
      <c r="I342" s="213" t="n">
        <f aca="false">AVERAGEIFS($H$33:$H$1494,$A$33:$A$1494,A342)</f>
        <v>6.68333333333333</v>
      </c>
      <c r="L342" s="215" t="n">
        <v>40510</v>
      </c>
      <c r="M342" s="213" t="n">
        <v>45.2666666666667</v>
      </c>
      <c r="N342" s="213" t="n">
        <v>47.3666666666667</v>
      </c>
      <c r="O342" s="213" t="n">
        <v>5.16666666666667</v>
      </c>
      <c r="P342" s="213" t="n">
        <v>6.68333333333333</v>
      </c>
    </row>
    <row r="343" customFormat="false" ht="12.75" hidden="false" customHeight="false" outlineLevel="0" collapsed="false">
      <c r="A343" s="215" t="n">
        <v>40510</v>
      </c>
      <c r="B343" s="213" t="n">
        <v>45.2</v>
      </c>
      <c r="C343" s="213" t="n">
        <f aca="false">AVERAGEIFS($B$33:$B$1494,$A$33:$A$1494,A343)</f>
        <v>45.2666666666667</v>
      </c>
      <c r="D343" s="213" t="n">
        <v>47.3</v>
      </c>
      <c r="E343" s="213" t="n">
        <f aca="false">AVERAGEIFS($D$33:$D$1494,$A$33:$A$1494,A343)</f>
        <v>47.3666666666667</v>
      </c>
      <c r="F343" s="213" t="n">
        <v>5.4</v>
      </c>
      <c r="G343" s="213" t="n">
        <f aca="false">AVERAGEIFS($F$33:$F$1494,$A$33:$A$1494,A343)</f>
        <v>5.16666666666667</v>
      </c>
      <c r="H343" s="213" t="n">
        <v>6.5</v>
      </c>
      <c r="I343" s="213" t="n">
        <f aca="false">AVERAGEIFS($H$33:$H$1494,$A$33:$A$1494,A343)</f>
        <v>6.68333333333333</v>
      </c>
      <c r="L343" s="215" t="n">
        <v>40510</v>
      </c>
      <c r="M343" s="213" t="n">
        <v>45.2666666666667</v>
      </c>
      <c r="N343" s="213" t="n">
        <v>47.3666666666667</v>
      </c>
      <c r="O343" s="213" t="n">
        <v>5.16666666666667</v>
      </c>
      <c r="P343" s="213" t="n">
        <v>6.68333333333333</v>
      </c>
    </row>
    <row r="344" customFormat="false" ht="12.75" hidden="false" customHeight="false" outlineLevel="0" collapsed="false">
      <c r="A344" s="215" t="n">
        <v>40510</v>
      </c>
      <c r="B344" s="213" t="n">
        <v>45.2</v>
      </c>
      <c r="C344" s="213" t="n">
        <f aca="false">AVERAGEIFS($B$33:$B$1494,$A$33:$A$1494,A344)</f>
        <v>45.2666666666667</v>
      </c>
      <c r="D344" s="213" t="n">
        <v>47.3</v>
      </c>
      <c r="E344" s="213" t="n">
        <f aca="false">AVERAGEIFS($D$33:$D$1494,$A$33:$A$1494,A344)</f>
        <v>47.3666666666667</v>
      </c>
      <c r="F344" s="213" t="n">
        <v>5.6</v>
      </c>
      <c r="G344" s="213" t="n">
        <f aca="false">AVERAGEIFS($F$33:$F$1494,$A$33:$A$1494,A344)</f>
        <v>5.16666666666667</v>
      </c>
      <c r="H344" s="213" t="n">
        <v>6.5</v>
      </c>
      <c r="I344" s="213" t="n">
        <f aca="false">AVERAGEIFS($H$33:$H$1494,$A$33:$A$1494,A344)</f>
        <v>6.68333333333333</v>
      </c>
      <c r="L344" s="215" t="n">
        <v>40510</v>
      </c>
      <c r="M344" s="213" t="n">
        <v>45.2666666666667</v>
      </c>
      <c r="N344" s="213" t="n">
        <v>47.3666666666667</v>
      </c>
      <c r="O344" s="213" t="n">
        <v>5.16666666666667</v>
      </c>
      <c r="P344" s="213" t="n">
        <v>6.68333333333333</v>
      </c>
    </row>
    <row r="345" customFormat="false" ht="12.75" hidden="false" customHeight="false" outlineLevel="0" collapsed="false">
      <c r="A345" s="215" t="n">
        <v>40511</v>
      </c>
      <c r="B345" s="213" t="n">
        <v>45.2</v>
      </c>
      <c r="C345" s="213" t="n">
        <f aca="false">AVERAGEIFS($B$33:$B$1494,$A$33:$A$1494,A345)</f>
        <v>45.1833333333333</v>
      </c>
      <c r="D345" s="213" t="n">
        <v>47.3</v>
      </c>
      <c r="E345" s="213" t="n">
        <f aca="false">AVERAGEIFS($D$33:$D$1494,$A$33:$A$1494,A345)</f>
        <v>47.25</v>
      </c>
      <c r="F345" s="213" t="n">
        <v>5.3</v>
      </c>
      <c r="G345" s="213" t="n">
        <f aca="false">AVERAGEIFS($F$33:$F$1494,$A$33:$A$1494,A345)</f>
        <v>4.86666666666667</v>
      </c>
      <c r="H345" s="213" t="n">
        <v>6.6</v>
      </c>
      <c r="I345" s="213" t="n">
        <f aca="false">AVERAGEIFS($H$33:$H$1494,$A$33:$A$1494,A345)</f>
        <v>6.38333333333333</v>
      </c>
      <c r="L345" s="215" t="n">
        <v>40511</v>
      </c>
      <c r="M345" s="213" t="n">
        <v>45.1833333333333</v>
      </c>
      <c r="N345" s="213" t="n">
        <v>47.25</v>
      </c>
      <c r="O345" s="213" t="n">
        <v>4.86666666666667</v>
      </c>
      <c r="P345" s="213" t="n">
        <v>6.38333333333333</v>
      </c>
    </row>
    <row r="346" customFormat="false" ht="12.75" hidden="false" customHeight="false" outlineLevel="0" collapsed="false">
      <c r="A346" s="215" t="n">
        <v>40511</v>
      </c>
      <c r="B346" s="213" t="n">
        <v>45.2</v>
      </c>
      <c r="C346" s="213" t="n">
        <f aca="false">AVERAGEIFS($B$33:$B$1494,$A$33:$A$1494,A346)</f>
        <v>45.1833333333333</v>
      </c>
      <c r="D346" s="213" t="n">
        <v>47.3</v>
      </c>
      <c r="E346" s="213" t="n">
        <f aca="false">AVERAGEIFS($D$33:$D$1494,$A$33:$A$1494,A346)</f>
        <v>47.25</v>
      </c>
      <c r="F346" s="213" t="n">
        <v>4.9</v>
      </c>
      <c r="G346" s="213" t="n">
        <f aca="false">AVERAGEIFS($F$33:$F$1494,$A$33:$A$1494,A346)</f>
        <v>4.86666666666667</v>
      </c>
      <c r="H346" s="213" t="n">
        <v>6.6</v>
      </c>
      <c r="I346" s="213" t="n">
        <f aca="false">AVERAGEIFS($H$33:$H$1494,$A$33:$A$1494,A346)</f>
        <v>6.38333333333333</v>
      </c>
      <c r="L346" s="215" t="n">
        <v>40511</v>
      </c>
      <c r="M346" s="213" t="n">
        <v>45.1833333333333</v>
      </c>
      <c r="N346" s="213" t="n">
        <v>47.25</v>
      </c>
      <c r="O346" s="213" t="n">
        <v>4.86666666666667</v>
      </c>
      <c r="P346" s="213" t="n">
        <v>6.38333333333333</v>
      </c>
    </row>
    <row r="347" customFormat="false" ht="12.75" hidden="false" customHeight="false" outlineLevel="0" collapsed="false">
      <c r="A347" s="215" t="n">
        <v>40511</v>
      </c>
      <c r="B347" s="213" t="n">
        <v>45.2</v>
      </c>
      <c r="C347" s="213" t="n">
        <f aca="false">AVERAGEIFS($B$33:$B$1494,$A$33:$A$1494,A347)</f>
        <v>45.1833333333333</v>
      </c>
      <c r="D347" s="213" t="n">
        <v>47.3</v>
      </c>
      <c r="E347" s="213" t="n">
        <f aca="false">AVERAGEIFS($D$33:$D$1494,$A$33:$A$1494,A347)</f>
        <v>47.25</v>
      </c>
      <c r="F347" s="213" t="n">
        <v>4.5</v>
      </c>
      <c r="G347" s="213" t="n">
        <f aca="false">AVERAGEIFS($F$33:$F$1494,$A$33:$A$1494,A347)</f>
        <v>4.86666666666667</v>
      </c>
      <c r="H347" s="213" t="n">
        <v>6.4</v>
      </c>
      <c r="I347" s="213" t="n">
        <f aca="false">AVERAGEIFS($H$33:$H$1494,$A$33:$A$1494,A347)</f>
        <v>6.38333333333333</v>
      </c>
      <c r="L347" s="215" t="n">
        <v>40511</v>
      </c>
      <c r="M347" s="213" t="n">
        <v>45.1833333333333</v>
      </c>
      <c r="N347" s="213" t="n">
        <v>47.25</v>
      </c>
      <c r="O347" s="213" t="n">
        <v>4.86666666666667</v>
      </c>
      <c r="P347" s="213" t="n">
        <v>6.38333333333333</v>
      </c>
    </row>
    <row r="348" customFormat="false" ht="12.75" hidden="false" customHeight="false" outlineLevel="0" collapsed="false">
      <c r="A348" s="215" t="n">
        <v>40511</v>
      </c>
      <c r="B348" s="213" t="n">
        <v>45.2</v>
      </c>
      <c r="C348" s="213" t="n">
        <f aca="false">AVERAGEIFS($B$33:$B$1494,$A$33:$A$1494,A348)</f>
        <v>45.1833333333333</v>
      </c>
      <c r="D348" s="213" t="n">
        <v>47.2</v>
      </c>
      <c r="E348" s="213" t="n">
        <f aca="false">AVERAGEIFS($D$33:$D$1494,$A$33:$A$1494,A348)</f>
        <v>47.25</v>
      </c>
      <c r="F348" s="213" t="n">
        <v>4.3</v>
      </c>
      <c r="G348" s="213" t="n">
        <f aca="false">AVERAGEIFS($F$33:$F$1494,$A$33:$A$1494,A348)</f>
        <v>4.86666666666667</v>
      </c>
      <c r="H348" s="213" t="n">
        <v>6.3</v>
      </c>
      <c r="I348" s="213" t="n">
        <f aca="false">AVERAGEIFS($H$33:$H$1494,$A$33:$A$1494,A348)</f>
        <v>6.38333333333333</v>
      </c>
      <c r="L348" s="215" t="n">
        <v>40511</v>
      </c>
      <c r="M348" s="213" t="n">
        <v>45.1833333333333</v>
      </c>
      <c r="N348" s="213" t="n">
        <v>47.25</v>
      </c>
      <c r="O348" s="213" t="n">
        <v>4.86666666666667</v>
      </c>
      <c r="P348" s="213" t="n">
        <v>6.38333333333333</v>
      </c>
    </row>
    <row r="349" customFormat="false" ht="12.75" hidden="false" customHeight="false" outlineLevel="0" collapsed="false">
      <c r="A349" s="215" t="n">
        <v>40511</v>
      </c>
      <c r="B349" s="213" t="n">
        <v>45.2</v>
      </c>
      <c r="C349" s="213" t="n">
        <f aca="false">AVERAGEIFS($B$33:$B$1494,$A$33:$A$1494,A349)</f>
        <v>45.1833333333333</v>
      </c>
      <c r="D349" s="213" t="n">
        <v>47.2</v>
      </c>
      <c r="E349" s="213" t="n">
        <f aca="false">AVERAGEIFS($D$33:$D$1494,$A$33:$A$1494,A349)</f>
        <v>47.25</v>
      </c>
      <c r="F349" s="213" t="n">
        <v>5</v>
      </c>
      <c r="G349" s="213" t="n">
        <f aca="false">AVERAGEIFS($F$33:$F$1494,$A$33:$A$1494,A349)</f>
        <v>4.86666666666667</v>
      </c>
      <c r="H349" s="213" t="n">
        <v>6.2</v>
      </c>
      <c r="I349" s="213" t="n">
        <f aca="false">AVERAGEIFS($H$33:$H$1494,$A$33:$A$1494,A349)</f>
        <v>6.38333333333333</v>
      </c>
      <c r="L349" s="215" t="n">
        <v>40511</v>
      </c>
      <c r="M349" s="213" t="n">
        <v>45.1833333333333</v>
      </c>
      <c r="N349" s="213" t="n">
        <v>47.25</v>
      </c>
      <c r="O349" s="213" t="n">
        <v>4.86666666666667</v>
      </c>
      <c r="P349" s="213" t="n">
        <v>6.38333333333333</v>
      </c>
    </row>
    <row r="350" customFormat="false" ht="12.75" hidden="false" customHeight="false" outlineLevel="0" collapsed="false">
      <c r="A350" s="215" t="n">
        <v>40511</v>
      </c>
      <c r="B350" s="213" t="n">
        <v>45.1</v>
      </c>
      <c r="C350" s="213" t="n">
        <f aca="false">AVERAGEIFS($B$33:$B$1494,$A$33:$A$1494,A350)</f>
        <v>45.1833333333333</v>
      </c>
      <c r="D350" s="213" t="n">
        <v>47.2</v>
      </c>
      <c r="E350" s="213" t="n">
        <f aca="false">AVERAGEIFS($D$33:$D$1494,$A$33:$A$1494,A350)</f>
        <v>47.25</v>
      </c>
      <c r="F350" s="213" t="n">
        <v>5.2</v>
      </c>
      <c r="G350" s="213" t="n">
        <f aca="false">AVERAGEIFS($F$33:$F$1494,$A$33:$A$1494,A350)</f>
        <v>4.86666666666667</v>
      </c>
      <c r="H350" s="213" t="n">
        <v>6.2</v>
      </c>
      <c r="I350" s="213" t="n">
        <f aca="false">AVERAGEIFS($H$33:$H$1494,$A$33:$A$1494,A350)</f>
        <v>6.38333333333333</v>
      </c>
      <c r="L350" s="215" t="n">
        <v>40511</v>
      </c>
      <c r="M350" s="213" t="n">
        <v>45.1833333333333</v>
      </c>
      <c r="N350" s="213" t="n">
        <v>47.25</v>
      </c>
      <c r="O350" s="213" t="n">
        <v>4.86666666666667</v>
      </c>
      <c r="P350" s="213" t="n">
        <v>6.38333333333333</v>
      </c>
    </row>
    <row r="351" customFormat="false" ht="12.75" hidden="false" customHeight="false" outlineLevel="0" collapsed="false">
      <c r="A351" s="215" t="n">
        <v>40512</v>
      </c>
      <c r="B351" s="213" t="n">
        <v>45.1</v>
      </c>
      <c r="C351" s="213" t="n">
        <f aca="false">AVERAGEIFS($B$33:$B$1494,$A$33:$A$1494,A351)</f>
        <v>45.0166666666667</v>
      </c>
      <c r="D351" s="213" t="n">
        <v>47.2</v>
      </c>
      <c r="E351" s="213" t="n">
        <f aca="false">AVERAGEIFS($D$33:$D$1494,$A$33:$A$1494,A351)</f>
        <v>47.0833333333333</v>
      </c>
      <c r="F351" s="213" t="n">
        <v>4.8</v>
      </c>
      <c r="G351" s="213" t="n">
        <f aca="false">AVERAGEIFS($F$33:$F$1494,$A$33:$A$1494,A351)</f>
        <v>5.11666666666667</v>
      </c>
      <c r="H351" s="213" t="n">
        <v>6.3</v>
      </c>
      <c r="I351" s="213" t="n">
        <f aca="false">AVERAGEIFS($H$33:$H$1494,$A$33:$A$1494,A351)</f>
        <v>6.21666666666667</v>
      </c>
      <c r="L351" s="215" t="n">
        <v>40512</v>
      </c>
      <c r="M351" s="213" t="n">
        <v>45.0166666666667</v>
      </c>
      <c r="N351" s="213" t="n">
        <v>47.0833333333333</v>
      </c>
      <c r="O351" s="213" t="n">
        <v>5.11666666666667</v>
      </c>
      <c r="P351" s="213" t="n">
        <v>6.21666666666667</v>
      </c>
    </row>
    <row r="352" customFormat="false" ht="12.75" hidden="false" customHeight="false" outlineLevel="0" collapsed="false">
      <c r="A352" s="215" t="n">
        <v>40512</v>
      </c>
      <c r="B352" s="213" t="n">
        <v>45.1</v>
      </c>
      <c r="C352" s="213" t="n">
        <f aca="false">AVERAGEIFS($B$33:$B$1494,$A$33:$A$1494,A352)</f>
        <v>45.0166666666667</v>
      </c>
      <c r="D352" s="213" t="n">
        <v>47.1</v>
      </c>
      <c r="E352" s="213" t="n">
        <f aca="false">AVERAGEIFS($D$33:$D$1494,$A$33:$A$1494,A352)</f>
        <v>47.0833333333333</v>
      </c>
      <c r="F352" s="213" t="n">
        <v>4.6</v>
      </c>
      <c r="G352" s="213" t="n">
        <f aca="false">AVERAGEIFS($F$33:$F$1494,$A$33:$A$1494,A352)</f>
        <v>5.11666666666667</v>
      </c>
      <c r="H352" s="213" t="n">
        <v>6.2</v>
      </c>
      <c r="I352" s="213" t="n">
        <f aca="false">AVERAGEIFS($H$33:$H$1494,$A$33:$A$1494,A352)</f>
        <v>6.21666666666667</v>
      </c>
      <c r="L352" s="215" t="n">
        <v>40512</v>
      </c>
      <c r="M352" s="213" t="n">
        <v>45.0166666666667</v>
      </c>
      <c r="N352" s="213" t="n">
        <v>47.0833333333333</v>
      </c>
      <c r="O352" s="213" t="n">
        <v>5.11666666666667</v>
      </c>
      <c r="P352" s="213" t="n">
        <v>6.21666666666667</v>
      </c>
    </row>
    <row r="353" customFormat="false" ht="12.75" hidden="false" customHeight="false" outlineLevel="0" collapsed="false">
      <c r="A353" s="215" t="n">
        <v>40512</v>
      </c>
      <c r="B353" s="213" t="n">
        <v>45.1</v>
      </c>
      <c r="C353" s="213" t="n">
        <f aca="false">AVERAGEIFS($B$33:$B$1494,$A$33:$A$1494,A353)</f>
        <v>45.0166666666667</v>
      </c>
      <c r="D353" s="213" t="n">
        <v>47.1</v>
      </c>
      <c r="E353" s="213" t="n">
        <f aca="false">AVERAGEIFS($D$33:$D$1494,$A$33:$A$1494,A353)</f>
        <v>47.0833333333333</v>
      </c>
      <c r="F353" s="213" t="n">
        <v>4.7</v>
      </c>
      <c r="G353" s="213" t="n">
        <f aca="false">AVERAGEIFS($F$33:$F$1494,$A$33:$A$1494,A353)</f>
        <v>5.11666666666667</v>
      </c>
      <c r="H353" s="213" t="n">
        <v>6.1</v>
      </c>
      <c r="I353" s="213" t="n">
        <f aca="false">AVERAGEIFS($H$33:$H$1494,$A$33:$A$1494,A353)</f>
        <v>6.21666666666667</v>
      </c>
      <c r="L353" s="215" t="n">
        <v>40512</v>
      </c>
      <c r="M353" s="213" t="n">
        <v>45.0166666666667</v>
      </c>
      <c r="N353" s="213" t="n">
        <v>47.0833333333333</v>
      </c>
      <c r="O353" s="213" t="n">
        <v>5.11666666666667</v>
      </c>
      <c r="P353" s="213" t="n">
        <v>6.21666666666667</v>
      </c>
    </row>
    <row r="354" customFormat="false" ht="12.75" hidden="false" customHeight="false" outlineLevel="0" collapsed="false">
      <c r="A354" s="215" t="n">
        <v>40512</v>
      </c>
      <c r="B354" s="213" t="n">
        <v>45</v>
      </c>
      <c r="C354" s="213" t="n">
        <f aca="false">AVERAGEIFS($B$33:$B$1494,$A$33:$A$1494,A354)</f>
        <v>45.0166666666667</v>
      </c>
      <c r="D354" s="213" t="n">
        <v>47.1</v>
      </c>
      <c r="E354" s="213" t="n">
        <f aca="false">AVERAGEIFS($D$33:$D$1494,$A$33:$A$1494,A354)</f>
        <v>47.0833333333333</v>
      </c>
      <c r="F354" s="213" t="n">
        <v>5</v>
      </c>
      <c r="G354" s="213" t="n">
        <f aca="false">AVERAGEIFS($F$33:$F$1494,$A$33:$A$1494,A354)</f>
        <v>5.11666666666667</v>
      </c>
      <c r="H354" s="213" t="n">
        <v>6.1</v>
      </c>
      <c r="I354" s="213" t="n">
        <f aca="false">AVERAGEIFS($H$33:$H$1494,$A$33:$A$1494,A354)</f>
        <v>6.21666666666667</v>
      </c>
      <c r="L354" s="215" t="n">
        <v>40512</v>
      </c>
      <c r="M354" s="213" t="n">
        <v>45.0166666666667</v>
      </c>
      <c r="N354" s="213" t="n">
        <v>47.0833333333333</v>
      </c>
      <c r="O354" s="213" t="n">
        <v>5.11666666666667</v>
      </c>
      <c r="P354" s="213" t="n">
        <v>6.21666666666667</v>
      </c>
    </row>
    <row r="355" customFormat="false" ht="12.75" hidden="false" customHeight="false" outlineLevel="0" collapsed="false">
      <c r="A355" s="215" t="n">
        <v>40512</v>
      </c>
      <c r="B355" s="213" t="n">
        <v>44.9</v>
      </c>
      <c r="C355" s="213" t="n">
        <f aca="false">AVERAGEIFS($B$33:$B$1494,$A$33:$A$1494,A355)</f>
        <v>45.0166666666667</v>
      </c>
      <c r="D355" s="213" t="n">
        <v>47</v>
      </c>
      <c r="E355" s="213" t="n">
        <f aca="false">AVERAGEIFS($D$33:$D$1494,$A$33:$A$1494,A355)</f>
        <v>47.0833333333333</v>
      </c>
      <c r="F355" s="213" t="n">
        <v>5.7</v>
      </c>
      <c r="G355" s="213" t="n">
        <f aca="false">AVERAGEIFS($F$33:$F$1494,$A$33:$A$1494,A355)</f>
        <v>5.11666666666667</v>
      </c>
      <c r="H355" s="213" t="n">
        <v>6.2</v>
      </c>
      <c r="I355" s="213" t="n">
        <f aca="false">AVERAGEIFS($H$33:$H$1494,$A$33:$A$1494,A355)</f>
        <v>6.21666666666667</v>
      </c>
      <c r="L355" s="215" t="n">
        <v>40512</v>
      </c>
      <c r="M355" s="213" t="n">
        <v>45.0166666666667</v>
      </c>
      <c r="N355" s="213" t="n">
        <v>47.0833333333333</v>
      </c>
      <c r="O355" s="213" t="n">
        <v>5.11666666666667</v>
      </c>
      <c r="P355" s="213" t="n">
        <v>6.21666666666667</v>
      </c>
    </row>
    <row r="356" customFormat="false" ht="12.75" hidden="false" customHeight="false" outlineLevel="0" collapsed="false">
      <c r="A356" s="215" t="n">
        <v>40512</v>
      </c>
      <c r="B356" s="213" t="n">
        <v>44.9</v>
      </c>
      <c r="C356" s="213" t="n">
        <f aca="false">AVERAGEIFS($B$33:$B$1494,$A$33:$A$1494,A356)</f>
        <v>45.0166666666667</v>
      </c>
      <c r="D356" s="213" t="n">
        <v>47</v>
      </c>
      <c r="E356" s="213" t="n">
        <f aca="false">AVERAGEIFS($D$33:$D$1494,$A$33:$A$1494,A356)</f>
        <v>47.0833333333333</v>
      </c>
      <c r="F356" s="213" t="n">
        <v>5.9</v>
      </c>
      <c r="G356" s="213" t="n">
        <f aca="false">AVERAGEIFS($F$33:$F$1494,$A$33:$A$1494,A356)</f>
        <v>5.11666666666667</v>
      </c>
      <c r="H356" s="213" t="n">
        <v>6.4</v>
      </c>
      <c r="I356" s="213" t="n">
        <f aca="false">AVERAGEIFS($H$33:$H$1494,$A$33:$A$1494,A356)</f>
        <v>6.21666666666667</v>
      </c>
      <c r="L356" s="215" t="n">
        <v>40512</v>
      </c>
      <c r="M356" s="213" t="n">
        <v>45.0166666666667</v>
      </c>
      <c r="N356" s="213" t="n">
        <v>47.0833333333333</v>
      </c>
      <c r="O356" s="213" t="n">
        <v>5.11666666666667</v>
      </c>
      <c r="P356" s="213" t="n">
        <v>6.21666666666667</v>
      </c>
    </row>
    <row r="357" customFormat="false" ht="12.75" hidden="false" customHeight="false" outlineLevel="0" collapsed="false">
      <c r="A357" s="215" t="n">
        <v>40513</v>
      </c>
      <c r="B357" s="213" t="n">
        <v>44.9</v>
      </c>
      <c r="C357" s="213" t="n">
        <f aca="false">AVERAGEIFS($B$33:$B$1494,$A$33:$A$1494,A357)</f>
        <v>44.8666666666667</v>
      </c>
      <c r="D357" s="213" t="n">
        <v>46.9</v>
      </c>
      <c r="E357" s="213" t="n">
        <f aca="false">AVERAGEIFS($D$33:$D$1494,$A$33:$A$1494,A357)</f>
        <v>46.8833333333333</v>
      </c>
      <c r="F357" s="213" t="n">
        <v>5.6</v>
      </c>
      <c r="G357" s="213" t="n">
        <f aca="false">AVERAGEIFS($F$33:$F$1494,$A$33:$A$1494,A357)</f>
        <v>5.21666666666667</v>
      </c>
      <c r="H357" s="213" t="n">
        <v>6.5</v>
      </c>
      <c r="I357" s="213" t="n">
        <f aca="false">AVERAGEIFS($H$33:$H$1494,$A$33:$A$1494,A357)</f>
        <v>6.38333333333333</v>
      </c>
      <c r="L357" s="215" t="n">
        <v>40513</v>
      </c>
      <c r="M357" s="213" t="n">
        <v>44.8666666666667</v>
      </c>
      <c r="N357" s="213" t="n">
        <v>46.8833333333333</v>
      </c>
      <c r="O357" s="213" t="n">
        <v>5.21666666666667</v>
      </c>
      <c r="P357" s="213" t="n">
        <v>6.38333333333333</v>
      </c>
    </row>
    <row r="358" customFormat="false" ht="12.75" hidden="false" customHeight="false" outlineLevel="0" collapsed="false">
      <c r="A358" s="215" t="n">
        <v>40513</v>
      </c>
      <c r="B358" s="213" t="n">
        <v>44.9</v>
      </c>
      <c r="C358" s="213" t="n">
        <f aca="false">AVERAGEIFS($B$33:$B$1494,$A$33:$A$1494,A358)</f>
        <v>44.8666666666667</v>
      </c>
      <c r="D358" s="213" t="n">
        <v>46.9</v>
      </c>
      <c r="E358" s="213" t="n">
        <f aca="false">AVERAGEIFS($D$33:$D$1494,$A$33:$A$1494,A358)</f>
        <v>46.8833333333333</v>
      </c>
      <c r="F358" s="213" t="n">
        <v>5.3</v>
      </c>
      <c r="G358" s="213" t="n">
        <f aca="false">AVERAGEIFS($F$33:$F$1494,$A$33:$A$1494,A358)</f>
        <v>5.21666666666667</v>
      </c>
      <c r="H358" s="213" t="n">
        <v>6.5</v>
      </c>
      <c r="I358" s="213" t="n">
        <f aca="false">AVERAGEIFS($H$33:$H$1494,$A$33:$A$1494,A358)</f>
        <v>6.38333333333333</v>
      </c>
      <c r="L358" s="215" t="n">
        <v>40513</v>
      </c>
      <c r="M358" s="213" t="n">
        <v>44.8666666666667</v>
      </c>
      <c r="N358" s="213" t="n">
        <v>46.8833333333333</v>
      </c>
      <c r="O358" s="213" t="n">
        <v>5.21666666666667</v>
      </c>
      <c r="P358" s="213" t="n">
        <v>6.38333333333333</v>
      </c>
    </row>
    <row r="359" customFormat="false" ht="12.75" hidden="false" customHeight="false" outlineLevel="0" collapsed="false">
      <c r="A359" s="215" t="n">
        <v>40513</v>
      </c>
      <c r="B359" s="213" t="n">
        <v>44.9</v>
      </c>
      <c r="C359" s="213" t="n">
        <f aca="false">AVERAGEIFS($B$33:$B$1494,$A$33:$A$1494,A359)</f>
        <v>44.8666666666667</v>
      </c>
      <c r="D359" s="213" t="n">
        <v>46.9</v>
      </c>
      <c r="E359" s="213" t="n">
        <f aca="false">AVERAGEIFS($D$33:$D$1494,$A$33:$A$1494,A359)</f>
        <v>46.8833333333333</v>
      </c>
      <c r="F359" s="213" t="n">
        <v>5</v>
      </c>
      <c r="G359" s="213" t="n">
        <f aca="false">AVERAGEIFS($F$33:$F$1494,$A$33:$A$1494,A359)</f>
        <v>5.21666666666667</v>
      </c>
      <c r="H359" s="213" t="n">
        <v>6.4</v>
      </c>
      <c r="I359" s="213" t="n">
        <f aca="false">AVERAGEIFS($H$33:$H$1494,$A$33:$A$1494,A359)</f>
        <v>6.38333333333333</v>
      </c>
      <c r="L359" s="215" t="n">
        <v>40513</v>
      </c>
      <c r="M359" s="213" t="n">
        <v>44.8666666666667</v>
      </c>
      <c r="N359" s="213" t="n">
        <v>46.8833333333333</v>
      </c>
      <c r="O359" s="213" t="n">
        <v>5.21666666666667</v>
      </c>
      <c r="P359" s="213" t="n">
        <v>6.38333333333333</v>
      </c>
    </row>
    <row r="360" customFormat="false" ht="12.75" hidden="false" customHeight="false" outlineLevel="0" collapsed="false">
      <c r="A360" s="215" t="n">
        <v>40513</v>
      </c>
      <c r="B360" s="213" t="n">
        <v>44.9</v>
      </c>
      <c r="C360" s="213" t="n">
        <f aca="false">AVERAGEIFS($B$33:$B$1494,$A$33:$A$1494,A360)</f>
        <v>44.8666666666667</v>
      </c>
      <c r="D360" s="213" t="n">
        <v>46.9</v>
      </c>
      <c r="E360" s="213" t="n">
        <f aca="false">AVERAGEIFS($D$33:$D$1494,$A$33:$A$1494,A360)</f>
        <v>46.8833333333333</v>
      </c>
      <c r="F360" s="213" t="n">
        <v>5.1</v>
      </c>
      <c r="G360" s="213" t="n">
        <f aca="false">AVERAGEIFS($F$33:$F$1494,$A$33:$A$1494,A360)</f>
        <v>5.21666666666667</v>
      </c>
      <c r="H360" s="213" t="n">
        <v>6.3</v>
      </c>
      <c r="I360" s="213" t="n">
        <f aca="false">AVERAGEIFS($H$33:$H$1494,$A$33:$A$1494,A360)</f>
        <v>6.38333333333333</v>
      </c>
      <c r="L360" s="215" t="n">
        <v>40513</v>
      </c>
      <c r="M360" s="213" t="n">
        <v>44.8666666666667</v>
      </c>
      <c r="N360" s="213" t="n">
        <v>46.8833333333333</v>
      </c>
      <c r="O360" s="213" t="n">
        <v>5.21666666666667</v>
      </c>
      <c r="P360" s="213" t="n">
        <v>6.38333333333333</v>
      </c>
    </row>
    <row r="361" customFormat="false" ht="12.75" hidden="false" customHeight="false" outlineLevel="0" collapsed="false">
      <c r="A361" s="215" t="n">
        <v>40513</v>
      </c>
      <c r="B361" s="213" t="n">
        <v>44.8</v>
      </c>
      <c r="C361" s="213" t="n">
        <f aca="false">AVERAGEIFS($B$33:$B$1494,$A$33:$A$1494,A361)</f>
        <v>44.8666666666667</v>
      </c>
      <c r="D361" s="213" t="n">
        <v>46.9</v>
      </c>
      <c r="E361" s="213" t="n">
        <f aca="false">AVERAGEIFS($D$33:$D$1494,$A$33:$A$1494,A361)</f>
        <v>46.8833333333333</v>
      </c>
      <c r="F361" s="213" t="n">
        <v>5.3</v>
      </c>
      <c r="G361" s="213" t="n">
        <f aca="false">AVERAGEIFS($F$33:$F$1494,$A$33:$A$1494,A361)</f>
        <v>5.21666666666667</v>
      </c>
      <c r="H361" s="213" t="n">
        <v>6.3</v>
      </c>
      <c r="I361" s="213" t="n">
        <f aca="false">AVERAGEIFS($H$33:$H$1494,$A$33:$A$1494,A361)</f>
        <v>6.38333333333333</v>
      </c>
      <c r="L361" s="215" t="n">
        <v>40513</v>
      </c>
      <c r="M361" s="213" t="n">
        <v>44.8666666666667</v>
      </c>
      <c r="N361" s="213" t="n">
        <v>46.8833333333333</v>
      </c>
      <c r="O361" s="213" t="n">
        <v>5.21666666666667</v>
      </c>
      <c r="P361" s="213" t="n">
        <v>6.38333333333333</v>
      </c>
    </row>
    <row r="362" customFormat="false" ht="12.75" hidden="false" customHeight="false" outlineLevel="0" collapsed="false">
      <c r="A362" s="215" t="n">
        <v>40513</v>
      </c>
      <c r="B362" s="213" t="n">
        <v>44.8</v>
      </c>
      <c r="C362" s="213" t="n">
        <f aca="false">AVERAGEIFS($B$33:$B$1494,$A$33:$A$1494,A362)</f>
        <v>44.8666666666667</v>
      </c>
      <c r="D362" s="213" t="n">
        <v>46.8</v>
      </c>
      <c r="E362" s="213" t="n">
        <f aca="false">AVERAGEIFS($D$33:$D$1494,$A$33:$A$1494,A362)</f>
        <v>46.8833333333333</v>
      </c>
      <c r="F362" s="213" t="n">
        <v>5</v>
      </c>
      <c r="G362" s="213" t="n">
        <f aca="false">AVERAGEIFS($F$33:$F$1494,$A$33:$A$1494,A362)</f>
        <v>5.21666666666667</v>
      </c>
      <c r="H362" s="213" t="n">
        <v>6.3</v>
      </c>
      <c r="I362" s="213" t="n">
        <f aca="false">AVERAGEIFS($H$33:$H$1494,$A$33:$A$1494,A362)</f>
        <v>6.38333333333333</v>
      </c>
      <c r="L362" s="215" t="n">
        <v>40513</v>
      </c>
      <c r="M362" s="213" t="n">
        <v>44.8666666666667</v>
      </c>
      <c r="N362" s="213" t="n">
        <v>46.8833333333333</v>
      </c>
      <c r="O362" s="213" t="n">
        <v>5.21666666666667</v>
      </c>
      <c r="P362" s="213" t="n">
        <v>6.38333333333333</v>
      </c>
    </row>
    <row r="363" customFormat="false" ht="12.75" hidden="false" customHeight="false" outlineLevel="0" collapsed="false">
      <c r="A363" s="215" t="n">
        <v>40514</v>
      </c>
      <c r="B363" s="213" t="n">
        <v>44.8</v>
      </c>
      <c r="C363" s="213" t="n">
        <f aca="false">AVERAGEIFS($B$33:$B$1494,$A$33:$A$1494,A363)</f>
        <v>45.25</v>
      </c>
      <c r="D363" s="213" t="n">
        <v>46.9</v>
      </c>
      <c r="E363" s="213" t="n">
        <f aca="false">AVERAGEIFS($D$33:$D$1494,$A$33:$A$1494,A363)</f>
        <v>46.9666666666667</v>
      </c>
      <c r="F363" s="213" t="n">
        <v>4.6</v>
      </c>
      <c r="G363" s="213" t="n">
        <f aca="false">AVERAGEIFS($F$33:$F$1494,$A$33:$A$1494,A363)</f>
        <v>4.28333333333333</v>
      </c>
      <c r="H363" s="213" t="n">
        <v>6.2</v>
      </c>
      <c r="I363" s="213" t="n">
        <f aca="false">AVERAGEIFS($H$33:$H$1494,$A$33:$A$1494,A363)</f>
        <v>5.83333333333333</v>
      </c>
      <c r="L363" s="215" t="n">
        <v>40514</v>
      </c>
      <c r="M363" s="213" t="n">
        <v>45.25</v>
      </c>
      <c r="N363" s="213" t="n">
        <v>46.9666666666667</v>
      </c>
      <c r="O363" s="213" t="n">
        <v>4.28333333333333</v>
      </c>
      <c r="P363" s="213" t="n">
        <v>5.83333333333333</v>
      </c>
    </row>
    <row r="364" customFormat="false" ht="12.75" hidden="false" customHeight="false" outlineLevel="0" collapsed="false">
      <c r="A364" s="215" t="n">
        <v>40514</v>
      </c>
      <c r="B364" s="213" t="n">
        <v>44.8</v>
      </c>
      <c r="C364" s="213" t="n">
        <f aca="false">AVERAGEIFS($B$33:$B$1494,$A$33:$A$1494,A364)</f>
        <v>45.25</v>
      </c>
      <c r="D364" s="213" t="n">
        <v>47</v>
      </c>
      <c r="E364" s="213" t="n">
        <f aca="false">AVERAGEIFS($D$33:$D$1494,$A$33:$A$1494,A364)</f>
        <v>46.9666666666667</v>
      </c>
      <c r="F364" s="213" t="n">
        <v>4</v>
      </c>
      <c r="G364" s="213" t="n">
        <f aca="false">AVERAGEIFS($F$33:$F$1494,$A$33:$A$1494,A364)</f>
        <v>4.28333333333333</v>
      </c>
      <c r="H364" s="213" t="n">
        <v>6</v>
      </c>
      <c r="I364" s="213" t="n">
        <f aca="false">AVERAGEIFS($H$33:$H$1494,$A$33:$A$1494,A364)</f>
        <v>5.83333333333333</v>
      </c>
      <c r="L364" s="215" t="n">
        <v>40514</v>
      </c>
      <c r="M364" s="213" t="n">
        <v>45.25</v>
      </c>
      <c r="N364" s="213" t="n">
        <v>46.9666666666667</v>
      </c>
      <c r="O364" s="213" t="n">
        <v>4.28333333333333</v>
      </c>
      <c r="P364" s="213" t="n">
        <v>5.83333333333333</v>
      </c>
    </row>
    <row r="365" customFormat="false" ht="12.75" hidden="false" customHeight="false" outlineLevel="0" collapsed="false">
      <c r="A365" s="215" t="n">
        <v>40514</v>
      </c>
      <c r="B365" s="213" t="n">
        <v>46.2</v>
      </c>
      <c r="C365" s="213" t="n">
        <f aca="false">AVERAGEIFS($B$33:$B$1494,$A$33:$A$1494,A365)</f>
        <v>45.25</v>
      </c>
      <c r="D365" s="213" t="n">
        <v>47</v>
      </c>
      <c r="E365" s="213" t="n">
        <f aca="false">AVERAGEIFS($D$33:$D$1494,$A$33:$A$1494,A365)</f>
        <v>46.9666666666667</v>
      </c>
      <c r="F365" s="213" t="n">
        <v>3.8</v>
      </c>
      <c r="G365" s="213" t="n">
        <f aca="false">AVERAGEIFS($F$33:$F$1494,$A$33:$A$1494,A365)</f>
        <v>4.28333333333333</v>
      </c>
      <c r="H365" s="213" t="n">
        <v>5.8</v>
      </c>
      <c r="I365" s="213" t="n">
        <f aca="false">AVERAGEIFS($H$33:$H$1494,$A$33:$A$1494,A365)</f>
        <v>5.83333333333333</v>
      </c>
      <c r="L365" s="215" t="n">
        <v>40514</v>
      </c>
      <c r="M365" s="213" t="n">
        <v>45.25</v>
      </c>
      <c r="N365" s="213" t="n">
        <v>46.9666666666667</v>
      </c>
      <c r="O365" s="213" t="n">
        <v>4.28333333333333</v>
      </c>
      <c r="P365" s="213" t="n">
        <v>5.83333333333333</v>
      </c>
    </row>
    <row r="366" customFormat="false" ht="12.75" hidden="false" customHeight="false" outlineLevel="0" collapsed="false">
      <c r="A366" s="215" t="n">
        <v>40514</v>
      </c>
      <c r="B366" s="213" t="n">
        <v>46</v>
      </c>
      <c r="C366" s="213" t="n">
        <f aca="false">AVERAGEIFS($B$33:$B$1494,$A$33:$A$1494,A366)</f>
        <v>45.25</v>
      </c>
      <c r="D366" s="213" t="n">
        <v>47</v>
      </c>
      <c r="E366" s="213" t="n">
        <f aca="false">AVERAGEIFS($D$33:$D$1494,$A$33:$A$1494,A366)</f>
        <v>46.9666666666667</v>
      </c>
      <c r="F366" s="213" t="n">
        <v>3.9</v>
      </c>
      <c r="G366" s="213" t="n">
        <f aca="false">AVERAGEIFS($F$33:$F$1494,$A$33:$A$1494,A366)</f>
        <v>4.28333333333333</v>
      </c>
      <c r="H366" s="213" t="n">
        <v>5.7</v>
      </c>
      <c r="I366" s="213" t="n">
        <f aca="false">AVERAGEIFS($H$33:$H$1494,$A$33:$A$1494,A366)</f>
        <v>5.83333333333333</v>
      </c>
      <c r="L366" s="215" t="n">
        <v>40514</v>
      </c>
      <c r="M366" s="213" t="n">
        <v>45.25</v>
      </c>
      <c r="N366" s="213" t="n">
        <v>46.9666666666667</v>
      </c>
      <c r="O366" s="213" t="n">
        <v>4.28333333333333</v>
      </c>
      <c r="P366" s="213" t="n">
        <v>5.83333333333333</v>
      </c>
    </row>
    <row r="367" customFormat="false" ht="12.75" hidden="false" customHeight="false" outlineLevel="0" collapsed="false">
      <c r="A367" s="215" t="n">
        <v>40514</v>
      </c>
      <c r="B367" s="213" t="n">
        <v>45</v>
      </c>
      <c r="C367" s="213" t="n">
        <f aca="false">AVERAGEIFS($B$33:$B$1494,$A$33:$A$1494,A367)</f>
        <v>45.25</v>
      </c>
      <c r="D367" s="213" t="n">
        <v>46.9</v>
      </c>
      <c r="E367" s="213" t="n">
        <f aca="false">AVERAGEIFS($D$33:$D$1494,$A$33:$A$1494,A367)</f>
        <v>46.9666666666667</v>
      </c>
      <c r="F367" s="213" t="n">
        <v>4.6</v>
      </c>
      <c r="G367" s="213" t="n">
        <f aca="false">AVERAGEIFS($F$33:$F$1494,$A$33:$A$1494,A367)</f>
        <v>4.28333333333333</v>
      </c>
      <c r="H367" s="213" t="n">
        <v>5.6</v>
      </c>
      <c r="I367" s="213" t="n">
        <f aca="false">AVERAGEIFS($H$33:$H$1494,$A$33:$A$1494,A367)</f>
        <v>5.83333333333333</v>
      </c>
      <c r="L367" s="215" t="n">
        <v>40514</v>
      </c>
      <c r="M367" s="213" t="n">
        <v>45.25</v>
      </c>
      <c r="N367" s="213" t="n">
        <v>46.9666666666667</v>
      </c>
      <c r="O367" s="213" t="n">
        <v>4.28333333333333</v>
      </c>
      <c r="P367" s="213" t="n">
        <v>5.83333333333333</v>
      </c>
    </row>
    <row r="368" customFormat="false" ht="12.75" hidden="false" customHeight="false" outlineLevel="0" collapsed="false">
      <c r="A368" s="215" t="n">
        <v>40514</v>
      </c>
      <c r="B368" s="213" t="n">
        <v>44.7</v>
      </c>
      <c r="C368" s="213" t="n">
        <f aca="false">AVERAGEIFS($B$33:$B$1494,$A$33:$A$1494,A368)</f>
        <v>45.25</v>
      </c>
      <c r="D368" s="213" t="n">
        <v>47</v>
      </c>
      <c r="E368" s="213" t="n">
        <f aca="false">AVERAGEIFS($D$33:$D$1494,$A$33:$A$1494,A368)</f>
        <v>46.9666666666667</v>
      </c>
      <c r="F368" s="213" t="n">
        <v>4.8</v>
      </c>
      <c r="G368" s="213" t="n">
        <f aca="false">AVERAGEIFS($F$33:$F$1494,$A$33:$A$1494,A368)</f>
        <v>4.28333333333333</v>
      </c>
      <c r="H368" s="213" t="n">
        <v>5.7</v>
      </c>
      <c r="I368" s="213" t="n">
        <f aca="false">AVERAGEIFS($H$33:$H$1494,$A$33:$A$1494,A368)</f>
        <v>5.83333333333333</v>
      </c>
      <c r="L368" s="215" t="n">
        <v>40514</v>
      </c>
      <c r="M368" s="213" t="n">
        <v>45.25</v>
      </c>
      <c r="N368" s="213" t="n">
        <v>46.9666666666667</v>
      </c>
      <c r="O368" s="213" t="n">
        <v>4.28333333333333</v>
      </c>
      <c r="P368" s="213" t="n">
        <v>5.83333333333333</v>
      </c>
    </row>
    <row r="369" customFormat="false" ht="12.75" hidden="false" customHeight="false" outlineLevel="0" collapsed="false">
      <c r="A369" s="215" t="n">
        <v>40515</v>
      </c>
      <c r="B369" s="213" t="n">
        <v>44.7</v>
      </c>
      <c r="C369" s="213" t="n">
        <f aca="false">AVERAGEIFS($B$33:$B$1494,$A$33:$A$1494,A369)</f>
        <v>44.8333333333333</v>
      </c>
      <c r="D369" s="213" t="n">
        <v>46.8</v>
      </c>
      <c r="E369" s="213" t="n">
        <f aca="false">AVERAGEIFS($D$33:$D$1494,$A$33:$A$1494,A369)</f>
        <v>46.7666666666667</v>
      </c>
      <c r="F369" s="213" t="n">
        <v>4.6</v>
      </c>
      <c r="G369" s="213" t="n">
        <f aca="false">AVERAGEIFS($F$33:$F$1494,$A$33:$A$1494,A369)</f>
        <v>4.28333333333333</v>
      </c>
      <c r="H369" s="213" t="n">
        <v>5.8</v>
      </c>
      <c r="I369" s="213" t="n">
        <f aca="false">AVERAGEIFS($H$33:$H$1494,$A$33:$A$1494,A369)</f>
        <v>5.6</v>
      </c>
      <c r="L369" s="215" t="n">
        <v>40515</v>
      </c>
      <c r="M369" s="213" t="n">
        <v>44.8333333333333</v>
      </c>
      <c r="N369" s="213" t="n">
        <v>46.7666666666667</v>
      </c>
      <c r="O369" s="213" t="n">
        <v>4.28333333333333</v>
      </c>
      <c r="P369" s="213" t="n">
        <v>5.6</v>
      </c>
    </row>
    <row r="370" customFormat="false" ht="12.75" hidden="false" customHeight="false" outlineLevel="0" collapsed="false">
      <c r="A370" s="215" t="n">
        <v>40515</v>
      </c>
      <c r="B370" s="213" t="n">
        <v>44.7</v>
      </c>
      <c r="C370" s="213" t="n">
        <f aca="false">AVERAGEIFS($B$33:$B$1494,$A$33:$A$1494,A370)</f>
        <v>44.8333333333333</v>
      </c>
      <c r="D370" s="213" t="n">
        <v>46.8</v>
      </c>
      <c r="E370" s="213" t="n">
        <f aca="false">AVERAGEIFS($D$33:$D$1494,$A$33:$A$1494,A370)</f>
        <v>46.7666666666667</v>
      </c>
      <c r="F370" s="213" t="n">
        <v>4.2</v>
      </c>
      <c r="G370" s="213" t="n">
        <f aca="false">AVERAGEIFS($F$33:$F$1494,$A$33:$A$1494,A370)</f>
        <v>4.28333333333333</v>
      </c>
      <c r="H370" s="213" t="n">
        <v>5.7</v>
      </c>
      <c r="I370" s="213" t="n">
        <f aca="false">AVERAGEIFS($H$33:$H$1494,$A$33:$A$1494,A370)</f>
        <v>5.6</v>
      </c>
      <c r="L370" s="215" t="n">
        <v>40515</v>
      </c>
      <c r="M370" s="213" t="n">
        <v>44.8333333333333</v>
      </c>
      <c r="N370" s="213" t="n">
        <v>46.7666666666667</v>
      </c>
      <c r="O370" s="213" t="n">
        <v>4.28333333333333</v>
      </c>
      <c r="P370" s="213" t="n">
        <v>5.6</v>
      </c>
    </row>
    <row r="371" customFormat="false" ht="12.75" hidden="false" customHeight="false" outlineLevel="0" collapsed="false">
      <c r="A371" s="215" t="n">
        <v>40515</v>
      </c>
      <c r="B371" s="213" t="n">
        <v>44.7</v>
      </c>
      <c r="C371" s="213" t="n">
        <f aca="false">AVERAGEIFS($B$33:$B$1494,$A$33:$A$1494,A371)</f>
        <v>44.8333333333333</v>
      </c>
      <c r="D371" s="213" t="n">
        <v>46.8</v>
      </c>
      <c r="E371" s="213" t="n">
        <f aca="false">AVERAGEIFS($D$33:$D$1494,$A$33:$A$1494,A371)</f>
        <v>46.7666666666667</v>
      </c>
      <c r="F371" s="213" t="n">
        <v>4.1</v>
      </c>
      <c r="G371" s="213" t="n">
        <f aca="false">AVERAGEIFS($F$33:$F$1494,$A$33:$A$1494,A371)</f>
        <v>4.28333333333333</v>
      </c>
      <c r="H371" s="213" t="n">
        <v>5.6</v>
      </c>
      <c r="I371" s="213" t="n">
        <f aca="false">AVERAGEIFS($H$33:$H$1494,$A$33:$A$1494,A371)</f>
        <v>5.6</v>
      </c>
      <c r="L371" s="215" t="n">
        <v>40515</v>
      </c>
      <c r="M371" s="213" t="n">
        <v>44.8333333333333</v>
      </c>
      <c r="N371" s="213" t="n">
        <v>46.7666666666667</v>
      </c>
      <c r="O371" s="213" t="n">
        <v>4.28333333333333</v>
      </c>
      <c r="P371" s="213" t="n">
        <v>5.6</v>
      </c>
    </row>
    <row r="372" customFormat="false" ht="12.75" hidden="false" customHeight="false" outlineLevel="0" collapsed="false">
      <c r="A372" s="215" t="n">
        <v>40515</v>
      </c>
      <c r="B372" s="213" t="n">
        <v>45.3</v>
      </c>
      <c r="C372" s="213" t="n">
        <f aca="false">AVERAGEIFS($B$33:$B$1494,$A$33:$A$1494,A372)</f>
        <v>44.8333333333333</v>
      </c>
      <c r="D372" s="213" t="n">
        <v>46.8</v>
      </c>
      <c r="E372" s="213" t="n">
        <f aca="false">AVERAGEIFS($D$33:$D$1494,$A$33:$A$1494,A372)</f>
        <v>46.7666666666667</v>
      </c>
      <c r="F372" s="213" t="n">
        <v>4.1</v>
      </c>
      <c r="G372" s="213" t="n">
        <f aca="false">AVERAGEIFS($F$33:$F$1494,$A$33:$A$1494,A372)</f>
        <v>4.28333333333333</v>
      </c>
      <c r="H372" s="213" t="n">
        <v>5.5</v>
      </c>
      <c r="I372" s="213" t="n">
        <f aca="false">AVERAGEIFS($H$33:$H$1494,$A$33:$A$1494,A372)</f>
        <v>5.6</v>
      </c>
      <c r="L372" s="215" t="n">
        <v>40515</v>
      </c>
      <c r="M372" s="213" t="n">
        <v>44.8333333333333</v>
      </c>
      <c r="N372" s="213" t="n">
        <v>46.7666666666667</v>
      </c>
      <c r="O372" s="213" t="n">
        <v>4.28333333333333</v>
      </c>
      <c r="P372" s="213" t="n">
        <v>5.6</v>
      </c>
    </row>
    <row r="373" customFormat="false" ht="12.75" hidden="false" customHeight="false" outlineLevel="0" collapsed="false">
      <c r="A373" s="215" t="n">
        <v>40515</v>
      </c>
      <c r="B373" s="213" t="n">
        <v>44.9</v>
      </c>
      <c r="C373" s="213" t="n">
        <f aca="false">AVERAGEIFS($B$33:$B$1494,$A$33:$A$1494,A373)</f>
        <v>44.8333333333333</v>
      </c>
      <c r="D373" s="213" t="n">
        <v>46.7</v>
      </c>
      <c r="E373" s="213" t="n">
        <f aca="false">AVERAGEIFS($D$33:$D$1494,$A$33:$A$1494,A373)</f>
        <v>46.7666666666667</v>
      </c>
      <c r="F373" s="213" t="n">
        <v>4.4</v>
      </c>
      <c r="G373" s="213" t="n">
        <f aca="false">AVERAGEIFS($F$33:$F$1494,$A$33:$A$1494,A373)</f>
        <v>4.28333333333333</v>
      </c>
      <c r="H373" s="213" t="n">
        <v>5.5</v>
      </c>
      <c r="I373" s="213" t="n">
        <f aca="false">AVERAGEIFS($H$33:$H$1494,$A$33:$A$1494,A373)</f>
        <v>5.6</v>
      </c>
      <c r="L373" s="215" t="n">
        <v>40515</v>
      </c>
      <c r="M373" s="213" t="n">
        <v>44.8333333333333</v>
      </c>
      <c r="N373" s="213" t="n">
        <v>46.7666666666667</v>
      </c>
      <c r="O373" s="213" t="n">
        <v>4.28333333333333</v>
      </c>
      <c r="P373" s="213" t="n">
        <v>5.6</v>
      </c>
    </row>
    <row r="374" customFormat="false" ht="12.75" hidden="false" customHeight="false" outlineLevel="0" collapsed="false">
      <c r="A374" s="215" t="n">
        <v>40515</v>
      </c>
      <c r="B374" s="213" t="n">
        <v>44.7</v>
      </c>
      <c r="C374" s="213" t="n">
        <f aca="false">AVERAGEIFS($B$33:$B$1494,$A$33:$A$1494,A374)</f>
        <v>44.8333333333333</v>
      </c>
      <c r="D374" s="213" t="n">
        <v>46.7</v>
      </c>
      <c r="E374" s="213" t="n">
        <f aca="false">AVERAGEIFS($D$33:$D$1494,$A$33:$A$1494,A374)</f>
        <v>46.7666666666667</v>
      </c>
      <c r="F374" s="213" t="n">
        <v>4.3</v>
      </c>
      <c r="G374" s="213" t="n">
        <f aca="false">AVERAGEIFS($F$33:$F$1494,$A$33:$A$1494,A374)</f>
        <v>4.28333333333333</v>
      </c>
      <c r="H374" s="213" t="n">
        <v>5.5</v>
      </c>
      <c r="I374" s="213" t="n">
        <f aca="false">AVERAGEIFS($H$33:$H$1494,$A$33:$A$1494,A374)</f>
        <v>5.6</v>
      </c>
      <c r="L374" s="215" t="n">
        <v>40515</v>
      </c>
      <c r="M374" s="213" t="n">
        <v>44.8333333333333</v>
      </c>
      <c r="N374" s="213" t="n">
        <v>46.7666666666667</v>
      </c>
      <c r="O374" s="213" t="n">
        <v>4.28333333333333</v>
      </c>
      <c r="P374" s="213" t="n">
        <v>5.6</v>
      </c>
    </row>
    <row r="375" customFormat="false" ht="12.75" hidden="false" customHeight="false" outlineLevel="0" collapsed="false">
      <c r="A375" s="215" t="n">
        <v>40516</v>
      </c>
      <c r="B375" s="213" t="n">
        <v>44.7</v>
      </c>
      <c r="C375" s="213" t="n">
        <f aca="false">AVERAGEIFS($B$33:$B$1494,$A$33:$A$1494,A375)</f>
        <v>44.9166666666667</v>
      </c>
      <c r="D375" s="213" t="n">
        <v>46.7</v>
      </c>
      <c r="E375" s="213" t="n">
        <f aca="false">AVERAGEIFS($D$33:$D$1494,$A$33:$A$1494,A375)</f>
        <v>46.6833333333333</v>
      </c>
      <c r="F375" s="213" t="n">
        <v>4.1</v>
      </c>
      <c r="G375" s="213" t="n">
        <f aca="false">AVERAGEIFS($F$33:$F$1494,$A$33:$A$1494,A375)</f>
        <v>4.06666666666667</v>
      </c>
      <c r="H375" s="213" t="n">
        <v>5.5</v>
      </c>
      <c r="I375" s="213" t="n">
        <f aca="false">AVERAGEIFS($H$33:$H$1494,$A$33:$A$1494,A375)</f>
        <v>5.31666666666667</v>
      </c>
      <c r="L375" s="215" t="n">
        <v>40516</v>
      </c>
      <c r="M375" s="213" t="n">
        <v>44.9166666666667</v>
      </c>
      <c r="N375" s="213" t="n">
        <v>46.6833333333333</v>
      </c>
      <c r="O375" s="213" t="n">
        <v>4.06666666666667</v>
      </c>
      <c r="P375" s="213" t="n">
        <v>5.31666666666667</v>
      </c>
    </row>
    <row r="376" customFormat="false" ht="12.75" hidden="false" customHeight="false" outlineLevel="0" collapsed="false">
      <c r="A376" s="215" t="n">
        <v>40516</v>
      </c>
      <c r="B376" s="213" t="n">
        <v>44.7</v>
      </c>
      <c r="C376" s="213" t="n">
        <f aca="false">AVERAGEIFS($B$33:$B$1494,$A$33:$A$1494,A376)</f>
        <v>44.9166666666667</v>
      </c>
      <c r="D376" s="213" t="n">
        <v>46.7</v>
      </c>
      <c r="E376" s="213" t="n">
        <f aca="false">AVERAGEIFS($D$33:$D$1494,$A$33:$A$1494,A376)</f>
        <v>46.6833333333333</v>
      </c>
      <c r="F376" s="213" t="n">
        <v>3.8</v>
      </c>
      <c r="G376" s="213" t="n">
        <f aca="false">AVERAGEIFS($F$33:$F$1494,$A$33:$A$1494,A376)</f>
        <v>4.06666666666667</v>
      </c>
      <c r="H376" s="213" t="n">
        <v>5.4</v>
      </c>
      <c r="I376" s="213" t="n">
        <f aca="false">AVERAGEIFS($H$33:$H$1494,$A$33:$A$1494,A376)</f>
        <v>5.31666666666667</v>
      </c>
      <c r="L376" s="215" t="n">
        <v>40516</v>
      </c>
      <c r="M376" s="213" t="n">
        <v>44.9166666666667</v>
      </c>
      <c r="N376" s="213" t="n">
        <v>46.6833333333333</v>
      </c>
      <c r="O376" s="213" t="n">
        <v>4.06666666666667</v>
      </c>
      <c r="P376" s="213" t="n">
        <v>5.31666666666667</v>
      </c>
    </row>
    <row r="377" customFormat="false" ht="12.75" hidden="false" customHeight="false" outlineLevel="0" collapsed="false">
      <c r="A377" s="215" t="n">
        <v>40516</v>
      </c>
      <c r="B377" s="213" t="n">
        <v>45.4</v>
      </c>
      <c r="C377" s="213" t="n">
        <f aca="false">AVERAGEIFS($B$33:$B$1494,$A$33:$A$1494,A377)</f>
        <v>44.9166666666667</v>
      </c>
      <c r="D377" s="213" t="n">
        <v>46.7</v>
      </c>
      <c r="E377" s="213" t="n">
        <f aca="false">AVERAGEIFS($D$33:$D$1494,$A$33:$A$1494,A377)</f>
        <v>46.6833333333333</v>
      </c>
      <c r="F377" s="213" t="n">
        <v>3.6</v>
      </c>
      <c r="G377" s="213" t="n">
        <f aca="false">AVERAGEIFS($F$33:$F$1494,$A$33:$A$1494,A377)</f>
        <v>4.06666666666667</v>
      </c>
      <c r="H377" s="213" t="n">
        <v>5.3</v>
      </c>
      <c r="I377" s="213" t="n">
        <f aca="false">AVERAGEIFS($H$33:$H$1494,$A$33:$A$1494,A377)</f>
        <v>5.31666666666667</v>
      </c>
      <c r="L377" s="215" t="n">
        <v>40516</v>
      </c>
      <c r="M377" s="213" t="n">
        <v>44.9166666666667</v>
      </c>
      <c r="N377" s="213" t="n">
        <v>46.6833333333333</v>
      </c>
      <c r="O377" s="213" t="n">
        <v>4.06666666666667</v>
      </c>
      <c r="P377" s="213" t="n">
        <v>5.31666666666667</v>
      </c>
    </row>
    <row r="378" customFormat="false" ht="12.75" hidden="false" customHeight="false" outlineLevel="0" collapsed="false">
      <c r="A378" s="215" t="n">
        <v>40516</v>
      </c>
      <c r="B378" s="213" t="n">
        <v>45.3</v>
      </c>
      <c r="C378" s="213" t="n">
        <f aca="false">AVERAGEIFS($B$33:$B$1494,$A$33:$A$1494,A378)</f>
        <v>44.9166666666667</v>
      </c>
      <c r="D378" s="213" t="n">
        <v>46.7</v>
      </c>
      <c r="E378" s="213" t="n">
        <f aca="false">AVERAGEIFS($D$33:$D$1494,$A$33:$A$1494,A378)</f>
        <v>46.6833333333333</v>
      </c>
      <c r="F378" s="213" t="n">
        <v>3.7</v>
      </c>
      <c r="G378" s="213" t="n">
        <f aca="false">AVERAGEIFS($F$33:$F$1494,$A$33:$A$1494,A378)</f>
        <v>4.06666666666667</v>
      </c>
      <c r="H378" s="213" t="n">
        <v>5.2</v>
      </c>
      <c r="I378" s="213" t="n">
        <f aca="false">AVERAGEIFS($H$33:$H$1494,$A$33:$A$1494,A378)</f>
        <v>5.31666666666667</v>
      </c>
      <c r="L378" s="215" t="n">
        <v>40516</v>
      </c>
      <c r="M378" s="213" t="n">
        <v>44.9166666666667</v>
      </c>
      <c r="N378" s="213" t="n">
        <v>46.6833333333333</v>
      </c>
      <c r="O378" s="213" t="n">
        <v>4.06666666666667</v>
      </c>
      <c r="P378" s="213" t="n">
        <v>5.31666666666667</v>
      </c>
    </row>
    <row r="379" customFormat="false" ht="12.75" hidden="false" customHeight="false" outlineLevel="0" collapsed="false">
      <c r="A379" s="215" t="n">
        <v>40516</v>
      </c>
      <c r="B379" s="213" t="n">
        <v>44.8</v>
      </c>
      <c r="C379" s="213" t="n">
        <f aca="false">AVERAGEIFS($B$33:$B$1494,$A$33:$A$1494,A379)</f>
        <v>44.9166666666667</v>
      </c>
      <c r="D379" s="213" t="n">
        <v>46.7</v>
      </c>
      <c r="E379" s="213" t="n">
        <f aca="false">AVERAGEIFS($D$33:$D$1494,$A$33:$A$1494,A379)</f>
        <v>46.6833333333333</v>
      </c>
      <c r="F379" s="213" t="n">
        <v>4.6</v>
      </c>
      <c r="G379" s="213" t="n">
        <f aca="false">AVERAGEIFS($F$33:$F$1494,$A$33:$A$1494,A379)</f>
        <v>4.06666666666667</v>
      </c>
      <c r="H379" s="213" t="n">
        <v>5.2</v>
      </c>
      <c r="I379" s="213" t="n">
        <f aca="false">AVERAGEIFS($H$33:$H$1494,$A$33:$A$1494,A379)</f>
        <v>5.31666666666667</v>
      </c>
      <c r="L379" s="215" t="n">
        <v>40516</v>
      </c>
      <c r="M379" s="213" t="n">
        <v>44.9166666666667</v>
      </c>
      <c r="N379" s="213" t="n">
        <v>46.6833333333333</v>
      </c>
      <c r="O379" s="213" t="n">
        <v>4.06666666666667</v>
      </c>
      <c r="P379" s="213" t="n">
        <v>5.31666666666667</v>
      </c>
    </row>
    <row r="380" customFormat="false" ht="12.75" hidden="false" customHeight="false" outlineLevel="0" collapsed="false">
      <c r="A380" s="215" t="n">
        <v>40516</v>
      </c>
      <c r="B380" s="213" t="n">
        <v>44.6</v>
      </c>
      <c r="C380" s="213" t="n">
        <f aca="false">AVERAGEIFS($B$33:$B$1494,$A$33:$A$1494,A380)</f>
        <v>44.9166666666667</v>
      </c>
      <c r="D380" s="213" t="n">
        <v>46.6</v>
      </c>
      <c r="E380" s="213" t="n">
        <f aca="false">AVERAGEIFS($D$33:$D$1494,$A$33:$A$1494,A380)</f>
        <v>46.6833333333333</v>
      </c>
      <c r="F380" s="213" t="n">
        <v>4.6</v>
      </c>
      <c r="G380" s="213" t="n">
        <f aca="false">AVERAGEIFS($F$33:$F$1494,$A$33:$A$1494,A380)</f>
        <v>4.06666666666667</v>
      </c>
      <c r="H380" s="213" t="n">
        <v>5.3</v>
      </c>
      <c r="I380" s="213" t="n">
        <f aca="false">AVERAGEIFS($H$33:$H$1494,$A$33:$A$1494,A380)</f>
        <v>5.31666666666667</v>
      </c>
      <c r="L380" s="215" t="n">
        <v>40516</v>
      </c>
      <c r="M380" s="213" t="n">
        <v>44.9166666666667</v>
      </c>
      <c r="N380" s="213" t="n">
        <v>46.6833333333333</v>
      </c>
      <c r="O380" s="213" t="n">
        <v>4.06666666666667</v>
      </c>
      <c r="P380" s="213" t="n">
        <v>5.31666666666667</v>
      </c>
    </row>
    <row r="381" customFormat="false" ht="12.75" hidden="false" customHeight="false" outlineLevel="0" collapsed="false">
      <c r="A381" s="215" t="n">
        <v>40517</v>
      </c>
      <c r="B381" s="213" t="n">
        <v>44.6</v>
      </c>
      <c r="C381" s="213" t="n">
        <f aca="false">AVERAGEIFS($B$33:$B$1494,$A$33:$A$1494,A381)</f>
        <v>44.55</v>
      </c>
      <c r="D381" s="213" t="n">
        <v>47.6</v>
      </c>
      <c r="E381" s="213" t="n">
        <f aca="false">AVERAGEIFS($D$33:$D$1494,$A$33:$A$1494,A381)</f>
        <v>46.65</v>
      </c>
      <c r="F381" s="213" t="n">
        <v>4.2</v>
      </c>
      <c r="G381" s="213" t="n">
        <f aca="false">AVERAGEIFS($F$33:$F$1494,$A$33:$A$1494,A381)</f>
        <v>4.93333333333333</v>
      </c>
      <c r="H381" s="213" t="n">
        <v>5.4</v>
      </c>
      <c r="I381" s="213" t="n">
        <f aca="false">AVERAGEIFS($H$33:$H$1494,$A$33:$A$1494,A381)</f>
        <v>5.51666666666667</v>
      </c>
      <c r="L381" s="215" t="n">
        <v>40517</v>
      </c>
      <c r="M381" s="213" t="n">
        <v>44.55</v>
      </c>
      <c r="N381" s="213" t="n">
        <v>46.65</v>
      </c>
      <c r="O381" s="213" t="n">
        <v>4.93333333333333</v>
      </c>
      <c r="P381" s="213" t="n">
        <v>5.51666666666667</v>
      </c>
    </row>
    <row r="382" customFormat="false" ht="12.75" hidden="false" customHeight="false" outlineLevel="0" collapsed="false">
      <c r="A382" s="215" t="n">
        <v>40517</v>
      </c>
      <c r="B382" s="213" t="n">
        <v>44.6</v>
      </c>
      <c r="C382" s="213" t="n">
        <f aca="false">AVERAGEIFS($B$33:$B$1494,$A$33:$A$1494,A382)</f>
        <v>44.55</v>
      </c>
      <c r="D382" s="213" t="n">
        <v>47.4</v>
      </c>
      <c r="E382" s="213" t="n">
        <f aca="false">AVERAGEIFS($D$33:$D$1494,$A$33:$A$1494,A382)</f>
        <v>46.65</v>
      </c>
      <c r="F382" s="213" t="n">
        <v>4.5</v>
      </c>
      <c r="G382" s="213" t="n">
        <f aca="false">AVERAGEIFS($F$33:$F$1494,$A$33:$A$1494,A382)</f>
        <v>4.93333333333333</v>
      </c>
      <c r="H382" s="213" t="n">
        <v>5.4</v>
      </c>
      <c r="I382" s="213" t="n">
        <f aca="false">AVERAGEIFS($H$33:$H$1494,$A$33:$A$1494,A382)</f>
        <v>5.51666666666667</v>
      </c>
      <c r="L382" s="215" t="n">
        <v>40517</v>
      </c>
      <c r="M382" s="213" t="n">
        <v>44.55</v>
      </c>
      <c r="N382" s="213" t="n">
        <v>46.65</v>
      </c>
      <c r="O382" s="213" t="n">
        <v>4.93333333333333</v>
      </c>
      <c r="P382" s="213" t="n">
        <v>5.51666666666667</v>
      </c>
    </row>
    <row r="383" customFormat="false" ht="12.75" hidden="false" customHeight="false" outlineLevel="0" collapsed="false">
      <c r="A383" s="215" t="n">
        <v>40517</v>
      </c>
      <c r="B383" s="213" t="n">
        <v>44.6</v>
      </c>
      <c r="C383" s="213" t="n">
        <f aca="false">AVERAGEIFS($B$33:$B$1494,$A$33:$A$1494,A383)</f>
        <v>44.55</v>
      </c>
      <c r="D383" s="213" t="n">
        <v>46.3</v>
      </c>
      <c r="E383" s="213" t="n">
        <f aca="false">AVERAGEIFS($D$33:$D$1494,$A$33:$A$1494,A383)</f>
        <v>46.65</v>
      </c>
      <c r="F383" s="213" t="n">
        <v>4.7</v>
      </c>
      <c r="G383" s="213" t="n">
        <f aca="false">AVERAGEIFS($F$33:$F$1494,$A$33:$A$1494,A383)</f>
        <v>4.93333333333333</v>
      </c>
      <c r="H383" s="213" t="n">
        <v>5.4</v>
      </c>
      <c r="I383" s="213" t="n">
        <f aca="false">AVERAGEIFS($H$33:$H$1494,$A$33:$A$1494,A383)</f>
        <v>5.51666666666667</v>
      </c>
      <c r="L383" s="215" t="n">
        <v>40517</v>
      </c>
      <c r="M383" s="213" t="n">
        <v>44.55</v>
      </c>
      <c r="N383" s="213" t="n">
        <v>46.65</v>
      </c>
      <c r="O383" s="213" t="n">
        <v>4.93333333333333</v>
      </c>
      <c r="P383" s="213" t="n">
        <v>5.51666666666667</v>
      </c>
    </row>
    <row r="384" customFormat="false" ht="12.75" hidden="false" customHeight="false" outlineLevel="0" collapsed="false">
      <c r="A384" s="215" t="n">
        <v>40517</v>
      </c>
      <c r="B384" s="213" t="n">
        <v>44.5</v>
      </c>
      <c r="C384" s="213" t="n">
        <f aca="false">AVERAGEIFS($B$33:$B$1494,$A$33:$A$1494,A384)</f>
        <v>44.55</v>
      </c>
      <c r="D384" s="213" t="n">
        <v>46.2</v>
      </c>
      <c r="E384" s="213" t="n">
        <f aca="false">AVERAGEIFS($D$33:$D$1494,$A$33:$A$1494,A384)</f>
        <v>46.65</v>
      </c>
      <c r="F384" s="213" t="n">
        <v>4.9</v>
      </c>
      <c r="G384" s="213" t="n">
        <f aca="false">AVERAGEIFS($F$33:$F$1494,$A$33:$A$1494,A384)</f>
        <v>4.93333333333333</v>
      </c>
      <c r="H384" s="213" t="n">
        <v>5.5</v>
      </c>
      <c r="I384" s="213" t="n">
        <f aca="false">AVERAGEIFS($H$33:$H$1494,$A$33:$A$1494,A384)</f>
        <v>5.51666666666667</v>
      </c>
      <c r="L384" s="215" t="n">
        <v>40517</v>
      </c>
      <c r="M384" s="213" t="n">
        <v>44.55</v>
      </c>
      <c r="N384" s="213" t="n">
        <v>46.65</v>
      </c>
      <c r="O384" s="213" t="n">
        <v>4.93333333333333</v>
      </c>
      <c r="P384" s="213" t="n">
        <v>5.51666666666667</v>
      </c>
    </row>
    <row r="385" customFormat="false" ht="12.75" hidden="false" customHeight="false" outlineLevel="0" collapsed="false">
      <c r="A385" s="215" t="n">
        <v>40517</v>
      </c>
      <c r="B385" s="213" t="n">
        <v>44.5</v>
      </c>
      <c r="C385" s="213" t="n">
        <f aca="false">AVERAGEIFS($B$33:$B$1494,$A$33:$A$1494,A385)</f>
        <v>44.55</v>
      </c>
      <c r="D385" s="213" t="n">
        <v>46.2</v>
      </c>
      <c r="E385" s="213" t="n">
        <f aca="false">AVERAGEIFS($D$33:$D$1494,$A$33:$A$1494,A385)</f>
        <v>46.65</v>
      </c>
      <c r="F385" s="213" t="n">
        <v>5.4</v>
      </c>
      <c r="G385" s="213" t="n">
        <f aca="false">AVERAGEIFS($F$33:$F$1494,$A$33:$A$1494,A385)</f>
        <v>4.93333333333333</v>
      </c>
      <c r="H385" s="213" t="n">
        <v>5.6</v>
      </c>
      <c r="I385" s="213" t="n">
        <f aca="false">AVERAGEIFS($H$33:$H$1494,$A$33:$A$1494,A385)</f>
        <v>5.51666666666667</v>
      </c>
      <c r="L385" s="215" t="n">
        <v>40517</v>
      </c>
      <c r="M385" s="213" t="n">
        <v>44.55</v>
      </c>
      <c r="N385" s="213" t="n">
        <v>46.65</v>
      </c>
      <c r="O385" s="213" t="n">
        <v>4.93333333333333</v>
      </c>
      <c r="P385" s="213" t="n">
        <v>5.51666666666667</v>
      </c>
    </row>
    <row r="386" customFormat="false" ht="12.75" hidden="false" customHeight="false" outlineLevel="0" collapsed="false">
      <c r="A386" s="215" t="n">
        <v>40517</v>
      </c>
      <c r="B386" s="213" t="n">
        <v>44.5</v>
      </c>
      <c r="C386" s="213" t="n">
        <f aca="false">AVERAGEIFS($B$33:$B$1494,$A$33:$A$1494,A386)</f>
        <v>44.55</v>
      </c>
      <c r="D386" s="213" t="n">
        <v>46.2</v>
      </c>
      <c r="E386" s="213" t="n">
        <f aca="false">AVERAGEIFS($D$33:$D$1494,$A$33:$A$1494,A386)</f>
        <v>46.65</v>
      </c>
      <c r="F386" s="213" t="n">
        <v>5.9</v>
      </c>
      <c r="G386" s="213" t="n">
        <f aca="false">AVERAGEIFS($F$33:$F$1494,$A$33:$A$1494,A386)</f>
        <v>4.93333333333333</v>
      </c>
      <c r="H386" s="213" t="n">
        <v>5.8</v>
      </c>
      <c r="I386" s="213" t="n">
        <f aca="false">AVERAGEIFS($H$33:$H$1494,$A$33:$A$1494,A386)</f>
        <v>5.51666666666667</v>
      </c>
      <c r="L386" s="215" t="n">
        <v>40517</v>
      </c>
      <c r="M386" s="213" t="n">
        <v>44.55</v>
      </c>
      <c r="N386" s="213" t="n">
        <v>46.65</v>
      </c>
      <c r="O386" s="213" t="n">
        <v>4.93333333333333</v>
      </c>
      <c r="P386" s="213" t="n">
        <v>5.51666666666667</v>
      </c>
    </row>
    <row r="387" customFormat="false" ht="12.75" hidden="false" customHeight="false" outlineLevel="0" collapsed="false">
      <c r="A387" s="215" t="n">
        <v>40518</v>
      </c>
      <c r="B387" s="213" t="n">
        <v>44.5</v>
      </c>
      <c r="C387" s="213" t="n">
        <f aca="false">AVERAGEIFS($B$33:$B$1494,$A$33:$A$1494,A387)</f>
        <v>44.45</v>
      </c>
      <c r="D387" s="213" t="n">
        <v>46.2</v>
      </c>
      <c r="E387" s="213" t="n">
        <f aca="false">AVERAGEIFS($D$33:$D$1494,$A$33:$A$1494,A387)</f>
        <v>46.1166666666667</v>
      </c>
      <c r="F387" s="213" t="n">
        <v>6.2</v>
      </c>
      <c r="G387" s="213" t="n">
        <f aca="false">AVERAGEIFS($F$33:$F$1494,$A$33:$A$1494,A387)</f>
        <v>7.33333333333333</v>
      </c>
      <c r="H387" s="213" t="n">
        <v>6</v>
      </c>
      <c r="I387" s="213" t="n">
        <f aca="false">AVERAGEIFS($H$33:$H$1494,$A$33:$A$1494,A387)</f>
        <v>6.55</v>
      </c>
      <c r="L387" s="215" t="n">
        <v>40518</v>
      </c>
      <c r="M387" s="213" t="n">
        <v>44.45</v>
      </c>
      <c r="N387" s="213" t="n">
        <v>46.1166666666667</v>
      </c>
      <c r="O387" s="213" t="n">
        <v>7.33333333333333</v>
      </c>
      <c r="P387" s="213" t="n">
        <v>6.55</v>
      </c>
    </row>
    <row r="388" customFormat="false" ht="12.75" hidden="false" customHeight="false" outlineLevel="0" collapsed="false">
      <c r="A388" s="215" t="n">
        <v>40518</v>
      </c>
      <c r="B388" s="213" t="n">
        <v>44.5</v>
      </c>
      <c r="C388" s="213" t="n">
        <f aca="false">AVERAGEIFS($B$33:$B$1494,$A$33:$A$1494,A388)</f>
        <v>44.45</v>
      </c>
      <c r="D388" s="213" t="n">
        <v>46.1</v>
      </c>
      <c r="E388" s="213" t="n">
        <f aca="false">AVERAGEIFS($D$33:$D$1494,$A$33:$A$1494,A388)</f>
        <v>46.1166666666667</v>
      </c>
      <c r="F388" s="213" t="n">
        <v>6.6</v>
      </c>
      <c r="G388" s="213" t="n">
        <f aca="false">AVERAGEIFS($F$33:$F$1494,$A$33:$A$1494,A388)</f>
        <v>7.33333333333333</v>
      </c>
      <c r="H388" s="213" t="n">
        <v>6.2</v>
      </c>
      <c r="I388" s="213" t="n">
        <f aca="false">AVERAGEIFS($H$33:$H$1494,$A$33:$A$1494,A388)</f>
        <v>6.55</v>
      </c>
      <c r="L388" s="215" t="n">
        <v>40518</v>
      </c>
      <c r="M388" s="213" t="n">
        <v>44.45</v>
      </c>
      <c r="N388" s="213" t="n">
        <v>46.1166666666667</v>
      </c>
      <c r="O388" s="213" t="n">
        <v>7.33333333333333</v>
      </c>
      <c r="P388" s="213" t="n">
        <v>6.55</v>
      </c>
    </row>
    <row r="389" customFormat="false" ht="12.75" hidden="false" customHeight="false" outlineLevel="0" collapsed="false">
      <c r="A389" s="215" t="n">
        <v>40518</v>
      </c>
      <c r="B389" s="213" t="n">
        <v>44.5</v>
      </c>
      <c r="C389" s="213" t="n">
        <f aca="false">AVERAGEIFS($B$33:$B$1494,$A$33:$A$1494,A389)</f>
        <v>44.45</v>
      </c>
      <c r="D389" s="213" t="n">
        <v>46.1</v>
      </c>
      <c r="E389" s="213" t="n">
        <f aca="false">AVERAGEIFS($D$33:$D$1494,$A$33:$A$1494,A389)</f>
        <v>46.1166666666667</v>
      </c>
      <c r="F389" s="213" t="n">
        <v>7.1</v>
      </c>
      <c r="G389" s="213" t="n">
        <f aca="false">AVERAGEIFS($F$33:$F$1494,$A$33:$A$1494,A389)</f>
        <v>7.33333333333333</v>
      </c>
      <c r="H389" s="213" t="n">
        <v>6.4</v>
      </c>
      <c r="I389" s="213" t="n">
        <f aca="false">AVERAGEIFS($H$33:$H$1494,$A$33:$A$1494,A389)</f>
        <v>6.55</v>
      </c>
      <c r="L389" s="215" t="n">
        <v>40518</v>
      </c>
      <c r="M389" s="213" t="n">
        <v>44.45</v>
      </c>
      <c r="N389" s="213" t="n">
        <v>46.1166666666667</v>
      </c>
      <c r="O389" s="213" t="n">
        <v>7.33333333333333</v>
      </c>
      <c r="P389" s="213" t="n">
        <v>6.55</v>
      </c>
    </row>
    <row r="390" customFormat="false" ht="12.75" hidden="false" customHeight="false" outlineLevel="0" collapsed="false">
      <c r="A390" s="215" t="n">
        <v>40518</v>
      </c>
      <c r="B390" s="213" t="n">
        <v>44.4</v>
      </c>
      <c r="C390" s="213" t="n">
        <f aca="false">AVERAGEIFS($B$33:$B$1494,$A$33:$A$1494,A390)</f>
        <v>44.45</v>
      </c>
      <c r="D390" s="213" t="n">
        <v>46.1</v>
      </c>
      <c r="E390" s="213" t="n">
        <f aca="false">AVERAGEIFS($D$33:$D$1494,$A$33:$A$1494,A390)</f>
        <v>46.1166666666667</v>
      </c>
      <c r="F390" s="213" t="n">
        <v>7.4</v>
      </c>
      <c r="G390" s="213" t="n">
        <f aca="false">AVERAGEIFS($F$33:$F$1494,$A$33:$A$1494,A390)</f>
        <v>7.33333333333333</v>
      </c>
      <c r="H390" s="213" t="n">
        <v>6.6</v>
      </c>
      <c r="I390" s="213" t="n">
        <f aca="false">AVERAGEIFS($H$33:$H$1494,$A$33:$A$1494,A390)</f>
        <v>6.55</v>
      </c>
      <c r="L390" s="215" t="n">
        <v>40518</v>
      </c>
      <c r="M390" s="213" t="n">
        <v>44.45</v>
      </c>
      <c r="N390" s="213" t="n">
        <v>46.1166666666667</v>
      </c>
      <c r="O390" s="213" t="n">
        <v>7.33333333333333</v>
      </c>
      <c r="P390" s="213" t="n">
        <v>6.55</v>
      </c>
    </row>
    <row r="391" customFormat="false" ht="12.75" hidden="false" customHeight="false" outlineLevel="0" collapsed="false">
      <c r="A391" s="215" t="n">
        <v>40518</v>
      </c>
      <c r="B391" s="213" t="n">
        <v>44.4</v>
      </c>
      <c r="C391" s="213" t="n">
        <f aca="false">AVERAGEIFS($B$33:$B$1494,$A$33:$A$1494,A391)</f>
        <v>44.45</v>
      </c>
      <c r="D391" s="213" t="n">
        <v>46.1</v>
      </c>
      <c r="E391" s="213" t="n">
        <f aca="false">AVERAGEIFS($D$33:$D$1494,$A$33:$A$1494,A391)</f>
        <v>46.1166666666667</v>
      </c>
      <c r="F391" s="213" t="n">
        <v>8.2</v>
      </c>
      <c r="G391" s="213" t="n">
        <f aca="false">AVERAGEIFS($F$33:$F$1494,$A$33:$A$1494,A391)</f>
        <v>7.33333333333333</v>
      </c>
      <c r="H391" s="213" t="n">
        <v>6.9</v>
      </c>
      <c r="I391" s="213" t="n">
        <f aca="false">AVERAGEIFS($H$33:$H$1494,$A$33:$A$1494,A391)</f>
        <v>6.55</v>
      </c>
      <c r="L391" s="215" t="n">
        <v>40518</v>
      </c>
      <c r="M391" s="213" t="n">
        <v>44.45</v>
      </c>
      <c r="N391" s="213" t="n">
        <v>46.1166666666667</v>
      </c>
      <c r="O391" s="213" t="n">
        <v>7.33333333333333</v>
      </c>
      <c r="P391" s="213" t="n">
        <v>6.55</v>
      </c>
    </row>
    <row r="392" customFormat="false" ht="12.75" hidden="false" customHeight="false" outlineLevel="0" collapsed="false">
      <c r="A392" s="215" t="n">
        <v>40518</v>
      </c>
      <c r="B392" s="213" t="n">
        <v>44.4</v>
      </c>
      <c r="C392" s="213" t="n">
        <f aca="false">AVERAGEIFS($B$33:$B$1494,$A$33:$A$1494,A392)</f>
        <v>44.45</v>
      </c>
      <c r="D392" s="213" t="n">
        <v>46.1</v>
      </c>
      <c r="E392" s="213" t="n">
        <f aca="false">AVERAGEIFS($D$33:$D$1494,$A$33:$A$1494,A392)</f>
        <v>46.1166666666667</v>
      </c>
      <c r="F392" s="213" t="n">
        <v>8.5</v>
      </c>
      <c r="G392" s="213" t="n">
        <f aca="false">AVERAGEIFS($F$33:$F$1494,$A$33:$A$1494,A392)</f>
        <v>7.33333333333333</v>
      </c>
      <c r="H392" s="213" t="n">
        <v>7.2</v>
      </c>
      <c r="I392" s="213" t="n">
        <f aca="false">AVERAGEIFS($H$33:$H$1494,$A$33:$A$1494,A392)</f>
        <v>6.55</v>
      </c>
      <c r="L392" s="215" t="n">
        <v>40518</v>
      </c>
      <c r="M392" s="213" t="n">
        <v>44.45</v>
      </c>
      <c r="N392" s="213" t="n">
        <v>46.1166666666667</v>
      </c>
      <c r="O392" s="213" t="n">
        <v>7.33333333333333</v>
      </c>
      <c r="P392" s="213" t="n">
        <v>6.55</v>
      </c>
    </row>
    <row r="393" customFormat="false" ht="12.75" hidden="false" customHeight="false" outlineLevel="0" collapsed="false">
      <c r="A393" s="215" t="n">
        <v>40519</v>
      </c>
      <c r="B393" s="213" t="n">
        <v>44.4</v>
      </c>
      <c r="C393" s="213" t="n">
        <f aca="false">AVERAGEIFS($B$33:$B$1494,$A$33:$A$1494,A393)</f>
        <v>44.4166666666667</v>
      </c>
      <c r="D393" s="213" t="n">
        <v>46.1</v>
      </c>
      <c r="E393" s="213" t="n">
        <f aca="false">AVERAGEIFS($D$33:$D$1494,$A$33:$A$1494,A393)</f>
        <v>46.0333333333333</v>
      </c>
      <c r="F393" s="213" t="n">
        <v>8.5</v>
      </c>
      <c r="G393" s="213" t="n">
        <f aca="false">AVERAGEIFS($F$33:$F$1494,$A$33:$A$1494,A393)</f>
        <v>8.86666666666667</v>
      </c>
      <c r="H393" s="213" t="n">
        <v>7.4</v>
      </c>
      <c r="I393" s="213" t="n">
        <f aca="false">AVERAGEIFS($H$33:$H$1494,$A$33:$A$1494,A393)</f>
        <v>7.78333333333333</v>
      </c>
      <c r="L393" s="215" t="n">
        <v>40519</v>
      </c>
      <c r="M393" s="213" t="n">
        <v>44.4166666666667</v>
      </c>
      <c r="N393" s="213" t="n">
        <v>46.0333333333333</v>
      </c>
      <c r="O393" s="213" t="n">
        <v>8.86666666666667</v>
      </c>
      <c r="P393" s="213" t="n">
        <v>7.78333333333333</v>
      </c>
    </row>
    <row r="394" customFormat="false" ht="12.75" hidden="false" customHeight="false" outlineLevel="0" collapsed="false">
      <c r="A394" s="215" t="n">
        <v>40519</v>
      </c>
      <c r="B394" s="213" t="n">
        <v>44.4</v>
      </c>
      <c r="C394" s="213" t="n">
        <f aca="false">AVERAGEIFS($B$33:$B$1494,$A$33:$A$1494,A394)</f>
        <v>44.4166666666667</v>
      </c>
      <c r="D394" s="213" t="n">
        <v>46</v>
      </c>
      <c r="E394" s="213" t="n">
        <f aca="false">AVERAGEIFS($D$33:$D$1494,$A$33:$A$1494,A394)</f>
        <v>46.0333333333333</v>
      </c>
      <c r="F394" s="213" t="n">
        <v>8.3</v>
      </c>
      <c r="G394" s="213" t="n">
        <f aca="false">AVERAGEIFS($F$33:$F$1494,$A$33:$A$1494,A394)</f>
        <v>8.86666666666667</v>
      </c>
      <c r="H394" s="213" t="n">
        <v>7.6</v>
      </c>
      <c r="I394" s="213" t="n">
        <f aca="false">AVERAGEIFS($H$33:$H$1494,$A$33:$A$1494,A394)</f>
        <v>7.78333333333333</v>
      </c>
      <c r="L394" s="215" t="n">
        <v>40519</v>
      </c>
      <c r="M394" s="213" t="n">
        <v>44.4166666666667</v>
      </c>
      <c r="N394" s="213" t="n">
        <v>46.0333333333333</v>
      </c>
      <c r="O394" s="213" t="n">
        <v>8.86666666666667</v>
      </c>
      <c r="P394" s="213" t="n">
        <v>7.78333333333333</v>
      </c>
    </row>
    <row r="395" customFormat="false" ht="12.75" hidden="false" customHeight="false" outlineLevel="0" collapsed="false">
      <c r="A395" s="215" t="n">
        <v>40519</v>
      </c>
      <c r="B395" s="213" t="n">
        <v>44.4</v>
      </c>
      <c r="C395" s="213" t="n">
        <f aca="false">AVERAGEIFS($B$33:$B$1494,$A$33:$A$1494,A395)</f>
        <v>44.4166666666667</v>
      </c>
      <c r="D395" s="213" t="n">
        <v>46.1</v>
      </c>
      <c r="E395" s="213" t="n">
        <f aca="false">AVERAGEIFS($D$33:$D$1494,$A$33:$A$1494,A395)</f>
        <v>46.0333333333333</v>
      </c>
      <c r="F395" s="213" t="n">
        <v>8.3</v>
      </c>
      <c r="G395" s="213" t="n">
        <f aca="false">AVERAGEIFS($F$33:$F$1494,$A$33:$A$1494,A395)</f>
        <v>8.86666666666667</v>
      </c>
      <c r="H395" s="213" t="n">
        <v>7.7</v>
      </c>
      <c r="I395" s="213" t="n">
        <f aca="false">AVERAGEIFS($H$33:$H$1494,$A$33:$A$1494,A395)</f>
        <v>7.78333333333333</v>
      </c>
      <c r="L395" s="215" t="n">
        <v>40519</v>
      </c>
      <c r="M395" s="213" t="n">
        <v>44.4166666666667</v>
      </c>
      <c r="N395" s="213" t="n">
        <v>46.0333333333333</v>
      </c>
      <c r="O395" s="213" t="n">
        <v>8.86666666666667</v>
      </c>
      <c r="P395" s="213" t="n">
        <v>7.78333333333333</v>
      </c>
    </row>
    <row r="396" customFormat="false" ht="12.75" hidden="false" customHeight="false" outlineLevel="0" collapsed="false">
      <c r="A396" s="215" t="n">
        <v>40519</v>
      </c>
      <c r="B396" s="213" t="n">
        <v>44.4</v>
      </c>
      <c r="C396" s="213" t="n">
        <f aca="false">AVERAGEIFS($B$33:$B$1494,$A$33:$A$1494,A396)</f>
        <v>44.4166666666667</v>
      </c>
      <c r="D396" s="213" t="n">
        <v>46</v>
      </c>
      <c r="E396" s="213" t="n">
        <f aca="false">AVERAGEIFS($D$33:$D$1494,$A$33:$A$1494,A396)</f>
        <v>46.0333333333333</v>
      </c>
      <c r="F396" s="213" t="n">
        <v>8.7</v>
      </c>
      <c r="G396" s="213" t="n">
        <f aca="false">AVERAGEIFS($F$33:$F$1494,$A$33:$A$1494,A396)</f>
        <v>8.86666666666667</v>
      </c>
      <c r="H396" s="213" t="n">
        <v>7.8</v>
      </c>
      <c r="I396" s="213" t="n">
        <f aca="false">AVERAGEIFS($H$33:$H$1494,$A$33:$A$1494,A396)</f>
        <v>7.78333333333333</v>
      </c>
      <c r="L396" s="215" t="n">
        <v>40519</v>
      </c>
      <c r="M396" s="213" t="n">
        <v>44.4166666666667</v>
      </c>
      <c r="N396" s="213" t="n">
        <v>46.0333333333333</v>
      </c>
      <c r="O396" s="213" t="n">
        <v>8.86666666666667</v>
      </c>
      <c r="P396" s="213" t="n">
        <v>7.78333333333333</v>
      </c>
    </row>
    <row r="397" customFormat="false" ht="12.75" hidden="false" customHeight="false" outlineLevel="0" collapsed="false">
      <c r="A397" s="215" t="n">
        <v>40519</v>
      </c>
      <c r="B397" s="213" t="n">
        <v>44.6</v>
      </c>
      <c r="C397" s="213" t="n">
        <f aca="false">AVERAGEIFS($B$33:$B$1494,$A$33:$A$1494,A397)</f>
        <v>44.4166666666667</v>
      </c>
      <c r="D397" s="213" t="n">
        <v>46</v>
      </c>
      <c r="E397" s="213" t="n">
        <f aca="false">AVERAGEIFS($D$33:$D$1494,$A$33:$A$1494,A397)</f>
        <v>46.0333333333333</v>
      </c>
      <c r="F397" s="213" t="n">
        <v>9.6</v>
      </c>
      <c r="G397" s="213" t="n">
        <f aca="false">AVERAGEIFS($F$33:$F$1494,$A$33:$A$1494,A397)</f>
        <v>8.86666666666667</v>
      </c>
      <c r="H397" s="213" t="n">
        <v>7.9</v>
      </c>
      <c r="I397" s="213" t="n">
        <f aca="false">AVERAGEIFS($H$33:$H$1494,$A$33:$A$1494,A397)</f>
        <v>7.78333333333333</v>
      </c>
      <c r="L397" s="215" t="n">
        <v>40519</v>
      </c>
      <c r="M397" s="213" t="n">
        <v>44.4166666666667</v>
      </c>
      <c r="N397" s="213" t="n">
        <v>46.0333333333333</v>
      </c>
      <c r="O397" s="213" t="n">
        <v>8.86666666666667</v>
      </c>
      <c r="P397" s="213" t="n">
        <v>7.78333333333333</v>
      </c>
    </row>
    <row r="398" customFormat="false" ht="12.75" hidden="false" customHeight="false" outlineLevel="0" collapsed="false">
      <c r="A398" s="215" t="n">
        <v>40519</v>
      </c>
      <c r="B398" s="213" t="n">
        <v>44.3</v>
      </c>
      <c r="C398" s="213" t="n">
        <f aca="false">AVERAGEIFS($B$33:$B$1494,$A$33:$A$1494,A398)</f>
        <v>44.4166666666667</v>
      </c>
      <c r="D398" s="213" t="n">
        <v>46</v>
      </c>
      <c r="E398" s="213" t="n">
        <f aca="false">AVERAGEIFS($D$33:$D$1494,$A$33:$A$1494,A398)</f>
        <v>46.0333333333333</v>
      </c>
      <c r="F398" s="213" t="n">
        <v>9.8</v>
      </c>
      <c r="G398" s="213" t="n">
        <f aca="false">AVERAGEIFS($F$33:$F$1494,$A$33:$A$1494,A398)</f>
        <v>8.86666666666667</v>
      </c>
      <c r="H398" s="213" t="n">
        <v>8.3</v>
      </c>
      <c r="I398" s="213" t="n">
        <f aca="false">AVERAGEIFS($H$33:$H$1494,$A$33:$A$1494,A398)</f>
        <v>7.78333333333333</v>
      </c>
      <c r="L398" s="215" t="n">
        <v>40519</v>
      </c>
      <c r="M398" s="213" t="n">
        <v>44.4166666666667</v>
      </c>
      <c r="N398" s="213" t="n">
        <v>46.0333333333333</v>
      </c>
      <c r="O398" s="213" t="n">
        <v>8.86666666666667</v>
      </c>
      <c r="P398" s="213" t="n">
        <v>7.78333333333333</v>
      </c>
    </row>
    <row r="399" customFormat="false" ht="12.75" hidden="false" customHeight="false" outlineLevel="0" collapsed="false">
      <c r="A399" s="215" t="n">
        <v>40520</v>
      </c>
      <c r="B399" s="213" t="n">
        <v>44.3</v>
      </c>
      <c r="C399" s="213" t="n">
        <f aca="false">AVERAGEIFS($B$33:$B$1494,$A$33:$A$1494,A399)</f>
        <v>44.3</v>
      </c>
      <c r="D399" s="213" t="n">
        <v>46</v>
      </c>
      <c r="E399" s="213" t="n">
        <f aca="false">AVERAGEIFS($D$33:$D$1494,$A$33:$A$1494,A399)</f>
        <v>46</v>
      </c>
      <c r="F399" s="213" t="n">
        <v>9.6</v>
      </c>
      <c r="G399" s="213" t="n">
        <f aca="false">AVERAGEIFS($F$33:$F$1494,$A$33:$A$1494,A399)</f>
        <v>9.85</v>
      </c>
      <c r="H399" s="213" t="n">
        <v>8.5</v>
      </c>
      <c r="I399" s="213" t="n">
        <f aca="false">AVERAGEIFS($H$33:$H$1494,$A$33:$A$1494,A399)</f>
        <v>8.75</v>
      </c>
      <c r="L399" s="215" t="n">
        <v>40520</v>
      </c>
      <c r="M399" s="213" t="n">
        <v>44.3</v>
      </c>
      <c r="N399" s="213" t="n">
        <v>46</v>
      </c>
      <c r="O399" s="213" t="n">
        <v>9.85</v>
      </c>
      <c r="P399" s="213" t="n">
        <v>8.75</v>
      </c>
    </row>
    <row r="400" customFormat="false" ht="12.75" hidden="false" customHeight="false" outlineLevel="0" collapsed="false">
      <c r="A400" s="215" t="n">
        <v>40520</v>
      </c>
      <c r="B400" s="213" t="n">
        <v>44.3</v>
      </c>
      <c r="C400" s="213" t="n">
        <f aca="false">AVERAGEIFS($B$33:$B$1494,$A$33:$A$1494,A400)</f>
        <v>44.3</v>
      </c>
      <c r="D400" s="213" t="n">
        <v>46</v>
      </c>
      <c r="E400" s="213" t="n">
        <f aca="false">AVERAGEIFS($D$33:$D$1494,$A$33:$A$1494,A400)</f>
        <v>46</v>
      </c>
      <c r="F400" s="213" t="n">
        <v>9.5</v>
      </c>
      <c r="G400" s="213" t="n">
        <f aca="false">AVERAGEIFS($F$33:$F$1494,$A$33:$A$1494,A400)</f>
        <v>9.85</v>
      </c>
      <c r="H400" s="213" t="n">
        <v>8.6</v>
      </c>
      <c r="I400" s="213" t="n">
        <f aca="false">AVERAGEIFS($H$33:$H$1494,$A$33:$A$1494,A400)</f>
        <v>8.75</v>
      </c>
      <c r="L400" s="215" t="n">
        <v>40520</v>
      </c>
      <c r="M400" s="213" t="n">
        <v>44.3</v>
      </c>
      <c r="N400" s="213" t="n">
        <v>46</v>
      </c>
      <c r="O400" s="213" t="n">
        <v>9.85</v>
      </c>
      <c r="P400" s="213" t="n">
        <v>8.75</v>
      </c>
    </row>
    <row r="401" customFormat="false" ht="12.75" hidden="false" customHeight="false" outlineLevel="0" collapsed="false">
      <c r="A401" s="215" t="n">
        <v>40520</v>
      </c>
      <c r="B401" s="213" t="n">
        <v>44.3</v>
      </c>
      <c r="C401" s="213" t="n">
        <f aca="false">AVERAGEIFS($B$33:$B$1494,$A$33:$A$1494,A401)</f>
        <v>44.3</v>
      </c>
      <c r="D401" s="213" t="n">
        <v>46</v>
      </c>
      <c r="E401" s="213" t="n">
        <f aca="false">AVERAGEIFS($D$33:$D$1494,$A$33:$A$1494,A401)</f>
        <v>46</v>
      </c>
      <c r="F401" s="213" t="n">
        <v>9.5</v>
      </c>
      <c r="G401" s="213" t="n">
        <f aca="false">AVERAGEIFS($F$33:$F$1494,$A$33:$A$1494,A401)</f>
        <v>9.85</v>
      </c>
      <c r="H401" s="213" t="n">
        <v>8.7</v>
      </c>
      <c r="I401" s="213" t="n">
        <f aca="false">AVERAGEIFS($H$33:$H$1494,$A$33:$A$1494,A401)</f>
        <v>8.75</v>
      </c>
      <c r="L401" s="215" t="n">
        <v>40520</v>
      </c>
      <c r="M401" s="213" t="n">
        <v>44.3</v>
      </c>
      <c r="N401" s="213" t="n">
        <v>46</v>
      </c>
      <c r="O401" s="213" t="n">
        <v>9.85</v>
      </c>
      <c r="P401" s="213" t="n">
        <v>8.75</v>
      </c>
    </row>
    <row r="402" customFormat="false" ht="12.75" hidden="false" customHeight="false" outlineLevel="0" collapsed="false">
      <c r="A402" s="215" t="n">
        <v>40520</v>
      </c>
      <c r="B402" s="213" t="n">
        <v>44.3</v>
      </c>
      <c r="C402" s="213" t="n">
        <f aca="false">AVERAGEIFS($B$33:$B$1494,$A$33:$A$1494,A402)</f>
        <v>44.3</v>
      </c>
      <c r="D402" s="213" t="n">
        <v>46</v>
      </c>
      <c r="E402" s="213" t="n">
        <f aca="false">AVERAGEIFS($D$33:$D$1494,$A$33:$A$1494,A402)</f>
        <v>46</v>
      </c>
      <c r="F402" s="213" t="n">
        <v>9.6</v>
      </c>
      <c r="G402" s="213" t="n">
        <f aca="false">AVERAGEIFS($F$33:$F$1494,$A$33:$A$1494,A402)</f>
        <v>9.85</v>
      </c>
      <c r="H402" s="213" t="n">
        <v>8.7</v>
      </c>
      <c r="I402" s="213" t="n">
        <f aca="false">AVERAGEIFS($H$33:$H$1494,$A$33:$A$1494,A402)</f>
        <v>8.75</v>
      </c>
      <c r="L402" s="215" t="n">
        <v>40520</v>
      </c>
      <c r="M402" s="213" t="n">
        <v>44.3</v>
      </c>
      <c r="N402" s="213" t="n">
        <v>46</v>
      </c>
      <c r="O402" s="213" t="n">
        <v>9.85</v>
      </c>
      <c r="P402" s="213" t="n">
        <v>8.75</v>
      </c>
    </row>
    <row r="403" customFormat="false" ht="12.75" hidden="false" customHeight="false" outlineLevel="0" collapsed="false">
      <c r="A403" s="215" t="n">
        <v>40520</v>
      </c>
      <c r="B403" s="213" t="n">
        <v>44.3</v>
      </c>
      <c r="C403" s="213" t="n">
        <f aca="false">AVERAGEIFS($B$33:$B$1494,$A$33:$A$1494,A403)</f>
        <v>44.3</v>
      </c>
      <c r="D403" s="213" t="n">
        <v>46</v>
      </c>
      <c r="E403" s="213" t="n">
        <f aca="false">AVERAGEIFS($D$33:$D$1494,$A$33:$A$1494,A403)</f>
        <v>46</v>
      </c>
      <c r="F403" s="213" t="n">
        <v>10.5</v>
      </c>
      <c r="G403" s="213" t="n">
        <f aca="false">AVERAGEIFS($F$33:$F$1494,$A$33:$A$1494,A403)</f>
        <v>9.85</v>
      </c>
      <c r="H403" s="213" t="n">
        <v>8.9</v>
      </c>
      <c r="I403" s="213" t="n">
        <f aca="false">AVERAGEIFS($H$33:$H$1494,$A$33:$A$1494,A403)</f>
        <v>8.75</v>
      </c>
      <c r="L403" s="215" t="n">
        <v>40520</v>
      </c>
      <c r="M403" s="213" t="n">
        <v>44.3</v>
      </c>
      <c r="N403" s="213" t="n">
        <v>46</v>
      </c>
      <c r="O403" s="213" t="n">
        <v>9.85</v>
      </c>
      <c r="P403" s="213" t="n">
        <v>8.75</v>
      </c>
    </row>
    <row r="404" customFormat="false" ht="12.75" hidden="false" customHeight="false" outlineLevel="0" collapsed="false">
      <c r="A404" s="215" t="n">
        <v>40520</v>
      </c>
      <c r="B404" s="213" t="n">
        <v>44.3</v>
      </c>
      <c r="C404" s="213" t="n">
        <f aca="false">AVERAGEIFS($B$33:$B$1494,$A$33:$A$1494,A404)</f>
        <v>44.3</v>
      </c>
      <c r="D404" s="213" t="n">
        <v>46</v>
      </c>
      <c r="E404" s="213" t="n">
        <f aca="false">AVERAGEIFS($D$33:$D$1494,$A$33:$A$1494,A404)</f>
        <v>46</v>
      </c>
      <c r="F404" s="213" t="n">
        <v>10.4</v>
      </c>
      <c r="G404" s="213" t="n">
        <f aca="false">AVERAGEIFS($F$33:$F$1494,$A$33:$A$1494,A404)</f>
        <v>9.85</v>
      </c>
      <c r="H404" s="213" t="n">
        <v>9.1</v>
      </c>
      <c r="I404" s="213" t="n">
        <f aca="false">AVERAGEIFS($H$33:$H$1494,$A$33:$A$1494,A404)</f>
        <v>8.75</v>
      </c>
      <c r="L404" s="215" t="n">
        <v>40520</v>
      </c>
      <c r="M404" s="213" t="n">
        <v>44.3</v>
      </c>
      <c r="N404" s="213" t="n">
        <v>46</v>
      </c>
      <c r="O404" s="213" t="n">
        <v>9.85</v>
      </c>
      <c r="P404" s="213" t="n">
        <v>8.75</v>
      </c>
    </row>
    <row r="405" customFormat="false" ht="12.75" hidden="false" customHeight="false" outlineLevel="0" collapsed="false">
      <c r="A405" s="215" t="n">
        <v>40521</v>
      </c>
      <c r="B405" s="213" t="n">
        <v>44.3</v>
      </c>
      <c r="C405" s="213" t="n">
        <f aca="false">AVERAGEIFS($B$33:$B$1494,$A$33:$A$1494,A405)</f>
        <v>44.2666666666667</v>
      </c>
      <c r="D405" s="213" t="n">
        <v>45.9</v>
      </c>
      <c r="E405" s="213" t="n">
        <f aca="false">AVERAGEIFS($D$33:$D$1494,$A$33:$A$1494,A405)</f>
        <v>45.8166666666667</v>
      </c>
      <c r="F405" s="213" t="n">
        <v>10.2</v>
      </c>
      <c r="G405" s="213" t="n">
        <f aca="false">AVERAGEIFS($F$33:$F$1494,$A$33:$A$1494,A405)</f>
        <v>8.96666666666667</v>
      </c>
      <c r="H405" s="213" t="n">
        <v>9.3</v>
      </c>
      <c r="I405" s="213" t="n">
        <f aca="false">AVERAGEIFS($H$33:$H$1494,$A$33:$A$1494,A405)</f>
        <v>9.1</v>
      </c>
      <c r="L405" s="215" t="n">
        <v>40521</v>
      </c>
      <c r="M405" s="213" t="n">
        <v>44.2666666666667</v>
      </c>
      <c r="N405" s="213" t="n">
        <v>45.8166666666667</v>
      </c>
      <c r="O405" s="213" t="n">
        <v>8.96666666666667</v>
      </c>
      <c r="P405" s="213" t="n">
        <v>9.1</v>
      </c>
    </row>
    <row r="406" customFormat="false" ht="12.75" hidden="false" customHeight="false" outlineLevel="0" collapsed="false">
      <c r="A406" s="215" t="n">
        <v>40521</v>
      </c>
      <c r="B406" s="213" t="n">
        <v>44.3</v>
      </c>
      <c r="C406" s="213" t="n">
        <f aca="false">AVERAGEIFS($B$33:$B$1494,$A$33:$A$1494,A406)</f>
        <v>44.2666666666667</v>
      </c>
      <c r="D406" s="213" t="n">
        <v>45.8</v>
      </c>
      <c r="E406" s="213" t="n">
        <f aca="false">AVERAGEIFS($D$33:$D$1494,$A$33:$A$1494,A406)</f>
        <v>45.8166666666667</v>
      </c>
      <c r="F406" s="213" t="n">
        <v>9.9</v>
      </c>
      <c r="G406" s="213" t="n">
        <f aca="false">AVERAGEIFS($F$33:$F$1494,$A$33:$A$1494,A406)</f>
        <v>8.96666666666667</v>
      </c>
      <c r="H406" s="213" t="n">
        <v>9.3</v>
      </c>
      <c r="I406" s="213" t="n">
        <f aca="false">AVERAGEIFS($H$33:$H$1494,$A$33:$A$1494,A406)</f>
        <v>9.1</v>
      </c>
      <c r="L406" s="215" t="n">
        <v>40521</v>
      </c>
      <c r="M406" s="213" t="n">
        <v>44.2666666666667</v>
      </c>
      <c r="N406" s="213" t="n">
        <v>45.8166666666667</v>
      </c>
      <c r="O406" s="213" t="n">
        <v>8.96666666666667</v>
      </c>
      <c r="P406" s="213" t="n">
        <v>9.1</v>
      </c>
    </row>
    <row r="407" customFormat="false" ht="12.75" hidden="false" customHeight="false" outlineLevel="0" collapsed="false">
      <c r="A407" s="215" t="n">
        <v>40521</v>
      </c>
      <c r="B407" s="213" t="n">
        <v>44.3</v>
      </c>
      <c r="C407" s="213" t="n">
        <f aca="false">AVERAGEIFS($B$33:$B$1494,$A$33:$A$1494,A407)</f>
        <v>44.2666666666667</v>
      </c>
      <c r="D407" s="213" t="n">
        <v>45.8</v>
      </c>
      <c r="E407" s="213" t="n">
        <f aca="false">AVERAGEIFS($D$33:$D$1494,$A$33:$A$1494,A407)</f>
        <v>45.8166666666667</v>
      </c>
      <c r="F407" s="213" t="n">
        <v>9.1</v>
      </c>
      <c r="G407" s="213" t="n">
        <f aca="false">AVERAGEIFS($F$33:$F$1494,$A$33:$A$1494,A407)</f>
        <v>8.96666666666667</v>
      </c>
      <c r="H407" s="213" t="n">
        <v>9.3</v>
      </c>
      <c r="I407" s="213" t="n">
        <f aca="false">AVERAGEIFS($H$33:$H$1494,$A$33:$A$1494,A407)</f>
        <v>9.1</v>
      </c>
      <c r="L407" s="215" t="n">
        <v>40521</v>
      </c>
      <c r="M407" s="213" t="n">
        <v>44.2666666666667</v>
      </c>
      <c r="N407" s="213" t="n">
        <v>45.8166666666667</v>
      </c>
      <c r="O407" s="213" t="n">
        <v>8.96666666666667</v>
      </c>
      <c r="P407" s="213" t="n">
        <v>9.1</v>
      </c>
    </row>
    <row r="408" customFormat="false" ht="12.75" hidden="false" customHeight="false" outlineLevel="0" collapsed="false">
      <c r="A408" s="215" t="n">
        <v>40521</v>
      </c>
      <c r="B408" s="213" t="n">
        <v>44.3</v>
      </c>
      <c r="C408" s="213" t="n">
        <f aca="false">AVERAGEIFS($B$33:$B$1494,$A$33:$A$1494,A408)</f>
        <v>44.2666666666667</v>
      </c>
      <c r="D408" s="213" t="n">
        <v>45.8</v>
      </c>
      <c r="E408" s="213" t="n">
        <f aca="false">AVERAGEIFS($D$33:$D$1494,$A$33:$A$1494,A408)</f>
        <v>45.8166666666667</v>
      </c>
      <c r="F408" s="213" t="n">
        <v>8.4</v>
      </c>
      <c r="G408" s="213" t="n">
        <f aca="false">AVERAGEIFS($F$33:$F$1494,$A$33:$A$1494,A408)</f>
        <v>8.96666666666667</v>
      </c>
      <c r="H408" s="213" t="n">
        <v>9.1</v>
      </c>
      <c r="I408" s="213" t="n">
        <f aca="false">AVERAGEIFS($H$33:$H$1494,$A$33:$A$1494,A408)</f>
        <v>9.1</v>
      </c>
      <c r="L408" s="215" t="n">
        <v>40521</v>
      </c>
      <c r="M408" s="213" t="n">
        <v>44.2666666666667</v>
      </c>
      <c r="N408" s="213" t="n">
        <v>45.8166666666667</v>
      </c>
      <c r="O408" s="213" t="n">
        <v>8.96666666666667</v>
      </c>
      <c r="P408" s="213" t="n">
        <v>9.1</v>
      </c>
    </row>
    <row r="409" customFormat="false" ht="12.75" hidden="false" customHeight="false" outlineLevel="0" collapsed="false">
      <c r="A409" s="215" t="n">
        <v>40521</v>
      </c>
      <c r="B409" s="213" t="n">
        <v>44.2</v>
      </c>
      <c r="C409" s="213" t="n">
        <f aca="false">AVERAGEIFS($B$33:$B$1494,$A$33:$A$1494,A409)</f>
        <v>44.2666666666667</v>
      </c>
      <c r="D409" s="213" t="n">
        <v>45.8</v>
      </c>
      <c r="E409" s="213" t="n">
        <f aca="false">AVERAGEIFS($D$33:$D$1494,$A$33:$A$1494,A409)</f>
        <v>45.8166666666667</v>
      </c>
      <c r="F409" s="213" t="n">
        <v>8.3</v>
      </c>
      <c r="G409" s="213" t="n">
        <f aca="false">AVERAGEIFS($F$33:$F$1494,$A$33:$A$1494,A409)</f>
        <v>8.96666666666667</v>
      </c>
      <c r="H409" s="213" t="n">
        <v>8.9</v>
      </c>
      <c r="I409" s="213" t="n">
        <f aca="false">AVERAGEIFS($H$33:$H$1494,$A$33:$A$1494,A409)</f>
        <v>9.1</v>
      </c>
      <c r="L409" s="215" t="n">
        <v>40521</v>
      </c>
      <c r="M409" s="213" t="n">
        <v>44.2666666666667</v>
      </c>
      <c r="N409" s="213" t="n">
        <v>45.8166666666667</v>
      </c>
      <c r="O409" s="213" t="n">
        <v>8.96666666666667</v>
      </c>
      <c r="P409" s="213" t="n">
        <v>9.1</v>
      </c>
    </row>
    <row r="410" customFormat="false" ht="12.75" hidden="false" customHeight="false" outlineLevel="0" collapsed="false">
      <c r="A410" s="215" t="n">
        <v>40521</v>
      </c>
      <c r="B410" s="213" t="n">
        <v>44.2</v>
      </c>
      <c r="C410" s="213" t="n">
        <f aca="false">AVERAGEIFS($B$33:$B$1494,$A$33:$A$1494,A410)</f>
        <v>44.2666666666667</v>
      </c>
      <c r="D410" s="213" t="n">
        <v>45.8</v>
      </c>
      <c r="E410" s="213" t="n">
        <f aca="false">AVERAGEIFS($D$33:$D$1494,$A$33:$A$1494,A410)</f>
        <v>45.8166666666667</v>
      </c>
      <c r="F410" s="213" t="n">
        <v>7.9</v>
      </c>
      <c r="G410" s="213" t="n">
        <f aca="false">AVERAGEIFS($F$33:$F$1494,$A$33:$A$1494,A410)</f>
        <v>8.96666666666667</v>
      </c>
      <c r="H410" s="213" t="n">
        <v>8.7</v>
      </c>
      <c r="I410" s="213" t="n">
        <f aca="false">AVERAGEIFS($H$33:$H$1494,$A$33:$A$1494,A410)</f>
        <v>9.1</v>
      </c>
      <c r="L410" s="215" t="n">
        <v>40521</v>
      </c>
      <c r="M410" s="213" t="n">
        <v>44.2666666666667</v>
      </c>
      <c r="N410" s="213" t="n">
        <v>45.8166666666667</v>
      </c>
      <c r="O410" s="213" t="n">
        <v>8.96666666666667</v>
      </c>
      <c r="P410" s="213" t="n">
        <v>9.1</v>
      </c>
    </row>
    <row r="411" customFormat="false" ht="12.75" hidden="false" customHeight="false" outlineLevel="0" collapsed="false">
      <c r="A411" s="215" t="n">
        <v>40522</v>
      </c>
      <c r="B411" s="213" t="n">
        <v>44.4</v>
      </c>
      <c r="C411" s="213" t="n">
        <f aca="false">AVERAGEIFS($B$33:$B$1494,$A$33:$A$1494,A411)</f>
        <v>44.7166666666667</v>
      </c>
      <c r="D411" s="213" t="n">
        <v>45.8</v>
      </c>
      <c r="E411" s="213" t="n">
        <f aca="false">AVERAGEIFS($D$33:$D$1494,$A$33:$A$1494,A411)</f>
        <v>45.8</v>
      </c>
      <c r="F411" s="213" t="n">
        <v>7.2</v>
      </c>
      <c r="G411" s="213" t="n">
        <f aca="false">AVERAGEIFS($F$33:$F$1494,$A$33:$A$1494,A411)</f>
        <v>5.85</v>
      </c>
      <c r="H411" s="213" t="n">
        <v>8.5</v>
      </c>
      <c r="I411" s="213" t="n">
        <f aca="false">AVERAGEIFS($H$33:$H$1494,$A$33:$A$1494,A411)</f>
        <v>7.68333333333333</v>
      </c>
      <c r="L411" s="215" t="n">
        <v>40522</v>
      </c>
      <c r="M411" s="213" t="n">
        <v>44.7166666666667</v>
      </c>
      <c r="N411" s="213" t="n">
        <v>45.8</v>
      </c>
      <c r="O411" s="213" t="n">
        <v>5.85</v>
      </c>
      <c r="P411" s="213" t="n">
        <v>7.68333333333333</v>
      </c>
    </row>
    <row r="412" customFormat="false" ht="12.75" hidden="false" customHeight="false" outlineLevel="0" collapsed="false">
      <c r="A412" s="215" t="n">
        <v>40522</v>
      </c>
      <c r="B412" s="213" t="n">
        <v>44.4</v>
      </c>
      <c r="C412" s="213" t="n">
        <f aca="false">AVERAGEIFS($B$33:$B$1494,$A$33:$A$1494,A412)</f>
        <v>44.7166666666667</v>
      </c>
      <c r="D412" s="213" t="n">
        <v>45.8</v>
      </c>
      <c r="E412" s="213" t="n">
        <f aca="false">AVERAGEIFS($D$33:$D$1494,$A$33:$A$1494,A412)</f>
        <v>45.8</v>
      </c>
      <c r="F412" s="213" t="n">
        <v>6.4</v>
      </c>
      <c r="G412" s="213" t="n">
        <f aca="false">AVERAGEIFS($F$33:$F$1494,$A$33:$A$1494,A412)</f>
        <v>5.85</v>
      </c>
      <c r="H412" s="213" t="n">
        <v>8.2</v>
      </c>
      <c r="I412" s="213" t="n">
        <f aca="false">AVERAGEIFS($H$33:$H$1494,$A$33:$A$1494,A412)</f>
        <v>7.68333333333333</v>
      </c>
      <c r="L412" s="215" t="n">
        <v>40522</v>
      </c>
      <c r="M412" s="213" t="n">
        <v>44.7166666666667</v>
      </c>
      <c r="N412" s="213" t="n">
        <v>45.8</v>
      </c>
      <c r="O412" s="213" t="n">
        <v>5.85</v>
      </c>
      <c r="P412" s="213" t="n">
        <v>7.68333333333333</v>
      </c>
    </row>
    <row r="413" customFormat="false" ht="12.75" hidden="false" customHeight="false" outlineLevel="0" collapsed="false">
      <c r="A413" s="215" t="n">
        <v>40522</v>
      </c>
      <c r="B413" s="213" t="n">
        <v>44.6</v>
      </c>
      <c r="C413" s="213" t="n">
        <f aca="false">AVERAGEIFS($B$33:$B$1494,$A$33:$A$1494,A413)</f>
        <v>44.7166666666667</v>
      </c>
      <c r="D413" s="213" t="n">
        <v>45.8</v>
      </c>
      <c r="E413" s="213" t="n">
        <f aca="false">AVERAGEIFS($D$33:$D$1494,$A$33:$A$1494,A413)</f>
        <v>45.8</v>
      </c>
      <c r="F413" s="213" t="n">
        <v>5.5</v>
      </c>
      <c r="G413" s="213" t="n">
        <f aca="false">AVERAGEIFS($F$33:$F$1494,$A$33:$A$1494,A413)</f>
        <v>5.85</v>
      </c>
      <c r="H413" s="213" t="n">
        <v>7.8</v>
      </c>
      <c r="I413" s="213" t="n">
        <f aca="false">AVERAGEIFS($H$33:$H$1494,$A$33:$A$1494,A413)</f>
        <v>7.68333333333333</v>
      </c>
      <c r="L413" s="215" t="n">
        <v>40522</v>
      </c>
      <c r="M413" s="213" t="n">
        <v>44.7166666666667</v>
      </c>
      <c r="N413" s="213" t="n">
        <v>45.8</v>
      </c>
      <c r="O413" s="213" t="n">
        <v>5.85</v>
      </c>
      <c r="P413" s="213" t="n">
        <v>7.68333333333333</v>
      </c>
    </row>
    <row r="414" customFormat="false" ht="12.75" hidden="false" customHeight="false" outlineLevel="0" collapsed="false">
      <c r="A414" s="215" t="n">
        <v>40522</v>
      </c>
      <c r="B414" s="213" t="n">
        <v>44.9</v>
      </c>
      <c r="C414" s="213" t="n">
        <f aca="false">AVERAGEIFS($B$33:$B$1494,$A$33:$A$1494,A414)</f>
        <v>44.7166666666667</v>
      </c>
      <c r="D414" s="213" t="n">
        <v>45.8</v>
      </c>
      <c r="E414" s="213" t="n">
        <f aca="false">AVERAGEIFS($D$33:$D$1494,$A$33:$A$1494,A414)</f>
        <v>45.8</v>
      </c>
      <c r="F414" s="213" t="n">
        <v>5</v>
      </c>
      <c r="G414" s="213" t="n">
        <f aca="false">AVERAGEIFS($F$33:$F$1494,$A$33:$A$1494,A414)</f>
        <v>5.85</v>
      </c>
      <c r="H414" s="213" t="n">
        <v>7.5</v>
      </c>
      <c r="I414" s="213" t="n">
        <f aca="false">AVERAGEIFS($H$33:$H$1494,$A$33:$A$1494,A414)</f>
        <v>7.68333333333333</v>
      </c>
      <c r="L414" s="215" t="n">
        <v>40522</v>
      </c>
      <c r="M414" s="213" t="n">
        <v>44.7166666666667</v>
      </c>
      <c r="N414" s="213" t="n">
        <v>45.8</v>
      </c>
      <c r="O414" s="213" t="n">
        <v>5.85</v>
      </c>
      <c r="P414" s="213" t="n">
        <v>7.68333333333333</v>
      </c>
    </row>
    <row r="415" customFormat="false" ht="12.75" hidden="false" customHeight="false" outlineLevel="0" collapsed="false">
      <c r="A415" s="215" t="n">
        <v>40522</v>
      </c>
      <c r="B415" s="213" t="n">
        <v>45.1</v>
      </c>
      <c r="C415" s="213" t="n">
        <f aca="false">AVERAGEIFS($B$33:$B$1494,$A$33:$A$1494,A415)</f>
        <v>44.7166666666667</v>
      </c>
      <c r="D415" s="213" t="n">
        <v>45.8</v>
      </c>
      <c r="E415" s="213" t="n">
        <f aca="false">AVERAGEIFS($D$33:$D$1494,$A$33:$A$1494,A415)</f>
        <v>45.8</v>
      </c>
      <c r="F415" s="213" t="n">
        <v>5.5</v>
      </c>
      <c r="G415" s="213" t="n">
        <f aca="false">AVERAGEIFS($F$33:$F$1494,$A$33:$A$1494,A415)</f>
        <v>5.85</v>
      </c>
      <c r="H415" s="213" t="n">
        <v>7.1</v>
      </c>
      <c r="I415" s="213" t="n">
        <f aca="false">AVERAGEIFS($H$33:$H$1494,$A$33:$A$1494,A415)</f>
        <v>7.68333333333333</v>
      </c>
      <c r="L415" s="215" t="n">
        <v>40522</v>
      </c>
      <c r="M415" s="213" t="n">
        <v>44.7166666666667</v>
      </c>
      <c r="N415" s="213" t="n">
        <v>45.8</v>
      </c>
      <c r="O415" s="213" t="n">
        <v>5.85</v>
      </c>
      <c r="P415" s="213" t="n">
        <v>7.68333333333333</v>
      </c>
    </row>
    <row r="416" customFormat="false" ht="12.75" hidden="false" customHeight="false" outlineLevel="0" collapsed="false">
      <c r="A416" s="215" t="n">
        <v>40522</v>
      </c>
      <c r="B416" s="213" t="n">
        <v>44.9</v>
      </c>
      <c r="C416" s="213" t="n">
        <f aca="false">AVERAGEIFS($B$33:$B$1494,$A$33:$A$1494,A416)</f>
        <v>44.7166666666667</v>
      </c>
      <c r="D416" s="213" t="n">
        <v>45.8</v>
      </c>
      <c r="E416" s="213" t="n">
        <f aca="false">AVERAGEIFS($D$33:$D$1494,$A$33:$A$1494,A416)</f>
        <v>45.8</v>
      </c>
      <c r="F416" s="213" t="n">
        <v>5.5</v>
      </c>
      <c r="G416" s="213" t="n">
        <f aca="false">AVERAGEIFS($F$33:$F$1494,$A$33:$A$1494,A416)</f>
        <v>5.85</v>
      </c>
      <c r="H416" s="213" t="n">
        <v>7</v>
      </c>
      <c r="I416" s="213" t="n">
        <f aca="false">AVERAGEIFS($H$33:$H$1494,$A$33:$A$1494,A416)</f>
        <v>7.68333333333333</v>
      </c>
      <c r="L416" s="215" t="n">
        <v>40522</v>
      </c>
      <c r="M416" s="213" t="n">
        <v>44.7166666666667</v>
      </c>
      <c r="N416" s="213" t="n">
        <v>45.8</v>
      </c>
      <c r="O416" s="213" t="n">
        <v>5.85</v>
      </c>
      <c r="P416" s="213" t="n">
        <v>7.68333333333333</v>
      </c>
    </row>
    <row r="417" customFormat="false" ht="12.75" hidden="false" customHeight="false" outlineLevel="0" collapsed="false">
      <c r="A417" s="215" t="n">
        <v>40523</v>
      </c>
      <c r="B417" s="213" t="n">
        <v>45</v>
      </c>
      <c r="C417" s="213" t="n">
        <f aca="false">AVERAGEIFS($B$33:$B$1494,$A$33:$A$1494,A417)</f>
        <v>44.85</v>
      </c>
      <c r="D417" s="213" t="n">
        <v>45.8</v>
      </c>
      <c r="E417" s="213" t="n">
        <f aca="false">AVERAGEIFS($D$33:$D$1494,$A$33:$A$1494,A417)</f>
        <v>45.85</v>
      </c>
      <c r="F417" s="213" t="n">
        <v>4.8</v>
      </c>
      <c r="G417" s="213" t="n">
        <f aca="false">AVERAGEIFS($F$33:$F$1494,$A$33:$A$1494,A417)</f>
        <v>4.31666666666667</v>
      </c>
      <c r="H417" s="213" t="n">
        <v>6.9</v>
      </c>
      <c r="I417" s="213" t="n">
        <f aca="false">AVERAGEIFS($H$33:$H$1494,$A$33:$A$1494,A417)</f>
        <v>6.31666666666667</v>
      </c>
      <c r="L417" s="215" t="n">
        <v>40523</v>
      </c>
      <c r="M417" s="213" t="n">
        <v>44.85</v>
      </c>
      <c r="N417" s="213" t="n">
        <v>45.85</v>
      </c>
      <c r="O417" s="213" t="n">
        <v>4.31666666666667</v>
      </c>
      <c r="P417" s="213" t="n">
        <v>6.31666666666667</v>
      </c>
    </row>
    <row r="418" customFormat="false" ht="12.75" hidden="false" customHeight="false" outlineLevel="0" collapsed="false">
      <c r="A418" s="215" t="n">
        <v>40523</v>
      </c>
      <c r="B418" s="213" t="n">
        <v>44.5</v>
      </c>
      <c r="C418" s="213" t="n">
        <f aca="false">AVERAGEIFS($B$33:$B$1494,$A$33:$A$1494,A418)</f>
        <v>44.85</v>
      </c>
      <c r="D418" s="213" t="n">
        <v>46</v>
      </c>
      <c r="E418" s="213" t="n">
        <f aca="false">AVERAGEIFS($D$33:$D$1494,$A$33:$A$1494,A418)</f>
        <v>45.85</v>
      </c>
      <c r="F418" s="213" t="n">
        <v>4.3</v>
      </c>
      <c r="G418" s="213" t="n">
        <f aca="false">AVERAGEIFS($F$33:$F$1494,$A$33:$A$1494,A418)</f>
        <v>4.31666666666667</v>
      </c>
      <c r="H418" s="213" t="n">
        <v>6.7</v>
      </c>
      <c r="I418" s="213" t="n">
        <f aca="false">AVERAGEIFS($H$33:$H$1494,$A$33:$A$1494,A418)</f>
        <v>6.31666666666667</v>
      </c>
      <c r="L418" s="215" t="n">
        <v>40523</v>
      </c>
      <c r="M418" s="213" t="n">
        <v>44.85</v>
      </c>
      <c r="N418" s="213" t="n">
        <v>45.85</v>
      </c>
      <c r="O418" s="213" t="n">
        <v>4.31666666666667</v>
      </c>
      <c r="P418" s="213" t="n">
        <v>6.31666666666667</v>
      </c>
    </row>
    <row r="419" customFormat="false" ht="12.75" hidden="false" customHeight="false" outlineLevel="0" collapsed="false">
      <c r="A419" s="215" t="n">
        <v>40523</v>
      </c>
      <c r="B419" s="213" t="n">
        <v>44.8</v>
      </c>
      <c r="C419" s="213" t="n">
        <f aca="false">AVERAGEIFS($B$33:$B$1494,$A$33:$A$1494,A419)</f>
        <v>44.85</v>
      </c>
      <c r="D419" s="213" t="n">
        <v>45.9</v>
      </c>
      <c r="E419" s="213" t="n">
        <f aca="false">AVERAGEIFS($D$33:$D$1494,$A$33:$A$1494,A419)</f>
        <v>45.85</v>
      </c>
      <c r="F419" s="213" t="n">
        <v>3.8</v>
      </c>
      <c r="G419" s="213" t="n">
        <f aca="false">AVERAGEIFS($F$33:$F$1494,$A$33:$A$1494,A419)</f>
        <v>4.31666666666667</v>
      </c>
      <c r="H419" s="213" t="n">
        <v>6.4</v>
      </c>
      <c r="I419" s="213" t="n">
        <f aca="false">AVERAGEIFS($H$33:$H$1494,$A$33:$A$1494,A419)</f>
        <v>6.31666666666667</v>
      </c>
      <c r="L419" s="215" t="n">
        <v>40523</v>
      </c>
      <c r="M419" s="213" t="n">
        <v>44.85</v>
      </c>
      <c r="N419" s="213" t="n">
        <v>45.85</v>
      </c>
      <c r="O419" s="213" t="n">
        <v>4.31666666666667</v>
      </c>
      <c r="P419" s="213" t="n">
        <v>6.31666666666667</v>
      </c>
    </row>
    <row r="420" customFormat="false" ht="12.75" hidden="false" customHeight="false" outlineLevel="0" collapsed="false">
      <c r="A420" s="215" t="n">
        <v>40523</v>
      </c>
      <c r="B420" s="213" t="n">
        <v>44.6</v>
      </c>
      <c r="C420" s="213" t="n">
        <f aca="false">AVERAGEIFS($B$33:$B$1494,$A$33:$A$1494,A420)</f>
        <v>44.85</v>
      </c>
      <c r="D420" s="213" t="n">
        <v>46.1</v>
      </c>
      <c r="E420" s="213" t="n">
        <f aca="false">AVERAGEIFS($D$33:$D$1494,$A$33:$A$1494,A420)</f>
        <v>45.85</v>
      </c>
      <c r="F420" s="213" t="n">
        <v>3.6</v>
      </c>
      <c r="G420" s="213" t="n">
        <f aca="false">AVERAGEIFS($F$33:$F$1494,$A$33:$A$1494,A420)</f>
        <v>4.31666666666667</v>
      </c>
      <c r="H420" s="213" t="n">
        <v>6.1</v>
      </c>
      <c r="I420" s="213" t="n">
        <f aca="false">AVERAGEIFS($H$33:$H$1494,$A$33:$A$1494,A420)</f>
        <v>6.31666666666667</v>
      </c>
      <c r="L420" s="215" t="n">
        <v>40523</v>
      </c>
      <c r="M420" s="213" t="n">
        <v>44.85</v>
      </c>
      <c r="N420" s="213" t="n">
        <v>45.85</v>
      </c>
      <c r="O420" s="213" t="n">
        <v>4.31666666666667</v>
      </c>
      <c r="P420" s="213" t="n">
        <v>6.31666666666667</v>
      </c>
    </row>
    <row r="421" customFormat="false" ht="12.75" hidden="false" customHeight="false" outlineLevel="0" collapsed="false">
      <c r="A421" s="215" t="n">
        <v>40523</v>
      </c>
      <c r="B421" s="213" t="n">
        <v>44.6</v>
      </c>
      <c r="C421" s="213" t="n">
        <f aca="false">AVERAGEIFS($B$33:$B$1494,$A$33:$A$1494,A421)</f>
        <v>44.85</v>
      </c>
      <c r="D421" s="213" t="n">
        <v>45.7</v>
      </c>
      <c r="E421" s="213" t="n">
        <f aca="false">AVERAGEIFS($D$33:$D$1494,$A$33:$A$1494,A421)</f>
        <v>45.85</v>
      </c>
      <c r="F421" s="213" t="n">
        <v>4.6</v>
      </c>
      <c r="G421" s="213" t="n">
        <f aca="false">AVERAGEIFS($F$33:$F$1494,$A$33:$A$1494,A421)</f>
        <v>4.31666666666667</v>
      </c>
      <c r="H421" s="213" t="n">
        <v>5.9</v>
      </c>
      <c r="I421" s="213" t="n">
        <f aca="false">AVERAGEIFS($H$33:$H$1494,$A$33:$A$1494,A421)</f>
        <v>6.31666666666667</v>
      </c>
      <c r="L421" s="215" t="n">
        <v>40523</v>
      </c>
      <c r="M421" s="213" t="n">
        <v>44.85</v>
      </c>
      <c r="N421" s="213" t="n">
        <v>45.85</v>
      </c>
      <c r="O421" s="213" t="n">
        <v>4.31666666666667</v>
      </c>
      <c r="P421" s="213" t="n">
        <v>6.31666666666667</v>
      </c>
    </row>
    <row r="422" customFormat="false" ht="12.75" hidden="false" customHeight="false" outlineLevel="0" collapsed="false">
      <c r="A422" s="215" t="n">
        <v>40523</v>
      </c>
      <c r="B422" s="213" t="n">
        <v>45.6</v>
      </c>
      <c r="C422" s="213" t="n">
        <f aca="false">AVERAGEIFS($B$33:$B$1494,$A$33:$A$1494,A422)</f>
        <v>44.85</v>
      </c>
      <c r="D422" s="213" t="n">
        <v>45.6</v>
      </c>
      <c r="E422" s="213" t="n">
        <f aca="false">AVERAGEIFS($D$33:$D$1494,$A$33:$A$1494,A422)</f>
        <v>45.85</v>
      </c>
      <c r="F422" s="213" t="n">
        <v>4.8</v>
      </c>
      <c r="G422" s="213" t="n">
        <f aca="false">AVERAGEIFS($F$33:$F$1494,$A$33:$A$1494,A422)</f>
        <v>4.31666666666667</v>
      </c>
      <c r="H422" s="213" t="n">
        <v>5.9</v>
      </c>
      <c r="I422" s="213" t="n">
        <f aca="false">AVERAGEIFS($H$33:$H$1494,$A$33:$A$1494,A422)</f>
        <v>6.31666666666667</v>
      </c>
      <c r="L422" s="215" t="n">
        <v>40523</v>
      </c>
      <c r="M422" s="213" t="n">
        <v>44.85</v>
      </c>
      <c r="N422" s="213" t="n">
        <v>45.85</v>
      </c>
      <c r="O422" s="213" t="n">
        <v>4.31666666666667</v>
      </c>
      <c r="P422" s="213" t="n">
        <v>6.31666666666667</v>
      </c>
    </row>
    <row r="423" customFormat="false" ht="12.75" hidden="false" customHeight="false" outlineLevel="0" collapsed="false">
      <c r="A423" s="215" t="n">
        <v>40524</v>
      </c>
      <c r="B423" s="213" t="n">
        <v>45.3</v>
      </c>
      <c r="C423" s="213" t="n">
        <f aca="false">AVERAGEIFS($B$33:$B$1494,$A$33:$A$1494,A423)</f>
        <v>45</v>
      </c>
      <c r="D423" s="213" t="n">
        <v>45.6</v>
      </c>
      <c r="E423" s="213" t="n">
        <f aca="false">AVERAGEIFS($D$33:$D$1494,$A$33:$A$1494,A423)</f>
        <v>45.65</v>
      </c>
      <c r="F423" s="213" t="n">
        <v>4.4</v>
      </c>
      <c r="G423" s="213" t="n">
        <f aca="false">AVERAGEIFS($F$33:$F$1494,$A$33:$A$1494,A423)</f>
        <v>4.33333333333333</v>
      </c>
      <c r="H423" s="213" t="n">
        <v>6</v>
      </c>
      <c r="I423" s="213" t="n">
        <f aca="false">AVERAGEIFS($H$33:$H$1494,$A$33:$A$1494,A423)</f>
        <v>5.7</v>
      </c>
      <c r="L423" s="215" t="n">
        <v>40524</v>
      </c>
      <c r="M423" s="213" t="n">
        <v>45</v>
      </c>
      <c r="N423" s="213" t="n">
        <v>45.65</v>
      </c>
      <c r="O423" s="213" t="n">
        <v>4.33333333333333</v>
      </c>
      <c r="P423" s="213" t="n">
        <v>5.7</v>
      </c>
    </row>
    <row r="424" customFormat="false" ht="12.75" hidden="false" customHeight="false" outlineLevel="0" collapsed="false">
      <c r="A424" s="215" t="n">
        <v>40524</v>
      </c>
      <c r="B424" s="213" t="n">
        <v>45.1</v>
      </c>
      <c r="C424" s="213" t="n">
        <f aca="false">AVERAGEIFS($B$33:$B$1494,$A$33:$A$1494,A424)</f>
        <v>45</v>
      </c>
      <c r="D424" s="213" t="n">
        <v>45.7</v>
      </c>
      <c r="E424" s="213" t="n">
        <f aca="false">AVERAGEIFS($D$33:$D$1494,$A$33:$A$1494,A424)</f>
        <v>45.65</v>
      </c>
      <c r="F424" s="213" t="n">
        <v>4.1</v>
      </c>
      <c r="G424" s="213" t="n">
        <f aca="false">AVERAGEIFS($F$33:$F$1494,$A$33:$A$1494,A424)</f>
        <v>4.33333333333333</v>
      </c>
      <c r="H424" s="213" t="n">
        <v>5.9</v>
      </c>
      <c r="I424" s="213" t="n">
        <f aca="false">AVERAGEIFS($H$33:$H$1494,$A$33:$A$1494,A424)</f>
        <v>5.7</v>
      </c>
      <c r="L424" s="215" t="n">
        <v>40524</v>
      </c>
      <c r="M424" s="213" t="n">
        <v>45</v>
      </c>
      <c r="N424" s="213" t="n">
        <v>45.65</v>
      </c>
      <c r="O424" s="213" t="n">
        <v>4.33333333333333</v>
      </c>
      <c r="P424" s="213" t="n">
        <v>5.7</v>
      </c>
    </row>
    <row r="425" customFormat="false" ht="12.75" hidden="false" customHeight="false" outlineLevel="0" collapsed="false">
      <c r="A425" s="215" t="n">
        <v>40524</v>
      </c>
      <c r="B425" s="213" t="n">
        <v>45</v>
      </c>
      <c r="C425" s="213" t="n">
        <f aca="false">AVERAGEIFS($B$33:$B$1494,$A$33:$A$1494,A425)</f>
        <v>45</v>
      </c>
      <c r="D425" s="213" t="n">
        <v>45.6</v>
      </c>
      <c r="E425" s="213" t="n">
        <f aca="false">AVERAGEIFS($D$33:$D$1494,$A$33:$A$1494,A425)</f>
        <v>45.65</v>
      </c>
      <c r="F425" s="213" t="n">
        <v>3.7</v>
      </c>
      <c r="G425" s="213" t="n">
        <f aca="false">AVERAGEIFS($F$33:$F$1494,$A$33:$A$1494,A425)</f>
        <v>4.33333333333333</v>
      </c>
      <c r="H425" s="213" t="n">
        <v>5.7</v>
      </c>
      <c r="I425" s="213" t="n">
        <f aca="false">AVERAGEIFS($H$33:$H$1494,$A$33:$A$1494,A425)</f>
        <v>5.7</v>
      </c>
      <c r="L425" s="215" t="n">
        <v>40524</v>
      </c>
      <c r="M425" s="213" t="n">
        <v>45</v>
      </c>
      <c r="N425" s="213" t="n">
        <v>45.65</v>
      </c>
      <c r="O425" s="213" t="n">
        <v>4.33333333333333</v>
      </c>
      <c r="P425" s="213" t="n">
        <v>5.7</v>
      </c>
    </row>
    <row r="426" customFormat="false" ht="12.75" hidden="false" customHeight="false" outlineLevel="0" collapsed="false">
      <c r="A426" s="215" t="n">
        <v>40524</v>
      </c>
      <c r="B426" s="213" t="n">
        <v>44.8</v>
      </c>
      <c r="C426" s="213" t="n">
        <f aca="false">AVERAGEIFS($B$33:$B$1494,$A$33:$A$1494,A426)</f>
        <v>45</v>
      </c>
      <c r="D426" s="213" t="n">
        <v>45.8</v>
      </c>
      <c r="E426" s="213" t="n">
        <f aca="false">AVERAGEIFS($D$33:$D$1494,$A$33:$A$1494,A426)</f>
        <v>45.65</v>
      </c>
      <c r="F426" s="213" t="n">
        <v>3.6</v>
      </c>
      <c r="G426" s="213" t="n">
        <f aca="false">AVERAGEIFS($F$33:$F$1494,$A$33:$A$1494,A426)</f>
        <v>4.33333333333333</v>
      </c>
      <c r="H426" s="213" t="n">
        <v>5.5</v>
      </c>
      <c r="I426" s="213" t="n">
        <f aca="false">AVERAGEIFS($H$33:$H$1494,$A$33:$A$1494,A426)</f>
        <v>5.7</v>
      </c>
      <c r="L426" s="215" t="n">
        <v>40524</v>
      </c>
      <c r="M426" s="213" t="n">
        <v>45</v>
      </c>
      <c r="N426" s="213" t="n">
        <v>45.65</v>
      </c>
      <c r="O426" s="213" t="n">
        <v>4.33333333333333</v>
      </c>
      <c r="P426" s="213" t="n">
        <v>5.7</v>
      </c>
    </row>
    <row r="427" customFormat="false" ht="12.75" hidden="false" customHeight="false" outlineLevel="0" collapsed="false">
      <c r="A427" s="215" t="n">
        <v>40524</v>
      </c>
      <c r="B427" s="213" t="n">
        <v>44.9</v>
      </c>
      <c r="C427" s="213" t="n">
        <f aca="false">AVERAGEIFS($B$33:$B$1494,$A$33:$A$1494,A427)</f>
        <v>45</v>
      </c>
      <c r="D427" s="213" t="n">
        <v>45.7</v>
      </c>
      <c r="E427" s="213" t="n">
        <f aca="false">AVERAGEIFS($D$33:$D$1494,$A$33:$A$1494,A427)</f>
        <v>45.65</v>
      </c>
      <c r="F427" s="213" t="n">
        <v>4.9</v>
      </c>
      <c r="G427" s="213" t="n">
        <f aca="false">AVERAGEIFS($F$33:$F$1494,$A$33:$A$1494,A427)</f>
        <v>4.33333333333333</v>
      </c>
      <c r="H427" s="213" t="n">
        <v>5.5</v>
      </c>
      <c r="I427" s="213" t="n">
        <f aca="false">AVERAGEIFS($H$33:$H$1494,$A$33:$A$1494,A427)</f>
        <v>5.7</v>
      </c>
      <c r="L427" s="215" t="n">
        <v>40524</v>
      </c>
      <c r="M427" s="213" t="n">
        <v>45</v>
      </c>
      <c r="N427" s="213" t="n">
        <v>45.65</v>
      </c>
      <c r="O427" s="213" t="n">
        <v>4.33333333333333</v>
      </c>
      <c r="P427" s="213" t="n">
        <v>5.7</v>
      </c>
    </row>
    <row r="428" customFormat="false" ht="12.75" hidden="false" customHeight="false" outlineLevel="0" collapsed="false">
      <c r="A428" s="215" t="n">
        <v>40524</v>
      </c>
      <c r="B428" s="213" t="n">
        <v>44.9</v>
      </c>
      <c r="C428" s="213" t="n">
        <f aca="false">AVERAGEIFS($B$33:$B$1494,$A$33:$A$1494,A428)</f>
        <v>45</v>
      </c>
      <c r="D428" s="213" t="n">
        <v>45.5</v>
      </c>
      <c r="E428" s="213" t="n">
        <f aca="false">AVERAGEIFS($D$33:$D$1494,$A$33:$A$1494,A428)</f>
        <v>45.65</v>
      </c>
      <c r="F428" s="213" t="n">
        <v>5.3</v>
      </c>
      <c r="G428" s="213" t="n">
        <f aca="false">AVERAGEIFS($F$33:$F$1494,$A$33:$A$1494,A428)</f>
        <v>4.33333333333333</v>
      </c>
      <c r="H428" s="213" t="n">
        <v>5.6</v>
      </c>
      <c r="I428" s="213" t="n">
        <f aca="false">AVERAGEIFS($H$33:$H$1494,$A$33:$A$1494,A428)</f>
        <v>5.7</v>
      </c>
      <c r="L428" s="215" t="n">
        <v>40524</v>
      </c>
      <c r="M428" s="213" t="n">
        <v>45</v>
      </c>
      <c r="N428" s="213" t="n">
        <v>45.65</v>
      </c>
      <c r="O428" s="213" t="n">
        <v>4.33333333333333</v>
      </c>
      <c r="P428" s="213" t="n">
        <v>5.7</v>
      </c>
    </row>
    <row r="429" customFormat="false" ht="12.75" hidden="false" customHeight="false" outlineLevel="0" collapsed="false">
      <c r="A429" s="215" t="n">
        <v>40525</v>
      </c>
      <c r="B429" s="213" t="n">
        <v>44.8</v>
      </c>
      <c r="C429" s="213" t="n">
        <f aca="false">AVERAGEIFS($B$33:$B$1494,$A$33:$A$1494,A429)</f>
        <v>44.7</v>
      </c>
      <c r="D429" s="213" t="n">
        <v>45.5</v>
      </c>
      <c r="E429" s="213" t="n">
        <f aca="false">AVERAGEIFS($D$33:$D$1494,$A$33:$A$1494,A429)</f>
        <v>45.5833333333333</v>
      </c>
      <c r="F429" s="213" t="n">
        <v>4.9</v>
      </c>
      <c r="G429" s="213" t="n">
        <f aca="false">AVERAGEIFS($F$33:$F$1494,$A$33:$A$1494,A429)</f>
        <v>3.98333333333333</v>
      </c>
      <c r="H429" s="213" t="n">
        <v>5.8</v>
      </c>
      <c r="I429" s="213" t="n">
        <f aca="false">AVERAGEIFS($H$33:$H$1494,$A$33:$A$1494,A429)</f>
        <v>5.5</v>
      </c>
      <c r="L429" s="215" t="n">
        <v>40525</v>
      </c>
      <c r="M429" s="213" t="n">
        <v>44.7</v>
      </c>
      <c r="N429" s="213" t="n">
        <v>45.5833333333333</v>
      </c>
      <c r="O429" s="213" t="n">
        <v>3.98333333333333</v>
      </c>
      <c r="P429" s="213" t="n">
        <v>5.5</v>
      </c>
    </row>
    <row r="430" customFormat="false" ht="12.75" hidden="false" customHeight="false" outlineLevel="0" collapsed="false">
      <c r="A430" s="215" t="n">
        <v>40525</v>
      </c>
      <c r="B430" s="213" t="n">
        <v>44.9</v>
      </c>
      <c r="C430" s="213" t="n">
        <f aca="false">AVERAGEIFS($B$33:$B$1494,$A$33:$A$1494,A430)</f>
        <v>44.7</v>
      </c>
      <c r="D430" s="213" t="n">
        <v>45.6</v>
      </c>
      <c r="E430" s="213" t="n">
        <f aca="false">AVERAGEIFS($D$33:$D$1494,$A$33:$A$1494,A430)</f>
        <v>45.5833333333333</v>
      </c>
      <c r="F430" s="213" t="n">
        <v>4.3</v>
      </c>
      <c r="G430" s="213" t="n">
        <f aca="false">AVERAGEIFS($F$33:$F$1494,$A$33:$A$1494,A430)</f>
        <v>3.98333333333333</v>
      </c>
      <c r="H430" s="213" t="n">
        <v>5.8</v>
      </c>
      <c r="I430" s="213" t="n">
        <f aca="false">AVERAGEIFS($H$33:$H$1494,$A$33:$A$1494,A430)</f>
        <v>5.5</v>
      </c>
      <c r="L430" s="215" t="n">
        <v>40525</v>
      </c>
      <c r="M430" s="213" t="n">
        <v>44.7</v>
      </c>
      <c r="N430" s="213" t="n">
        <v>45.5833333333333</v>
      </c>
      <c r="O430" s="213" t="n">
        <v>3.98333333333333</v>
      </c>
      <c r="P430" s="213" t="n">
        <v>5.5</v>
      </c>
    </row>
    <row r="431" customFormat="false" ht="12.75" hidden="false" customHeight="false" outlineLevel="0" collapsed="false">
      <c r="A431" s="215" t="n">
        <v>40525</v>
      </c>
      <c r="B431" s="213" t="n">
        <v>44.8</v>
      </c>
      <c r="C431" s="213" t="n">
        <f aca="false">AVERAGEIFS($B$33:$B$1494,$A$33:$A$1494,A431)</f>
        <v>44.7</v>
      </c>
      <c r="D431" s="213" t="n">
        <v>45.6</v>
      </c>
      <c r="E431" s="213" t="n">
        <f aca="false">AVERAGEIFS($D$33:$D$1494,$A$33:$A$1494,A431)</f>
        <v>45.5833333333333</v>
      </c>
      <c r="F431" s="213" t="n">
        <v>3.6</v>
      </c>
      <c r="G431" s="213" t="n">
        <f aca="false">AVERAGEIFS($F$33:$F$1494,$A$33:$A$1494,A431)</f>
        <v>3.98333333333333</v>
      </c>
      <c r="H431" s="213" t="n">
        <v>5.6</v>
      </c>
      <c r="I431" s="213" t="n">
        <f aca="false">AVERAGEIFS($H$33:$H$1494,$A$33:$A$1494,A431)</f>
        <v>5.5</v>
      </c>
      <c r="L431" s="215" t="n">
        <v>40525</v>
      </c>
      <c r="M431" s="213" t="n">
        <v>44.7</v>
      </c>
      <c r="N431" s="213" t="n">
        <v>45.5833333333333</v>
      </c>
      <c r="O431" s="213" t="n">
        <v>3.98333333333333</v>
      </c>
      <c r="P431" s="213" t="n">
        <v>5.5</v>
      </c>
    </row>
    <row r="432" customFormat="false" ht="12.75" hidden="false" customHeight="false" outlineLevel="0" collapsed="false">
      <c r="A432" s="215" t="n">
        <v>40525</v>
      </c>
      <c r="B432" s="213" t="n">
        <v>44.6</v>
      </c>
      <c r="C432" s="213" t="n">
        <f aca="false">AVERAGEIFS($B$33:$B$1494,$A$33:$A$1494,A432)</f>
        <v>44.7</v>
      </c>
      <c r="D432" s="213" t="n">
        <v>45.6</v>
      </c>
      <c r="E432" s="213" t="n">
        <f aca="false">AVERAGEIFS($D$33:$D$1494,$A$33:$A$1494,A432)</f>
        <v>45.5833333333333</v>
      </c>
      <c r="F432" s="213" t="n">
        <v>3.3</v>
      </c>
      <c r="G432" s="213" t="n">
        <f aca="false">AVERAGEIFS($F$33:$F$1494,$A$33:$A$1494,A432)</f>
        <v>3.98333333333333</v>
      </c>
      <c r="H432" s="213" t="n">
        <v>5.4</v>
      </c>
      <c r="I432" s="213" t="n">
        <f aca="false">AVERAGEIFS($H$33:$H$1494,$A$33:$A$1494,A432)</f>
        <v>5.5</v>
      </c>
      <c r="L432" s="215" t="n">
        <v>40525</v>
      </c>
      <c r="M432" s="213" t="n">
        <v>44.7</v>
      </c>
      <c r="N432" s="213" t="n">
        <v>45.5833333333333</v>
      </c>
      <c r="O432" s="213" t="n">
        <v>3.98333333333333</v>
      </c>
      <c r="P432" s="213" t="n">
        <v>5.5</v>
      </c>
    </row>
    <row r="433" customFormat="false" ht="12.75" hidden="false" customHeight="false" outlineLevel="0" collapsed="false">
      <c r="A433" s="215" t="n">
        <v>40525</v>
      </c>
      <c r="B433" s="213" t="n">
        <v>44.5</v>
      </c>
      <c r="C433" s="213" t="n">
        <f aca="false">AVERAGEIFS($B$33:$B$1494,$A$33:$A$1494,A433)</f>
        <v>44.7</v>
      </c>
      <c r="D433" s="213" t="n">
        <v>45.6</v>
      </c>
      <c r="E433" s="213" t="n">
        <f aca="false">AVERAGEIFS($D$33:$D$1494,$A$33:$A$1494,A433)</f>
        <v>45.5833333333333</v>
      </c>
      <c r="F433" s="213" t="n">
        <v>3.8</v>
      </c>
      <c r="G433" s="213" t="n">
        <f aca="false">AVERAGEIFS($F$33:$F$1494,$A$33:$A$1494,A433)</f>
        <v>3.98333333333333</v>
      </c>
      <c r="H433" s="213" t="n">
        <v>5.2</v>
      </c>
      <c r="I433" s="213" t="n">
        <f aca="false">AVERAGEIFS($H$33:$H$1494,$A$33:$A$1494,A433)</f>
        <v>5.5</v>
      </c>
      <c r="L433" s="215" t="n">
        <v>40525</v>
      </c>
      <c r="M433" s="213" t="n">
        <v>44.7</v>
      </c>
      <c r="N433" s="213" t="n">
        <v>45.5833333333333</v>
      </c>
      <c r="O433" s="213" t="n">
        <v>3.98333333333333</v>
      </c>
      <c r="P433" s="213" t="n">
        <v>5.5</v>
      </c>
    </row>
    <row r="434" customFormat="false" ht="12.75" hidden="false" customHeight="false" outlineLevel="0" collapsed="false">
      <c r="A434" s="215" t="n">
        <v>40525</v>
      </c>
      <c r="B434" s="213" t="n">
        <v>44.6</v>
      </c>
      <c r="C434" s="213" t="n">
        <f aca="false">AVERAGEIFS($B$33:$B$1494,$A$33:$A$1494,A434)</f>
        <v>44.7</v>
      </c>
      <c r="D434" s="213" t="n">
        <v>45.6</v>
      </c>
      <c r="E434" s="213" t="n">
        <f aca="false">AVERAGEIFS($D$33:$D$1494,$A$33:$A$1494,A434)</f>
        <v>45.5833333333333</v>
      </c>
      <c r="F434" s="213" t="n">
        <v>4</v>
      </c>
      <c r="G434" s="213" t="n">
        <f aca="false">AVERAGEIFS($F$33:$F$1494,$A$33:$A$1494,A434)</f>
        <v>3.98333333333333</v>
      </c>
      <c r="H434" s="213" t="n">
        <v>5.2</v>
      </c>
      <c r="I434" s="213" t="n">
        <f aca="false">AVERAGEIFS($H$33:$H$1494,$A$33:$A$1494,A434)</f>
        <v>5.5</v>
      </c>
      <c r="L434" s="215" t="n">
        <v>40525</v>
      </c>
      <c r="M434" s="213" t="n">
        <v>44.7</v>
      </c>
      <c r="N434" s="213" t="n">
        <v>45.5833333333333</v>
      </c>
      <c r="O434" s="213" t="n">
        <v>3.98333333333333</v>
      </c>
      <c r="P434" s="213" t="n">
        <v>5.5</v>
      </c>
    </row>
    <row r="435" customFormat="false" ht="12.75" hidden="false" customHeight="false" outlineLevel="0" collapsed="false">
      <c r="A435" s="215" t="n">
        <v>40526</v>
      </c>
      <c r="B435" s="213" t="n">
        <v>44.7</v>
      </c>
      <c r="C435" s="213" t="n">
        <f aca="false">AVERAGEIFS($B$33:$B$1494,$A$33:$A$1494,A435)</f>
        <v>44.4666666666667</v>
      </c>
      <c r="D435" s="213" t="n">
        <v>45.8</v>
      </c>
      <c r="E435" s="213" t="n">
        <f aca="false">AVERAGEIFS($D$33:$D$1494,$A$33:$A$1494,A435)</f>
        <v>45.5833333333333</v>
      </c>
      <c r="F435" s="213" t="n">
        <v>3.7</v>
      </c>
      <c r="G435" s="213" t="n">
        <f aca="false">AVERAGEIFS($F$33:$F$1494,$A$33:$A$1494,A435)</f>
        <v>3.2</v>
      </c>
      <c r="H435" s="213" t="n">
        <v>5.2</v>
      </c>
      <c r="I435" s="213" t="n">
        <f aca="false">AVERAGEIFS($H$33:$H$1494,$A$33:$A$1494,A435)</f>
        <v>4.85</v>
      </c>
      <c r="L435" s="215" t="n">
        <v>40526</v>
      </c>
      <c r="M435" s="213" t="n">
        <v>44.4666666666667</v>
      </c>
      <c r="N435" s="213" t="n">
        <v>45.5833333333333</v>
      </c>
      <c r="O435" s="213" t="n">
        <v>3.2</v>
      </c>
      <c r="P435" s="213" t="n">
        <v>4.85</v>
      </c>
    </row>
    <row r="436" customFormat="false" ht="12.75" hidden="false" customHeight="false" outlineLevel="0" collapsed="false">
      <c r="A436" s="215" t="n">
        <v>40526</v>
      </c>
      <c r="B436" s="213" t="n">
        <v>44.7</v>
      </c>
      <c r="C436" s="213" t="n">
        <f aca="false">AVERAGEIFS($B$33:$B$1494,$A$33:$A$1494,A436)</f>
        <v>44.4666666666667</v>
      </c>
      <c r="D436" s="213" t="n">
        <v>45.7</v>
      </c>
      <c r="E436" s="213" t="n">
        <f aca="false">AVERAGEIFS($D$33:$D$1494,$A$33:$A$1494,A436)</f>
        <v>45.5833333333333</v>
      </c>
      <c r="F436" s="213" t="n">
        <v>3.3</v>
      </c>
      <c r="G436" s="213" t="n">
        <f aca="false">AVERAGEIFS($F$33:$F$1494,$A$33:$A$1494,A436)</f>
        <v>3.2</v>
      </c>
      <c r="H436" s="213" t="n">
        <v>5.1</v>
      </c>
      <c r="I436" s="213" t="n">
        <f aca="false">AVERAGEIFS($H$33:$H$1494,$A$33:$A$1494,A436)</f>
        <v>4.85</v>
      </c>
      <c r="L436" s="215" t="n">
        <v>40526</v>
      </c>
      <c r="M436" s="213" t="n">
        <v>44.4666666666667</v>
      </c>
      <c r="N436" s="213" t="n">
        <v>45.5833333333333</v>
      </c>
      <c r="O436" s="213" t="n">
        <v>3.2</v>
      </c>
      <c r="P436" s="213" t="n">
        <v>4.85</v>
      </c>
    </row>
    <row r="437" customFormat="false" ht="12.75" hidden="false" customHeight="false" outlineLevel="0" collapsed="false">
      <c r="A437" s="215" t="n">
        <v>40526</v>
      </c>
      <c r="B437" s="213" t="n">
        <v>44.3</v>
      </c>
      <c r="C437" s="213" t="n">
        <f aca="false">AVERAGEIFS($B$33:$B$1494,$A$33:$A$1494,A437)</f>
        <v>44.4666666666667</v>
      </c>
      <c r="D437" s="213" t="n">
        <v>45.5</v>
      </c>
      <c r="E437" s="213" t="n">
        <f aca="false">AVERAGEIFS($D$33:$D$1494,$A$33:$A$1494,A437)</f>
        <v>45.5833333333333</v>
      </c>
      <c r="F437" s="213" t="n">
        <v>2.9</v>
      </c>
      <c r="G437" s="213" t="n">
        <f aca="false">AVERAGEIFS($F$33:$F$1494,$A$33:$A$1494,A437)</f>
        <v>3.2</v>
      </c>
      <c r="H437" s="213" t="n">
        <v>4.9</v>
      </c>
      <c r="I437" s="213" t="n">
        <f aca="false">AVERAGEIFS($H$33:$H$1494,$A$33:$A$1494,A437)</f>
        <v>4.85</v>
      </c>
      <c r="L437" s="215" t="n">
        <v>40526</v>
      </c>
      <c r="M437" s="213" t="n">
        <v>44.4666666666667</v>
      </c>
      <c r="N437" s="213" t="n">
        <v>45.5833333333333</v>
      </c>
      <c r="O437" s="213" t="n">
        <v>3.2</v>
      </c>
      <c r="P437" s="213" t="n">
        <v>4.85</v>
      </c>
    </row>
    <row r="438" customFormat="false" ht="12.75" hidden="false" customHeight="false" outlineLevel="0" collapsed="false">
      <c r="A438" s="215" t="n">
        <v>40526</v>
      </c>
      <c r="B438" s="213" t="n">
        <v>44.3</v>
      </c>
      <c r="C438" s="213" t="n">
        <f aca="false">AVERAGEIFS($B$33:$B$1494,$A$33:$A$1494,A438)</f>
        <v>44.4666666666667</v>
      </c>
      <c r="D438" s="213" t="n">
        <v>45.5</v>
      </c>
      <c r="E438" s="213" t="n">
        <f aca="false">AVERAGEIFS($D$33:$D$1494,$A$33:$A$1494,A438)</f>
        <v>45.5833333333333</v>
      </c>
      <c r="F438" s="213" t="n">
        <v>2.8</v>
      </c>
      <c r="G438" s="213" t="n">
        <f aca="false">AVERAGEIFS($F$33:$F$1494,$A$33:$A$1494,A438)</f>
        <v>3.2</v>
      </c>
      <c r="H438" s="213" t="n">
        <v>4.7</v>
      </c>
      <c r="I438" s="213" t="n">
        <f aca="false">AVERAGEIFS($H$33:$H$1494,$A$33:$A$1494,A438)</f>
        <v>4.85</v>
      </c>
      <c r="L438" s="215" t="n">
        <v>40526</v>
      </c>
      <c r="M438" s="213" t="n">
        <v>44.4666666666667</v>
      </c>
      <c r="N438" s="213" t="n">
        <v>45.5833333333333</v>
      </c>
      <c r="O438" s="213" t="n">
        <v>3.2</v>
      </c>
      <c r="P438" s="213" t="n">
        <v>4.85</v>
      </c>
    </row>
    <row r="439" customFormat="false" ht="12.75" hidden="false" customHeight="false" outlineLevel="0" collapsed="false">
      <c r="A439" s="215" t="n">
        <v>40526</v>
      </c>
      <c r="B439" s="213" t="n">
        <v>44.4</v>
      </c>
      <c r="C439" s="213" t="n">
        <f aca="false">AVERAGEIFS($B$33:$B$1494,$A$33:$A$1494,A439)</f>
        <v>44.4666666666667</v>
      </c>
      <c r="D439" s="213" t="n">
        <v>45.5</v>
      </c>
      <c r="E439" s="213" t="n">
        <f aca="false">AVERAGEIFS($D$33:$D$1494,$A$33:$A$1494,A439)</f>
        <v>45.5833333333333</v>
      </c>
      <c r="F439" s="213" t="n">
        <v>3.2</v>
      </c>
      <c r="G439" s="213" t="n">
        <f aca="false">AVERAGEIFS($F$33:$F$1494,$A$33:$A$1494,A439)</f>
        <v>3.2</v>
      </c>
      <c r="H439" s="213" t="n">
        <v>4.6</v>
      </c>
      <c r="I439" s="213" t="n">
        <f aca="false">AVERAGEIFS($H$33:$H$1494,$A$33:$A$1494,A439)</f>
        <v>4.85</v>
      </c>
      <c r="L439" s="215" t="n">
        <v>40526</v>
      </c>
      <c r="M439" s="213" t="n">
        <v>44.4666666666667</v>
      </c>
      <c r="N439" s="213" t="n">
        <v>45.5833333333333</v>
      </c>
      <c r="O439" s="213" t="n">
        <v>3.2</v>
      </c>
      <c r="P439" s="213" t="n">
        <v>4.85</v>
      </c>
    </row>
    <row r="440" customFormat="false" ht="12.75" hidden="false" customHeight="false" outlineLevel="0" collapsed="false">
      <c r="A440" s="215" t="n">
        <v>40526</v>
      </c>
      <c r="B440" s="213" t="n">
        <v>44.4</v>
      </c>
      <c r="C440" s="213" t="n">
        <f aca="false">AVERAGEIFS($B$33:$B$1494,$A$33:$A$1494,A440)</f>
        <v>44.4666666666667</v>
      </c>
      <c r="D440" s="213" t="n">
        <v>45.5</v>
      </c>
      <c r="E440" s="213" t="n">
        <f aca="false">AVERAGEIFS($D$33:$D$1494,$A$33:$A$1494,A440)</f>
        <v>45.5833333333333</v>
      </c>
      <c r="F440" s="213" t="n">
        <v>3.3</v>
      </c>
      <c r="G440" s="213" t="n">
        <f aca="false">AVERAGEIFS($F$33:$F$1494,$A$33:$A$1494,A440)</f>
        <v>3.2</v>
      </c>
      <c r="H440" s="213" t="n">
        <v>4.6</v>
      </c>
      <c r="I440" s="213" t="n">
        <f aca="false">AVERAGEIFS($H$33:$H$1494,$A$33:$A$1494,A440)</f>
        <v>4.85</v>
      </c>
      <c r="L440" s="215" t="n">
        <v>40526</v>
      </c>
      <c r="M440" s="213" t="n">
        <v>44.4666666666667</v>
      </c>
      <c r="N440" s="213" t="n">
        <v>45.5833333333333</v>
      </c>
      <c r="O440" s="213" t="n">
        <v>3.2</v>
      </c>
      <c r="P440" s="213" t="n">
        <v>4.85</v>
      </c>
    </row>
    <row r="441" customFormat="false" ht="12.75" hidden="false" customHeight="false" outlineLevel="0" collapsed="false">
      <c r="A441" s="215" t="n">
        <v>40527</v>
      </c>
      <c r="B441" s="213" t="n">
        <v>44.4</v>
      </c>
      <c r="C441" s="213" t="n">
        <f aca="false">AVERAGEIFS($B$33:$B$1494,$A$33:$A$1494,A441)</f>
        <v>44.6333333333333</v>
      </c>
      <c r="D441" s="213" t="n">
        <v>45.5</v>
      </c>
      <c r="E441" s="213" t="n">
        <f aca="false">AVERAGEIFS($D$33:$D$1494,$A$33:$A$1494,A441)</f>
        <v>45.5</v>
      </c>
      <c r="F441" s="213" t="n">
        <v>3.1</v>
      </c>
      <c r="G441" s="213" t="n">
        <f aca="false">AVERAGEIFS($F$33:$F$1494,$A$33:$A$1494,A441)</f>
        <v>2.51666666666667</v>
      </c>
      <c r="H441" s="213" t="n">
        <v>4.6</v>
      </c>
      <c r="I441" s="213" t="n">
        <f aca="false">AVERAGEIFS($H$33:$H$1494,$A$33:$A$1494,A441)</f>
        <v>4.35</v>
      </c>
      <c r="L441" s="215" t="n">
        <v>40527</v>
      </c>
      <c r="M441" s="213" t="n">
        <v>44.6333333333333</v>
      </c>
      <c r="N441" s="213" t="n">
        <v>45.5</v>
      </c>
      <c r="O441" s="213" t="n">
        <v>2.51666666666667</v>
      </c>
      <c r="P441" s="213" t="n">
        <v>4.35</v>
      </c>
    </row>
    <row r="442" customFormat="false" ht="12.75" hidden="false" customHeight="false" outlineLevel="0" collapsed="false">
      <c r="A442" s="215" t="n">
        <v>40527</v>
      </c>
      <c r="B442" s="213" t="n">
        <v>44.5</v>
      </c>
      <c r="C442" s="213" t="n">
        <f aca="false">AVERAGEIFS($B$33:$B$1494,$A$33:$A$1494,A442)</f>
        <v>44.6333333333333</v>
      </c>
      <c r="D442" s="213" t="n">
        <v>45.5</v>
      </c>
      <c r="E442" s="213" t="n">
        <f aca="false">AVERAGEIFS($D$33:$D$1494,$A$33:$A$1494,A442)</f>
        <v>45.5</v>
      </c>
      <c r="F442" s="213" t="n">
        <v>2.7</v>
      </c>
      <c r="G442" s="213" t="n">
        <f aca="false">AVERAGEIFS($F$33:$F$1494,$A$33:$A$1494,A442)</f>
        <v>2.51666666666667</v>
      </c>
      <c r="H442" s="213" t="n">
        <v>4.5</v>
      </c>
      <c r="I442" s="213" t="n">
        <f aca="false">AVERAGEIFS($H$33:$H$1494,$A$33:$A$1494,A442)</f>
        <v>4.35</v>
      </c>
      <c r="L442" s="215" t="n">
        <v>40527</v>
      </c>
      <c r="M442" s="213" t="n">
        <v>44.6333333333333</v>
      </c>
      <c r="N442" s="213" t="n">
        <v>45.5</v>
      </c>
      <c r="O442" s="213" t="n">
        <v>2.51666666666667</v>
      </c>
      <c r="P442" s="213" t="n">
        <v>4.35</v>
      </c>
    </row>
    <row r="443" customFormat="false" ht="12.75" hidden="false" customHeight="false" outlineLevel="0" collapsed="false">
      <c r="A443" s="215" t="n">
        <v>40527</v>
      </c>
      <c r="B443" s="213" t="n">
        <v>44.5</v>
      </c>
      <c r="C443" s="213" t="n">
        <f aca="false">AVERAGEIFS($B$33:$B$1494,$A$33:$A$1494,A443)</f>
        <v>44.6333333333333</v>
      </c>
      <c r="D443" s="213" t="n">
        <v>45.5</v>
      </c>
      <c r="E443" s="213" t="n">
        <f aca="false">AVERAGEIFS($D$33:$D$1494,$A$33:$A$1494,A443)</f>
        <v>45.5</v>
      </c>
      <c r="F443" s="213" t="n">
        <v>2.5</v>
      </c>
      <c r="G443" s="213" t="n">
        <f aca="false">AVERAGEIFS($F$33:$F$1494,$A$33:$A$1494,A443)</f>
        <v>2.51666666666667</v>
      </c>
      <c r="H443" s="213" t="n">
        <v>4.4</v>
      </c>
      <c r="I443" s="213" t="n">
        <f aca="false">AVERAGEIFS($H$33:$H$1494,$A$33:$A$1494,A443)</f>
        <v>4.35</v>
      </c>
      <c r="L443" s="215" t="n">
        <v>40527</v>
      </c>
      <c r="M443" s="213" t="n">
        <v>44.6333333333333</v>
      </c>
      <c r="N443" s="213" t="n">
        <v>45.5</v>
      </c>
      <c r="O443" s="213" t="n">
        <v>2.51666666666667</v>
      </c>
      <c r="P443" s="213" t="n">
        <v>4.35</v>
      </c>
    </row>
    <row r="444" customFormat="false" ht="12.75" hidden="false" customHeight="false" outlineLevel="0" collapsed="false">
      <c r="A444" s="215" t="n">
        <v>40527</v>
      </c>
      <c r="B444" s="213" t="n">
        <v>44.5</v>
      </c>
      <c r="C444" s="213" t="n">
        <f aca="false">AVERAGEIFS($B$33:$B$1494,$A$33:$A$1494,A444)</f>
        <v>44.6333333333333</v>
      </c>
      <c r="D444" s="213" t="n">
        <v>45.5</v>
      </c>
      <c r="E444" s="213" t="n">
        <f aca="false">AVERAGEIFS($D$33:$D$1494,$A$33:$A$1494,A444)</f>
        <v>45.5</v>
      </c>
      <c r="F444" s="213" t="n">
        <v>2.3</v>
      </c>
      <c r="G444" s="213" t="n">
        <f aca="false">AVERAGEIFS($F$33:$F$1494,$A$33:$A$1494,A444)</f>
        <v>2.51666666666667</v>
      </c>
      <c r="H444" s="213" t="n">
        <v>4.3</v>
      </c>
      <c r="I444" s="213" t="n">
        <f aca="false">AVERAGEIFS($H$33:$H$1494,$A$33:$A$1494,A444)</f>
        <v>4.35</v>
      </c>
      <c r="L444" s="215" t="n">
        <v>40527</v>
      </c>
      <c r="M444" s="213" t="n">
        <v>44.6333333333333</v>
      </c>
      <c r="N444" s="213" t="n">
        <v>45.5</v>
      </c>
      <c r="O444" s="213" t="n">
        <v>2.51666666666667</v>
      </c>
      <c r="P444" s="213" t="n">
        <v>4.35</v>
      </c>
    </row>
    <row r="445" customFormat="false" ht="12.75" hidden="false" customHeight="false" outlineLevel="0" collapsed="false">
      <c r="A445" s="215" t="n">
        <v>40527</v>
      </c>
      <c r="B445" s="213" t="n">
        <v>44.5</v>
      </c>
      <c r="C445" s="213" t="n">
        <f aca="false">AVERAGEIFS($B$33:$B$1494,$A$33:$A$1494,A445)</f>
        <v>44.6333333333333</v>
      </c>
      <c r="D445" s="213" t="n">
        <v>45.5</v>
      </c>
      <c r="E445" s="213" t="n">
        <f aca="false">AVERAGEIFS($D$33:$D$1494,$A$33:$A$1494,A445)</f>
        <v>45.5</v>
      </c>
      <c r="F445" s="213" t="n">
        <v>2.3</v>
      </c>
      <c r="G445" s="213" t="n">
        <f aca="false">AVERAGEIFS($F$33:$F$1494,$A$33:$A$1494,A445)</f>
        <v>2.51666666666667</v>
      </c>
      <c r="H445" s="213" t="n">
        <v>4.2</v>
      </c>
      <c r="I445" s="213" t="n">
        <f aca="false">AVERAGEIFS($H$33:$H$1494,$A$33:$A$1494,A445)</f>
        <v>4.35</v>
      </c>
      <c r="L445" s="215" t="n">
        <v>40527</v>
      </c>
      <c r="M445" s="213" t="n">
        <v>44.6333333333333</v>
      </c>
      <c r="N445" s="213" t="n">
        <v>45.5</v>
      </c>
      <c r="O445" s="213" t="n">
        <v>2.51666666666667</v>
      </c>
      <c r="P445" s="213" t="n">
        <v>4.35</v>
      </c>
    </row>
    <row r="446" customFormat="false" ht="12.75" hidden="false" customHeight="false" outlineLevel="0" collapsed="false">
      <c r="A446" s="215" t="n">
        <v>40527</v>
      </c>
      <c r="B446" s="213" t="n">
        <v>45.4</v>
      </c>
      <c r="C446" s="213" t="n">
        <f aca="false">AVERAGEIFS($B$33:$B$1494,$A$33:$A$1494,A446)</f>
        <v>44.6333333333333</v>
      </c>
      <c r="D446" s="213" t="n">
        <v>45.5</v>
      </c>
      <c r="E446" s="213" t="n">
        <f aca="false">AVERAGEIFS($D$33:$D$1494,$A$33:$A$1494,A446)</f>
        <v>45.5</v>
      </c>
      <c r="F446" s="213" t="n">
        <v>2.2</v>
      </c>
      <c r="G446" s="213" t="n">
        <f aca="false">AVERAGEIFS($F$33:$F$1494,$A$33:$A$1494,A446)</f>
        <v>2.51666666666667</v>
      </c>
      <c r="H446" s="213" t="n">
        <v>4.1</v>
      </c>
      <c r="I446" s="213" t="n">
        <f aca="false">AVERAGEIFS($H$33:$H$1494,$A$33:$A$1494,A446)</f>
        <v>4.35</v>
      </c>
      <c r="L446" s="215" t="n">
        <v>40527</v>
      </c>
      <c r="M446" s="213" t="n">
        <v>44.6333333333333</v>
      </c>
      <c r="N446" s="213" t="n">
        <v>45.5</v>
      </c>
      <c r="O446" s="213" t="n">
        <v>2.51666666666667</v>
      </c>
      <c r="P446" s="213" t="n">
        <v>4.35</v>
      </c>
    </row>
    <row r="447" customFormat="false" ht="12.75" hidden="false" customHeight="false" outlineLevel="0" collapsed="false">
      <c r="A447" s="215" t="n">
        <v>40528</v>
      </c>
      <c r="B447" s="213" t="n">
        <v>44.6</v>
      </c>
      <c r="C447" s="213" t="n">
        <f aca="false">AVERAGEIFS($B$33:$B$1494,$A$33:$A$1494,A447)</f>
        <v>44.55</v>
      </c>
      <c r="D447" s="213" t="n">
        <v>45.5</v>
      </c>
      <c r="E447" s="213" t="n">
        <f aca="false">AVERAGEIFS($D$33:$D$1494,$A$33:$A$1494,A447)</f>
        <v>45.5166666666667</v>
      </c>
      <c r="F447" s="213" t="n">
        <v>2.1</v>
      </c>
      <c r="G447" s="213" t="n">
        <f aca="false">AVERAGEIFS($F$33:$F$1494,$A$33:$A$1494,A447)</f>
        <v>1.91666666666667</v>
      </c>
      <c r="H447" s="213" t="n">
        <v>4</v>
      </c>
      <c r="I447" s="213" t="n">
        <f aca="false">AVERAGEIFS($H$33:$H$1494,$A$33:$A$1494,A447)</f>
        <v>3.78333333333333</v>
      </c>
      <c r="L447" s="215" t="n">
        <v>40528</v>
      </c>
      <c r="M447" s="213" t="n">
        <v>44.55</v>
      </c>
      <c r="N447" s="213" t="n">
        <v>45.5166666666667</v>
      </c>
      <c r="O447" s="213" t="n">
        <v>1.91666666666667</v>
      </c>
      <c r="P447" s="213" t="n">
        <v>3.78333333333333</v>
      </c>
    </row>
    <row r="448" customFormat="false" ht="12.75" hidden="false" customHeight="false" outlineLevel="0" collapsed="false">
      <c r="A448" s="215" t="n">
        <v>40528</v>
      </c>
      <c r="B448" s="213" t="n">
        <v>44.4</v>
      </c>
      <c r="C448" s="213" t="n">
        <f aca="false">AVERAGEIFS($B$33:$B$1494,$A$33:$A$1494,A448)</f>
        <v>44.55</v>
      </c>
      <c r="D448" s="213" t="n">
        <v>45.6</v>
      </c>
      <c r="E448" s="213" t="n">
        <f aca="false">AVERAGEIFS($D$33:$D$1494,$A$33:$A$1494,A448)</f>
        <v>45.5166666666667</v>
      </c>
      <c r="F448" s="213" t="n">
        <v>1.9</v>
      </c>
      <c r="G448" s="213" t="n">
        <f aca="false">AVERAGEIFS($F$33:$F$1494,$A$33:$A$1494,A448)</f>
        <v>1.91666666666667</v>
      </c>
      <c r="H448" s="213" t="n">
        <v>3.9</v>
      </c>
      <c r="I448" s="213" t="n">
        <f aca="false">AVERAGEIFS($H$33:$H$1494,$A$33:$A$1494,A448)</f>
        <v>3.78333333333333</v>
      </c>
      <c r="L448" s="215" t="n">
        <v>40528</v>
      </c>
      <c r="M448" s="213" t="n">
        <v>44.55</v>
      </c>
      <c r="N448" s="213" t="n">
        <v>45.5166666666667</v>
      </c>
      <c r="O448" s="213" t="n">
        <v>1.91666666666667</v>
      </c>
      <c r="P448" s="213" t="n">
        <v>3.78333333333333</v>
      </c>
    </row>
    <row r="449" customFormat="false" ht="12.75" hidden="false" customHeight="false" outlineLevel="0" collapsed="false">
      <c r="A449" s="215" t="n">
        <v>40528</v>
      </c>
      <c r="B449" s="213" t="n">
        <v>44.3</v>
      </c>
      <c r="C449" s="213" t="n">
        <f aca="false">AVERAGEIFS($B$33:$B$1494,$A$33:$A$1494,A449)</f>
        <v>44.55</v>
      </c>
      <c r="D449" s="213" t="n">
        <v>45.5</v>
      </c>
      <c r="E449" s="213" t="n">
        <f aca="false">AVERAGEIFS($D$33:$D$1494,$A$33:$A$1494,A449)</f>
        <v>45.5166666666667</v>
      </c>
      <c r="F449" s="213" t="n">
        <v>1.9</v>
      </c>
      <c r="G449" s="213" t="n">
        <f aca="false">AVERAGEIFS($F$33:$F$1494,$A$33:$A$1494,A449)</f>
        <v>1.91666666666667</v>
      </c>
      <c r="H449" s="213" t="n">
        <v>3.8</v>
      </c>
      <c r="I449" s="213" t="n">
        <f aca="false">AVERAGEIFS($H$33:$H$1494,$A$33:$A$1494,A449)</f>
        <v>3.78333333333333</v>
      </c>
      <c r="L449" s="215" t="n">
        <v>40528</v>
      </c>
      <c r="M449" s="213" t="n">
        <v>44.55</v>
      </c>
      <c r="N449" s="213" t="n">
        <v>45.5166666666667</v>
      </c>
      <c r="O449" s="213" t="n">
        <v>1.91666666666667</v>
      </c>
      <c r="P449" s="213" t="n">
        <v>3.78333333333333</v>
      </c>
    </row>
    <row r="450" customFormat="false" ht="12.75" hidden="false" customHeight="false" outlineLevel="0" collapsed="false">
      <c r="A450" s="215" t="n">
        <v>40528</v>
      </c>
      <c r="B450" s="213" t="n">
        <v>44.6</v>
      </c>
      <c r="C450" s="213" t="n">
        <f aca="false">AVERAGEIFS($B$33:$B$1494,$A$33:$A$1494,A450)</f>
        <v>44.55</v>
      </c>
      <c r="D450" s="213" t="n">
        <v>45.5</v>
      </c>
      <c r="E450" s="213" t="n">
        <f aca="false">AVERAGEIFS($D$33:$D$1494,$A$33:$A$1494,A450)</f>
        <v>45.5166666666667</v>
      </c>
      <c r="F450" s="213" t="n">
        <v>1.8</v>
      </c>
      <c r="G450" s="213" t="n">
        <f aca="false">AVERAGEIFS($F$33:$F$1494,$A$33:$A$1494,A450)</f>
        <v>1.91666666666667</v>
      </c>
      <c r="H450" s="213" t="n">
        <v>3.7</v>
      </c>
      <c r="I450" s="213" t="n">
        <f aca="false">AVERAGEIFS($H$33:$H$1494,$A$33:$A$1494,A450)</f>
        <v>3.78333333333333</v>
      </c>
      <c r="L450" s="215" t="n">
        <v>40528</v>
      </c>
      <c r="M450" s="213" t="n">
        <v>44.55</v>
      </c>
      <c r="N450" s="213" t="n">
        <v>45.5166666666667</v>
      </c>
      <c r="O450" s="213" t="n">
        <v>1.91666666666667</v>
      </c>
      <c r="P450" s="213" t="n">
        <v>3.78333333333333</v>
      </c>
    </row>
    <row r="451" customFormat="false" ht="12.75" hidden="false" customHeight="false" outlineLevel="0" collapsed="false">
      <c r="A451" s="215" t="n">
        <v>40528</v>
      </c>
      <c r="B451" s="213" t="n">
        <v>44.7</v>
      </c>
      <c r="C451" s="213" t="n">
        <f aca="false">AVERAGEIFS($B$33:$B$1494,$A$33:$A$1494,A451)</f>
        <v>44.55</v>
      </c>
      <c r="D451" s="213" t="n">
        <v>45.5</v>
      </c>
      <c r="E451" s="213" t="n">
        <f aca="false">AVERAGEIFS($D$33:$D$1494,$A$33:$A$1494,A451)</f>
        <v>45.5166666666667</v>
      </c>
      <c r="F451" s="213" t="n">
        <v>1.9</v>
      </c>
      <c r="G451" s="213" t="n">
        <f aca="false">AVERAGEIFS($F$33:$F$1494,$A$33:$A$1494,A451)</f>
        <v>1.91666666666667</v>
      </c>
      <c r="H451" s="213" t="n">
        <v>3.7</v>
      </c>
      <c r="I451" s="213" t="n">
        <f aca="false">AVERAGEIFS($H$33:$H$1494,$A$33:$A$1494,A451)</f>
        <v>3.78333333333333</v>
      </c>
      <c r="L451" s="215" t="n">
        <v>40528</v>
      </c>
      <c r="M451" s="213" t="n">
        <v>44.55</v>
      </c>
      <c r="N451" s="213" t="n">
        <v>45.5166666666667</v>
      </c>
      <c r="O451" s="213" t="n">
        <v>1.91666666666667</v>
      </c>
      <c r="P451" s="213" t="n">
        <v>3.78333333333333</v>
      </c>
    </row>
    <row r="452" customFormat="false" ht="12.75" hidden="false" customHeight="false" outlineLevel="0" collapsed="false">
      <c r="A452" s="215" t="n">
        <v>40528</v>
      </c>
      <c r="B452" s="213" t="n">
        <v>44.7</v>
      </c>
      <c r="C452" s="213" t="n">
        <f aca="false">AVERAGEIFS($B$33:$B$1494,$A$33:$A$1494,A452)</f>
        <v>44.55</v>
      </c>
      <c r="D452" s="213" t="n">
        <v>45.5</v>
      </c>
      <c r="E452" s="213" t="n">
        <f aca="false">AVERAGEIFS($D$33:$D$1494,$A$33:$A$1494,A452)</f>
        <v>45.5166666666667</v>
      </c>
      <c r="F452" s="213" t="n">
        <v>1.9</v>
      </c>
      <c r="G452" s="213" t="n">
        <f aca="false">AVERAGEIFS($F$33:$F$1494,$A$33:$A$1494,A452)</f>
        <v>1.91666666666667</v>
      </c>
      <c r="H452" s="213" t="n">
        <v>3.6</v>
      </c>
      <c r="I452" s="213" t="n">
        <f aca="false">AVERAGEIFS($H$33:$H$1494,$A$33:$A$1494,A452)</f>
        <v>3.78333333333333</v>
      </c>
      <c r="L452" s="215" t="n">
        <v>40528</v>
      </c>
      <c r="M452" s="213" t="n">
        <v>44.55</v>
      </c>
      <c r="N452" s="213" t="n">
        <v>45.5166666666667</v>
      </c>
      <c r="O452" s="213" t="n">
        <v>1.91666666666667</v>
      </c>
      <c r="P452" s="213" t="n">
        <v>3.78333333333333</v>
      </c>
    </row>
    <row r="453" customFormat="false" ht="12.75" hidden="false" customHeight="false" outlineLevel="0" collapsed="false">
      <c r="A453" s="215" t="n">
        <v>40529</v>
      </c>
      <c r="B453" s="213" t="n">
        <v>44.5</v>
      </c>
      <c r="C453" s="213" t="n">
        <f aca="false">AVERAGEIFS($B$33:$B$1494,$A$33:$A$1494,A453)</f>
        <v>44.7166666666667</v>
      </c>
      <c r="D453" s="213" t="n">
        <v>45.5</v>
      </c>
      <c r="E453" s="213" t="n">
        <f aca="false">AVERAGEIFS($D$33:$D$1494,$A$33:$A$1494,A453)</f>
        <v>45.4333333333333</v>
      </c>
      <c r="F453" s="213" t="n">
        <v>2.3</v>
      </c>
      <c r="G453" s="213" t="n">
        <f aca="false">AVERAGEIFS($F$33:$F$1494,$A$33:$A$1494,A453)</f>
        <v>3.36666666666667</v>
      </c>
      <c r="H453" s="213" t="n">
        <v>3.6</v>
      </c>
      <c r="I453" s="213" t="n">
        <f aca="false">AVERAGEIFS($H$33:$H$1494,$A$33:$A$1494,A453)</f>
        <v>3.91666666666667</v>
      </c>
      <c r="L453" s="215" t="n">
        <v>40529</v>
      </c>
      <c r="M453" s="213" t="n">
        <v>44.7166666666667</v>
      </c>
      <c r="N453" s="213" t="n">
        <v>45.4333333333333</v>
      </c>
      <c r="O453" s="213" t="n">
        <v>3.36666666666667</v>
      </c>
      <c r="P453" s="213" t="n">
        <v>3.91666666666667</v>
      </c>
    </row>
    <row r="454" customFormat="false" ht="12.75" hidden="false" customHeight="false" outlineLevel="0" collapsed="false">
      <c r="A454" s="215" t="n">
        <v>40529</v>
      </c>
      <c r="B454" s="213" t="n">
        <v>44.4</v>
      </c>
      <c r="C454" s="213" t="n">
        <f aca="false">AVERAGEIFS($B$33:$B$1494,$A$33:$A$1494,A454)</f>
        <v>44.7166666666667</v>
      </c>
      <c r="D454" s="213" t="n">
        <v>45.5</v>
      </c>
      <c r="E454" s="213" t="n">
        <f aca="false">AVERAGEIFS($D$33:$D$1494,$A$33:$A$1494,A454)</f>
        <v>45.4333333333333</v>
      </c>
      <c r="F454" s="213" t="n">
        <v>2.9</v>
      </c>
      <c r="G454" s="213" t="n">
        <f aca="false">AVERAGEIFS($F$33:$F$1494,$A$33:$A$1494,A454)</f>
        <v>3.36666666666667</v>
      </c>
      <c r="H454" s="213" t="n">
        <v>3.6</v>
      </c>
      <c r="I454" s="213" t="n">
        <f aca="false">AVERAGEIFS($H$33:$H$1494,$A$33:$A$1494,A454)</f>
        <v>3.91666666666667</v>
      </c>
      <c r="L454" s="215" t="n">
        <v>40529</v>
      </c>
      <c r="M454" s="213" t="n">
        <v>44.7166666666667</v>
      </c>
      <c r="N454" s="213" t="n">
        <v>45.4333333333333</v>
      </c>
      <c r="O454" s="213" t="n">
        <v>3.36666666666667</v>
      </c>
      <c r="P454" s="213" t="n">
        <v>3.91666666666667</v>
      </c>
    </row>
    <row r="455" customFormat="false" ht="12.75" hidden="false" customHeight="false" outlineLevel="0" collapsed="false">
      <c r="A455" s="215" t="n">
        <v>40529</v>
      </c>
      <c r="B455" s="213" t="n">
        <v>44.3</v>
      </c>
      <c r="C455" s="213" t="n">
        <f aca="false">AVERAGEIFS($B$33:$B$1494,$A$33:$A$1494,A455)</f>
        <v>44.7166666666667</v>
      </c>
      <c r="D455" s="213" t="n">
        <v>45.4</v>
      </c>
      <c r="E455" s="213" t="n">
        <f aca="false">AVERAGEIFS($D$33:$D$1494,$A$33:$A$1494,A455)</f>
        <v>45.4333333333333</v>
      </c>
      <c r="F455" s="213" t="n">
        <v>3.4</v>
      </c>
      <c r="G455" s="213" t="n">
        <f aca="false">AVERAGEIFS($F$33:$F$1494,$A$33:$A$1494,A455)</f>
        <v>3.36666666666667</v>
      </c>
      <c r="H455" s="213" t="n">
        <v>3.8</v>
      </c>
      <c r="I455" s="213" t="n">
        <f aca="false">AVERAGEIFS($H$33:$H$1494,$A$33:$A$1494,A455)</f>
        <v>3.91666666666667</v>
      </c>
      <c r="L455" s="215" t="n">
        <v>40529</v>
      </c>
      <c r="M455" s="213" t="n">
        <v>44.7166666666667</v>
      </c>
      <c r="N455" s="213" t="n">
        <v>45.4333333333333</v>
      </c>
      <c r="O455" s="213" t="n">
        <v>3.36666666666667</v>
      </c>
      <c r="P455" s="213" t="n">
        <v>3.91666666666667</v>
      </c>
    </row>
    <row r="456" customFormat="false" ht="12.75" hidden="false" customHeight="false" outlineLevel="0" collapsed="false">
      <c r="A456" s="215" t="n">
        <v>40529</v>
      </c>
      <c r="B456" s="213" t="n">
        <v>44.6</v>
      </c>
      <c r="C456" s="213" t="n">
        <f aca="false">AVERAGEIFS($B$33:$B$1494,$A$33:$A$1494,A456)</f>
        <v>44.7166666666667</v>
      </c>
      <c r="D456" s="213" t="n">
        <v>45.4</v>
      </c>
      <c r="E456" s="213" t="n">
        <f aca="false">AVERAGEIFS($D$33:$D$1494,$A$33:$A$1494,A456)</f>
        <v>45.4333333333333</v>
      </c>
      <c r="F456" s="213" t="n">
        <v>3.7</v>
      </c>
      <c r="G456" s="213" t="n">
        <f aca="false">AVERAGEIFS($F$33:$F$1494,$A$33:$A$1494,A456)</f>
        <v>3.36666666666667</v>
      </c>
      <c r="H456" s="213" t="n">
        <v>4</v>
      </c>
      <c r="I456" s="213" t="n">
        <f aca="false">AVERAGEIFS($H$33:$H$1494,$A$33:$A$1494,A456)</f>
        <v>3.91666666666667</v>
      </c>
      <c r="L456" s="215" t="n">
        <v>40529</v>
      </c>
      <c r="M456" s="213" t="n">
        <v>44.7166666666667</v>
      </c>
      <c r="N456" s="213" t="n">
        <v>45.4333333333333</v>
      </c>
      <c r="O456" s="213" t="n">
        <v>3.36666666666667</v>
      </c>
      <c r="P456" s="213" t="n">
        <v>3.91666666666667</v>
      </c>
    </row>
    <row r="457" customFormat="false" ht="12.75" hidden="false" customHeight="false" outlineLevel="0" collapsed="false">
      <c r="A457" s="215" t="n">
        <v>40529</v>
      </c>
      <c r="B457" s="213" t="n">
        <v>45.4</v>
      </c>
      <c r="C457" s="213" t="n">
        <f aca="false">AVERAGEIFS($B$33:$B$1494,$A$33:$A$1494,A457)</f>
        <v>44.7166666666667</v>
      </c>
      <c r="D457" s="213" t="n">
        <v>45.4</v>
      </c>
      <c r="E457" s="213" t="n">
        <f aca="false">AVERAGEIFS($D$33:$D$1494,$A$33:$A$1494,A457)</f>
        <v>45.4333333333333</v>
      </c>
      <c r="F457" s="213" t="n">
        <v>4</v>
      </c>
      <c r="G457" s="213" t="n">
        <f aca="false">AVERAGEIFS($F$33:$F$1494,$A$33:$A$1494,A457)</f>
        <v>3.36666666666667</v>
      </c>
      <c r="H457" s="213" t="n">
        <v>4.2</v>
      </c>
      <c r="I457" s="213" t="n">
        <f aca="false">AVERAGEIFS($H$33:$H$1494,$A$33:$A$1494,A457)</f>
        <v>3.91666666666667</v>
      </c>
      <c r="L457" s="215" t="n">
        <v>40529</v>
      </c>
      <c r="M457" s="213" t="n">
        <v>44.7166666666667</v>
      </c>
      <c r="N457" s="213" t="n">
        <v>45.4333333333333</v>
      </c>
      <c r="O457" s="213" t="n">
        <v>3.36666666666667</v>
      </c>
      <c r="P457" s="213" t="n">
        <v>3.91666666666667</v>
      </c>
    </row>
    <row r="458" customFormat="false" ht="12.75" hidden="false" customHeight="false" outlineLevel="0" collapsed="false">
      <c r="A458" s="215" t="n">
        <v>40529</v>
      </c>
      <c r="B458" s="213" t="n">
        <v>45.1</v>
      </c>
      <c r="C458" s="213" t="n">
        <f aca="false">AVERAGEIFS($B$33:$B$1494,$A$33:$A$1494,A458)</f>
        <v>44.7166666666667</v>
      </c>
      <c r="D458" s="213" t="n">
        <v>45.4</v>
      </c>
      <c r="E458" s="213" t="n">
        <f aca="false">AVERAGEIFS($D$33:$D$1494,$A$33:$A$1494,A458)</f>
        <v>45.4333333333333</v>
      </c>
      <c r="F458" s="213" t="n">
        <v>3.9</v>
      </c>
      <c r="G458" s="213" t="n">
        <f aca="false">AVERAGEIFS($F$33:$F$1494,$A$33:$A$1494,A458)</f>
        <v>3.36666666666667</v>
      </c>
      <c r="H458" s="213" t="n">
        <v>4.3</v>
      </c>
      <c r="I458" s="213" t="n">
        <f aca="false">AVERAGEIFS($H$33:$H$1494,$A$33:$A$1494,A458)</f>
        <v>3.91666666666667</v>
      </c>
      <c r="L458" s="215" t="n">
        <v>40529</v>
      </c>
      <c r="M458" s="213" t="n">
        <v>44.7166666666667</v>
      </c>
      <c r="N458" s="213" t="n">
        <v>45.4333333333333</v>
      </c>
      <c r="O458" s="213" t="n">
        <v>3.36666666666667</v>
      </c>
      <c r="P458" s="213" t="n">
        <v>3.91666666666667</v>
      </c>
    </row>
    <row r="459" customFormat="false" ht="12.75" hidden="false" customHeight="false" outlineLevel="0" collapsed="false">
      <c r="A459" s="215" t="n">
        <v>40530</v>
      </c>
      <c r="B459" s="213" t="n">
        <v>44.9</v>
      </c>
      <c r="C459" s="213" t="n">
        <f aca="false">AVERAGEIFS($B$33:$B$1494,$A$33:$A$1494,A459)</f>
        <v>45.2833333333333</v>
      </c>
      <c r="D459" s="213" t="n">
        <v>45.4</v>
      </c>
      <c r="E459" s="213" t="n">
        <f aca="false">AVERAGEIFS($D$33:$D$1494,$A$33:$A$1494,A459)</f>
        <v>45.4</v>
      </c>
      <c r="F459" s="213" t="n">
        <v>3.4</v>
      </c>
      <c r="G459" s="213" t="n">
        <f aca="false">AVERAGEIFS($F$33:$F$1494,$A$33:$A$1494,A459)</f>
        <v>2.78333333333333</v>
      </c>
      <c r="H459" s="213" t="n">
        <v>4.4</v>
      </c>
      <c r="I459" s="213" t="n">
        <f aca="false">AVERAGEIFS($H$33:$H$1494,$A$33:$A$1494,A459)</f>
        <v>4.11666666666667</v>
      </c>
      <c r="L459" s="215" t="n">
        <v>40530</v>
      </c>
      <c r="M459" s="213" t="n">
        <v>45.2833333333333</v>
      </c>
      <c r="N459" s="213" t="n">
        <v>45.4</v>
      </c>
      <c r="O459" s="213" t="n">
        <v>2.78333333333333</v>
      </c>
      <c r="P459" s="213" t="n">
        <v>4.11666666666667</v>
      </c>
    </row>
    <row r="460" customFormat="false" ht="12.75" hidden="false" customHeight="false" outlineLevel="0" collapsed="false">
      <c r="A460" s="215" t="n">
        <v>40530</v>
      </c>
      <c r="B460" s="213" t="n">
        <v>44.8</v>
      </c>
      <c r="C460" s="213" t="n">
        <f aca="false">AVERAGEIFS($B$33:$B$1494,$A$33:$A$1494,A460)</f>
        <v>45.2833333333333</v>
      </c>
      <c r="D460" s="213" t="n">
        <v>45.4</v>
      </c>
      <c r="E460" s="213" t="n">
        <f aca="false">AVERAGEIFS($D$33:$D$1494,$A$33:$A$1494,A460)</f>
        <v>45.4</v>
      </c>
      <c r="F460" s="213" t="n">
        <v>2.8</v>
      </c>
      <c r="G460" s="213" t="n">
        <f aca="false">AVERAGEIFS($F$33:$F$1494,$A$33:$A$1494,A460)</f>
        <v>2.78333333333333</v>
      </c>
      <c r="H460" s="213" t="n">
        <v>4.3</v>
      </c>
      <c r="I460" s="213" t="n">
        <f aca="false">AVERAGEIFS($H$33:$H$1494,$A$33:$A$1494,A460)</f>
        <v>4.11666666666667</v>
      </c>
      <c r="L460" s="215" t="n">
        <v>40530</v>
      </c>
      <c r="M460" s="213" t="n">
        <v>45.2833333333333</v>
      </c>
      <c r="N460" s="213" t="n">
        <v>45.4</v>
      </c>
      <c r="O460" s="213" t="n">
        <v>2.78333333333333</v>
      </c>
      <c r="P460" s="213" t="n">
        <v>4.11666666666667</v>
      </c>
    </row>
    <row r="461" customFormat="false" ht="12.75" hidden="false" customHeight="false" outlineLevel="0" collapsed="false">
      <c r="A461" s="215" t="n">
        <v>40530</v>
      </c>
      <c r="B461" s="213" t="n">
        <v>44.8</v>
      </c>
      <c r="C461" s="213" t="n">
        <f aca="false">AVERAGEIFS($B$33:$B$1494,$A$33:$A$1494,A461)</f>
        <v>45.2833333333333</v>
      </c>
      <c r="D461" s="213" t="n">
        <v>45.4</v>
      </c>
      <c r="E461" s="213" t="n">
        <f aca="false">AVERAGEIFS($D$33:$D$1494,$A$33:$A$1494,A461)</f>
        <v>45.4</v>
      </c>
      <c r="F461" s="213" t="n">
        <v>2.5</v>
      </c>
      <c r="G461" s="213" t="n">
        <f aca="false">AVERAGEIFS($F$33:$F$1494,$A$33:$A$1494,A461)</f>
        <v>2.78333333333333</v>
      </c>
      <c r="H461" s="213" t="n">
        <v>4.2</v>
      </c>
      <c r="I461" s="213" t="n">
        <f aca="false">AVERAGEIFS($H$33:$H$1494,$A$33:$A$1494,A461)</f>
        <v>4.11666666666667</v>
      </c>
      <c r="L461" s="215" t="n">
        <v>40530</v>
      </c>
      <c r="M461" s="213" t="n">
        <v>45.2833333333333</v>
      </c>
      <c r="N461" s="213" t="n">
        <v>45.4</v>
      </c>
      <c r="O461" s="213" t="n">
        <v>2.78333333333333</v>
      </c>
      <c r="P461" s="213" t="n">
        <v>4.11666666666667</v>
      </c>
    </row>
    <row r="462" customFormat="false" ht="12.75" hidden="false" customHeight="false" outlineLevel="0" collapsed="false">
      <c r="A462" s="215" t="n">
        <v>40530</v>
      </c>
      <c r="B462" s="213" t="n">
        <v>45.6</v>
      </c>
      <c r="C462" s="213" t="n">
        <f aca="false">AVERAGEIFS($B$33:$B$1494,$A$33:$A$1494,A462)</f>
        <v>45.2833333333333</v>
      </c>
      <c r="D462" s="213" t="n">
        <v>45.4</v>
      </c>
      <c r="E462" s="213" t="n">
        <f aca="false">AVERAGEIFS($D$33:$D$1494,$A$33:$A$1494,A462)</f>
        <v>45.4</v>
      </c>
      <c r="F462" s="213" t="n">
        <v>2.4</v>
      </c>
      <c r="G462" s="213" t="n">
        <f aca="false">AVERAGEIFS($F$33:$F$1494,$A$33:$A$1494,A462)</f>
        <v>2.78333333333333</v>
      </c>
      <c r="H462" s="213" t="n">
        <v>4</v>
      </c>
      <c r="I462" s="213" t="n">
        <f aca="false">AVERAGEIFS($H$33:$H$1494,$A$33:$A$1494,A462)</f>
        <v>4.11666666666667</v>
      </c>
      <c r="L462" s="215" t="n">
        <v>40530</v>
      </c>
      <c r="M462" s="213" t="n">
        <v>45.2833333333333</v>
      </c>
      <c r="N462" s="213" t="n">
        <v>45.4</v>
      </c>
      <c r="O462" s="213" t="n">
        <v>2.78333333333333</v>
      </c>
      <c r="P462" s="213" t="n">
        <v>4.11666666666667</v>
      </c>
    </row>
    <row r="463" customFormat="false" ht="12.75" hidden="false" customHeight="false" outlineLevel="0" collapsed="false">
      <c r="A463" s="215" t="n">
        <v>40530</v>
      </c>
      <c r="B463" s="213" t="n">
        <v>45.8</v>
      </c>
      <c r="C463" s="213" t="n">
        <f aca="false">AVERAGEIFS($B$33:$B$1494,$A$33:$A$1494,A463)</f>
        <v>45.2833333333333</v>
      </c>
      <c r="D463" s="213" t="n">
        <v>45.4</v>
      </c>
      <c r="E463" s="213" t="n">
        <f aca="false">AVERAGEIFS($D$33:$D$1494,$A$33:$A$1494,A463)</f>
        <v>45.4</v>
      </c>
      <c r="F463" s="213" t="n">
        <v>2.7</v>
      </c>
      <c r="G463" s="213" t="n">
        <f aca="false">AVERAGEIFS($F$33:$F$1494,$A$33:$A$1494,A463)</f>
        <v>2.78333333333333</v>
      </c>
      <c r="H463" s="213" t="n">
        <v>3.9</v>
      </c>
      <c r="I463" s="213" t="n">
        <f aca="false">AVERAGEIFS($H$33:$H$1494,$A$33:$A$1494,A463)</f>
        <v>4.11666666666667</v>
      </c>
      <c r="L463" s="215" t="n">
        <v>40530</v>
      </c>
      <c r="M463" s="213" t="n">
        <v>45.2833333333333</v>
      </c>
      <c r="N463" s="213" t="n">
        <v>45.4</v>
      </c>
      <c r="O463" s="213" t="n">
        <v>2.78333333333333</v>
      </c>
      <c r="P463" s="213" t="n">
        <v>4.11666666666667</v>
      </c>
    </row>
    <row r="464" customFormat="false" ht="12.75" hidden="false" customHeight="false" outlineLevel="0" collapsed="false">
      <c r="A464" s="215" t="n">
        <v>40530</v>
      </c>
      <c r="B464" s="213" t="n">
        <v>45.8</v>
      </c>
      <c r="C464" s="213" t="n">
        <f aca="false">AVERAGEIFS($B$33:$B$1494,$A$33:$A$1494,A464)</f>
        <v>45.2833333333333</v>
      </c>
      <c r="D464" s="213" t="n">
        <v>45.4</v>
      </c>
      <c r="E464" s="213" t="n">
        <f aca="false">AVERAGEIFS($D$33:$D$1494,$A$33:$A$1494,A464)</f>
        <v>45.4</v>
      </c>
      <c r="F464" s="213" t="n">
        <v>2.9</v>
      </c>
      <c r="G464" s="213" t="n">
        <f aca="false">AVERAGEIFS($F$33:$F$1494,$A$33:$A$1494,A464)</f>
        <v>2.78333333333333</v>
      </c>
      <c r="H464" s="213" t="n">
        <v>3.9</v>
      </c>
      <c r="I464" s="213" t="n">
        <f aca="false">AVERAGEIFS($H$33:$H$1494,$A$33:$A$1494,A464)</f>
        <v>4.11666666666667</v>
      </c>
      <c r="L464" s="215" t="n">
        <v>40530</v>
      </c>
      <c r="M464" s="213" t="n">
        <v>45.2833333333333</v>
      </c>
      <c r="N464" s="213" t="n">
        <v>45.4</v>
      </c>
      <c r="O464" s="213" t="n">
        <v>2.78333333333333</v>
      </c>
      <c r="P464" s="213" t="n">
        <v>4.11666666666667</v>
      </c>
    </row>
    <row r="465" customFormat="false" ht="12.75" hidden="false" customHeight="false" outlineLevel="0" collapsed="false">
      <c r="A465" s="215" t="n">
        <v>40531</v>
      </c>
      <c r="B465" s="213" t="n">
        <v>45.8</v>
      </c>
      <c r="C465" s="213" t="n">
        <f aca="false">AVERAGEIFS($B$33:$B$1494,$A$33:$A$1494,A465)</f>
        <v>45.25</v>
      </c>
      <c r="D465" s="213" t="n">
        <v>45.4</v>
      </c>
      <c r="E465" s="213" t="n">
        <f aca="false">AVERAGEIFS($D$33:$D$1494,$A$33:$A$1494,A465)</f>
        <v>45.4166666666667</v>
      </c>
      <c r="F465" s="213" t="n">
        <v>2.9</v>
      </c>
      <c r="G465" s="213" t="n">
        <f aca="false">AVERAGEIFS($F$33:$F$1494,$A$33:$A$1494,A465)</f>
        <v>3.06666666666667</v>
      </c>
      <c r="H465" s="213" t="n">
        <v>4</v>
      </c>
      <c r="I465" s="213" t="n">
        <f aca="false">AVERAGEIFS($H$33:$H$1494,$A$33:$A$1494,A465)</f>
        <v>3.93333333333333</v>
      </c>
      <c r="L465" s="215" t="n">
        <v>40531</v>
      </c>
      <c r="M465" s="213" t="n">
        <v>45.25</v>
      </c>
      <c r="N465" s="213" t="n">
        <v>45.4166666666667</v>
      </c>
      <c r="O465" s="213" t="n">
        <v>3.06666666666667</v>
      </c>
      <c r="P465" s="213" t="n">
        <v>3.93333333333333</v>
      </c>
    </row>
    <row r="466" customFormat="false" ht="12.75" hidden="false" customHeight="false" outlineLevel="0" collapsed="false">
      <c r="A466" s="215" t="n">
        <v>40531</v>
      </c>
      <c r="B466" s="213" t="n">
        <v>45.9</v>
      </c>
      <c r="C466" s="213" t="n">
        <f aca="false">AVERAGEIFS($B$33:$B$1494,$A$33:$A$1494,A466)</f>
        <v>45.25</v>
      </c>
      <c r="D466" s="213" t="n">
        <v>45.4</v>
      </c>
      <c r="E466" s="213" t="n">
        <f aca="false">AVERAGEIFS($D$33:$D$1494,$A$33:$A$1494,A466)</f>
        <v>45.4166666666667</v>
      </c>
      <c r="F466" s="213" t="n">
        <v>2.8</v>
      </c>
      <c r="G466" s="213" t="n">
        <f aca="false">AVERAGEIFS($F$33:$F$1494,$A$33:$A$1494,A466)</f>
        <v>3.06666666666667</v>
      </c>
      <c r="H466" s="213" t="n">
        <v>4</v>
      </c>
      <c r="I466" s="213" t="n">
        <f aca="false">AVERAGEIFS($H$33:$H$1494,$A$33:$A$1494,A466)</f>
        <v>3.93333333333333</v>
      </c>
      <c r="L466" s="215" t="n">
        <v>40531</v>
      </c>
      <c r="M466" s="213" t="n">
        <v>45.25</v>
      </c>
      <c r="N466" s="213" t="n">
        <v>45.4166666666667</v>
      </c>
      <c r="O466" s="213" t="n">
        <v>3.06666666666667</v>
      </c>
      <c r="P466" s="213" t="n">
        <v>3.93333333333333</v>
      </c>
    </row>
    <row r="467" customFormat="false" ht="12.75" hidden="false" customHeight="false" outlineLevel="0" collapsed="false">
      <c r="A467" s="215" t="n">
        <v>40531</v>
      </c>
      <c r="B467" s="213" t="n">
        <v>45.9</v>
      </c>
      <c r="C467" s="213" t="n">
        <f aca="false">AVERAGEIFS($B$33:$B$1494,$A$33:$A$1494,A467)</f>
        <v>45.25</v>
      </c>
      <c r="D467" s="213" t="n">
        <v>45.4</v>
      </c>
      <c r="E467" s="213" t="n">
        <f aca="false">AVERAGEIFS($D$33:$D$1494,$A$33:$A$1494,A467)</f>
        <v>45.4166666666667</v>
      </c>
      <c r="F467" s="213" t="n">
        <v>2.5</v>
      </c>
      <c r="G467" s="213" t="n">
        <f aca="false">AVERAGEIFS($F$33:$F$1494,$A$33:$A$1494,A467)</f>
        <v>3.06666666666667</v>
      </c>
      <c r="H467" s="213" t="n">
        <v>3.9</v>
      </c>
      <c r="I467" s="213" t="n">
        <f aca="false">AVERAGEIFS($H$33:$H$1494,$A$33:$A$1494,A467)</f>
        <v>3.93333333333333</v>
      </c>
      <c r="L467" s="215" t="n">
        <v>40531</v>
      </c>
      <c r="M467" s="213" t="n">
        <v>45.25</v>
      </c>
      <c r="N467" s="213" t="n">
        <v>45.4166666666667</v>
      </c>
      <c r="O467" s="213" t="n">
        <v>3.06666666666667</v>
      </c>
      <c r="P467" s="213" t="n">
        <v>3.93333333333333</v>
      </c>
    </row>
    <row r="468" customFormat="false" ht="12.75" hidden="false" customHeight="false" outlineLevel="0" collapsed="false">
      <c r="A468" s="215" t="n">
        <v>40531</v>
      </c>
      <c r="B468" s="213" t="n">
        <v>44.4</v>
      </c>
      <c r="C468" s="213" t="n">
        <f aca="false">AVERAGEIFS($B$33:$B$1494,$A$33:$A$1494,A468)</f>
        <v>45.25</v>
      </c>
      <c r="D468" s="213" t="n">
        <v>45.4</v>
      </c>
      <c r="E468" s="213" t="n">
        <f aca="false">AVERAGEIFS($D$33:$D$1494,$A$33:$A$1494,A468)</f>
        <v>45.4166666666667</v>
      </c>
      <c r="F468" s="213" t="n">
        <v>2.4</v>
      </c>
      <c r="G468" s="213" t="n">
        <f aca="false">AVERAGEIFS($F$33:$F$1494,$A$33:$A$1494,A468)</f>
        <v>3.06666666666667</v>
      </c>
      <c r="H468" s="213" t="n">
        <v>3.9</v>
      </c>
      <c r="I468" s="213" t="n">
        <f aca="false">AVERAGEIFS($H$33:$H$1494,$A$33:$A$1494,A468)</f>
        <v>3.93333333333333</v>
      </c>
      <c r="L468" s="215" t="n">
        <v>40531</v>
      </c>
      <c r="M468" s="213" t="n">
        <v>45.25</v>
      </c>
      <c r="N468" s="213" t="n">
        <v>45.4166666666667</v>
      </c>
      <c r="O468" s="213" t="n">
        <v>3.06666666666667</v>
      </c>
      <c r="P468" s="213" t="n">
        <v>3.93333333333333</v>
      </c>
    </row>
    <row r="469" customFormat="false" ht="12.75" hidden="false" customHeight="false" outlineLevel="0" collapsed="false">
      <c r="A469" s="215" t="n">
        <v>40531</v>
      </c>
      <c r="B469" s="213" t="n">
        <v>45.2</v>
      </c>
      <c r="C469" s="213" t="n">
        <f aca="false">AVERAGEIFS($B$33:$B$1494,$A$33:$A$1494,A469)</f>
        <v>45.25</v>
      </c>
      <c r="D469" s="213" t="n">
        <v>45.4</v>
      </c>
      <c r="E469" s="213" t="n">
        <f aca="false">AVERAGEIFS($D$33:$D$1494,$A$33:$A$1494,A469)</f>
        <v>45.4166666666667</v>
      </c>
      <c r="F469" s="213" t="n">
        <v>3.6</v>
      </c>
      <c r="G469" s="213" t="n">
        <f aca="false">AVERAGEIFS($F$33:$F$1494,$A$33:$A$1494,A469)</f>
        <v>3.06666666666667</v>
      </c>
      <c r="H469" s="213" t="n">
        <v>3.8</v>
      </c>
      <c r="I469" s="213" t="n">
        <f aca="false">AVERAGEIFS($H$33:$H$1494,$A$33:$A$1494,A469)</f>
        <v>3.93333333333333</v>
      </c>
      <c r="L469" s="215" t="n">
        <v>40531</v>
      </c>
      <c r="M469" s="213" t="n">
        <v>45.25</v>
      </c>
      <c r="N469" s="213" t="n">
        <v>45.4166666666667</v>
      </c>
      <c r="O469" s="213" t="n">
        <v>3.06666666666667</v>
      </c>
      <c r="P469" s="213" t="n">
        <v>3.93333333333333</v>
      </c>
    </row>
    <row r="470" customFormat="false" ht="12.75" hidden="false" customHeight="false" outlineLevel="0" collapsed="false">
      <c r="A470" s="215" t="n">
        <v>40531</v>
      </c>
      <c r="B470" s="213" t="n">
        <v>44.3</v>
      </c>
      <c r="C470" s="213" t="n">
        <f aca="false">AVERAGEIFS($B$33:$B$1494,$A$33:$A$1494,A470)</f>
        <v>45.25</v>
      </c>
      <c r="D470" s="213" t="n">
        <v>45.5</v>
      </c>
      <c r="E470" s="213" t="n">
        <f aca="false">AVERAGEIFS($D$33:$D$1494,$A$33:$A$1494,A470)</f>
        <v>45.4166666666667</v>
      </c>
      <c r="F470" s="213" t="n">
        <v>4.2</v>
      </c>
      <c r="G470" s="213" t="n">
        <f aca="false">AVERAGEIFS($F$33:$F$1494,$A$33:$A$1494,A470)</f>
        <v>3.06666666666667</v>
      </c>
      <c r="H470" s="213" t="n">
        <v>4</v>
      </c>
      <c r="I470" s="213" t="n">
        <f aca="false">AVERAGEIFS($H$33:$H$1494,$A$33:$A$1494,A470)</f>
        <v>3.93333333333333</v>
      </c>
      <c r="L470" s="215" t="n">
        <v>40531</v>
      </c>
      <c r="M470" s="213" t="n">
        <v>45.25</v>
      </c>
      <c r="N470" s="213" t="n">
        <v>45.4166666666667</v>
      </c>
      <c r="O470" s="213" t="n">
        <v>3.06666666666667</v>
      </c>
      <c r="P470" s="213" t="n">
        <v>3.93333333333333</v>
      </c>
    </row>
    <row r="471" customFormat="false" ht="12.75" hidden="false" customHeight="false" outlineLevel="0" collapsed="false">
      <c r="A471" s="215" t="n">
        <v>40532</v>
      </c>
      <c r="B471" s="213" t="n">
        <v>44.2</v>
      </c>
      <c r="C471" s="213" t="n">
        <f aca="false">AVERAGEIFS($B$33:$B$1494,$A$33:$A$1494,A471)</f>
        <v>44.1333333333333</v>
      </c>
      <c r="D471" s="213" t="n">
        <v>45.5</v>
      </c>
      <c r="E471" s="213" t="n">
        <f aca="false">AVERAGEIFS($D$33:$D$1494,$A$33:$A$1494,A471)</f>
        <v>45.5</v>
      </c>
      <c r="F471" s="213" t="n">
        <v>4.1</v>
      </c>
      <c r="G471" s="213" t="n">
        <f aca="false">AVERAGEIFS($F$33:$F$1494,$A$33:$A$1494,A471)</f>
        <v>4.58333333333333</v>
      </c>
      <c r="H471" s="213" t="n">
        <v>4.2</v>
      </c>
      <c r="I471" s="213" t="n">
        <f aca="false">AVERAGEIFS($H$33:$H$1494,$A$33:$A$1494,A471)</f>
        <v>4.55</v>
      </c>
      <c r="L471" s="215" t="n">
        <v>40532</v>
      </c>
      <c r="M471" s="213" t="n">
        <v>44.1333333333333</v>
      </c>
      <c r="N471" s="213" t="n">
        <v>45.5</v>
      </c>
      <c r="O471" s="213" t="n">
        <v>4.58333333333333</v>
      </c>
      <c r="P471" s="213" t="n">
        <v>4.55</v>
      </c>
    </row>
    <row r="472" customFormat="false" ht="12.75" hidden="false" customHeight="false" outlineLevel="0" collapsed="false">
      <c r="A472" s="215" t="n">
        <v>40532</v>
      </c>
      <c r="B472" s="213" t="n">
        <v>44.2</v>
      </c>
      <c r="C472" s="213" t="n">
        <f aca="false">AVERAGEIFS($B$33:$B$1494,$A$33:$A$1494,A472)</f>
        <v>44.1333333333333</v>
      </c>
      <c r="D472" s="213" t="n">
        <v>45.5</v>
      </c>
      <c r="E472" s="213" t="n">
        <f aca="false">AVERAGEIFS($D$33:$D$1494,$A$33:$A$1494,A472)</f>
        <v>45.5</v>
      </c>
      <c r="F472" s="213" t="n">
        <v>4.2</v>
      </c>
      <c r="G472" s="213" t="n">
        <f aca="false">AVERAGEIFS($F$33:$F$1494,$A$33:$A$1494,A472)</f>
        <v>4.58333333333333</v>
      </c>
      <c r="H472" s="213" t="n">
        <v>4.4</v>
      </c>
      <c r="I472" s="213" t="n">
        <f aca="false">AVERAGEIFS($H$33:$H$1494,$A$33:$A$1494,A472)</f>
        <v>4.55</v>
      </c>
      <c r="L472" s="215" t="n">
        <v>40532</v>
      </c>
      <c r="M472" s="213" t="n">
        <v>44.1333333333333</v>
      </c>
      <c r="N472" s="213" t="n">
        <v>45.5</v>
      </c>
      <c r="O472" s="213" t="n">
        <v>4.58333333333333</v>
      </c>
      <c r="P472" s="213" t="n">
        <v>4.55</v>
      </c>
    </row>
    <row r="473" customFormat="false" ht="12.75" hidden="false" customHeight="false" outlineLevel="0" collapsed="false">
      <c r="A473" s="215" t="n">
        <v>40532</v>
      </c>
      <c r="B473" s="213" t="n">
        <v>44.1</v>
      </c>
      <c r="C473" s="213" t="n">
        <f aca="false">AVERAGEIFS($B$33:$B$1494,$A$33:$A$1494,A473)</f>
        <v>44.1333333333333</v>
      </c>
      <c r="D473" s="213" t="n">
        <v>45.5</v>
      </c>
      <c r="E473" s="213" t="n">
        <f aca="false">AVERAGEIFS($D$33:$D$1494,$A$33:$A$1494,A473)</f>
        <v>45.5</v>
      </c>
      <c r="F473" s="213" t="n">
        <v>4.4</v>
      </c>
      <c r="G473" s="213" t="n">
        <f aca="false">AVERAGEIFS($F$33:$F$1494,$A$33:$A$1494,A473)</f>
        <v>4.58333333333333</v>
      </c>
      <c r="H473" s="213" t="n">
        <v>4.5</v>
      </c>
      <c r="I473" s="213" t="n">
        <f aca="false">AVERAGEIFS($H$33:$H$1494,$A$33:$A$1494,A473)</f>
        <v>4.55</v>
      </c>
      <c r="L473" s="215" t="n">
        <v>40532</v>
      </c>
      <c r="M473" s="213" t="n">
        <v>44.1333333333333</v>
      </c>
      <c r="N473" s="213" t="n">
        <v>45.5</v>
      </c>
      <c r="O473" s="213" t="n">
        <v>4.58333333333333</v>
      </c>
      <c r="P473" s="213" t="n">
        <v>4.55</v>
      </c>
    </row>
    <row r="474" customFormat="false" ht="12.75" hidden="false" customHeight="false" outlineLevel="0" collapsed="false">
      <c r="A474" s="215" t="n">
        <v>40532</v>
      </c>
      <c r="B474" s="213" t="n">
        <v>44.1</v>
      </c>
      <c r="C474" s="213" t="n">
        <f aca="false">AVERAGEIFS($B$33:$B$1494,$A$33:$A$1494,A474)</f>
        <v>44.1333333333333</v>
      </c>
      <c r="D474" s="213" t="n">
        <v>45.5</v>
      </c>
      <c r="E474" s="213" t="n">
        <f aca="false">AVERAGEIFS($D$33:$D$1494,$A$33:$A$1494,A474)</f>
        <v>45.5</v>
      </c>
      <c r="F474" s="213" t="n">
        <v>4.3</v>
      </c>
      <c r="G474" s="213" t="n">
        <f aca="false">AVERAGEIFS($F$33:$F$1494,$A$33:$A$1494,A474)</f>
        <v>4.58333333333333</v>
      </c>
      <c r="H474" s="213" t="n">
        <v>4.6</v>
      </c>
      <c r="I474" s="213" t="n">
        <f aca="false">AVERAGEIFS($H$33:$H$1494,$A$33:$A$1494,A474)</f>
        <v>4.55</v>
      </c>
      <c r="L474" s="215" t="n">
        <v>40532</v>
      </c>
      <c r="M474" s="213" t="n">
        <v>44.1333333333333</v>
      </c>
      <c r="N474" s="213" t="n">
        <v>45.5</v>
      </c>
      <c r="O474" s="213" t="n">
        <v>4.58333333333333</v>
      </c>
      <c r="P474" s="213" t="n">
        <v>4.55</v>
      </c>
    </row>
    <row r="475" customFormat="false" ht="12.75" hidden="false" customHeight="false" outlineLevel="0" collapsed="false">
      <c r="A475" s="215" t="n">
        <v>40532</v>
      </c>
      <c r="B475" s="213" t="n">
        <v>44.1</v>
      </c>
      <c r="C475" s="213" t="n">
        <f aca="false">AVERAGEIFS($B$33:$B$1494,$A$33:$A$1494,A475)</f>
        <v>44.1333333333333</v>
      </c>
      <c r="D475" s="213" t="n">
        <v>45.5</v>
      </c>
      <c r="E475" s="213" t="n">
        <f aca="false">AVERAGEIFS($D$33:$D$1494,$A$33:$A$1494,A475)</f>
        <v>45.5</v>
      </c>
      <c r="F475" s="213" t="n">
        <v>5.1</v>
      </c>
      <c r="G475" s="213" t="n">
        <f aca="false">AVERAGEIFS($F$33:$F$1494,$A$33:$A$1494,A475)</f>
        <v>4.58333333333333</v>
      </c>
      <c r="H475" s="213" t="n">
        <v>4.7</v>
      </c>
      <c r="I475" s="213" t="n">
        <f aca="false">AVERAGEIFS($H$33:$H$1494,$A$33:$A$1494,A475)</f>
        <v>4.55</v>
      </c>
      <c r="L475" s="215" t="n">
        <v>40532</v>
      </c>
      <c r="M475" s="213" t="n">
        <v>44.1333333333333</v>
      </c>
      <c r="N475" s="213" t="n">
        <v>45.5</v>
      </c>
      <c r="O475" s="213" t="n">
        <v>4.58333333333333</v>
      </c>
      <c r="P475" s="213" t="n">
        <v>4.55</v>
      </c>
    </row>
    <row r="476" customFormat="false" ht="12.75" hidden="false" customHeight="false" outlineLevel="0" collapsed="false">
      <c r="A476" s="215" t="n">
        <v>40532</v>
      </c>
      <c r="B476" s="213" t="n">
        <v>44.1</v>
      </c>
      <c r="C476" s="213" t="n">
        <f aca="false">AVERAGEIFS($B$33:$B$1494,$A$33:$A$1494,A476)</f>
        <v>44.1333333333333</v>
      </c>
      <c r="D476" s="213" t="n">
        <v>45.5</v>
      </c>
      <c r="E476" s="213" t="n">
        <f aca="false">AVERAGEIFS($D$33:$D$1494,$A$33:$A$1494,A476)</f>
        <v>45.5</v>
      </c>
      <c r="F476" s="213" t="n">
        <v>5.4</v>
      </c>
      <c r="G476" s="213" t="n">
        <f aca="false">AVERAGEIFS($F$33:$F$1494,$A$33:$A$1494,A476)</f>
        <v>4.58333333333333</v>
      </c>
      <c r="H476" s="213" t="n">
        <v>4.9</v>
      </c>
      <c r="I476" s="213" t="n">
        <f aca="false">AVERAGEIFS($H$33:$H$1494,$A$33:$A$1494,A476)</f>
        <v>4.55</v>
      </c>
      <c r="L476" s="215" t="n">
        <v>40532</v>
      </c>
      <c r="M476" s="213" t="n">
        <v>44.1333333333333</v>
      </c>
      <c r="N476" s="213" t="n">
        <v>45.5</v>
      </c>
      <c r="O476" s="213" t="n">
        <v>4.58333333333333</v>
      </c>
      <c r="P476" s="213" t="n">
        <v>4.55</v>
      </c>
    </row>
    <row r="477" customFormat="false" ht="12.75" hidden="false" customHeight="false" outlineLevel="0" collapsed="false">
      <c r="A477" s="215" t="n">
        <v>40533</v>
      </c>
      <c r="B477" s="213" t="n">
        <v>44.1</v>
      </c>
      <c r="C477" s="213" t="n">
        <f aca="false">AVERAGEIFS($B$33:$B$1494,$A$33:$A$1494,A477)</f>
        <v>44.1</v>
      </c>
      <c r="D477" s="213" t="n">
        <v>45.5</v>
      </c>
      <c r="E477" s="213" t="n">
        <f aca="false">AVERAGEIFS($D$33:$D$1494,$A$33:$A$1494,A477)</f>
        <v>45.5</v>
      </c>
      <c r="F477" s="213" t="n">
        <v>5.2</v>
      </c>
      <c r="G477" s="213" t="n">
        <f aca="false">AVERAGEIFS($F$33:$F$1494,$A$33:$A$1494,A477)</f>
        <v>5.76666666666667</v>
      </c>
      <c r="H477" s="213" t="n">
        <v>5.1</v>
      </c>
      <c r="I477" s="213" t="n">
        <f aca="false">AVERAGEIFS($H$33:$H$1494,$A$33:$A$1494,A477)</f>
        <v>5.31666666666667</v>
      </c>
      <c r="L477" s="215" t="n">
        <v>40533</v>
      </c>
      <c r="M477" s="213" t="n">
        <v>44.1</v>
      </c>
      <c r="N477" s="213" t="n">
        <v>45.5</v>
      </c>
      <c r="O477" s="213" t="n">
        <v>5.76666666666667</v>
      </c>
      <c r="P477" s="213" t="n">
        <v>5.31666666666667</v>
      </c>
    </row>
    <row r="478" customFormat="false" ht="12.75" hidden="false" customHeight="false" outlineLevel="0" collapsed="false">
      <c r="A478" s="215" t="n">
        <v>40533</v>
      </c>
      <c r="B478" s="213" t="n">
        <v>44.1</v>
      </c>
      <c r="C478" s="213" t="n">
        <f aca="false">AVERAGEIFS($B$33:$B$1494,$A$33:$A$1494,A478)</f>
        <v>44.1</v>
      </c>
      <c r="D478" s="213" t="n">
        <v>45.5</v>
      </c>
      <c r="E478" s="213" t="n">
        <f aca="false">AVERAGEIFS($D$33:$D$1494,$A$33:$A$1494,A478)</f>
        <v>45.5</v>
      </c>
      <c r="F478" s="213" t="n">
        <v>5.1</v>
      </c>
      <c r="G478" s="213" t="n">
        <f aca="false">AVERAGEIFS($F$33:$F$1494,$A$33:$A$1494,A478)</f>
        <v>5.76666666666667</v>
      </c>
      <c r="H478" s="213" t="n">
        <v>5.1</v>
      </c>
      <c r="I478" s="213" t="n">
        <f aca="false">AVERAGEIFS($H$33:$H$1494,$A$33:$A$1494,A478)</f>
        <v>5.31666666666667</v>
      </c>
      <c r="L478" s="215" t="n">
        <v>40533</v>
      </c>
      <c r="M478" s="213" t="n">
        <v>44.1</v>
      </c>
      <c r="N478" s="213" t="n">
        <v>45.5</v>
      </c>
      <c r="O478" s="213" t="n">
        <v>5.76666666666667</v>
      </c>
      <c r="P478" s="213" t="n">
        <v>5.31666666666667</v>
      </c>
    </row>
    <row r="479" customFormat="false" ht="12.75" hidden="false" customHeight="false" outlineLevel="0" collapsed="false">
      <c r="A479" s="215" t="n">
        <v>40533</v>
      </c>
      <c r="B479" s="213" t="n">
        <v>44.1</v>
      </c>
      <c r="C479" s="213" t="n">
        <f aca="false">AVERAGEIFS($B$33:$B$1494,$A$33:$A$1494,A479)</f>
        <v>44.1</v>
      </c>
      <c r="D479" s="213" t="n">
        <v>45.5</v>
      </c>
      <c r="E479" s="213" t="n">
        <f aca="false">AVERAGEIFS($D$33:$D$1494,$A$33:$A$1494,A479)</f>
        <v>45.5</v>
      </c>
      <c r="F479" s="213" t="n">
        <v>5.5</v>
      </c>
      <c r="G479" s="213" t="n">
        <f aca="false">AVERAGEIFS($F$33:$F$1494,$A$33:$A$1494,A479)</f>
        <v>5.76666666666667</v>
      </c>
      <c r="H479" s="213" t="n">
        <v>5.2</v>
      </c>
      <c r="I479" s="213" t="n">
        <f aca="false">AVERAGEIFS($H$33:$H$1494,$A$33:$A$1494,A479)</f>
        <v>5.31666666666667</v>
      </c>
      <c r="L479" s="215" t="n">
        <v>40533</v>
      </c>
      <c r="M479" s="213" t="n">
        <v>44.1</v>
      </c>
      <c r="N479" s="213" t="n">
        <v>45.5</v>
      </c>
      <c r="O479" s="213" t="n">
        <v>5.76666666666667</v>
      </c>
      <c r="P479" s="213" t="n">
        <v>5.31666666666667</v>
      </c>
    </row>
    <row r="480" customFormat="false" ht="12.75" hidden="false" customHeight="false" outlineLevel="0" collapsed="false">
      <c r="A480" s="215" t="n">
        <v>40533</v>
      </c>
      <c r="B480" s="213" t="n">
        <v>44.1</v>
      </c>
      <c r="C480" s="213" t="n">
        <f aca="false">AVERAGEIFS($B$33:$B$1494,$A$33:$A$1494,A480)</f>
        <v>44.1</v>
      </c>
      <c r="D480" s="213" t="n">
        <v>45.5</v>
      </c>
      <c r="E480" s="213" t="n">
        <f aca="false">AVERAGEIFS($D$33:$D$1494,$A$33:$A$1494,A480)</f>
        <v>45.5</v>
      </c>
      <c r="F480" s="213" t="n">
        <v>5.8</v>
      </c>
      <c r="G480" s="213" t="n">
        <f aca="false">AVERAGEIFS($F$33:$F$1494,$A$33:$A$1494,A480)</f>
        <v>5.76666666666667</v>
      </c>
      <c r="H480" s="213" t="n">
        <v>5.3</v>
      </c>
      <c r="I480" s="213" t="n">
        <f aca="false">AVERAGEIFS($H$33:$H$1494,$A$33:$A$1494,A480)</f>
        <v>5.31666666666667</v>
      </c>
      <c r="L480" s="215" t="n">
        <v>40533</v>
      </c>
      <c r="M480" s="213" t="n">
        <v>44.1</v>
      </c>
      <c r="N480" s="213" t="n">
        <v>45.5</v>
      </c>
      <c r="O480" s="213" t="n">
        <v>5.76666666666667</v>
      </c>
      <c r="P480" s="213" t="n">
        <v>5.31666666666667</v>
      </c>
    </row>
    <row r="481" customFormat="false" ht="12.75" hidden="false" customHeight="false" outlineLevel="0" collapsed="false">
      <c r="A481" s="215" t="n">
        <v>40533</v>
      </c>
      <c r="B481" s="213" t="n">
        <v>44.1</v>
      </c>
      <c r="C481" s="213" t="n">
        <f aca="false">AVERAGEIFS($B$33:$B$1494,$A$33:$A$1494,A481)</f>
        <v>44.1</v>
      </c>
      <c r="D481" s="213" t="n">
        <v>45.5</v>
      </c>
      <c r="E481" s="213" t="n">
        <f aca="false">AVERAGEIFS($D$33:$D$1494,$A$33:$A$1494,A481)</f>
        <v>45.5</v>
      </c>
      <c r="F481" s="213" t="n">
        <v>6.4</v>
      </c>
      <c r="G481" s="213" t="n">
        <f aca="false">AVERAGEIFS($F$33:$F$1494,$A$33:$A$1494,A481)</f>
        <v>5.76666666666667</v>
      </c>
      <c r="H481" s="213" t="n">
        <v>5.5</v>
      </c>
      <c r="I481" s="213" t="n">
        <f aca="false">AVERAGEIFS($H$33:$H$1494,$A$33:$A$1494,A481)</f>
        <v>5.31666666666667</v>
      </c>
      <c r="L481" s="215" t="n">
        <v>40533</v>
      </c>
      <c r="M481" s="213" t="n">
        <v>44.1</v>
      </c>
      <c r="N481" s="213" t="n">
        <v>45.5</v>
      </c>
      <c r="O481" s="213" t="n">
        <v>5.76666666666667</v>
      </c>
      <c r="P481" s="213" t="n">
        <v>5.31666666666667</v>
      </c>
    </row>
    <row r="482" customFormat="false" ht="12.75" hidden="false" customHeight="false" outlineLevel="0" collapsed="false">
      <c r="A482" s="215" t="n">
        <v>40533</v>
      </c>
      <c r="B482" s="213" t="n">
        <v>44.1</v>
      </c>
      <c r="C482" s="213" t="n">
        <f aca="false">AVERAGEIFS($B$33:$B$1494,$A$33:$A$1494,A482)</f>
        <v>44.1</v>
      </c>
      <c r="D482" s="213" t="n">
        <v>45.5</v>
      </c>
      <c r="E482" s="213" t="n">
        <f aca="false">AVERAGEIFS($D$33:$D$1494,$A$33:$A$1494,A482)</f>
        <v>45.5</v>
      </c>
      <c r="F482" s="213" t="n">
        <v>6.6</v>
      </c>
      <c r="G482" s="213" t="n">
        <f aca="false">AVERAGEIFS($F$33:$F$1494,$A$33:$A$1494,A482)</f>
        <v>5.76666666666667</v>
      </c>
      <c r="H482" s="213" t="n">
        <v>5.7</v>
      </c>
      <c r="I482" s="213" t="n">
        <f aca="false">AVERAGEIFS($H$33:$H$1494,$A$33:$A$1494,A482)</f>
        <v>5.31666666666667</v>
      </c>
      <c r="L482" s="215" t="n">
        <v>40533</v>
      </c>
      <c r="M482" s="213" t="n">
        <v>44.1</v>
      </c>
      <c r="N482" s="213" t="n">
        <v>45.5</v>
      </c>
      <c r="O482" s="213" t="n">
        <v>5.76666666666667</v>
      </c>
      <c r="P482" s="213" t="n">
        <v>5.31666666666667</v>
      </c>
    </row>
    <row r="483" customFormat="false" ht="12.75" hidden="false" customHeight="false" outlineLevel="0" collapsed="false">
      <c r="A483" s="215" t="n">
        <v>40534</v>
      </c>
      <c r="B483" s="213" t="n">
        <v>44.1</v>
      </c>
      <c r="C483" s="213" t="n">
        <f aca="false">AVERAGEIFS($B$33:$B$1494,$A$33:$A$1494,A483)</f>
        <v>44.0666666666667</v>
      </c>
      <c r="D483" s="213" t="n">
        <v>45.5</v>
      </c>
      <c r="E483" s="213" t="n">
        <f aca="false">AVERAGEIFS($D$33:$D$1494,$A$33:$A$1494,A483)</f>
        <v>45.5</v>
      </c>
      <c r="F483" s="213" t="n">
        <v>6.6</v>
      </c>
      <c r="G483" s="213" t="n">
        <f aca="false">AVERAGEIFS($F$33:$F$1494,$A$33:$A$1494,A483)</f>
        <v>6.83333333333333</v>
      </c>
      <c r="H483" s="213" t="n">
        <v>5.9</v>
      </c>
      <c r="I483" s="213" t="n">
        <f aca="false">AVERAGEIFS($H$33:$H$1494,$A$33:$A$1494,A483)</f>
        <v>6.13333333333333</v>
      </c>
      <c r="L483" s="215" t="n">
        <v>40534</v>
      </c>
      <c r="M483" s="213" t="n">
        <v>44.0666666666667</v>
      </c>
      <c r="N483" s="213" t="n">
        <v>45.5</v>
      </c>
      <c r="O483" s="213" t="n">
        <v>6.83333333333333</v>
      </c>
      <c r="P483" s="213" t="n">
        <v>6.13333333333333</v>
      </c>
    </row>
    <row r="484" customFormat="false" ht="12.75" hidden="false" customHeight="false" outlineLevel="0" collapsed="false">
      <c r="A484" s="215" t="n">
        <v>40534</v>
      </c>
      <c r="B484" s="213" t="n">
        <v>44.1</v>
      </c>
      <c r="C484" s="213" t="n">
        <f aca="false">AVERAGEIFS($B$33:$B$1494,$A$33:$A$1494,A484)</f>
        <v>44.0666666666667</v>
      </c>
      <c r="D484" s="213" t="n">
        <v>45.5</v>
      </c>
      <c r="E484" s="213" t="n">
        <f aca="false">AVERAGEIFS($D$33:$D$1494,$A$33:$A$1494,A484)</f>
        <v>45.5</v>
      </c>
      <c r="F484" s="213" t="n">
        <v>6.3</v>
      </c>
      <c r="G484" s="213" t="n">
        <f aca="false">AVERAGEIFS($F$33:$F$1494,$A$33:$A$1494,A484)</f>
        <v>6.83333333333333</v>
      </c>
      <c r="H484" s="213" t="n">
        <v>6</v>
      </c>
      <c r="I484" s="213" t="n">
        <f aca="false">AVERAGEIFS($H$33:$H$1494,$A$33:$A$1494,A484)</f>
        <v>6.13333333333333</v>
      </c>
      <c r="L484" s="215" t="n">
        <v>40534</v>
      </c>
      <c r="M484" s="213" t="n">
        <v>44.0666666666667</v>
      </c>
      <c r="N484" s="213" t="n">
        <v>45.5</v>
      </c>
      <c r="O484" s="213" t="n">
        <v>6.83333333333333</v>
      </c>
      <c r="P484" s="213" t="n">
        <v>6.13333333333333</v>
      </c>
    </row>
    <row r="485" customFormat="false" ht="12.75" hidden="false" customHeight="false" outlineLevel="0" collapsed="false">
      <c r="A485" s="215" t="n">
        <v>40534</v>
      </c>
      <c r="B485" s="213" t="n">
        <v>44.1</v>
      </c>
      <c r="C485" s="213" t="n">
        <f aca="false">AVERAGEIFS($B$33:$B$1494,$A$33:$A$1494,A485)</f>
        <v>44.0666666666667</v>
      </c>
      <c r="D485" s="213" t="n">
        <v>45.5</v>
      </c>
      <c r="E485" s="213" t="n">
        <f aca="false">AVERAGEIFS($D$33:$D$1494,$A$33:$A$1494,A485)</f>
        <v>45.5</v>
      </c>
      <c r="F485" s="213" t="n">
        <v>6.2</v>
      </c>
      <c r="G485" s="213" t="n">
        <f aca="false">AVERAGEIFS($F$33:$F$1494,$A$33:$A$1494,A485)</f>
        <v>6.83333333333333</v>
      </c>
      <c r="H485" s="213" t="n">
        <v>6.1</v>
      </c>
      <c r="I485" s="213" t="n">
        <f aca="false">AVERAGEIFS($H$33:$H$1494,$A$33:$A$1494,A485)</f>
        <v>6.13333333333333</v>
      </c>
      <c r="L485" s="215" t="n">
        <v>40534</v>
      </c>
      <c r="M485" s="213" t="n">
        <v>44.0666666666667</v>
      </c>
      <c r="N485" s="213" t="n">
        <v>45.5</v>
      </c>
      <c r="O485" s="213" t="n">
        <v>6.83333333333333</v>
      </c>
      <c r="P485" s="213" t="n">
        <v>6.13333333333333</v>
      </c>
    </row>
    <row r="486" customFormat="false" ht="12.75" hidden="false" customHeight="false" outlineLevel="0" collapsed="false">
      <c r="A486" s="215" t="n">
        <v>40534</v>
      </c>
      <c r="B486" s="213" t="n">
        <v>44.1</v>
      </c>
      <c r="C486" s="213" t="n">
        <f aca="false">AVERAGEIFS($B$33:$B$1494,$A$33:$A$1494,A486)</f>
        <v>44.0666666666667</v>
      </c>
      <c r="D486" s="213" t="n">
        <v>45.5</v>
      </c>
      <c r="E486" s="213" t="n">
        <f aca="false">AVERAGEIFS($D$33:$D$1494,$A$33:$A$1494,A486)</f>
        <v>45.5</v>
      </c>
      <c r="F486" s="213" t="n">
        <v>6.7</v>
      </c>
      <c r="G486" s="213" t="n">
        <f aca="false">AVERAGEIFS($F$33:$F$1494,$A$33:$A$1494,A486)</f>
        <v>6.83333333333333</v>
      </c>
      <c r="H486" s="213" t="n">
        <v>6.1</v>
      </c>
      <c r="I486" s="213" t="n">
        <f aca="false">AVERAGEIFS($H$33:$H$1494,$A$33:$A$1494,A486)</f>
        <v>6.13333333333333</v>
      </c>
      <c r="L486" s="215" t="n">
        <v>40534</v>
      </c>
      <c r="M486" s="213" t="n">
        <v>44.0666666666667</v>
      </c>
      <c r="N486" s="213" t="n">
        <v>45.5</v>
      </c>
      <c r="O486" s="213" t="n">
        <v>6.83333333333333</v>
      </c>
      <c r="P486" s="213" t="n">
        <v>6.13333333333333</v>
      </c>
    </row>
    <row r="487" customFormat="false" ht="12.75" hidden="false" customHeight="false" outlineLevel="0" collapsed="false">
      <c r="A487" s="215" t="n">
        <v>40534</v>
      </c>
      <c r="B487" s="213" t="n">
        <v>44</v>
      </c>
      <c r="C487" s="213" t="n">
        <f aca="false">AVERAGEIFS($B$33:$B$1494,$A$33:$A$1494,A487)</f>
        <v>44.0666666666667</v>
      </c>
      <c r="D487" s="213" t="n">
        <v>45.5</v>
      </c>
      <c r="E487" s="213" t="n">
        <f aca="false">AVERAGEIFS($D$33:$D$1494,$A$33:$A$1494,A487)</f>
        <v>45.5</v>
      </c>
      <c r="F487" s="213" t="n">
        <v>7.5</v>
      </c>
      <c r="G487" s="213" t="n">
        <f aca="false">AVERAGEIFS($F$33:$F$1494,$A$33:$A$1494,A487)</f>
        <v>6.83333333333333</v>
      </c>
      <c r="H487" s="213" t="n">
        <v>6.2</v>
      </c>
      <c r="I487" s="213" t="n">
        <f aca="false">AVERAGEIFS($H$33:$H$1494,$A$33:$A$1494,A487)</f>
        <v>6.13333333333333</v>
      </c>
      <c r="L487" s="215" t="n">
        <v>40534</v>
      </c>
      <c r="M487" s="213" t="n">
        <v>44.0666666666667</v>
      </c>
      <c r="N487" s="213" t="n">
        <v>45.5</v>
      </c>
      <c r="O487" s="213" t="n">
        <v>6.83333333333333</v>
      </c>
      <c r="P487" s="213" t="n">
        <v>6.13333333333333</v>
      </c>
    </row>
    <row r="488" customFormat="false" ht="12.75" hidden="false" customHeight="false" outlineLevel="0" collapsed="false">
      <c r="A488" s="215" t="n">
        <v>40534</v>
      </c>
      <c r="B488" s="213" t="n">
        <v>44</v>
      </c>
      <c r="C488" s="213" t="n">
        <f aca="false">AVERAGEIFS($B$33:$B$1494,$A$33:$A$1494,A488)</f>
        <v>44.0666666666667</v>
      </c>
      <c r="D488" s="213" t="n">
        <v>45.5</v>
      </c>
      <c r="E488" s="213" t="n">
        <f aca="false">AVERAGEIFS($D$33:$D$1494,$A$33:$A$1494,A488)</f>
        <v>45.5</v>
      </c>
      <c r="F488" s="213" t="n">
        <v>7.7</v>
      </c>
      <c r="G488" s="213" t="n">
        <f aca="false">AVERAGEIFS($F$33:$F$1494,$A$33:$A$1494,A488)</f>
        <v>6.83333333333333</v>
      </c>
      <c r="H488" s="213" t="n">
        <v>6.5</v>
      </c>
      <c r="I488" s="213" t="n">
        <f aca="false">AVERAGEIFS($H$33:$H$1494,$A$33:$A$1494,A488)</f>
        <v>6.13333333333333</v>
      </c>
      <c r="L488" s="215" t="n">
        <v>40534</v>
      </c>
      <c r="M488" s="213" t="n">
        <v>44.0666666666667</v>
      </c>
      <c r="N488" s="213" t="n">
        <v>45.5</v>
      </c>
      <c r="O488" s="213" t="n">
        <v>6.83333333333333</v>
      </c>
      <c r="P488" s="213" t="n">
        <v>6.13333333333333</v>
      </c>
    </row>
    <row r="489" customFormat="false" ht="12.75" hidden="false" customHeight="false" outlineLevel="0" collapsed="false">
      <c r="A489" s="215" t="n">
        <v>40535</v>
      </c>
      <c r="B489" s="213" t="n">
        <v>44</v>
      </c>
      <c r="C489" s="213" t="n">
        <f aca="false">AVERAGEIFS($B$33:$B$1494,$A$33:$A$1494,A489)</f>
        <v>58.3</v>
      </c>
      <c r="D489" s="213" t="n">
        <v>45.5</v>
      </c>
      <c r="E489" s="213" t="n">
        <f aca="false">AVERAGEIFS($D$33:$D$1494,$A$33:$A$1494,A489)</f>
        <v>58.85</v>
      </c>
      <c r="F489" s="213" t="n">
        <v>7.5</v>
      </c>
      <c r="G489" s="213" t="n">
        <f aca="false">AVERAGEIFS($F$33:$F$1494,$A$33:$A$1494,A489)</f>
        <v>7.56666666666667</v>
      </c>
      <c r="H489" s="213" t="n">
        <v>6.7</v>
      </c>
      <c r="I489" s="213" t="n">
        <f aca="false">AVERAGEIFS($H$33:$H$1494,$A$33:$A$1494,A489)</f>
        <v>6.91666666666667</v>
      </c>
      <c r="L489" s="215" t="n">
        <v>40535</v>
      </c>
      <c r="M489" s="213" t="n">
        <v>58.3</v>
      </c>
      <c r="N489" s="213" t="n">
        <v>58.85</v>
      </c>
      <c r="O489" s="213" t="n">
        <v>7.56666666666667</v>
      </c>
      <c r="P489" s="213" t="n">
        <v>6.91666666666667</v>
      </c>
    </row>
    <row r="490" customFormat="false" ht="12.75" hidden="false" customHeight="false" outlineLevel="0" collapsed="false">
      <c r="A490" s="215" t="n">
        <v>40535</v>
      </c>
      <c r="B490" s="213" t="n">
        <v>44</v>
      </c>
      <c r="C490" s="213" t="n">
        <f aca="false">AVERAGEIFS($B$33:$B$1494,$A$33:$A$1494,A490)</f>
        <v>58.3</v>
      </c>
      <c r="D490" s="213" t="n">
        <v>45.5</v>
      </c>
      <c r="E490" s="213" t="n">
        <f aca="false">AVERAGEIFS($D$33:$D$1494,$A$33:$A$1494,A490)</f>
        <v>58.85</v>
      </c>
      <c r="F490" s="213" t="n">
        <v>7.6</v>
      </c>
      <c r="G490" s="213" t="n">
        <f aca="false">AVERAGEIFS($F$33:$F$1494,$A$33:$A$1494,A490)</f>
        <v>7.56666666666667</v>
      </c>
      <c r="H490" s="213" t="n">
        <v>6.8</v>
      </c>
      <c r="I490" s="213" t="n">
        <f aca="false">AVERAGEIFS($H$33:$H$1494,$A$33:$A$1494,A490)</f>
        <v>6.91666666666667</v>
      </c>
      <c r="L490" s="215" t="n">
        <v>40535</v>
      </c>
      <c r="M490" s="213" t="n">
        <v>58.3</v>
      </c>
      <c r="N490" s="213" t="n">
        <v>58.85</v>
      </c>
      <c r="O490" s="213" t="n">
        <v>7.56666666666667</v>
      </c>
      <c r="P490" s="213" t="n">
        <v>6.91666666666667</v>
      </c>
    </row>
    <row r="491" customFormat="false" ht="12.75" hidden="false" customHeight="false" outlineLevel="0" collapsed="false">
      <c r="A491" s="215" t="n">
        <v>40535</v>
      </c>
      <c r="B491" s="213" t="n">
        <v>44</v>
      </c>
      <c r="C491" s="213" t="n">
        <f aca="false">AVERAGEIFS($B$33:$B$1494,$A$33:$A$1494,A491)</f>
        <v>58.3</v>
      </c>
      <c r="D491" s="213" t="n">
        <v>45.5</v>
      </c>
      <c r="E491" s="213" t="n">
        <f aca="false">AVERAGEIFS($D$33:$D$1494,$A$33:$A$1494,A491)</f>
        <v>58.85</v>
      </c>
      <c r="F491" s="213" t="n">
        <v>7.6</v>
      </c>
      <c r="G491" s="213" t="n">
        <f aca="false">AVERAGEIFS($F$33:$F$1494,$A$33:$A$1494,A491)</f>
        <v>7.56666666666667</v>
      </c>
      <c r="H491" s="213" t="n">
        <v>6.9</v>
      </c>
      <c r="I491" s="213" t="n">
        <f aca="false">AVERAGEIFS($H$33:$H$1494,$A$33:$A$1494,A491)</f>
        <v>6.91666666666667</v>
      </c>
      <c r="L491" s="215" t="n">
        <v>40535</v>
      </c>
      <c r="M491" s="213" t="n">
        <v>58.3</v>
      </c>
      <c r="N491" s="213" t="n">
        <v>58.85</v>
      </c>
      <c r="O491" s="213" t="n">
        <v>7.56666666666667</v>
      </c>
      <c r="P491" s="213" t="n">
        <v>6.91666666666667</v>
      </c>
    </row>
    <row r="492" customFormat="false" ht="12.75" hidden="false" customHeight="false" outlineLevel="0" collapsed="false">
      <c r="A492" s="215" t="n">
        <v>40535</v>
      </c>
      <c r="B492" s="213" t="n">
        <v>72.5</v>
      </c>
      <c r="C492" s="213" t="n">
        <f aca="false">AVERAGEIFS($B$33:$B$1494,$A$33:$A$1494,A492)</f>
        <v>58.3</v>
      </c>
      <c r="D492" s="213" t="n">
        <v>69.6</v>
      </c>
      <c r="E492" s="213" t="n">
        <f aca="false">AVERAGEIFS($D$33:$D$1494,$A$33:$A$1494,A492)</f>
        <v>58.85</v>
      </c>
      <c r="F492" s="213" t="n">
        <v>7.6</v>
      </c>
      <c r="G492" s="213" t="n">
        <f aca="false">AVERAGEIFS($F$33:$F$1494,$A$33:$A$1494,A492)</f>
        <v>7.56666666666667</v>
      </c>
      <c r="H492" s="213" t="n">
        <v>7</v>
      </c>
      <c r="I492" s="213" t="n">
        <f aca="false">AVERAGEIFS($H$33:$H$1494,$A$33:$A$1494,A492)</f>
        <v>6.91666666666667</v>
      </c>
      <c r="L492" s="215" t="n">
        <v>40535</v>
      </c>
      <c r="M492" s="213" t="n">
        <v>58.3</v>
      </c>
      <c r="N492" s="213" t="n">
        <v>58.85</v>
      </c>
      <c r="O492" s="213" t="n">
        <v>7.56666666666667</v>
      </c>
      <c r="P492" s="213" t="n">
        <v>6.91666666666667</v>
      </c>
    </row>
    <row r="493" customFormat="false" ht="12.75" hidden="false" customHeight="false" outlineLevel="0" collapsed="false">
      <c r="A493" s="215" t="n">
        <v>40535</v>
      </c>
      <c r="B493" s="213" t="n">
        <v>72.5</v>
      </c>
      <c r="C493" s="213" t="n">
        <f aca="false">AVERAGEIFS($B$33:$B$1494,$A$33:$A$1494,A493)</f>
        <v>58.3</v>
      </c>
      <c r="D493" s="213" t="n">
        <v>73.4</v>
      </c>
      <c r="E493" s="213" t="n">
        <f aca="false">AVERAGEIFS($D$33:$D$1494,$A$33:$A$1494,A493)</f>
        <v>58.85</v>
      </c>
      <c r="F493" s="213" t="n">
        <v>7.7</v>
      </c>
      <c r="G493" s="213" t="n">
        <f aca="false">AVERAGEIFS($F$33:$F$1494,$A$33:$A$1494,A493)</f>
        <v>7.56666666666667</v>
      </c>
      <c r="H493" s="213" t="n">
        <v>7</v>
      </c>
      <c r="I493" s="213" t="n">
        <f aca="false">AVERAGEIFS($H$33:$H$1494,$A$33:$A$1494,A493)</f>
        <v>6.91666666666667</v>
      </c>
      <c r="L493" s="215" t="n">
        <v>40535</v>
      </c>
      <c r="M493" s="213" t="n">
        <v>58.3</v>
      </c>
      <c r="N493" s="213" t="n">
        <v>58.85</v>
      </c>
      <c r="O493" s="213" t="n">
        <v>7.56666666666667</v>
      </c>
      <c r="P493" s="213" t="n">
        <v>6.91666666666667</v>
      </c>
    </row>
    <row r="494" customFormat="false" ht="12.75" hidden="false" customHeight="false" outlineLevel="0" collapsed="false">
      <c r="A494" s="215" t="n">
        <v>40535</v>
      </c>
      <c r="B494" s="213" t="n">
        <v>72.8</v>
      </c>
      <c r="C494" s="213" t="n">
        <f aca="false">AVERAGEIFS($B$33:$B$1494,$A$33:$A$1494,A494)</f>
        <v>58.3</v>
      </c>
      <c r="D494" s="213" t="n">
        <v>73.6</v>
      </c>
      <c r="E494" s="213" t="n">
        <f aca="false">AVERAGEIFS($D$33:$D$1494,$A$33:$A$1494,A494)</f>
        <v>58.85</v>
      </c>
      <c r="F494" s="213" t="n">
        <v>7.4</v>
      </c>
      <c r="G494" s="213" t="n">
        <f aca="false">AVERAGEIFS($F$33:$F$1494,$A$33:$A$1494,A494)</f>
        <v>7.56666666666667</v>
      </c>
      <c r="H494" s="213" t="n">
        <v>7.1</v>
      </c>
      <c r="I494" s="213" t="n">
        <f aca="false">AVERAGEIFS($H$33:$H$1494,$A$33:$A$1494,A494)</f>
        <v>6.91666666666667</v>
      </c>
      <c r="L494" s="215" t="n">
        <v>40535</v>
      </c>
      <c r="M494" s="213" t="n">
        <v>58.3</v>
      </c>
      <c r="N494" s="213" t="n">
        <v>58.85</v>
      </c>
      <c r="O494" s="213" t="n">
        <v>7.56666666666667</v>
      </c>
      <c r="P494" s="213" t="n">
        <v>6.91666666666667</v>
      </c>
    </row>
    <row r="495" customFormat="false" ht="12.75" hidden="false" customHeight="false" outlineLevel="0" collapsed="false">
      <c r="A495" s="215" t="n">
        <v>40536</v>
      </c>
      <c r="B495" s="213" t="n">
        <v>61.2</v>
      </c>
      <c r="C495" s="213" t="n">
        <f aca="false">AVERAGEIFS($B$33:$B$1494,$A$33:$A$1494,A495)</f>
        <v>55.15</v>
      </c>
      <c r="D495" s="213" t="n">
        <v>62.2</v>
      </c>
      <c r="E495" s="213" t="n">
        <f aca="false">AVERAGEIFS($D$33:$D$1494,$A$33:$A$1494,A495)</f>
        <v>53.5</v>
      </c>
      <c r="F495" s="213" t="n">
        <v>6.7</v>
      </c>
      <c r="G495" s="213" t="n">
        <f aca="false">AVERAGEIFS($F$33:$F$1494,$A$33:$A$1494,A495)</f>
        <v>5.38333333333333</v>
      </c>
      <c r="H495" s="213" t="n">
        <v>7.1</v>
      </c>
      <c r="I495" s="213" t="n">
        <f aca="false">AVERAGEIFS($H$33:$H$1494,$A$33:$A$1494,A495)</f>
        <v>6.45</v>
      </c>
      <c r="L495" s="215" t="n">
        <v>40536</v>
      </c>
      <c r="M495" s="213" t="n">
        <v>55.15</v>
      </c>
      <c r="N495" s="213" t="n">
        <v>53.5</v>
      </c>
      <c r="O495" s="213" t="n">
        <v>5.38333333333333</v>
      </c>
      <c r="P495" s="213" t="n">
        <v>6.45</v>
      </c>
    </row>
    <row r="496" customFormat="false" ht="12.75" hidden="false" customHeight="false" outlineLevel="0" collapsed="false">
      <c r="A496" s="215" t="n">
        <v>40536</v>
      </c>
      <c r="B496" s="213" t="n">
        <v>49.5</v>
      </c>
      <c r="C496" s="213" t="n">
        <f aca="false">AVERAGEIFS($B$33:$B$1494,$A$33:$A$1494,A496)</f>
        <v>55.15</v>
      </c>
      <c r="D496" s="213" t="n">
        <v>51</v>
      </c>
      <c r="E496" s="213" t="n">
        <f aca="false">AVERAGEIFS($D$33:$D$1494,$A$33:$A$1494,A496)</f>
        <v>53.5</v>
      </c>
      <c r="F496" s="213" t="n">
        <v>5.8</v>
      </c>
      <c r="G496" s="213" t="n">
        <f aca="false">AVERAGEIFS($F$33:$F$1494,$A$33:$A$1494,A496)</f>
        <v>5.38333333333333</v>
      </c>
      <c r="H496" s="213" t="n">
        <v>6.9</v>
      </c>
      <c r="I496" s="213" t="n">
        <f aca="false">AVERAGEIFS($H$33:$H$1494,$A$33:$A$1494,A496)</f>
        <v>6.45</v>
      </c>
      <c r="L496" s="215" t="n">
        <v>40536</v>
      </c>
      <c r="M496" s="213" t="n">
        <v>55.15</v>
      </c>
      <c r="N496" s="213" t="n">
        <v>53.5</v>
      </c>
      <c r="O496" s="213" t="n">
        <v>5.38333333333333</v>
      </c>
      <c r="P496" s="213" t="n">
        <v>6.45</v>
      </c>
    </row>
    <row r="497" customFormat="false" ht="12.75" hidden="false" customHeight="false" outlineLevel="0" collapsed="false">
      <c r="A497" s="215" t="n">
        <v>40536</v>
      </c>
      <c r="B497" s="213" t="n">
        <v>54.2</v>
      </c>
      <c r="C497" s="213" t="n">
        <f aca="false">AVERAGEIFS($B$33:$B$1494,$A$33:$A$1494,A497)</f>
        <v>55.15</v>
      </c>
      <c r="D497" s="213" t="n">
        <v>50.5</v>
      </c>
      <c r="E497" s="213" t="n">
        <f aca="false">AVERAGEIFS($D$33:$D$1494,$A$33:$A$1494,A497)</f>
        <v>53.5</v>
      </c>
      <c r="F497" s="213" t="n">
        <v>5.1</v>
      </c>
      <c r="G497" s="213" t="n">
        <f aca="false">AVERAGEIFS($F$33:$F$1494,$A$33:$A$1494,A497)</f>
        <v>5.38333333333333</v>
      </c>
      <c r="H497" s="213" t="n">
        <v>6.6</v>
      </c>
      <c r="I497" s="213" t="n">
        <f aca="false">AVERAGEIFS($H$33:$H$1494,$A$33:$A$1494,A497)</f>
        <v>6.45</v>
      </c>
      <c r="L497" s="215" t="n">
        <v>40536</v>
      </c>
      <c r="M497" s="213" t="n">
        <v>55.15</v>
      </c>
      <c r="N497" s="213" t="n">
        <v>53.5</v>
      </c>
      <c r="O497" s="213" t="n">
        <v>5.38333333333333</v>
      </c>
      <c r="P497" s="213" t="n">
        <v>6.45</v>
      </c>
    </row>
    <row r="498" customFormat="false" ht="12.75" hidden="false" customHeight="false" outlineLevel="0" collapsed="false">
      <c r="A498" s="215" t="n">
        <v>40536</v>
      </c>
      <c r="B498" s="213" t="n">
        <v>64.5</v>
      </c>
      <c r="C498" s="213" t="n">
        <f aca="false">AVERAGEIFS($B$33:$B$1494,$A$33:$A$1494,A498)</f>
        <v>55.15</v>
      </c>
      <c r="D498" s="213" t="n">
        <v>53.2</v>
      </c>
      <c r="E498" s="213" t="n">
        <f aca="false">AVERAGEIFS($D$33:$D$1494,$A$33:$A$1494,A498)</f>
        <v>53.5</v>
      </c>
      <c r="F498" s="213" t="n">
        <v>4.9</v>
      </c>
      <c r="G498" s="213" t="n">
        <f aca="false">AVERAGEIFS($F$33:$F$1494,$A$33:$A$1494,A498)</f>
        <v>5.38333333333333</v>
      </c>
      <c r="H498" s="213" t="n">
        <v>6.2</v>
      </c>
      <c r="I498" s="213" t="n">
        <f aca="false">AVERAGEIFS($H$33:$H$1494,$A$33:$A$1494,A498)</f>
        <v>6.45</v>
      </c>
      <c r="L498" s="215" t="n">
        <v>40536</v>
      </c>
      <c r="M498" s="213" t="n">
        <v>55.15</v>
      </c>
      <c r="N498" s="213" t="n">
        <v>53.5</v>
      </c>
      <c r="O498" s="213" t="n">
        <v>5.38333333333333</v>
      </c>
      <c r="P498" s="213" t="n">
        <v>6.45</v>
      </c>
    </row>
    <row r="499" customFormat="false" ht="12.75" hidden="false" customHeight="false" outlineLevel="0" collapsed="false">
      <c r="A499" s="215" t="n">
        <v>40536</v>
      </c>
      <c r="B499" s="213" t="n">
        <v>52.7</v>
      </c>
      <c r="C499" s="213" t="n">
        <f aca="false">AVERAGEIFS($B$33:$B$1494,$A$33:$A$1494,A499)</f>
        <v>55.15</v>
      </c>
      <c r="D499" s="213" t="n">
        <v>53</v>
      </c>
      <c r="E499" s="213" t="n">
        <f aca="false">AVERAGEIFS($D$33:$D$1494,$A$33:$A$1494,A499)</f>
        <v>53.5</v>
      </c>
      <c r="F499" s="213" t="n">
        <v>5</v>
      </c>
      <c r="G499" s="213" t="n">
        <f aca="false">AVERAGEIFS($F$33:$F$1494,$A$33:$A$1494,A499)</f>
        <v>5.38333333333333</v>
      </c>
      <c r="H499" s="213" t="n">
        <v>6</v>
      </c>
      <c r="I499" s="213" t="n">
        <f aca="false">AVERAGEIFS($H$33:$H$1494,$A$33:$A$1494,A499)</f>
        <v>6.45</v>
      </c>
      <c r="L499" s="215" t="n">
        <v>40536</v>
      </c>
      <c r="M499" s="213" t="n">
        <v>55.15</v>
      </c>
      <c r="N499" s="213" t="n">
        <v>53.5</v>
      </c>
      <c r="O499" s="213" t="n">
        <v>5.38333333333333</v>
      </c>
      <c r="P499" s="213" t="n">
        <v>6.45</v>
      </c>
    </row>
    <row r="500" customFormat="false" ht="12.75" hidden="false" customHeight="false" outlineLevel="0" collapsed="false">
      <c r="A500" s="215" t="n">
        <v>40536</v>
      </c>
      <c r="B500" s="213" t="n">
        <v>48.8</v>
      </c>
      <c r="C500" s="213" t="n">
        <f aca="false">AVERAGEIFS($B$33:$B$1494,$A$33:$A$1494,A500)</f>
        <v>55.15</v>
      </c>
      <c r="D500" s="213" t="n">
        <v>51.1</v>
      </c>
      <c r="E500" s="213" t="n">
        <f aca="false">AVERAGEIFS($D$33:$D$1494,$A$33:$A$1494,A500)</f>
        <v>53.5</v>
      </c>
      <c r="F500" s="213" t="n">
        <v>4.8</v>
      </c>
      <c r="G500" s="213" t="n">
        <f aca="false">AVERAGEIFS($F$33:$F$1494,$A$33:$A$1494,A500)</f>
        <v>5.38333333333333</v>
      </c>
      <c r="H500" s="213" t="n">
        <v>5.9</v>
      </c>
      <c r="I500" s="213" t="n">
        <f aca="false">AVERAGEIFS($H$33:$H$1494,$A$33:$A$1494,A500)</f>
        <v>6.45</v>
      </c>
      <c r="L500" s="215" t="n">
        <v>40536</v>
      </c>
      <c r="M500" s="213" t="n">
        <v>55.15</v>
      </c>
      <c r="N500" s="213" t="n">
        <v>53.5</v>
      </c>
      <c r="O500" s="213" t="n">
        <v>5.38333333333333</v>
      </c>
      <c r="P500" s="213" t="n">
        <v>6.45</v>
      </c>
    </row>
    <row r="501" customFormat="false" ht="12.75" hidden="false" customHeight="false" outlineLevel="0" collapsed="false">
      <c r="A501" s="215" t="n">
        <v>40537</v>
      </c>
      <c r="B501" s="213" t="n">
        <v>47.9</v>
      </c>
      <c r="C501" s="213" t="n">
        <f aca="false">AVERAGEIFS($B$33:$B$1494,$A$33:$A$1494,A501)</f>
        <v>47.3166666666667</v>
      </c>
      <c r="D501" s="213" t="n">
        <v>50.5</v>
      </c>
      <c r="E501" s="213" t="n">
        <f aca="false">AVERAGEIFS($D$33:$D$1494,$A$33:$A$1494,A501)</f>
        <v>49.5166666666667</v>
      </c>
      <c r="F501" s="213" t="n">
        <v>4.5</v>
      </c>
      <c r="G501" s="213" t="n">
        <f aca="false">AVERAGEIFS($F$33:$F$1494,$A$33:$A$1494,A501)</f>
        <v>3.73333333333333</v>
      </c>
      <c r="H501" s="213" t="n">
        <v>5.8</v>
      </c>
      <c r="I501" s="213" t="n">
        <f aca="false">AVERAGEIFS($H$33:$H$1494,$A$33:$A$1494,A501)</f>
        <v>5.3</v>
      </c>
      <c r="L501" s="215" t="n">
        <v>40537</v>
      </c>
      <c r="M501" s="213" t="n">
        <v>47.3166666666667</v>
      </c>
      <c r="N501" s="213" t="n">
        <v>49.5166666666667</v>
      </c>
      <c r="O501" s="213" t="n">
        <v>3.73333333333333</v>
      </c>
      <c r="P501" s="213" t="n">
        <v>5.3</v>
      </c>
    </row>
    <row r="502" customFormat="false" ht="12.75" hidden="false" customHeight="false" outlineLevel="0" collapsed="false">
      <c r="A502" s="215" t="n">
        <v>40537</v>
      </c>
      <c r="B502" s="213" t="n">
        <v>47.6</v>
      </c>
      <c r="C502" s="213" t="n">
        <f aca="false">AVERAGEIFS($B$33:$B$1494,$A$33:$A$1494,A502)</f>
        <v>47.3166666666667</v>
      </c>
      <c r="D502" s="213" t="n">
        <v>50</v>
      </c>
      <c r="E502" s="213" t="n">
        <f aca="false">AVERAGEIFS($D$33:$D$1494,$A$33:$A$1494,A502)</f>
        <v>49.5166666666667</v>
      </c>
      <c r="F502" s="213" t="n">
        <v>4.2</v>
      </c>
      <c r="G502" s="213" t="n">
        <f aca="false">AVERAGEIFS($F$33:$F$1494,$A$33:$A$1494,A502)</f>
        <v>3.73333333333333</v>
      </c>
      <c r="H502" s="213" t="n">
        <v>5.6</v>
      </c>
      <c r="I502" s="213" t="n">
        <f aca="false">AVERAGEIFS($H$33:$H$1494,$A$33:$A$1494,A502)</f>
        <v>5.3</v>
      </c>
      <c r="L502" s="215" t="n">
        <v>40537</v>
      </c>
      <c r="M502" s="213" t="n">
        <v>47.3166666666667</v>
      </c>
      <c r="N502" s="213" t="n">
        <v>49.5166666666667</v>
      </c>
      <c r="O502" s="213" t="n">
        <v>3.73333333333333</v>
      </c>
      <c r="P502" s="213" t="n">
        <v>5.3</v>
      </c>
    </row>
    <row r="503" customFormat="false" ht="12.75" hidden="false" customHeight="false" outlineLevel="0" collapsed="false">
      <c r="A503" s="215" t="n">
        <v>40537</v>
      </c>
      <c r="B503" s="213" t="n">
        <v>47.4</v>
      </c>
      <c r="C503" s="213" t="n">
        <f aca="false">AVERAGEIFS($B$33:$B$1494,$A$33:$A$1494,A503)</f>
        <v>47.3166666666667</v>
      </c>
      <c r="D503" s="213" t="n">
        <v>49.7</v>
      </c>
      <c r="E503" s="213" t="n">
        <f aca="false">AVERAGEIFS($D$33:$D$1494,$A$33:$A$1494,A503)</f>
        <v>49.5166666666667</v>
      </c>
      <c r="F503" s="213" t="n">
        <v>3.9</v>
      </c>
      <c r="G503" s="213" t="n">
        <f aca="false">AVERAGEIFS($F$33:$F$1494,$A$33:$A$1494,A503)</f>
        <v>3.73333333333333</v>
      </c>
      <c r="H503" s="213" t="n">
        <v>5.4</v>
      </c>
      <c r="I503" s="213" t="n">
        <f aca="false">AVERAGEIFS($H$33:$H$1494,$A$33:$A$1494,A503)</f>
        <v>5.3</v>
      </c>
      <c r="L503" s="215" t="n">
        <v>40537</v>
      </c>
      <c r="M503" s="213" t="n">
        <v>47.3166666666667</v>
      </c>
      <c r="N503" s="213" t="n">
        <v>49.5166666666667</v>
      </c>
      <c r="O503" s="213" t="n">
        <v>3.73333333333333</v>
      </c>
      <c r="P503" s="213" t="n">
        <v>5.3</v>
      </c>
    </row>
    <row r="504" customFormat="false" ht="12.75" hidden="false" customHeight="false" outlineLevel="0" collapsed="false">
      <c r="A504" s="215" t="n">
        <v>40537</v>
      </c>
      <c r="B504" s="213" t="n">
        <v>47.2</v>
      </c>
      <c r="C504" s="213" t="n">
        <f aca="false">AVERAGEIFS($B$33:$B$1494,$A$33:$A$1494,A504)</f>
        <v>47.3166666666667</v>
      </c>
      <c r="D504" s="213" t="n">
        <v>49.4</v>
      </c>
      <c r="E504" s="213" t="n">
        <f aca="false">AVERAGEIFS($D$33:$D$1494,$A$33:$A$1494,A504)</f>
        <v>49.5166666666667</v>
      </c>
      <c r="F504" s="213" t="n">
        <v>3.4</v>
      </c>
      <c r="G504" s="213" t="n">
        <f aca="false">AVERAGEIFS($F$33:$F$1494,$A$33:$A$1494,A504)</f>
        <v>3.73333333333333</v>
      </c>
      <c r="H504" s="213" t="n">
        <v>5.2</v>
      </c>
      <c r="I504" s="213" t="n">
        <f aca="false">AVERAGEIFS($H$33:$H$1494,$A$33:$A$1494,A504)</f>
        <v>5.3</v>
      </c>
      <c r="L504" s="215" t="n">
        <v>40537</v>
      </c>
      <c r="M504" s="213" t="n">
        <v>47.3166666666667</v>
      </c>
      <c r="N504" s="213" t="n">
        <v>49.5166666666667</v>
      </c>
      <c r="O504" s="213" t="n">
        <v>3.73333333333333</v>
      </c>
      <c r="P504" s="213" t="n">
        <v>5.3</v>
      </c>
    </row>
    <row r="505" customFormat="false" ht="12.75" hidden="false" customHeight="false" outlineLevel="0" collapsed="false">
      <c r="A505" s="215" t="n">
        <v>40537</v>
      </c>
      <c r="B505" s="213" t="n">
        <v>47</v>
      </c>
      <c r="C505" s="213" t="n">
        <f aca="false">AVERAGEIFS($B$33:$B$1494,$A$33:$A$1494,A505)</f>
        <v>47.3166666666667</v>
      </c>
      <c r="D505" s="213" t="n">
        <v>48.9</v>
      </c>
      <c r="E505" s="213" t="n">
        <f aca="false">AVERAGEIFS($D$33:$D$1494,$A$33:$A$1494,A505)</f>
        <v>49.5166666666667</v>
      </c>
      <c r="F505" s="213" t="n">
        <v>3.3</v>
      </c>
      <c r="G505" s="213" t="n">
        <f aca="false">AVERAGEIFS($F$33:$F$1494,$A$33:$A$1494,A505)</f>
        <v>3.73333333333333</v>
      </c>
      <c r="H505" s="213" t="n">
        <v>5</v>
      </c>
      <c r="I505" s="213" t="n">
        <f aca="false">AVERAGEIFS($H$33:$H$1494,$A$33:$A$1494,A505)</f>
        <v>5.3</v>
      </c>
      <c r="L505" s="215" t="n">
        <v>40537</v>
      </c>
      <c r="M505" s="213" t="n">
        <v>47.3166666666667</v>
      </c>
      <c r="N505" s="213" t="n">
        <v>49.5166666666667</v>
      </c>
      <c r="O505" s="213" t="n">
        <v>3.73333333333333</v>
      </c>
      <c r="P505" s="213" t="n">
        <v>5.3</v>
      </c>
    </row>
    <row r="506" customFormat="false" ht="12.75" hidden="false" customHeight="false" outlineLevel="0" collapsed="false">
      <c r="A506" s="215" t="n">
        <v>40537</v>
      </c>
      <c r="B506" s="213" t="n">
        <v>46.8</v>
      </c>
      <c r="C506" s="213" t="n">
        <f aca="false">AVERAGEIFS($B$33:$B$1494,$A$33:$A$1494,A506)</f>
        <v>47.3166666666667</v>
      </c>
      <c r="D506" s="213" t="n">
        <v>48.6</v>
      </c>
      <c r="E506" s="213" t="n">
        <f aca="false">AVERAGEIFS($D$33:$D$1494,$A$33:$A$1494,A506)</f>
        <v>49.5166666666667</v>
      </c>
      <c r="F506" s="213" t="n">
        <v>3.1</v>
      </c>
      <c r="G506" s="213" t="n">
        <f aca="false">AVERAGEIFS($F$33:$F$1494,$A$33:$A$1494,A506)</f>
        <v>3.73333333333333</v>
      </c>
      <c r="H506" s="213" t="n">
        <v>4.8</v>
      </c>
      <c r="I506" s="213" t="n">
        <f aca="false">AVERAGEIFS($H$33:$H$1494,$A$33:$A$1494,A506)</f>
        <v>5.3</v>
      </c>
      <c r="L506" s="215" t="n">
        <v>40537</v>
      </c>
      <c r="M506" s="213" t="n">
        <v>47.3166666666667</v>
      </c>
      <c r="N506" s="213" t="n">
        <v>49.5166666666667</v>
      </c>
      <c r="O506" s="213" t="n">
        <v>3.73333333333333</v>
      </c>
      <c r="P506" s="213" t="n">
        <v>5.3</v>
      </c>
    </row>
    <row r="507" customFormat="false" ht="12.75" hidden="false" customHeight="false" outlineLevel="0" collapsed="false">
      <c r="A507" s="215" t="n">
        <v>40538</v>
      </c>
      <c r="B507" s="213" t="n">
        <v>47</v>
      </c>
      <c r="C507" s="213" t="n">
        <f aca="false">AVERAGEIFS($B$33:$B$1494,$A$33:$A$1494,A507)</f>
        <v>46.65</v>
      </c>
      <c r="D507" s="213" t="n">
        <v>48.4</v>
      </c>
      <c r="E507" s="213" t="n">
        <f aca="false">AVERAGEIFS($D$33:$D$1494,$A$33:$A$1494,A507)</f>
        <v>48.0166666666667</v>
      </c>
      <c r="F507" s="213" t="n">
        <v>2.8</v>
      </c>
      <c r="G507" s="213" t="n">
        <f aca="false">AVERAGEIFS($F$33:$F$1494,$A$33:$A$1494,A507)</f>
        <v>2.26666666666667</v>
      </c>
      <c r="H507" s="213" t="n">
        <v>4.6</v>
      </c>
      <c r="I507" s="213" t="n">
        <f aca="false">AVERAGEIFS($H$33:$H$1494,$A$33:$A$1494,A507)</f>
        <v>4.21666666666667</v>
      </c>
      <c r="L507" s="215" t="n">
        <v>40538</v>
      </c>
      <c r="M507" s="213" t="n">
        <v>46.65</v>
      </c>
      <c r="N507" s="213" t="n">
        <v>48.0166666666667</v>
      </c>
      <c r="O507" s="213" t="n">
        <v>2.26666666666667</v>
      </c>
      <c r="P507" s="213" t="n">
        <v>4.21666666666667</v>
      </c>
    </row>
    <row r="508" customFormat="false" ht="12.75" hidden="false" customHeight="false" outlineLevel="0" collapsed="false">
      <c r="A508" s="215" t="n">
        <v>40538</v>
      </c>
      <c r="B508" s="213" t="n">
        <v>46.9</v>
      </c>
      <c r="C508" s="213" t="n">
        <f aca="false">AVERAGEIFS($B$33:$B$1494,$A$33:$A$1494,A508)</f>
        <v>46.65</v>
      </c>
      <c r="D508" s="213" t="n">
        <v>48.3</v>
      </c>
      <c r="E508" s="213" t="n">
        <f aca="false">AVERAGEIFS($D$33:$D$1494,$A$33:$A$1494,A508)</f>
        <v>48.0166666666667</v>
      </c>
      <c r="F508" s="213" t="n">
        <v>2.5</v>
      </c>
      <c r="G508" s="213" t="n">
        <f aca="false">AVERAGEIFS($F$33:$F$1494,$A$33:$A$1494,A508)</f>
        <v>2.26666666666667</v>
      </c>
      <c r="H508" s="213" t="n">
        <v>4.5</v>
      </c>
      <c r="I508" s="213" t="n">
        <f aca="false">AVERAGEIFS($H$33:$H$1494,$A$33:$A$1494,A508)</f>
        <v>4.21666666666667</v>
      </c>
      <c r="L508" s="215" t="n">
        <v>40538</v>
      </c>
      <c r="M508" s="213" t="n">
        <v>46.65</v>
      </c>
      <c r="N508" s="213" t="n">
        <v>48.0166666666667</v>
      </c>
      <c r="O508" s="213" t="n">
        <v>2.26666666666667</v>
      </c>
      <c r="P508" s="213" t="n">
        <v>4.21666666666667</v>
      </c>
    </row>
    <row r="509" customFormat="false" ht="12.75" hidden="false" customHeight="false" outlineLevel="0" collapsed="false">
      <c r="A509" s="215" t="n">
        <v>40538</v>
      </c>
      <c r="B509" s="213" t="n">
        <v>46.8</v>
      </c>
      <c r="C509" s="213" t="n">
        <f aca="false">AVERAGEIFS($B$33:$B$1494,$A$33:$A$1494,A509)</f>
        <v>46.65</v>
      </c>
      <c r="D509" s="213" t="n">
        <v>48</v>
      </c>
      <c r="E509" s="213" t="n">
        <f aca="false">AVERAGEIFS($D$33:$D$1494,$A$33:$A$1494,A509)</f>
        <v>48.0166666666667</v>
      </c>
      <c r="F509" s="213" t="n">
        <v>2.2</v>
      </c>
      <c r="G509" s="213" t="n">
        <f aca="false">AVERAGEIFS($F$33:$F$1494,$A$33:$A$1494,A509)</f>
        <v>2.26666666666667</v>
      </c>
      <c r="H509" s="213" t="n">
        <v>4.3</v>
      </c>
      <c r="I509" s="213" t="n">
        <f aca="false">AVERAGEIFS($H$33:$H$1494,$A$33:$A$1494,A509)</f>
        <v>4.21666666666667</v>
      </c>
      <c r="L509" s="215" t="n">
        <v>40538</v>
      </c>
      <c r="M509" s="213" t="n">
        <v>46.65</v>
      </c>
      <c r="N509" s="213" t="n">
        <v>48.0166666666667</v>
      </c>
      <c r="O509" s="213" t="n">
        <v>2.26666666666667</v>
      </c>
      <c r="P509" s="213" t="n">
        <v>4.21666666666667</v>
      </c>
    </row>
    <row r="510" customFormat="false" ht="12.75" hidden="false" customHeight="false" outlineLevel="0" collapsed="false">
      <c r="A510" s="215" t="n">
        <v>40538</v>
      </c>
      <c r="B510" s="213" t="n">
        <v>46.6</v>
      </c>
      <c r="C510" s="213" t="n">
        <f aca="false">AVERAGEIFS($B$33:$B$1494,$A$33:$A$1494,A510)</f>
        <v>46.65</v>
      </c>
      <c r="D510" s="213" t="n">
        <v>47.9</v>
      </c>
      <c r="E510" s="213" t="n">
        <f aca="false">AVERAGEIFS($D$33:$D$1494,$A$33:$A$1494,A510)</f>
        <v>48.0166666666667</v>
      </c>
      <c r="F510" s="213" t="n">
        <v>2.1</v>
      </c>
      <c r="G510" s="213" t="n">
        <f aca="false">AVERAGEIFS($F$33:$F$1494,$A$33:$A$1494,A510)</f>
        <v>2.26666666666667</v>
      </c>
      <c r="H510" s="213" t="n">
        <v>4.1</v>
      </c>
      <c r="I510" s="213" t="n">
        <f aca="false">AVERAGEIFS($H$33:$H$1494,$A$33:$A$1494,A510)</f>
        <v>4.21666666666667</v>
      </c>
      <c r="L510" s="215" t="n">
        <v>40538</v>
      </c>
      <c r="M510" s="213" t="n">
        <v>46.65</v>
      </c>
      <c r="N510" s="213" t="n">
        <v>48.0166666666667</v>
      </c>
      <c r="O510" s="213" t="n">
        <v>2.26666666666667</v>
      </c>
      <c r="P510" s="213" t="n">
        <v>4.21666666666667</v>
      </c>
    </row>
    <row r="511" customFormat="false" ht="12.75" hidden="false" customHeight="false" outlineLevel="0" collapsed="false">
      <c r="A511" s="215" t="n">
        <v>40538</v>
      </c>
      <c r="B511" s="213" t="n">
        <v>46.5</v>
      </c>
      <c r="C511" s="213" t="n">
        <f aca="false">AVERAGEIFS($B$33:$B$1494,$A$33:$A$1494,A511)</f>
        <v>46.65</v>
      </c>
      <c r="D511" s="213" t="n">
        <v>47.8</v>
      </c>
      <c r="E511" s="213" t="n">
        <f aca="false">AVERAGEIFS($D$33:$D$1494,$A$33:$A$1494,A511)</f>
        <v>48.0166666666667</v>
      </c>
      <c r="F511" s="213" t="n">
        <v>2.1</v>
      </c>
      <c r="G511" s="213" t="n">
        <f aca="false">AVERAGEIFS($F$33:$F$1494,$A$33:$A$1494,A511)</f>
        <v>2.26666666666667</v>
      </c>
      <c r="H511" s="213" t="n">
        <v>4</v>
      </c>
      <c r="I511" s="213" t="n">
        <f aca="false">AVERAGEIFS($H$33:$H$1494,$A$33:$A$1494,A511)</f>
        <v>4.21666666666667</v>
      </c>
      <c r="L511" s="215" t="n">
        <v>40538</v>
      </c>
      <c r="M511" s="213" t="n">
        <v>46.65</v>
      </c>
      <c r="N511" s="213" t="n">
        <v>48.0166666666667</v>
      </c>
      <c r="O511" s="213" t="n">
        <v>2.26666666666667</v>
      </c>
      <c r="P511" s="213" t="n">
        <v>4.21666666666667</v>
      </c>
    </row>
    <row r="512" customFormat="false" ht="12.75" hidden="false" customHeight="false" outlineLevel="0" collapsed="false">
      <c r="A512" s="215" t="n">
        <v>40538</v>
      </c>
      <c r="B512" s="213" t="n">
        <v>46.1</v>
      </c>
      <c r="C512" s="213" t="n">
        <f aca="false">AVERAGEIFS($B$33:$B$1494,$A$33:$A$1494,A512)</f>
        <v>46.65</v>
      </c>
      <c r="D512" s="213" t="n">
        <v>47.7</v>
      </c>
      <c r="E512" s="213" t="n">
        <f aca="false">AVERAGEIFS($D$33:$D$1494,$A$33:$A$1494,A512)</f>
        <v>48.0166666666667</v>
      </c>
      <c r="F512" s="213" t="n">
        <v>1.9</v>
      </c>
      <c r="G512" s="213" t="n">
        <f aca="false">AVERAGEIFS($F$33:$F$1494,$A$33:$A$1494,A512)</f>
        <v>2.26666666666667</v>
      </c>
      <c r="H512" s="213" t="n">
        <v>3.8</v>
      </c>
      <c r="I512" s="213" t="n">
        <f aca="false">AVERAGEIFS($H$33:$H$1494,$A$33:$A$1494,A512)</f>
        <v>4.21666666666667</v>
      </c>
      <c r="L512" s="215" t="n">
        <v>40538</v>
      </c>
      <c r="M512" s="213" t="n">
        <v>46.65</v>
      </c>
      <c r="N512" s="213" t="n">
        <v>48.0166666666667</v>
      </c>
      <c r="O512" s="213" t="n">
        <v>2.26666666666667</v>
      </c>
      <c r="P512" s="213" t="n">
        <v>4.21666666666667</v>
      </c>
    </row>
    <row r="513" customFormat="false" ht="12.75" hidden="false" customHeight="false" outlineLevel="0" collapsed="false">
      <c r="A513" s="215" t="n">
        <v>40539</v>
      </c>
      <c r="B513" s="213" t="n">
        <v>46.1</v>
      </c>
      <c r="C513" s="213" t="n">
        <f aca="false">AVERAGEIFS($B$33:$B$1494,$A$33:$A$1494,A513)</f>
        <v>46.4</v>
      </c>
      <c r="D513" s="213" t="n">
        <v>47.7</v>
      </c>
      <c r="E513" s="213" t="n">
        <f aca="false">AVERAGEIFS($D$33:$D$1494,$A$33:$A$1494,A513)</f>
        <v>47.6166666666667</v>
      </c>
      <c r="F513" s="213" t="n">
        <v>1.8</v>
      </c>
      <c r="G513" s="213" t="n">
        <f aca="false">AVERAGEIFS($F$33:$F$1494,$A$33:$A$1494,A513)</f>
        <v>1.66666666666667</v>
      </c>
      <c r="H513" s="213" t="n">
        <v>3.7</v>
      </c>
      <c r="I513" s="213" t="n">
        <f aca="false">AVERAGEIFS($H$33:$H$1494,$A$33:$A$1494,A513)</f>
        <v>3.46666666666667</v>
      </c>
      <c r="L513" s="215" t="n">
        <v>40539</v>
      </c>
      <c r="M513" s="213" t="n">
        <v>46.4</v>
      </c>
      <c r="N513" s="213" t="n">
        <v>47.6166666666667</v>
      </c>
      <c r="O513" s="213" t="n">
        <v>1.66666666666667</v>
      </c>
      <c r="P513" s="213" t="n">
        <v>3.46666666666667</v>
      </c>
    </row>
    <row r="514" customFormat="false" ht="12.75" hidden="false" customHeight="false" outlineLevel="0" collapsed="false">
      <c r="A514" s="215" t="n">
        <v>40539</v>
      </c>
      <c r="B514" s="213" t="n">
        <v>46.6</v>
      </c>
      <c r="C514" s="213" t="n">
        <f aca="false">AVERAGEIFS($B$33:$B$1494,$A$33:$A$1494,A514)</f>
        <v>46.4</v>
      </c>
      <c r="D514" s="213" t="n">
        <v>47.6</v>
      </c>
      <c r="E514" s="213" t="n">
        <f aca="false">AVERAGEIFS($D$33:$D$1494,$A$33:$A$1494,A514)</f>
        <v>47.6166666666667</v>
      </c>
      <c r="F514" s="213" t="n">
        <v>1.7</v>
      </c>
      <c r="G514" s="213" t="n">
        <f aca="false">AVERAGEIFS($F$33:$F$1494,$A$33:$A$1494,A514)</f>
        <v>1.66666666666667</v>
      </c>
      <c r="H514" s="213" t="n">
        <v>3.6</v>
      </c>
      <c r="I514" s="213" t="n">
        <f aca="false">AVERAGEIFS($H$33:$H$1494,$A$33:$A$1494,A514)</f>
        <v>3.46666666666667</v>
      </c>
      <c r="L514" s="215" t="n">
        <v>40539</v>
      </c>
      <c r="M514" s="213" t="n">
        <v>46.4</v>
      </c>
      <c r="N514" s="213" t="n">
        <v>47.6166666666667</v>
      </c>
      <c r="O514" s="213" t="n">
        <v>1.66666666666667</v>
      </c>
      <c r="P514" s="213" t="n">
        <v>3.46666666666667</v>
      </c>
    </row>
    <row r="515" customFormat="false" ht="12.75" hidden="false" customHeight="false" outlineLevel="0" collapsed="false">
      <c r="A515" s="215" t="n">
        <v>40539</v>
      </c>
      <c r="B515" s="213" t="n">
        <v>46.8</v>
      </c>
      <c r="C515" s="213" t="n">
        <f aca="false">AVERAGEIFS($B$33:$B$1494,$A$33:$A$1494,A515)</f>
        <v>46.4</v>
      </c>
      <c r="D515" s="213" t="n">
        <v>47.6</v>
      </c>
      <c r="E515" s="213" t="n">
        <f aca="false">AVERAGEIFS($D$33:$D$1494,$A$33:$A$1494,A515)</f>
        <v>47.6166666666667</v>
      </c>
      <c r="F515" s="213" t="n">
        <v>1.6</v>
      </c>
      <c r="G515" s="213" t="n">
        <f aca="false">AVERAGEIFS($F$33:$F$1494,$A$33:$A$1494,A515)</f>
        <v>1.66666666666667</v>
      </c>
      <c r="H515" s="213" t="n">
        <v>3.5</v>
      </c>
      <c r="I515" s="213" t="n">
        <f aca="false">AVERAGEIFS($H$33:$H$1494,$A$33:$A$1494,A515)</f>
        <v>3.46666666666667</v>
      </c>
      <c r="L515" s="215" t="n">
        <v>40539</v>
      </c>
      <c r="M515" s="213" t="n">
        <v>46.4</v>
      </c>
      <c r="N515" s="213" t="n">
        <v>47.6166666666667</v>
      </c>
      <c r="O515" s="213" t="n">
        <v>1.66666666666667</v>
      </c>
      <c r="P515" s="213" t="n">
        <v>3.46666666666667</v>
      </c>
    </row>
    <row r="516" customFormat="false" ht="12.75" hidden="false" customHeight="false" outlineLevel="0" collapsed="false">
      <c r="A516" s="215" t="n">
        <v>40539</v>
      </c>
      <c r="B516" s="213" t="n">
        <v>46.5</v>
      </c>
      <c r="C516" s="213" t="n">
        <f aca="false">AVERAGEIFS($B$33:$B$1494,$A$33:$A$1494,A516)</f>
        <v>46.4</v>
      </c>
      <c r="D516" s="213" t="n">
        <v>47.7</v>
      </c>
      <c r="E516" s="213" t="n">
        <f aca="false">AVERAGEIFS($D$33:$D$1494,$A$33:$A$1494,A516)</f>
        <v>47.6166666666667</v>
      </c>
      <c r="F516" s="213" t="n">
        <v>1.6</v>
      </c>
      <c r="G516" s="213" t="n">
        <f aca="false">AVERAGEIFS($F$33:$F$1494,$A$33:$A$1494,A516)</f>
        <v>1.66666666666667</v>
      </c>
      <c r="H516" s="213" t="n">
        <v>3.4</v>
      </c>
      <c r="I516" s="213" t="n">
        <f aca="false">AVERAGEIFS($H$33:$H$1494,$A$33:$A$1494,A516)</f>
        <v>3.46666666666667</v>
      </c>
      <c r="L516" s="215" t="n">
        <v>40539</v>
      </c>
      <c r="M516" s="213" t="n">
        <v>46.4</v>
      </c>
      <c r="N516" s="213" t="n">
        <v>47.6166666666667</v>
      </c>
      <c r="O516" s="213" t="n">
        <v>1.66666666666667</v>
      </c>
      <c r="P516" s="213" t="n">
        <v>3.46666666666667</v>
      </c>
    </row>
    <row r="517" customFormat="false" ht="12.75" hidden="false" customHeight="false" outlineLevel="0" collapsed="false">
      <c r="A517" s="215" t="n">
        <v>40539</v>
      </c>
      <c r="B517" s="213" t="n">
        <v>46.4</v>
      </c>
      <c r="C517" s="213" t="n">
        <f aca="false">AVERAGEIFS($B$33:$B$1494,$A$33:$A$1494,A517)</f>
        <v>46.4</v>
      </c>
      <c r="D517" s="213" t="n">
        <v>47.6</v>
      </c>
      <c r="E517" s="213" t="n">
        <f aca="false">AVERAGEIFS($D$33:$D$1494,$A$33:$A$1494,A517)</f>
        <v>47.6166666666667</v>
      </c>
      <c r="F517" s="213" t="n">
        <v>1.7</v>
      </c>
      <c r="G517" s="213" t="n">
        <f aca="false">AVERAGEIFS($F$33:$F$1494,$A$33:$A$1494,A517)</f>
        <v>1.66666666666667</v>
      </c>
      <c r="H517" s="213" t="n">
        <v>3.3</v>
      </c>
      <c r="I517" s="213" t="n">
        <f aca="false">AVERAGEIFS($H$33:$H$1494,$A$33:$A$1494,A517)</f>
        <v>3.46666666666667</v>
      </c>
      <c r="L517" s="215" t="n">
        <v>40539</v>
      </c>
      <c r="M517" s="213" t="n">
        <v>46.4</v>
      </c>
      <c r="N517" s="213" t="n">
        <v>47.6166666666667</v>
      </c>
      <c r="O517" s="213" t="n">
        <v>1.66666666666667</v>
      </c>
      <c r="P517" s="213" t="n">
        <v>3.46666666666667</v>
      </c>
    </row>
    <row r="518" customFormat="false" ht="12.75" hidden="false" customHeight="false" outlineLevel="0" collapsed="false">
      <c r="A518" s="215" t="n">
        <v>40539</v>
      </c>
      <c r="B518" s="213" t="n">
        <v>46</v>
      </c>
      <c r="C518" s="213" t="n">
        <f aca="false">AVERAGEIFS($B$33:$B$1494,$A$33:$A$1494,A518)</f>
        <v>46.4</v>
      </c>
      <c r="D518" s="213" t="n">
        <v>47.5</v>
      </c>
      <c r="E518" s="213" t="n">
        <f aca="false">AVERAGEIFS($D$33:$D$1494,$A$33:$A$1494,A518)</f>
        <v>47.6166666666667</v>
      </c>
      <c r="F518" s="213" t="n">
        <v>1.6</v>
      </c>
      <c r="G518" s="213" t="n">
        <f aca="false">AVERAGEIFS($F$33:$F$1494,$A$33:$A$1494,A518)</f>
        <v>1.66666666666667</v>
      </c>
      <c r="H518" s="213" t="n">
        <v>3.3</v>
      </c>
      <c r="I518" s="213" t="n">
        <f aca="false">AVERAGEIFS($H$33:$H$1494,$A$33:$A$1494,A518)</f>
        <v>3.46666666666667</v>
      </c>
      <c r="L518" s="215" t="n">
        <v>40539</v>
      </c>
      <c r="M518" s="213" t="n">
        <v>46.4</v>
      </c>
      <c r="N518" s="213" t="n">
        <v>47.6166666666667</v>
      </c>
      <c r="O518" s="213" t="n">
        <v>1.66666666666667</v>
      </c>
      <c r="P518" s="213" t="n">
        <v>3.46666666666667</v>
      </c>
    </row>
    <row r="519" customFormat="false" ht="12.75" hidden="false" customHeight="false" outlineLevel="0" collapsed="false">
      <c r="A519" s="215" t="n">
        <v>40540</v>
      </c>
      <c r="B519" s="213" t="n">
        <v>46</v>
      </c>
      <c r="C519" s="213" t="n">
        <f aca="false">AVERAGEIFS($B$33:$B$1494,$A$33:$A$1494,A519)</f>
        <v>45.9</v>
      </c>
      <c r="D519" s="213" t="n">
        <v>47.4</v>
      </c>
      <c r="E519" s="213" t="n">
        <f aca="false">AVERAGEIFS($D$33:$D$1494,$A$33:$A$1494,A519)</f>
        <v>47.4666666666667</v>
      </c>
      <c r="F519" s="213" t="n">
        <v>1.6</v>
      </c>
      <c r="G519" s="213" t="n">
        <f aca="false">AVERAGEIFS($F$33:$F$1494,$A$33:$A$1494,A519)</f>
        <v>2.46666666666667</v>
      </c>
      <c r="H519" s="213" t="n">
        <v>3.2</v>
      </c>
      <c r="I519" s="213" t="n">
        <f aca="false">AVERAGEIFS($H$33:$H$1494,$A$33:$A$1494,A519)</f>
        <v>3.28333333333333</v>
      </c>
      <c r="L519" s="215" t="n">
        <v>40540</v>
      </c>
      <c r="M519" s="213" t="n">
        <v>45.9</v>
      </c>
      <c r="N519" s="213" t="n">
        <v>47.4666666666667</v>
      </c>
      <c r="O519" s="213" t="n">
        <v>2.46666666666667</v>
      </c>
      <c r="P519" s="213" t="n">
        <v>3.28333333333333</v>
      </c>
    </row>
    <row r="520" customFormat="false" ht="12.75" hidden="false" customHeight="false" outlineLevel="0" collapsed="false">
      <c r="A520" s="215" t="n">
        <v>40540</v>
      </c>
      <c r="B520" s="213" t="n">
        <v>46</v>
      </c>
      <c r="C520" s="213" t="n">
        <f aca="false">AVERAGEIFS($B$33:$B$1494,$A$33:$A$1494,A520)</f>
        <v>45.9</v>
      </c>
      <c r="D520" s="213" t="n">
        <v>47.3</v>
      </c>
      <c r="E520" s="213" t="n">
        <f aca="false">AVERAGEIFS($D$33:$D$1494,$A$33:$A$1494,A520)</f>
        <v>47.4666666666667</v>
      </c>
      <c r="F520" s="213" t="n">
        <v>1.7</v>
      </c>
      <c r="G520" s="213" t="n">
        <f aca="false">AVERAGEIFS($F$33:$F$1494,$A$33:$A$1494,A520)</f>
        <v>2.46666666666667</v>
      </c>
      <c r="H520" s="213" t="n">
        <v>3.2</v>
      </c>
      <c r="I520" s="213" t="n">
        <f aca="false">AVERAGEIFS($H$33:$H$1494,$A$33:$A$1494,A520)</f>
        <v>3.28333333333333</v>
      </c>
      <c r="L520" s="215" t="n">
        <v>40540</v>
      </c>
      <c r="M520" s="213" t="n">
        <v>45.9</v>
      </c>
      <c r="N520" s="213" t="n">
        <v>47.4666666666667</v>
      </c>
      <c r="O520" s="213" t="n">
        <v>2.46666666666667</v>
      </c>
      <c r="P520" s="213" t="n">
        <v>3.28333333333333</v>
      </c>
    </row>
    <row r="521" customFormat="false" ht="12.75" hidden="false" customHeight="false" outlineLevel="0" collapsed="false">
      <c r="A521" s="215" t="n">
        <v>40540</v>
      </c>
      <c r="B521" s="213" t="n">
        <v>45.9</v>
      </c>
      <c r="C521" s="213" t="n">
        <f aca="false">AVERAGEIFS($B$33:$B$1494,$A$33:$A$1494,A521)</f>
        <v>45.9</v>
      </c>
      <c r="D521" s="213" t="n">
        <v>47.3</v>
      </c>
      <c r="E521" s="213" t="n">
        <f aca="false">AVERAGEIFS($D$33:$D$1494,$A$33:$A$1494,A521)</f>
        <v>47.4666666666667</v>
      </c>
      <c r="F521" s="213" t="n">
        <v>1.8</v>
      </c>
      <c r="G521" s="213" t="n">
        <f aca="false">AVERAGEIFS($F$33:$F$1494,$A$33:$A$1494,A521)</f>
        <v>2.46666666666667</v>
      </c>
      <c r="H521" s="213" t="n">
        <v>3.2</v>
      </c>
      <c r="I521" s="213" t="n">
        <f aca="false">AVERAGEIFS($H$33:$H$1494,$A$33:$A$1494,A521)</f>
        <v>3.28333333333333</v>
      </c>
      <c r="L521" s="215" t="n">
        <v>40540</v>
      </c>
      <c r="M521" s="213" t="n">
        <v>45.9</v>
      </c>
      <c r="N521" s="213" t="n">
        <v>47.4666666666667</v>
      </c>
      <c r="O521" s="213" t="n">
        <v>2.46666666666667</v>
      </c>
      <c r="P521" s="213" t="n">
        <v>3.28333333333333</v>
      </c>
    </row>
    <row r="522" customFormat="false" ht="12.75" hidden="false" customHeight="false" outlineLevel="0" collapsed="false">
      <c r="A522" s="215" t="n">
        <v>40540</v>
      </c>
      <c r="B522" s="213" t="n">
        <v>45.9</v>
      </c>
      <c r="C522" s="213" t="n">
        <f aca="false">AVERAGEIFS($B$33:$B$1494,$A$33:$A$1494,A522)</f>
        <v>45.9</v>
      </c>
      <c r="D522" s="213" t="n">
        <v>47.4</v>
      </c>
      <c r="E522" s="213" t="n">
        <f aca="false">AVERAGEIFS($D$33:$D$1494,$A$33:$A$1494,A522)</f>
        <v>47.4666666666667</v>
      </c>
      <c r="F522" s="213" t="n">
        <v>2.2</v>
      </c>
      <c r="G522" s="213" t="n">
        <f aca="false">AVERAGEIFS($F$33:$F$1494,$A$33:$A$1494,A522)</f>
        <v>2.46666666666667</v>
      </c>
      <c r="H522" s="213" t="n">
        <v>3.2</v>
      </c>
      <c r="I522" s="213" t="n">
        <f aca="false">AVERAGEIFS($H$33:$H$1494,$A$33:$A$1494,A522)</f>
        <v>3.28333333333333</v>
      </c>
      <c r="L522" s="215" t="n">
        <v>40540</v>
      </c>
      <c r="M522" s="213" t="n">
        <v>45.9</v>
      </c>
      <c r="N522" s="213" t="n">
        <v>47.4666666666667</v>
      </c>
      <c r="O522" s="213" t="n">
        <v>2.46666666666667</v>
      </c>
      <c r="P522" s="213" t="n">
        <v>3.28333333333333</v>
      </c>
    </row>
    <row r="523" customFormat="false" ht="12.75" hidden="false" customHeight="false" outlineLevel="0" collapsed="false">
      <c r="A523" s="215" t="n">
        <v>40540</v>
      </c>
      <c r="B523" s="213" t="n">
        <v>45.8</v>
      </c>
      <c r="C523" s="213" t="n">
        <f aca="false">AVERAGEIFS($B$33:$B$1494,$A$33:$A$1494,A523)</f>
        <v>45.9</v>
      </c>
      <c r="D523" s="213" t="n">
        <v>47.5</v>
      </c>
      <c r="E523" s="213" t="n">
        <f aca="false">AVERAGEIFS($D$33:$D$1494,$A$33:$A$1494,A523)</f>
        <v>47.4666666666667</v>
      </c>
      <c r="F523" s="213" t="n">
        <v>3.6</v>
      </c>
      <c r="G523" s="213" t="n">
        <f aca="false">AVERAGEIFS($F$33:$F$1494,$A$33:$A$1494,A523)</f>
        <v>2.46666666666667</v>
      </c>
      <c r="H523" s="213" t="n">
        <v>3.3</v>
      </c>
      <c r="I523" s="213" t="n">
        <f aca="false">AVERAGEIFS($H$33:$H$1494,$A$33:$A$1494,A523)</f>
        <v>3.28333333333333</v>
      </c>
      <c r="L523" s="215" t="n">
        <v>40540</v>
      </c>
      <c r="M523" s="213" t="n">
        <v>45.9</v>
      </c>
      <c r="N523" s="213" t="n">
        <v>47.4666666666667</v>
      </c>
      <c r="O523" s="213" t="n">
        <v>2.46666666666667</v>
      </c>
      <c r="P523" s="213" t="n">
        <v>3.28333333333333</v>
      </c>
    </row>
    <row r="524" customFormat="false" ht="12.75" hidden="false" customHeight="false" outlineLevel="0" collapsed="false">
      <c r="A524" s="215" t="n">
        <v>40540</v>
      </c>
      <c r="B524" s="213" t="n">
        <v>45.8</v>
      </c>
      <c r="C524" s="213" t="n">
        <f aca="false">AVERAGEIFS($B$33:$B$1494,$A$33:$A$1494,A524)</f>
        <v>45.9</v>
      </c>
      <c r="D524" s="213" t="n">
        <v>47.9</v>
      </c>
      <c r="E524" s="213" t="n">
        <f aca="false">AVERAGEIFS($D$33:$D$1494,$A$33:$A$1494,A524)</f>
        <v>47.4666666666667</v>
      </c>
      <c r="F524" s="213" t="n">
        <v>3.9</v>
      </c>
      <c r="G524" s="213" t="n">
        <f aca="false">AVERAGEIFS($F$33:$F$1494,$A$33:$A$1494,A524)</f>
        <v>2.46666666666667</v>
      </c>
      <c r="H524" s="213" t="n">
        <v>3.6</v>
      </c>
      <c r="I524" s="213" t="n">
        <f aca="false">AVERAGEIFS($H$33:$H$1494,$A$33:$A$1494,A524)</f>
        <v>3.28333333333333</v>
      </c>
      <c r="L524" s="215" t="n">
        <v>40540</v>
      </c>
      <c r="M524" s="213" t="n">
        <v>45.9</v>
      </c>
      <c r="N524" s="213" t="n">
        <v>47.4666666666667</v>
      </c>
      <c r="O524" s="213" t="n">
        <v>2.46666666666667</v>
      </c>
      <c r="P524" s="213" t="n">
        <v>3.28333333333333</v>
      </c>
    </row>
    <row r="525" customFormat="false" ht="12.75" hidden="false" customHeight="false" outlineLevel="0" collapsed="false">
      <c r="A525" s="215" t="n">
        <v>40541</v>
      </c>
      <c r="B525" s="213" t="n">
        <v>45.8</v>
      </c>
      <c r="C525" s="213" t="n">
        <f aca="false">AVERAGEIFS($B$33:$B$1494,$A$33:$A$1494,A525)</f>
        <v>45.6833333333333</v>
      </c>
      <c r="D525" s="213" t="n">
        <v>46.4</v>
      </c>
      <c r="E525" s="213" t="n">
        <f aca="false">AVERAGEIFS($D$33:$D$1494,$A$33:$A$1494,A525)</f>
        <v>46.3</v>
      </c>
      <c r="F525" s="213" t="n">
        <v>3.7</v>
      </c>
      <c r="G525" s="213" t="n">
        <f aca="false">AVERAGEIFS($F$33:$F$1494,$A$33:$A$1494,A525)</f>
        <v>4.56666666666667</v>
      </c>
      <c r="H525" s="213" t="n">
        <v>3.9</v>
      </c>
      <c r="I525" s="213" t="n">
        <f aca="false">AVERAGEIFS($H$33:$H$1494,$A$33:$A$1494,A525)</f>
        <v>4.23333333333333</v>
      </c>
      <c r="L525" s="215" t="n">
        <v>40541</v>
      </c>
      <c r="M525" s="213" t="n">
        <v>45.6833333333333</v>
      </c>
      <c r="N525" s="213" t="n">
        <v>46.3</v>
      </c>
      <c r="O525" s="213" t="n">
        <v>4.56666666666667</v>
      </c>
      <c r="P525" s="213" t="n">
        <v>4.23333333333333</v>
      </c>
    </row>
    <row r="526" customFormat="false" ht="12.75" hidden="false" customHeight="false" outlineLevel="0" collapsed="false">
      <c r="A526" s="215" t="n">
        <v>40541</v>
      </c>
      <c r="B526" s="213" t="n">
        <v>45.7</v>
      </c>
      <c r="C526" s="213" t="n">
        <f aca="false">AVERAGEIFS($B$33:$B$1494,$A$33:$A$1494,A526)</f>
        <v>45.6833333333333</v>
      </c>
      <c r="D526" s="213" t="n">
        <v>46.4</v>
      </c>
      <c r="E526" s="213" t="n">
        <f aca="false">AVERAGEIFS($D$33:$D$1494,$A$33:$A$1494,A526)</f>
        <v>46.3</v>
      </c>
      <c r="F526" s="213" t="n">
        <v>3.8</v>
      </c>
      <c r="G526" s="213" t="n">
        <f aca="false">AVERAGEIFS($F$33:$F$1494,$A$33:$A$1494,A526)</f>
        <v>4.56666666666667</v>
      </c>
      <c r="H526" s="213" t="n">
        <v>4</v>
      </c>
      <c r="I526" s="213" t="n">
        <f aca="false">AVERAGEIFS($H$33:$H$1494,$A$33:$A$1494,A526)</f>
        <v>4.23333333333333</v>
      </c>
      <c r="L526" s="215" t="n">
        <v>40541</v>
      </c>
      <c r="M526" s="213" t="n">
        <v>45.6833333333333</v>
      </c>
      <c r="N526" s="213" t="n">
        <v>46.3</v>
      </c>
      <c r="O526" s="213" t="n">
        <v>4.56666666666667</v>
      </c>
      <c r="P526" s="213" t="n">
        <v>4.23333333333333</v>
      </c>
    </row>
    <row r="527" customFormat="false" ht="12.75" hidden="false" customHeight="false" outlineLevel="0" collapsed="false">
      <c r="A527" s="215" t="n">
        <v>40541</v>
      </c>
      <c r="B527" s="213" t="n">
        <v>45.7</v>
      </c>
      <c r="C527" s="213" t="n">
        <f aca="false">AVERAGEIFS($B$33:$B$1494,$A$33:$A$1494,A527)</f>
        <v>45.6833333333333</v>
      </c>
      <c r="D527" s="213" t="n">
        <v>46.3</v>
      </c>
      <c r="E527" s="213" t="n">
        <f aca="false">AVERAGEIFS($D$33:$D$1494,$A$33:$A$1494,A527)</f>
        <v>46.3</v>
      </c>
      <c r="F527" s="213" t="n">
        <v>4</v>
      </c>
      <c r="G527" s="213" t="n">
        <f aca="false">AVERAGEIFS($F$33:$F$1494,$A$33:$A$1494,A527)</f>
        <v>4.56666666666667</v>
      </c>
      <c r="H527" s="213" t="n">
        <v>4.1</v>
      </c>
      <c r="I527" s="213" t="n">
        <f aca="false">AVERAGEIFS($H$33:$H$1494,$A$33:$A$1494,A527)</f>
        <v>4.23333333333333</v>
      </c>
      <c r="L527" s="215" t="n">
        <v>40541</v>
      </c>
      <c r="M527" s="213" t="n">
        <v>45.6833333333333</v>
      </c>
      <c r="N527" s="213" t="n">
        <v>46.3</v>
      </c>
      <c r="O527" s="213" t="n">
        <v>4.56666666666667</v>
      </c>
      <c r="P527" s="213" t="n">
        <v>4.23333333333333</v>
      </c>
    </row>
    <row r="528" customFormat="false" ht="12.75" hidden="false" customHeight="false" outlineLevel="0" collapsed="false">
      <c r="A528" s="215" t="n">
        <v>40541</v>
      </c>
      <c r="B528" s="213" t="n">
        <v>45.7</v>
      </c>
      <c r="C528" s="213" t="n">
        <f aca="false">AVERAGEIFS($B$33:$B$1494,$A$33:$A$1494,A528)</f>
        <v>45.6833333333333</v>
      </c>
      <c r="D528" s="213" t="n">
        <v>46.3</v>
      </c>
      <c r="E528" s="213" t="n">
        <f aca="false">AVERAGEIFS($D$33:$D$1494,$A$33:$A$1494,A528)</f>
        <v>46.3</v>
      </c>
      <c r="F528" s="213" t="n">
        <v>4.5</v>
      </c>
      <c r="G528" s="213" t="n">
        <f aca="false">AVERAGEIFS($F$33:$F$1494,$A$33:$A$1494,A528)</f>
        <v>4.56666666666667</v>
      </c>
      <c r="H528" s="213" t="n">
        <v>4.2</v>
      </c>
      <c r="I528" s="213" t="n">
        <f aca="false">AVERAGEIFS($H$33:$H$1494,$A$33:$A$1494,A528)</f>
        <v>4.23333333333333</v>
      </c>
      <c r="L528" s="215" t="n">
        <v>40541</v>
      </c>
      <c r="M528" s="213" t="n">
        <v>45.6833333333333</v>
      </c>
      <c r="N528" s="213" t="n">
        <v>46.3</v>
      </c>
      <c r="O528" s="213" t="n">
        <v>4.56666666666667</v>
      </c>
      <c r="P528" s="213" t="n">
        <v>4.23333333333333</v>
      </c>
    </row>
    <row r="529" customFormat="false" ht="12.75" hidden="false" customHeight="false" outlineLevel="0" collapsed="false">
      <c r="A529" s="215" t="n">
        <v>40541</v>
      </c>
      <c r="B529" s="213" t="n">
        <v>45.6</v>
      </c>
      <c r="C529" s="213" t="n">
        <f aca="false">AVERAGEIFS($B$33:$B$1494,$A$33:$A$1494,A529)</f>
        <v>45.6833333333333</v>
      </c>
      <c r="D529" s="213" t="n">
        <v>46.2</v>
      </c>
      <c r="E529" s="213" t="n">
        <f aca="false">AVERAGEIFS($D$33:$D$1494,$A$33:$A$1494,A529)</f>
        <v>46.3</v>
      </c>
      <c r="F529" s="213" t="n">
        <v>5.5</v>
      </c>
      <c r="G529" s="213" t="n">
        <f aca="false">AVERAGEIFS($F$33:$F$1494,$A$33:$A$1494,A529)</f>
        <v>4.56666666666667</v>
      </c>
      <c r="H529" s="213" t="n">
        <v>4.4</v>
      </c>
      <c r="I529" s="213" t="n">
        <f aca="false">AVERAGEIFS($H$33:$H$1494,$A$33:$A$1494,A529)</f>
        <v>4.23333333333333</v>
      </c>
      <c r="L529" s="215" t="n">
        <v>40541</v>
      </c>
      <c r="M529" s="213" t="n">
        <v>45.6833333333333</v>
      </c>
      <c r="N529" s="213" t="n">
        <v>46.3</v>
      </c>
      <c r="O529" s="213" t="n">
        <v>4.56666666666667</v>
      </c>
      <c r="P529" s="213" t="n">
        <v>4.23333333333333</v>
      </c>
    </row>
    <row r="530" customFormat="false" ht="12.75" hidden="false" customHeight="false" outlineLevel="0" collapsed="false">
      <c r="A530" s="215" t="n">
        <v>40541</v>
      </c>
      <c r="B530" s="213" t="n">
        <v>45.6</v>
      </c>
      <c r="C530" s="213" t="n">
        <f aca="false">AVERAGEIFS($B$33:$B$1494,$A$33:$A$1494,A530)</f>
        <v>45.6833333333333</v>
      </c>
      <c r="D530" s="213" t="n">
        <v>46.2</v>
      </c>
      <c r="E530" s="213" t="n">
        <f aca="false">AVERAGEIFS($D$33:$D$1494,$A$33:$A$1494,A530)</f>
        <v>46.3</v>
      </c>
      <c r="F530" s="213" t="n">
        <v>5.9</v>
      </c>
      <c r="G530" s="213" t="n">
        <f aca="false">AVERAGEIFS($F$33:$F$1494,$A$33:$A$1494,A530)</f>
        <v>4.56666666666667</v>
      </c>
      <c r="H530" s="213" t="n">
        <v>4.8</v>
      </c>
      <c r="I530" s="213" t="n">
        <f aca="false">AVERAGEIFS($H$33:$H$1494,$A$33:$A$1494,A530)</f>
        <v>4.23333333333333</v>
      </c>
      <c r="L530" s="215" t="n">
        <v>40541</v>
      </c>
      <c r="M530" s="213" t="n">
        <v>45.6833333333333</v>
      </c>
      <c r="N530" s="213" t="n">
        <v>46.3</v>
      </c>
      <c r="O530" s="213" t="n">
        <v>4.56666666666667</v>
      </c>
      <c r="P530" s="213" t="n">
        <v>4.23333333333333</v>
      </c>
    </row>
    <row r="531" customFormat="false" ht="12.75" hidden="false" customHeight="false" outlineLevel="0" collapsed="false">
      <c r="A531" s="215" t="n">
        <v>40542</v>
      </c>
      <c r="B531" s="213" t="n">
        <v>45.6</v>
      </c>
      <c r="C531" s="213" t="n">
        <f aca="false">AVERAGEIFS($B$33:$B$1494,$A$33:$A$1494,A531)</f>
        <v>45.4833333333333</v>
      </c>
      <c r="D531" s="213" t="n">
        <v>46.5</v>
      </c>
      <c r="E531" s="213" t="n">
        <f aca="false">AVERAGEIFS($D$33:$D$1494,$A$33:$A$1494,A531)</f>
        <v>46.5</v>
      </c>
      <c r="F531" s="213" t="n">
        <v>5.9</v>
      </c>
      <c r="G531" s="213" t="n">
        <f aca="false">AVERAGEIFS($F$33:$F$1494,$A$33:$A$1494,A531)</f>
        <v>6.45</v>
      </c>
      <c r="H531" s="213" t="n">
        <v>5</v>
      </c>
      <c r="I531" s="213" t="n">
        <f aca="false">AVERAGEIFS($H$33:$H$1494,$A$33:$A$1494,A531)</f>
        <v>5.46666666666667</v>
      </c>
      <c r="L531" s="215" t="n">
        <v>40542</v>
      </c>
      <c r="M531" s="213" t="n">
        <v>45.4833333333333</v>
      </c>
      <c r="N531" s="213" t="n">
        <v>46.5</v>
      </c>
      <c r="O531" s="213" t="n">
        <v>6.45</v>
      </c>
      <c r="P531" s="213" t="n">
        <v>5.46666666666667</v>
      </c>
    </row>
    <row r="532" customFormat="false" ht="12.75" hidden="false" customHeight="false" outlineLevel="0" collapsed="false">
      <c r="A532" s="215" t="n">
        <v>40542</v>
      </c>
      <c r="B532" s="213" t="n">
        <v>45.5</v>
      </c>
      <c r="C532" s="213" t="n">
        <f aca="false">AVERAGEIFS($B$33:$B$1494,$A$33:$A$1494,A532)</f>
        <v>45.4833333333333</v>
      </c>
      <c r="D532" s="213" t="n">
        <v>46.5</v>
      </c>
      <c r="E532" s="213" t="n">
        <f aca="false">AVERAGEIFS($D$33:$D$1494,$A$33:$A$1494,A532)</f>
        <v>46.5</v>
      </c>
      <c r="F532" s="213" t="n">
        <v>6</v>
      </c>
      <c r="G532" s="213" t="n">
        <f aca="false">AVERAGEIFS($F$33:$F$1494,$A$33:$A$1494,A532)</f>
        <v>6.45</v>
      </c>
      <c r="H532" s="213" t="n">
        <v>5.2</v>
      </c>
      <c r="I532" s="213" t="n">
        <f aca="false">AVERAGEIFS($H$33:$H$1494,$A$33:$A$1494,A532)</f>
        <v>5.46666666666667</v>
      </c>
      <c r="L532" s="215" t="n">
        <v>40542</v>
      </c>
      <c r="M532" s="213" t="n">
        <v>45.4833333333333</v>
      </c>
      <c r="N532" s="213" t="n">
        <v>46.5</v>
      </c>
      <c r="O532" s="213" t="n">
        <v>6.45</v>
      </c>
      <c r="P532" s="213" t="n">
        <v>5.46666666666667</v>
      </c>
    </row>
    <row r="533" customFormat="false" ht="12.75" hidden="false" customHeight="false" outlineLevel="0" collapsed="false">
      <c r="A533" s="215" t="n">
        <v>40542</v>
      </c>
      <c r="B533" s="213" t="n">
        <v>45.5</v>
      </c>
      <c r="C533" s="213" t="n">
        <f aca="false">AVERAGEIFS($B$33:$B$1494,$A$33:$A$1494,A533)</f>
        <v>45.4833333333333</v>
      </c>
      <c r="D533" s="213" t="n">
        <v>46.5</v>
      </c>
      <c r="E533" s="213" t="n">
        <f aca="false">AVERAGEIFS($D$33:$D$1494,$A$33:$A$1494,A533)</f>
        <v>46.5</v>
      </c>
      <c r="F533" s="213" t="n">
        <v>6.1</v>
      </c>
      <c r="G533" s="213" t="n">
        <f aca="false">AVERAGEIFS($F$33:$F$1494,$A$33:$A$1494,A533)</f>
        <v>6.45</v>
      </c>
      <c r="H533" s="213" t="n">
        <v>5.4</v>
      </c>
      <c r="I533" s="213" t="n">
        <f aca="false">AVERAGEIFS($H$33:$H$1494,$A$33:$A$1494,A533)</f>
        <v>5.46666666666667</v>
      </c>
      <c r="L533" s="215" t="n">
        <v>40542</v>
      </c>
      <c r="M533" s="213" t="n">
        <v>45.4833333333333</v>
      </c>
      <c r="N533" s="213" t="n">
        <v>46.5</v>
      </c>
      <c r="O533" s="213" t="n">
        <v>6.45</v>
      </c>
      <c r="P533" s="213" t="n">
        <v>5.46666666666667</v>
      </c>
    </row>
    <row r="534" customFormat="false" ht="12.75" hidden="false" customHeight="false" outlineLevel="0" collapsed="false">
      <c r="A534" s="215" t="n">
        <v>40542</v>
      </c>
      <c r="B534" s="213" t="n">
        <v>45.5</v>
      </c>
      <c r="C534" s="213" t="n">
        <f aca="false">AVERAGEIFS($B$33:$B$1494,$A$33:$A$1494,A534)</f>
        <v>45.4833333333333</v>
      </c>
      <c r="D534" s="213" t="n">
        <v>46.5</v>
      </c>
      <c r="E534" s="213" t="n">
        <f aca="false">AVERAGEIFS($D$33:$D$1494,$A$33:$A$1494,A534)</f>
        <v>46.5</v>
      </c>
      <c r="F534" s="213" t="n">
        <v>6.3</v>
      </c>
      <c r="G534" s="213" t="n">
        <f aca="false">AVERAGEIFS($F$33:$F$1494,$A$33:$A$1494,A534)</f>
        <v>6.45</v>
      </c>
      <c r="H534" s="213" t="n">
        <v>5.5</v>
      </c>
      <c r="I534" s="213" t="n">
        <f aca="false">AVERAGEIFS($H$33:$H$1494,$A$33:$A$1494,A534)</f>
        <v>5.46666666666667</v>
      </c>
      <c r="L534" s="215" t="n">
        <v>40542</v>
      </c>
      <c r="M534" s="213" t="n">
        <v>45.4833333333333</v>
      </c>
      <c r="N534" s="213" t="n">
        <v>46.5</v>
      </c>
      <c r="O534" s="213" t="n">
        <v>6.45</v>
      </c>
      <c r="P534" s="213" t="n">
        <v>5.46666666666667</v>
      </c>
    </row>
    <row r="535" customFormat="false" ht="12.75" hidden="false" customHeight="false" outlineLevel="0" collapsed="false">
      <c r="A535" s="215" t="n">
        <v>40542</v>
      </c>
      <c r="B535" s="213" t="n">
        <v>45.4</v>
      </c>
      <c r="C535" s="213" t="n">
        <f aca="false">AVERAGEIFS($B$33:$B$1494,$A$33:$A$1494,A535)</f>
        <v>45.4833333333333</v>
      </c>
      <c r="D535" s="213" t="n">
        <v>46.5</v>
      </c>
      <c r="E535" s="213" t="n">
        <f aca="false">AVERAGEIFS($D$33:$D$1494,$A$33:$A$1494,A535)</f>
        <v>46.5</v>
      </c>
      <c r="F535" s="213" t="n">
        <v>7.1</v>
      </c>
      <c r="G535" s="213" t="n">
        <f aca="false">AVERAGEIFS($F$33:$F$1494,$A$33:$A$1494,A535)</f>
        <v>6.45</v>
      </c>
      <c r="H535" s="213" t="n">
        <v>5.7</v>
      </c>
      <c r="I535" s="213" t="n">
        <f aca="false">AVERAGEIFS($H$33:$H$1494,$A$33:$A$1494,A535)</f>
        <v>5.46666666666667</v>
      </c>
      <c r="L535" s="215" t="n">
        <v>40542</v>
      </c>
      <c r="M535" s="213" t="n">
        <v>45.4833333333333</v>
      </c>
      <c r="N535" s="213" t="n">
        <v>46.5</v>
      </c>
      <c r="O535" s="213" t="n">
        <v>6.45</v>
      </c>
      <c r="P535" s="213" t="n">
        <v>5.46666666666667</v>
      </c>
    </row>
    <row r="536" customFormat="false" ht="12.75" hidden="false" customHeight="false" outlineLevel="0" collapsed="false">
      <c r="A536" s="215" t="n">
        <v>40542</v>
      </c>
      <c r="B536" s="213" t="n">
        <v>45.4</v>
      </c>
      <c r="C536" s="213" t="n">
        <f aca="false">AVERAGEIFS($B$33:$B$1494,$A$33:$A$1494,A536)</f>
        <v>45.4833333333333</v>
      </c>
      <c r="D536" s="213" t="n">
        <v>46.5</v>
      </c>
      <c r="E536" s="213" t="n">
        <f aca="false">AVERAGEIFS($D$33:$D$1494,$A$33:$A$1494,A536)</f>
        <v>46.5</v>
      </c>
      <c r="F536" s="213" t="n">
        <v>7.3</v>
      </c>
      <c r="G536" s="213" t="n">
        <f aca="false">AVERAGEIFS($F$33:$F$1494,$A$33:$A$1494,A536)</f>
        <v>6.45</v>
      </c>
      <c r="H536" s="213" t="n">
        <v>6</v>
      </c>
      <c r="I536" s="213" t="n">
        <f aca="false">AVERAGEIFS($H$33:$H$1494,$A$33:$A$1494,A536)</f>
        <v>5.46666666666667</v>
      </c>
      <c r="L536" s="215" t="n">
        <v>40542</v>
      </c>
      <c r="M536" s="213" t="n">
        <v>45.4833333333333</v>
      </c>
      <c r="N536" s="213" t="n">
        <v>46.5</v>
      </c>
      <c r="O536" s="213" t="n">
        <v>6.45</v>
      </c>
      <c r="P536" s="213" t="n">
        <v>5.46666666666667</v>
      </c>
    </row>
    <row r="537" customFormat="false" ht="12.75" hidden="false" customHeight="false" outlineLevel="0" collapsed="false">
      <c r="A537" s="215" t="n">
        <v>40543</v>
      </c>
      <c r="B537" s="213" t="n">
        <v>45.4</v>
      </c>
      <c r="C537" s="213" t="n">
        <f aca="false">AVERAGEIFS($B$33:$B$1494,$A$33:$A$1494,A537)</f>
        <v>45.4166666666667</v>
      </c>
      <c r="D537" s="213" t="n">
        <v>46.5</v>
      </c>
      <c r="E537" s="213" t="n">
        <f aca="false">AVERAGEIFS($D$33:$D$1494,$A$33:$A$1494,A537)</f>
        <v>46.45</v>
      </c>
      <c r="F537" s="213" t="n">
        <v>7.3</v>
      </c>
      <c r="G537" s="213" t="n">
        <f aca="false">AVERAGEIFS($F$33:$F$1494,$A$33:$A$1494,A537)</f>
        <v>7.76666666666667</v>
      </c>
      <c r="H537" s="213" t="n">
        <v>6.2</v>
      </c>
      <c r="I537" s="213" t="n">
        <f aca="false">AVERAGEIFS($H$33:$H$1494,$A$33:$A$1494,A537)</f>
        <v>6.55</v>
      </c>
      <c r="L537" s="215" t="n">
        <v>40543</v>
      </c>
      <c r="M537" s="213" t="n">
        <v>45.4166666666667</v>
      </c>
      <c r="N537" s="213" t="n">
        <v>46.45</v>
      </c>
      <c r="O537" s="213" t="n">
        <v>7.76666666666667</v>
      </c>
      <c r="P537" s="213" t="n">
        <v>6.55</v>
      </c>
    </row>
    <row r="538" customFormat="false" ht="12.75" hidden="false" customHeight="false" outlineLevel="0" collapsed="false">
      <c r="A538" s="215" t="n">
        <v>40543</v>
      </c>
      <c r="B538" s="213" t="n">
        <v>45.4</v>
      </c>
      <c r="C538" s="213" t="n">
        <f aca="false">AVERAGEIFS($B$33:$B$1494,$A$33:$A$1494,A538)</f>
        <v>45.4166666666667</v>
      </c>
      <c r="D538" s="213" t="n">
        <v>46.5</v>
      </c>
      <c r="E538" s="213" t="n">
        <f aca="false">AVERAGEIFS($D$33:$D$1494,$A$33:$A$1494,A538)</f>
        <v>46.45</v>
      </c>
      <c r="F538" s="213" t="n">
        <v>7.5</v>
      </c>
      <c r="G538" s="213" t="n">
        <f aca="false">AVERAGEIFS($F$33:$F$1494,$A$33:$A$1494,A538)</f>
        <v>7.76666666666667</v>
      </c>
      <c r="H538" s="213" t="n">
        <v>6.3</v>
      </c>
      <c r="I538" s="213" t="n">
        <f aca="false">AVERAGEIFS($H$33:$H$1494,$A$33:$A$1494,A538)</f>
        <v>6.55</v>
      </c>
      <c r="L538" s="215" t="n">
        <v>40543</v>
      </c>
      <c r="M538" s="213" t="n">
        <v>45.4166666666667</v>
      </c>
      <c r="N538" s="213" t="n">
        <v>46.45</v>
      </c>
      <c r="O538" s="213" t="n">
        <v>7.76666666666667</v>
      </c>
      <c r="P538" s="213" t="n">
        <v>6.55</v>
      </c>
    </row>
    <row r="539" customFormat="false" ht="12.75" hidden="false" customHeight="false" outlineLevel="0" collapsed="false">
      <c r="A539" s="215" t="n">
        <v>40543</v>
      </c>
      <c r="B539" s="213" t="n">
        <v>45.3</v>
      </c>
      <c r="C539" s="213" t="n">
        <f aca="false">AVERAGEIFS($B$33:$B$1494,$A$33:$A$1494,A539)</f>
        <v>45.4166666666667</v>
      </c>
      <c r="D539" s="213" t="n">
        <v>46.5</v>
      </c>
      <c r="E539" s="213" t="n">
        <f aca="false">AVERAGEIFS($D$33:$D$1494,$A$33:$A$1494,A539)</f>
        <v>46.45</v>
      </c>
      <c r="F539" s="213" t="n">
        <v>7.5</v>
      </c>
      <c r="G539" s="213" t="n">
        <f aca="false">AVERAGEIFS($F$33:$F$1494,$A$33:$A$1494,A539)</f>
        <v>7.76666666666667</v>
      </c>
      <c r="H539" s="213" t="n">
        <v>6.5</v>
      </c>
      <c r="I539" s="213" t="n">
        <f aca="false">AVERAGEIFS($H$33:$H$1494,$A$33:$A$1494,A539)</f>
        <v>6.55</v>
      </c>
      <c r="L539" s="215" t="n">
        <v>40543</v>
      </c>
      <c r="M539" s="213" t="n">
        <v>45.4166666666667</v>
      </c>
      <c r="N539" s="213" t="n">
        <v>46.45</v>
      </c>
      <c r="O539" s="213" t="n">
        <v>7.76666666666667</v>
      </c>
      <c r="P539" s="213" t="n">
        <v>6.55</v>
      </c>
    </row>
    <row r="540" customFormat="false" ht="12.75" hidden="false" customHeight="false" outlineLevel="0" collapsed="false">
      <c r="A540" s="215" t="n">
        <v>40543</v>
      </c>
      <c r="B540" s="213" t="n">
        <v>45.8</v>
      </c>
      <c r="C540" s="213" t="n">
        <f aca="false">AVERAGEIFS($B$33:$B$1494,$A$33:$A$1494,A540)</f>
        <v>45.4166666666667</v>
      </c>
      <c r="D540" s="213" t="n">
        <v>46.4</v>
      </c>
      <c r="E540" s="213" t="n">
        <f aca="false">AVERAGEIFS($D$33:$D$1494,$A$33:$A$1494,A540)</f>
        <v>46.45</v>
      </c>
      <c r="F540" s="213" t="n">
        <v>7.6</v>
      </c>
      <c r="G540" s="213" t="n">
        <f aca="false">AVERAGEIFS($F$33:$F$1494,$A$33:$A$1494,A540)</f>
        <v>7.76666666666667</v>
      </c>
      <c r="H540" s="213" t="n">
        <v>6.6</v>
      </c>
      <c r="I540" s="213" t="n">
        <f aca="false">AVERAGEIFS($H$33:$H$1494,$A$33:$A$1494,A540)</f>
        <v>6.55</v>
      </c>
      <c r="L540" s="215" t="n">
        <v>40543</v>
      </c>
      <c r="M540" s="213" t="n">
        <v>45.4166666666667</v>
      </c>
      <c r="N540" s="213" t="n">
        <v>46.45</v>
      </c>
      <c r="O540" s="213" t="n">
        <v>7.76666666666667</v>
      </c>
      <c r="P540" s="213" t="n">
        <v>6.55</v>
      </c>
    </row>
    <row r="541" customFormat="false" ht="12.75" hidden="false" customHeight="false" outlineLevel="0" collapsed="false">
      <c r="A541" s="215" t="n">
        <v>40543</v>
      </c>
      <c r="B541" s="213" t="n">
        <v>45.3</v>
      </c>
      <c r="C541" s="213" t="n">
        <f aca="false">AVERAGEIFS($B$33:$B$1494,$A$33:$A$1494,A541)</f>
        <v>45.4166666666667</v>
      </c>
      <c r="D541" s="213" t="n">
        <v>46.4</v>
      </c>
      <c r="E541" s="213" t="n">
        <f aca="false">AVERAGEIFS($D$33:$D$1494,$A$33:$A$1494,A541)</f>
        <v>46.45</v>
      </c>
      <c r="F541" s="213" t="n">
        <v>8.4</v>
      </c>
      <c r="G541" s="213" t="n">
        <f aca="false">AVERAGEIFS($F$33:$F$1494,$A$33:$A$1494,A541)</f>
        <v>7.76666666666667</v>
      </c>
      <c r="H541" s="213" t="n">
        <v>6.7</v>
      </c>
      <c r="I541" s="213" t="n">
        <f aca="false">AVERAGEIFS($H$33:$H$1494,$A$33:$A$1494,A541)</f>
        <v>6.55</v>
      </c>
      <c r="L541" s="215" t="n">
        <v>40543</v>
      </c>
      <c r="M541" s="213" t="n">
        <v>45.4166666666667</v>
      </c>
      <c r="N541" s="213" t="n">
        <v>46.45</v>
      </c>
      <c r="O541" s="213" t="n">
        <v>7.76666666666667</v>
      </c>
      <c r="P541" s="213" t="n">
        <v>6.55</v>
      </c>
    </row>
    <row r="542" customFormat="false" ht="12.75" hidden="false" customHeight="false" outlineLevel="0" collapsed="false">
      <c r="A542" s="215" t="n">
        <v>40543</v>
      </c>
      <c r="B542" s="213" t="n">
        <v>45.3</v>
      </c>
      <c r="C542" s="213" t="n">
        <f aca="false">AVERAGEIFS($B$33:$B$1494,$A$33:$A$1494,A542)</f>
        <v>45.4166666666667</v>
      </c>
      <c r="D542" s="213" t="n">
        <v>46.4</v>
      </c>
      <c r="E542" s="213" t="n">
        <f aca="false">AVERAGEIFS($D$33:$D$1494,$A$33:$A$1494,A542)</f>
        <v>46.45</v>
      </c>
      <c r="F542" s="213" t="n">
        <v>8.3</v>
      </c>
      <c r="G542" s="213" t="n">
        <f aca="false">AVERAGEIFS($F$33:$F$1494,$A$33:$A$1494,A542)</f>
        <v>7.76666666666667</v>
      </c>
      <c r="H542" s="213" t="n">
        <v>7</v>
      </c>
      <c r="I542" s="213" t="n">
        <f aca="false">AVERAGEIFS($H$33:$H$1494,$A$33:$A$1494,A542)</f>
        <v>6.55</v>
      </c>
      <c r="L542" s="215" t="n">
        <v>40543</v>
      </c>
      <c r="M542" s="213" t="n">
        <v>45.4166666666667</v>
      </c>
      <c r="N542" s="213" t="n">
        <v>46.45</v>
      </c>
      <c r="O542" s="213" t="n">
        <v>7.76666666666667</v>
      </c>
      <c r="P542" s="213" t="n">
        <v>6.55</v>
      </c>
    </row>
    <row r="543" customFormat="false" ht="12.75" hidden="false" customHeight="false" outlineLevel="0" collapsed="false">
      <c r="A543" s="215" t="n">
        <v>40544</v>
      </c>
      <c r="B543" s="213" t="n">
        <v>45.3</v>
      </c>
      <c r="C543" s="213" t="n">
        <f aca="false">AVERAGEIFS($B$33:$B$1494,$A$33:$A$1494,A543)</f>
        <v>45.4333333333333</v>
      </c>
      <c r="D543" s="213" t="n">
        <v>46.4</v>
      </c>
      <c r="E543" s="213" t="n">
        <f aca="false">AVERAGEIFS($D$33:$D$1494,$A$33:$A$1494,A543)</f>
        <v>46.3333333333333</v>
      </c>
      <c r="F543" s="213" t="n">
        <v>7.6</v>
      </c>
      <c r="G543" s="213" t="n">
        <f aca="false">AVERAGEIFS($F$33:$F$1494,$A$33:$A$1494,A543)</f>
        <v>6.88333333333333</v>
      </c>
      <c r="H543" s="213" t="n">
        <v>7.1</v>
      </c>
      <c r="I543" s="213" t="n">
        <f aca="false">AVERAGEIFS($H$33:$H$1494,$A$33:$A$1494,A543)</f>
        <v>6.88333333333333</v>
      </c>
      <c r="L543" s="215" t="n">
        <v>40544</v>
      </c>
      <c r="M543" s="213" t="n">
        <v>45.4333333333333</v>
      </c>
      <c r="N543" s="213" t="n">
        <v>46.3333333333333</v>
      </c>
      <c r="O543" s="213" t="n">
        <v>6.88333333333333</v>
      </c>
      <c r="P543" s="213" t="n">
        <v>6.88333333333333</v>
      </c>
    </row>
    <row r="544" customFormat="false" ht="12.75" hidden="false" customHeight="false" outlineLevel="0" collapsed="false">
      <c r="A544" s="215" t="n">
        <v>40544</v>
      </c>
      <c r="B544" s="213" t="n">
        <v>45.3</v>
      </c>
      <c r="C544" s="213" t="n">
        <f aca="false">AVERAGEIFS($B$33:$B$1494,$A$33:$A$1494,A544)</f>
        <v>45.4333333333333</v>
      </c>
      <c r="D544" s="213" t="n">
        <v>46.4</v>
      </c>
      <c r="E544" s="213" t="n">
        <f aca="false">AVERAGEIFS($D$33:$D$1494,$A$33:$A$1494,A544)</f>
        <v>46.3333333333333</v>
      </c>
      <c r="F544" s="213" t="n">
        <v>7</v>
      </c>
      <c r="G544" s="213" t="n">
        <f aca="false">AVERAGEIFS($F$33:$F$1494,$A$33:$A$1494,A544)</f>
        <v>6.88333333333333</v>
      </c>
      <c r="H544" s="213" t="n">
        <v>7.1</v>
      </c>
      <c r="I544" s="213" t="n">
        <f aca="false">AVERAGEIFS($H$33:$H$1494,$A$33:$A$1494,A544)</f>
        <v>6.88333333333333</v>
      </c>
      <c r="L544" s="215" t="n">
        <v>40544</v>
      </c>
      <c r="M544" s="213" t="n">
        <v>45.4333333333333</v>
      </c>
      <c r="N544" s="213" t="n">
        <v>46.3333333333333</v>
      </c>
      <c r="O544" s="213" t="n">
        <v>6.88333333333333</v>
      </c>
      <c r="P544" s="213" t="n">
        <v>6.88333333333333</v>
      </c>
    </row>
    <row r="545" customFormat="false" ht="12.75" hidden="false" customHeight="false" outlineLevel="0" collapsed="false">
      <c r="A545" s="215" t="n">
        <v>40544</v>
      </c>
      <c r="B545" s="213" t="n">
        <v>45.3</v>
      </c>
      <c r="C545" s="213" t="n">
        <f aca="false">AVERAGEIFS($B$33:$B$1494,$A$33:$A$1494,A545)</f>
        <v>45.4333333333333</v>
      </c>
      <c r="D545" s="213" t="n">
        <v>46.3</v>
      </c>
      <c r="E545" s="213" t="n">
        <f aca="false">AVERAGEIFS($D$33:$D$1494,$A$33:$A$1494,A545)</f>
        <v>46.3333333333333</v>
      </c>
      <c r="F545" s="213" t="n">
        <v>6.5</v>
      </c>
      <c r="G545" s="213" t="n">
        <f aca="false">AVERAGEIFS($F$33:$F$1494,$A$33:$A$1494,A545)</f>
        <v>6.88333333333333</v>
      </c>
      <c r="H545" s="213" t="n">
        <v>6.9</v>
      </c>
      <c r="I545" s="213" t="n">
        <f aca="false">AVERAGEIFS($H$33:$H$1494,$A$33:$A$1494,A545)</f>
        <v>6.88333333333333</v>
      </c>
      <c r="L545" s="215" t="n">
        <v>40544</v>
      </c>
      <c r="M545" s="213" t="n">
        <v>45.4333333333333</v>
      </c>
      <c r="N545" s="213" t="n">
        <v>46.3333333333333</v>
      </c>
      <c r="O545" s="213" t="n">
        <v>6.88333333333333</v>
      </c>
      <c r="P545" s="213" t="n">
        <v>6.88333333333333</v>
      </c>
    </row>
    <row r="546" customFormat="false" ht="12.75" hidden="false" customHeight="false" outlineLevel="0" collapsed="false">
      <c r="A546" s="215" t="n">
        <v>40544</v>
      </c>
      <c r="B546" s="213" t="n">
        <v>45.4</v>
      </c>
      <c r="C546" s="213" t="n">
        <f aca="false">AVERAGEIFS($B$33:$B$1494,$A$33:$A$1494,A546)</f>
        <v>45.4333333333333</v>
      </c>
      <c r="D546" s="213" t="n">
        <v>46.3</v>
      </c>
      <c r="E546" s="213" t="n">
        <f aca="false">AVERAGEIFS($D$33:$D$1494,$A$33:$A$1494,A546)</f>
        <v>46.3333333333333</v>
      </c>
      <c r="F546" s="213" t="n">
        <v>6.4</v>
      </c>
      <c r="G546" s="213" t="n">
        <f aca="false">AVERAGEIFS($F$33:$F$1494,$A$33:$A$1494,A546)</f>
        <v>6.88333333333333</v>
      </c>
      <c r="H546" s="213" t="n">
        <v>6.8</v>
      </c>
      <c r="I546" s="213" t="n">
        <f aca="false">AVERAGEIFS($H$33:$H$1494,$A$33:$A$1494,A546)</f>
        <v>6.88333333333333</v>
      </c>
      <c r="L546" s="215" t="n">
        <v>40544</v>
      </c>
      <c r="M546" s="213" t="n">
        <v>45.4333333333333</v>
      </c>
      <c r="N546" s="213" t="n">
        <v>46.3333333333333</v>
      </c>
      <c r="O546" s="213" t="n">
        <v>6.88333333333333</v>
      </c>
      <c r="P546" s="213" t="n">
        <v>6.88333333333333</v>
      </c>
    </row>
    <row r="547" customFormat="false" ht="12.75" hidden="false" customHeight="false" outlineLevel="0" collapsed="false">
      <c r="A547" s="215" t="n">
        <v>40544</v>
      </c>
      <c r="B547" s="213" t="n">
        <v>45.7</v>
      </c>
      <c r="C547" s="213" t="n">
        <f aca="false">AVERAGEIFS($B$33:$B$1494,$A$33:$A$1494,A547)</f>
        <v>45.4333333333333</v>
      </c>
      <c r="D547" s="213" t="n">
        <v>46.3</v>
      </c>
      <c r="E547" s="213" t="n">
        <f aca="false">AVERAGEIFS($D$33:$D$1494,$A$33:$A$1494,A547)</f>
        <v>46.3333333333333</v>
      </c>
      <c r="F547" s="213" t="n">
        <v>6.9</v>
      </c>
      <c r="G547" s="213" t="n">
        <f aca="false">AVERAGEIFS($F$33:$F$1494,$A$33:$A$1494,A547)</f>
        <v>6.88333333333333</v>
      </c>
      <c r="H547" s="213" t="n">
        <v>6.7</v>
      </c>
      <c r="I547" s="213" t="n">
        <f aca="false">AVERAGEIFS($H$33:$H$1494,$A$33:$A$1494,A547)</f>
        <v>6.88333333333333</v>
      </c>
      <c r="L547" s="215" t="n">
        <v>40544</v>
      </c>
      <c r="M547" s="213" t="n">
        <v>45.4333333333333</v>
      </c>
      <c r="N547" s="213" t="n">
        <v>46.3333333333333</v>
      </c>
      <c r="O547" s="213" t="n">
        <v>6.88333333333333</v>
      </c>
      <c r="P547" s="213" t="n">
        <v>6.88333333333333</v>
      </c>
    </row>
    <row r="548" customFormat="false" ht="12.75" hidden="false" customHeight="false" outlineLevel="0" collapsed="false">
      <c r="A548" s="215" t="n">
        <v>40544</v>
      </c>
      <c r="B548" s="213" t="n">
        <v>45.6</v>
      </c>
      <c r="C548" s="213" t="n">
        <f aca="false">AVERAGEIFS($B$33:$B$1494,$A$33:$A$1494,A548)</f>
        <v>45.4333333333333</v>
      </c>
      <c r="D548" s="213" t="n">
        <v>46.3</v>
      </c>
      <c r="E548" s="213" t="n">
        <f aca="false">AVERAGEIFS($D$33:$D$1494,$A$33:$A$1494,A548)</f>
        <v>46.3333333333333</v>
      </c>
      <c r="F548" s="213" t="n">
        <v>6.9</v>
      </c>
      <c r="G548" s="213" t="n">
        <f aca="false">AVERAGEIFS($F$33:$F$1494,$A$33:$A$1494,A548)</f>
        <v>6.88333333333333</v>
      </c>
      <c r="H548" s="213" t="n">
        <v>6.7</v>
      </c>
      <c r="I548" s="213" t="n">
        <f aca="false">AVERAGEIFS($H$33:$H$1494,$A$33:$A$1494,A548)</f>
        <v>6.88333333333333</v>
      </c>
      <c r="L548" s="215" t="n">
        <v>40544</v>
      </c>
      <c r="M548" s="213" t="n">
        <v>45.4333333333333</v>
      </c>
      <c r="N548" s="213" t="n">
        <v>46.3333333333333</v>
      </c>
      <c r="O548" s="213" t="n">
        <v>6.88333333333333</v>
      </c>
      <c r="P548" s="213" t="n">
        <v>6.88333333333333</v>
      </c>
    </row>
    <row r="549" customFormat="false" ht="12.75" hidden="false" customHeight="false" outlineLevel="0" collapsed="false">
      <c r="A549" s="215" t="n">
        <v>40545</v>
      </c>
      <c r="B549" s="213" t="n">
        <v>45.7</v>
      </c>
      <c r="C549" s="213" t="n">
        <f aca="false">AVERAGEIFS($B$33:$B$1494,$A$33:$A$1494,A549)</f>
        <v>45.6166666666667</v>
      </c>
      <c r="D549" s="213" t="n">
        <v>46.3</v>
      </c>
      <c r="E549" s="213" t="n">
        <f aca="false">AVERAGEIFS($D$33:$D$1494,$A$33:$A$1494,A549)</f>
        <v>46.2666666666667</v>
      </c>
      <c r="F549" s="213" t="n">
        <v>6.7</v>
      </c>
      <c r="G549" s="213" t="n">
        <f aca="false">AVERAGEIFS($F$33:$F$1494,$A$33:$A$1494,A549)</f>
        <v>6.21666666666667</v>
      </c>
      <c r="H549" s="213" t="n">
        <v>6.7</v>
      </c>
      <c r="I549" s="213" t="n">
        <f aca="false">AVERAGEIFS($H$33:$H$1494,$A$33:$A$1494,A549)</f>
        <v>6.58333333333333</v>
      </c>
      <c r="L549" s="215" t="n">
        <v>40545</v>
      </c>
      <c r="M549" s="213" t="n">
        <v>45.6166666666667</v>
      </c>
      <c r="N549" s="213" t="n">
        <v>46.2666666666667</v>
      </c>
      <c r="O549" s="213" t="n">
        <v>6.21666666666667</v>
      </c>
      <c r="P549" s="213" t="n">
        <v>6.58333333333333</v>
      </c>
    </row>
    <row r="550" customFormat="false" ht="12.75" hidden="false" customHeight="false" outlineLevel="0" collapsed="false">
      <c r="A550" s="215" t="n">
        <v>40545</v>
      </c>
      <c r="B550" s="213" t="n">
        <v>45.6</v>
      </c>
      <c r="C550" s="213" t="n">
        <f aca="false">AVERAGEIFS($B$33:$B$1494,$A$33:$A$1494,A550)</f>
        <v>45.6166666666667</v>
      </c>
      <c r="D550" s="213" t="n">
        <v>46.3</v>
      </c>
      <c r="E550" s="213" t="n">
        <f aca="false">AVERAGEIFS($D$33:$D$1494,$A$33:$A$1494,A550)</f>
        <v>46.2666666666667</v>
      </c>
      <c r="F550" s="213" t="n">
        <v>6.8</v>
      </c>
      <c r="G550" s="213" t="n">
        <f aca="false">AVERAGEIFS($F$33:$F$1494,$A$33:$A$1494,A550)</f>
        <v>6.21666666666667</v>
      </c>
      <c r="H550" s="213" t="n">
        <v>6.7</v>
      </c>
      <c r="I550" s="213" t="n">
        <f aca="false">AVERAGEIFS($H$33:$H$1494,$A$33:$A$1494,A550)</f>
        <v>6.58333333333333</v>
      </c>
      <c r="L550" s="215" t="n">
        <v>40545</v>
      </c>
      <c r="M550" s="213" t="n">
        <v>45.6166666666667</v>
      </c>
      <c r="N550" s="213" t="n">
        <v>46.2666666666667</v>
      </c>
      <c r="O550" s="213" t="n">
        <v>6.21666666666667</v>
      </c>
      <c r="P550" s="213" t="n">
        <v>6.58333333333333</v>
      </c>
    </row>
    <row r="551" customFormat="false" ht="12.75" hidden="false" customHeight="false" outlineLevel="0" collapsed="false">
      <c r="A551" s="215" t="n">
        <v>40545</v>
      </c>
      <c r="B551" s="213" t="n">
        <v>45.6</v>
      </c>
      <c r="C551" s="213" t="n">
        <f aca="false">AVERAGEIFS($B$33:$B$1494,$A$33:$A$1494,A551)</f>
        <v>45.6166666666667</v>
      </c>
      <c r="D551" s="213" t="n">
        <v>46.3</v>
      </c>
      <c r="E551" s="213" t="n">
        <f aca="false">AVERAGEIFS($D$33:$D$1494,$A$33:$A$1494,A551)</f>
        <v>46.2666666666667</v>
      </c>
      <c r="F551" s="213" t="n">
        <v>6.6</v>
      </c>
      <c r="G551" s="213" t="n">
        <f aca="false">AVERAGEIFS($F$33:$F$1494,$A$33:$A$1494,A551)</f>
        <v>6.21666666666667</v>
      </c>
      <c r="H551" s="213" t="n">
        <v>6.7</v>
      </c>
      <c r="I551" s="213" t="n">
        <f aca="false">AVERAGEIFS($H$33:$H$1494,$A$33:$A$1494,A551)</f>
        <v>6.58333333333333</v>
      </c>
      <c r="L551" s="215" t="n">
        <v>40545</v>
      </c>
      <c r="M551" s="213" t="n">
        <v>45.6166666666667</v>
      </c>
      <c r="N551" s="213" t="n">
        <v>46.2666666666667</v>
      </c>
      <c r="O551" s="213" t="n">
        <v>6.21666666666667</v>
      </c>
      <c r="P551" s="213" t="n">
        <v>6.58333333333333</v>
      </c>
    </row>
    <row r="552" customFormat="false" ht="12.75" hidden="false" customHeight="false" outlineLevel="0" collapsed="false">
      <c r="A552" s="215" t="n">
        <v>40545</v>
      </c>
      <c r="B552" s="213" t="n">
        <v>45.6</v>
      </c>
      <c r="C552" s="213" t="n">
        <f aca="false">AVERAGEIFS($B$33:$B$1494,$A$33:$A$1494,A552)</f>
        <v>45.6166666666667</v>
      </c>
      <c r="D552" s="213" t="n">
        <v>46.3</v>
      </c>
      <c r="E552" s="213" t="n">
        <f aca="false">AVERAGEIFS($D$33:$D$1494,$A$33:$A$1494,A552)</f>
        <v>46.2666666666667</v>
      </c>
      <c r="F552" s="213" t="n">
        <v>6.1</v>
      </c>
      <c r="G552" s="213" t="n">
        <f aca="false">AVERAGEIFS($F$33:$F$1494,$A$33:$A$1494,A552)</f>
        <v>6.21666666666667</v>
      </c>
      <c r="H552" s="213" t="n">
        <v>6.6</v>
      </c>
      <c r="I552" s="213" t="n">
        <f aca="false">AVERAGEIFS($H$33:$H$1494,$A$33:$A$1494,A552)</f>
        <v>6.58333333333333</v>
      </c>
      <c r="L552" s="215" t="n">
        <v>40545</v>
      </c>
      <c r="M552" s="213" t="n">
        <v>45.6166666666667</v>
      </c>
      <c r="N552" s="213" t="n">
        <v>46.2666666666667</v>
      </c>
      <c r="O552" s="213" t="n">
        <v>6.21666666666667</v>
      </c>
      <c r="P552" s="213" t="n">
        <v>6.58333333333333</v>
      </c>
    </row>
    <row r="553" customFormat="false" ht="12.75" hidden="false" customHeight="false" outlineLevel="0" collapsed="false">
      <c r="A553" s="215" t="n">
        <v>40545</v>
      </c>
      <c r="B553" s="213" t="n">
        <v>45.6</v>
      </c>
      <c r="C553" s="213" t="n">
        <f aca="false">AVERAGEIFS($B$33:$B$1494,$A$33:$A$1494,A553)</f>
        <v>45.6166666666667</v>
      </c>
      <c r="D553" s="213" t="n">
        <v>46.2</v>
      </c>
      <c r="E553" s="213" t="n">
        <f aca="false">AVERAGEIFS($D$33:$D$1494,$A$33:$A$1494,A553)</f>
        <v>46.2666666666667</v>
      </c>
      <c r="F553" s="213" t="n">
        <v>5.7</v>
      </c>
      <c r="G553" s="213" t="n">
        <f aca="false">AVERAGEIFS($F$33:$F$1494,$A$33:$A$1494,A553)</f>
        <v>6.21666666666667</v>
      </c>
      <c r="H553" s="213" t="n">
        <v>6.5</v>
      </c>
      <c r="I553" s="213" t="n">
        <f aca="false">AVERAGEIFS($H$33:$H$1494,$A$33:$A$1494,A553)</f>
        <v>6.58333333333333</v>
      </c>
      <c r="L553" s="215" t="n">
        <v>40545</v>
      </c>
      <c r="M553" s="213" t="n">
        <v>45.6166666666667</v>
      </c>
      <c r="N553" s="213" t="n">
        <v>46.2666666666667</v>
      </c>
      <c r="O553" s="213" t="n">
        <v>6.21666666666667</v>
      </c>
      <c r="P553" s="213" t="n">
        <v>6.58333333333333</v>
      </c>
    </row>
    <row r="554" customFormat="false" ht="12.75" hidden="false" customHeight="false" outlineLevel="0" collapsed="false">
      <c r="A554" s="215" t="n">
        <v>40545</v>
      </c>
      <c r="B554" s="213" t="n">
        <v>45.6</v>
      </c>
      <c r="C554" s="213" t="n">
        <f aca="false">AVERAGEIFS($B$33:$B$1494,$A$33:$A$1494,A554)</f>
        <v>45.6166666666667</v>
      </c>
      <c r="D554" s="213" t="n">
        <v>46.2</v>
      </c>
      <c r="E554" s="213" t="n">
        <f aca="false">AVERAGEIFS($D$33:$D$1494,$A$33:$A$1494,A554)</f>
        <v>46.2666666666667</v>
      </c>
      <c r="F554" s="213" t="n">
        <v>5.4</v>
      </c>
      <c r="G554" s="213" t="n">
        <f aca="false">AVERAGEIFS($F$33:$F$1494,$A$33:$A$1494,A554)</f>
        <v>6.21666666666667</v>
      </c>
      <c r="H554" s="213" t="n">
        <v>6.3</v>
      </c>
      <c r="I554" s="213" t="n">
        <f aca="false">AVERAGEIFS($H$33:$H$1494,$A$33:$A$1494,A554)</f>
        <v>6.58333333333333</v>
      </c>
      <c r="L554" s="215" t="n">
        <v>40545</v>
      </c>
      <c r="M554" s="213" t="n">
        <v>45.6166666666667</v>
      </c>
      <c r="N554" s="213" t="n">
        <v>46.2666666666667</v>
      </c>
      <c r="O554" s="213" t="n">
        <v>6.21666666666667</v>
      </c>
      <c r="P554" s="213" t="n">
        <v>6.58333333333333</v>
      </c>
    </row>
    <row r="555" customFormat="false" ht="12.75" hidden="false" customHeight="false" outlineLevel="0" collapsed="false">
      <c r="A555" s="215" t="n">
        <v>40546</v>
      </c>
      <c r="B555" s="213" t="n">
        <v>45.6</v>
      </c>
      <c r="C555" s="213" t="n">
        <f aca="false">AVERAGEIFS($B$33:$B$1494,$A$33:$A$1494,A555)</f>
        <v>46.45</v>
      </c>
      <c r="D555" s="213" t="n">
        <v>46.2</v>
      </c>
      <c r="E555" s="213" t="n">
        <f aca="false">AVERAGEIFS($D$33:$D$1494,$A$33:$A$1494,A555)</f>
        <v>46.2</v>
      </c>
      <c r="F555" s="213" t="n">
        <v>5</v>
      </c>
      <c r="G555" s="213" t="n">
        <f aca="false">AVERAGEIFS($F$33:$F$1494,$A$33:$A$1494,A555)</f>
        <v>4.76666666666667</v>
      </c>
      <c r="H555" s="213" t="n">
        <v>6.1</v>
      </c>
      <c r="I555" s="213" t="n">
        <f aca="false">AVERAGEIFS($H$33:$H$1494,$A$33:$A$1494,A555)</f>
        <v>5.75</v>
      </c>
      <c r="L555" s="215" t="n">
        <v>40546</v>
      </c>
      <c r="M555" s="213" t="n">
        <v>46.45</v>
      </c>
      <c r="N555" s="213" t="n">
        <v>46.2</v>
      </c>
      <c r="O555" s="213" t="n">
        <v>4.76666666666667</v>
      </c>
      <c r="P555" s="213" t="n">
        <v>5.75</v>
      </c>
    </row>
    <row r="556" customFormat="false" ht="12.75" hidden="false" customHeight="false" outlineLevel="0" collapsed="false">
      <c r="A556" s="215" t="n">
        <v>40546</v>
      </c>
      <c r="B556" s="213" t="n">
        <v>45.7</v>
      </c>
      <c r="C556" s="213" t="n">
        <f aca="false">AVERAGEIFS($B$33:$B$1494,$A$33:$A$1494,A556)</f>
        <v>46.45</v>
      </c>
      <c r="D556" s="213" t="n">
        <v>46.2</v>
      </c>
      <c r="E556" s="213" t="n">
        <f aca="false">AVERAGEIFS($D$33:$D$1494,$A$33:$A$1494,A556)</f>
        <v>46.2</v>
      </c>
      <c r="F556" s="213" t="n">
        <v>4.9</v>
      </c>
      <c r="G556" s="213" t="n">
        <f aca="false">AVERAGEIFS($F$33:$F$1494,$A$33:$A$1494,A556)</f>
        <v>4.76666666666667</v>
      </c>
      <c r="H556" s="213" t="n">
        <v>6</v>
      </c>
      <c r="I556" s="213" t="n">
        <f aca="false">AVERAGEIFS($H$33:$H$1494,$A$33:$A$1494,A556)</f>
        <v>5.75</v>
      </c>
      <c r="L556" s="215" t="n">
        <v>40546</v>
      </c>
      <c r="M556" s="213" t="n">
        <v>46.45</v>
      </c>
      <c r="N556" s="213" t="n">
        <v>46.2</v>
      </c>
      <c r="O556" s="213" t="n">
        <v>4.76666666666667</v>
      </c>
      <c r="P556" s="213" t="n">
        <v>5.75</v>
      </c>
    </row>
    <row r="557" customFormat="false" ht="12.75" hidden="false" customHeight="false" outlineLevel="0" collapsed="false">
      <c r="A557" s="215" t="n">
        <v>40546</v>
      </c>
      <c r="B557" s="213" t="n">
        <v>46.7</v>
      </c>
      <c r="C557" s="213" t="n">
        <f aca="false">AVERAGEIFS($B$33:$B$1494,$A$33:$A$1494,A557)</f>
        <v>46.45</v>
      </c>
      <c r="D557" s="213" t="n">
        <v>46.2</v>
      </c>
      <c r="E557" s="213" t="n">
        <f aca="false">AVERAGEIFS($D$33:$D$1494,$A$33:$A$1494,A557)</f>
        <v>46.2</v>
      </c>
      <c r="F557" s="213" t="n">
        <v>4.7</v>
      </c>
      <c r="G557" s="213" t="n">
        <f aca="false">AVERAGEIFS($F$33:$F$1494,$A$33:$A$1494,A557)</f>
        <v>4.76666666666667</v>
      </c>
      <c r="H557" s="213" t="n">
        <v>5.8</v>
      </c>
      <c r="I557" s="213" t="n">
        <f aca="false">AVERAGEIFS($H$33:$H$1494,$A$33:$A$1494,A557)</f>
        <v>5.75</v>
      </c>
      <c r="L557" s="215" t="n">
        <v>40546</v>
      </c>
      <c r="M557" s="213" t="n">
        <v>46.45</v>
      </c>
      <c r="N557" s="213" t="n">
        <v>46.2</v>
      </c>
      <c r="O557" s="213" t="n">
        <v>4.76666666666667</v>
      </c>
      <c r="P557" s="213" t="n">
        <v>5.75</v>
      </c>
    </row>
    <row r="558" customFormat="false" ht="12.75" hidden="false" customHeight="false" outlineLevel="0" collapsed="false">
      <c r="A558" s="215" t="n">
        <v>40546</v>
      </c>
      <c r="B558" s="213" t="n">
        <v>46.9</v>
      </c>
      <c r="C558" s="213" t="n">
        <f aca="false">AVERAGEIFS($B$33:$B$1494,$A$33:$A$1494,A558)</f>
        <v>46.45</v>
      </c>
      <c r="D558" s="213" t="n">
        <v>46.2</v>
      </c>
      <c r="E558" s="213" t="n">
        <f aca="false">AVERAGEIFS($D$33:$D$1494,$A$33:$A$1494,A558)</f>
        <v>46.2</v>
      </c>
      <c r="F558" s="213" t="n">
        <v>4.7</v>
      </c>
      <c r="G558" s="213" t="n">
        <f aca="false">AVERAGEIFS($F$33:$F$1494,$A$33:$A$1494,A558)</f>
        <v>4.76666666666667</v>
      </c>
      <c r="H558" s="213" t="n">
        <v>5.6</v>
      </c>
      <c r="I558" s="213" t="n">
        <f aca="false">AVERAGEIFS($H$33:$H$1494,$A$33:$A$1494,A558)</f>
        <v>5.75</v>
      </c>
      <c r="L558" s="215" t="n">
        <v>40546</v>
      </c>
      <c r="M558" s="213" t="n">
        <v>46.45</v>
      </c>
      <c r="N558" s="213" t="n">
        <v>46.2</v>
      </c>
      <c r="O558" s="213" t="n">
        <v>4.76666666666667</v>
      </c>
      <c r="P558" s="213" t="n">
        <v>5.75</v>
      </c>
    </row>
    <row r="559" customFormat="false" ht="12.75" hidden="false" customHeight="false" outlineLevel="0" collapsed="false">
      <c r="A559" s="215" t="n">
        <v>40546</v>
      </c>
      <c r="B559" s="213" t="n">
        <v>46.9</v>
      </c>
      <c r="C559" s="213" t="n">
        <f aca="false">AVERAGEIFS($B$33:$B$1494,$A$33:$A$1494,A559)</f>
        <v>46.45</v>
      </c>
      <c r="D559" s="213" t="n">
        <v>46.2</v>
      </c>
      <c r="E559" s="213" t="n">
        <f aca="false">AVERAGEIFS($D$33:$D$1494,$A$33:$A$1494,A559)</f>
        <v>46.2</v>
      </c>
      <c r="F559" s="213" t="n">
        <v>4.7</v>
      </c>
      <c r="G559" s="213" t="n">
        <f aca="false">AVERAGEIFS($F$33:$F$1494,$A$33:$A$1494,A559)</f>
        <v>4.76666666666667</v>
      </c>
      <c r="H559" s="213" t="n">
        <v>5.5</v>
      </c>
      <c r="I559" s="213" t="n">
        <f aca="false">AVERAGEIFS($H$33:$H$1494,$A$33:$A$1494,A559)</f>
        <v>5.75</v>
      </c>
      <c r="L559" s="215" t="n">
        <v>40546</v>
      </c>
      <c r="M559" s="213" t="n">
        <v>46.45</v>
      </c>
      <c r="N559" s="213" t="n">
        <v>46.2</v>
      </c>
      <c r="O559" s="213" t="n">
        <v>4.76666666666667</v>
      </c>
      <c r="P559" s="213" t="n">
        <v>5.75</v>
      </c>
    </row>
    <row r="560" customFormat="false" ht="12.75" hidden="false" customHeight="false" outlineLevel="0" collapsed="false">
      <c r="A560" s="215" t="n">
        <v>40546</v>
      </c>
      <c r="B560" s="213" t="n">
        <v>46.9</v>
      </c>
      <c r="C560" s="213" t="n">
        <f aca="false">AVERAGEIFS($B$33:$B$1494,$A$33:$A$1494,A560)</f>
        <v>46.45</v>
      </c>
      <c r="D560" s="213" t="n">
        <v>46.2</v>
      </c>
      <c r="E560" s="213" t="n">
        <f aca="false">AVERAGEIFS($D$33:$D$1494,$A$33:$A$1494,A560)</f>
        <v>46.2</v>
      </c>
      <c r="F560" s="213" t="n">
        <v>4.6</v>
      </c>
      <c r="G560" s="213" t="n">
        <f aca="false">AVERAGEIFS($F$33:$F$1494,$A$33:$A$1494,A560)</f>
        <v>4.76666666666667</v>
      </c>
      <c r="H560" s="213" t="n">
        <v>5.5</v>
      </c>
      <c r="I560" s="213" t="n">
        <f aca="false">AVERAGEIFS($H$33:$H$1494,$A$33:$A$1494,A560)</f>
        <v>5.75</v>
      </c>
      <c r="L560" s="215" t="n">
        <v>40546</v>
      </c>
      <c r="M560" s="213" t="n">
        <v>46.45</v>
      </c>
      <c r="N560" s="213" t="n">
        <v>46.2</v>
      </c>
      <c r="O560" s="213" t="n">
        <v>4.76666666666667</v>
      </c>
      <c r="P560" s="213" t="n">
        <v>5.75</v>
      </c>
    </row>
    <row r="561" customFormat="false" ht="12.75" hidden="false" customHeight="false" outlineLevel="0" collapsed="false">
      <c r="A561" s="215" t="n">
        <v>40547</v>
      </c>
      <c r="B561" s="213" t="n">
        <v>46.8</v>
      </c>
      <c r="C561" s="213" t="n">
        <f aca="false">AVERAGEIFS($B$33:$B$1494,$A$33:$A$1494,A561)</f>
        <v>46.8666666666667</v>
      </c>
      <c r="D561" s="213" t="n">
        <v>46.2</v>
      </c>
      <c r="E561" s="213" t="n">
        <f aca="false">AVERAGEIFS($D$33:$D$1494,$A$33:$A$1494,A561)</f>
        <v>46.15</v>
      </c>
      <c r="F561" s="213" t="n">
        <v>4.5</v>
      </c>
      <c r="G561" s="213" t="n">
        <f aca="false">AVERAGEIFS($F$33:$F$1494,$A$33:$A$1494,A561)</f>
        <v>4.3</v>
      </c>
      <c r="H561" s="213" t="n">
        <v>5.4</v>
      </c>
      <c r="I561" s="213" t="n">
        <f aca="false">AVERAGEIFS($H$33:$H$1494,$A$33:$A$1494,A561)</f>
        <v>5.18333333333333</v>
      </c>
      <c r="L561" s="215" t="n">
        <v>40547</v>
      </c>
      <c r="M561" s="213" t="n">
        <v>46.8666666666667</v>
      </c>
      <c r="N561" s="213" t="n">
        <v>46.15</v>
      </c>
      <c r="O561" s="213" t="n">
        <v>4.3</v>
      </c>
      <c r="P561" s="213" t="n">
        <v>5.18333333333333</v>
      </c>
    </row>
    <row r="562" customFormat="false" ht="12.75" hidden="false" customHeight="false" outlineLevel="0" collapsed="false">
      <c r="A562" s="215" t="n">
        <v>40547</v>
      </c>
      <c r="B562" s="213" t="n">
        <v>46.8</v>
      </c>
      <c r="C562" s="213" t="n">
        <f aca="false">AVERAGEIFS($B$33:$B$1494,$A$33:$A$1494,A562)</f>
        <v>46.8666666666667</v>
      </c>
      <c r="D562" s="213" t="n">
        <v>46.2</v>
      </c>
      <c r="E562" s="213" t="n">
        <f aca="false">AVERAGEIFS($D$33:$D$1494,$A$33:$A$1494,A562)</f>
        <v>46.15</v>
      </c>
      <c r="F562" s="213" t="n">
        <v>4.4</v>
      </c>
      <c r="G562" s="213" t="n">
        <f aca="false">AVERAGEIFS($F$33:$F$1494,$A$33:$A$1494,A562)</f>
        <v>4.3</v>
      </c>
      <c r="H562" s="213" t="n">
        <v>5.3</v>
      </c>
      <c r="I562" s="213" t="n">
        <f aca="false">AVERAGEIFS($H$33:$H$1494,$A$33:$A$1494,A562)</f>
        <v>5.18333333333333</v>
      </c>
      <c r="L562" s="215" t="n">
        <v>40547</v>
      </c>
      <c r="M562" s="213" t="n">
        <v>46.8666666666667</v>
      </c>
      <c r="N562" s="213" t="n">
        <v>46.15</v>
      </c>
      <c r="O562" s="213" t="n">
        <v>4.3</v>
      </c>
      <c r="P562" s="213" t="n">
        <v>5.18333333333333</v>
      </c>
    </row>
    <row r="563" customFormat="false" ht="12.75" hidden="false" customHeight="false" outlineLevel="0" collapsed="false">
      <c r="A563" s="215" t="n">
        <v>40547</v>
      </c>
      <c r="B563" s="213" t="n">
        <v>46.9</v>
      </c>
      <c r="C563" s="213" t="n">
        <f aca="false">AVERAGEIFS($B$33:$B$1494,$A$33:$A$1494,A563)</f>
        <v>46.8666666666667</v>
      </c>
      <c r="D563" s="213" t="n">
        <v>46.2</v>
      </c>
      <c r="E563" s="213" t="n">
        <f aca="false">AVERAGEIFS($D$33:$D$1494,$A$33:$A$1494,A563)</f>
        <v>46.15</v>
      </c>
      <c r="F563" s="213" t="n">
        <v>4.1</v>
      </c>
      <c r="G563" s="213" t="n">
        <f aca="false">AVERAGEIFS($F$33:$F$1494,$A$33:$A$1494,A563)</f>
        <v>4.3</v>
      </c>
      <c r="H563" s="213" t="n">
        <v>5.2</v>
      </c>
      <c r="I563" s="213" t="n">
        <f aca="false">AVERAGEIFS($H$33:$H$1494,$A$33:$A$1494,A563)</f>
        <v>5.18333333333333</v>
      </c>
      <c r="L563" s="215" t="n">
        <v>40547</v>
      </c>
      <c r="M563" s="213" t="n">
        <v>46.8666666666667</v>
      </c>
      <c r="N563" s="213" t="n">
        <v>46.15</v>
      </c>
      <c r="O563" s="213" t="n">
        <v>4.3</v>
      </c>
      <c r="P563" s="213" t="n">
        <v>5.18333333333333</v>
      </c>
    </row>
    <row r="564" customFormat="false" ht="12.75" hidden="false" customHeight="false" outlineLevel="0" collapsed="false">
      <c r="A564" s="215" t="n">
        <v>40547</v>
      </c>
      <c r="B564" s="213" t="n">
        <v>46.9</v>
      </c>
      <c r="C564" s="213" t="n">
        <f aca="false">AVERAGEIFS($B$33:$B$1494,$A$33:$A$1494,A564)</f>
        <v>46.8666666666667</v>
      </c>
      <c r="D564" s="213" t="n">
        <v>46.1</v>
      </c>
      <c r="E564" s="213" t="n">
        <f aca="false">AVERAGEIFS($D$33:$D$1494,$A$33:$A$1494,A564)</f>
        <v>46.15</v>
      </c>
      <c r="F564" s="213" t="n">
        <v>4</v>
      </c>
      <c r="G564" s="213" t="n">
        <f aca="false">AVERAGEIFS($F$33:$F$1494,$A$33:$A$1494,A564)</f>
        <v>4.3</v>
      </c>
      <c r="H564" s="213" t="n">
        <v>5.1</v>
      </c>
      <c r="I564" s="213" t="n">
        <f aca="false">AVERAGEIFS($H$33:$H$1494,$A$33:$A$1494,A564)</f>
        <v>5.18333333333333</v>
      </c>
      <c r="L564" s="215" t="n">
        <v>40547</v>
      </c>
      <c r="M564" s="213" t="n">
        <v>46.8666666666667</v>
      </c>
      <c r="N564" s="213" t="n">
        <v>46.15</v>
      </c>
      <c r="O564" s="213" t="n">
        <v>4.3</v>
      </c>
      <c r="P564" s="213" t="n">
        <v>5.18333333333333</v>
      </c>
    </row>
    <row r="565" customFormat="false" ht="12.75" hidden="false" customHeight="false" outlineLevel="0" collapsed="false">
      <c r="A565" s="215" t="n">
        <v>40547</v>
      </c>
      <c r="B565" s="213" t="n">
        <v>46.8</v>
      </c>
      <c r="C565" s="213" t="n">
        <f aca="false">AVERAGEIFS($B$33:$B$1494,$A$33:$A$1494,A565)</f>
        <v>46.8666666666667</v>
      </c>
      <c r="D565" s="213" t="n">
        <v>46.1</v>
      </c>
      <c r="E565" s="213" t="n">
        <f aca="false">AVERAGEIFS($D$33:$D$1494,$A$33:$A$1494,A565)</f>
        <v>46.15</v>
      </c>
      <c r="F565" s="213" t="n">
        <v>4.5</v>
      </c>
      <c r="G565" s="213" t="n">
        <f aca="false">AVERAGEIFS($F$33:$F$1494,$A$33:$A$1494,A565)</f>
        <v>4.3</v>
      </c>
      <c r="H565" s="213" t="n">
        <v>5</v>
      </c>
      <c r="I565" s="213" t="n">
        <f aca="false">AVERAGEIFS($H$33:$H$1494,$A$33:$A$1494,A565)</f>
        <v>5.18333333333333</v>
      </c>
      <c r="L565" s="215" t="n">
        <v>40547</v>
      </c>
      <c r="M565" s="213" t="n">
        <v>46.8666666666667</v>
      </c>
      <c r="N565" s="213" t="n">
        <v>46.15</v>
      </c>
      <c r="O565" s="213" t="n">
        <v>4.3</v>
      </c>
      <c r="P565" s="213" t="n">
        <v>5.18333333333333</v>
      </c>
    </row>
    <row r="566" customFormat="false" ht="12.75" hidden="false" customHeight="false" outlineLevel="0" collapsed="false">
      <c r="A566" s="215" t="n">
        <v>40547</v>
      </c>
      <c r="B566" s="213" t="n">
        <v>47</v>
      </c>
      <c r="C566" s="213" t="n">
        <f aca="false">AVERAGEIFS($B$33:$B$1494,$A$33:$A$1494,A566)</f>
        <v>46.8666666666667</v>
      </c>
      <c r="D566" s="213" t="n">
        <v>46.1</v>
      </c>
      <c r="E566" s="213" t="n">
        <f aca="false">AVERAGEIFS($D$33:$D$1494,$A$33:$A$1494,A566)</f>
        <v>46.15</v>
      </c>
      <c r="F566" s="213" t="n">
        <v>4.3</v>
      </c>
      <c r="G566" s="213" t="n">
        <f aca="false">AVERAGEIFS($F$33:$F$1494,$A$33:$A$1494,A566)</f>
        <v>4.3</v>
      </c>
      <c r="H566" s="213" t="n">
        <v>5.1</v>
      </c>
      <c r="I566" s="213" t="n">
        <f aca="false">AVERAGEIFS($H$33:$H$1494,$A$33:$A$1494,A566)</f>
        <v>5.18333333333333</v>
      </c>
      <c r="L566" s="215" t="n">
        <v>40547</v>
      </c>
      <c r="M566" s="213" t="n">
        <v>46.8666666666667</v>
      </c>
      <c r="N566" s="213" t="n">
        <v>46.15</v>
      </c>
      <c r="O566" s="213" t="n">
        <v>4.3</v>
      </c>
      <c r="P566" s="213" t="n">
        <v>5.18333333333333</v>
      </c>
    </row>
    <row r="567" customFormat="false" ht="12.75" hidden="false" customHeight="false" outlineLevel="0" collapsed="false">
      <c r="A567" s="215" t="n">
        <v>40548</v>
      </c>
      <c r="B567" s="213" t="n">
        <v>47</v>
      </c>
      <c r="C567" s="213" t="n">
        <f aca="false">AVERAGEIFS($B$33:$B$1494,$A$33:$A$1494,A567)</f>
        <v>46.9666666666667</v>
      </c>
      <c r="D567" s="213" t="n">
        <v>46.1</v>
      </c>
      <c r="E567" s="213" t="n">
        <f aca="false">AVERAGEIFS($D$33:$D$1494,$A$33:$A$1494,A567)</f>
        <v>46.1</v>
      </c>
      <c r="F567" s="213" t="n">
        <v>4.2</v>
      </c>
      <c r="G567" s="213" t="n">
        <f aca="false">AVERAGEIFS($F$33:$F$1494,$A$33:$A$1494,A567)</f>
        <v>4.53333333333333</v>
      </c>
      <c r="H567" s="213" t="n">
        <v>5.1</v>
      </c>
      <c r="I567" s="213" t="n">
        <f aca="false">AVERAGEIFS($H$33:$H$1494,$A$33:$A$1494,A567)</f>
        <v>5.06666666666667</v>
      </c>
      <c r="L567" s="215" t="n">
        <v>40548</v>
      </c>
      <c r="M567" s="213" t="n">
        <v>46.9666666666667</v>
      </c>
      <c r="N567" s="213" t="n">
        <v>46.1</v>
      </c>
      <c r="O567" s="213" t="n">
        <v>4.53333333333333</v>
      </c>
      <c r="P567" s="213" t="n">
        <v>5.06666666666667</v>
      </c>
    </row>
    <row r="568" customFormat="false" ht="12.75" hidden="false" customHeight="false" outlineLevel="0" collapsed="false">
      <c r="A568" s="215" t="n">
        <v>40548</v>
      </c>
      <c r="B568" s="213" t="n">
        <v>47</v>
      </c>
      <c r="C568" s="213" t="n">
        <f aca="false">AVERAGEIFS($B$33:$B$1494,$A$33:$A$1494,A568)</f>
        <v>46.9666666666667</v>
      </c>
      <c r="D568" s="213" t="n">
        <v>46.1</v>
      </c>
      <c r="E568" s="213" t="n">
        <f aca="false">AVERAGEIFS($D$33:$D$1494,$A$33:$A$1494,A568)</f>
        <v>46.1</v>
      </c>
      <c r="F568" s="213" t="n">
        <v>4.2</v>
      </c>
      <c r="G568" s="213" t="n">
        <f aca="false">AVERAGEIFS($F$33:$F$1494,$A$33:$A$1494,A568)</f>
        <v>4.53333333333333</v>
      </c>
      <c r="H568" s="213" t="n">
        <v>5.1</v>
      </c>
      <c r="I568" s="213" t="n">
        <f aca="false">AVERAGEIFS($H$33:$H$1494,$A$33:$A$1494,A568)</f>
        <v>5.06666666666667</v>
      </c>
      <c r="L568" s="215" t="n">
        <v>40548</v>
      </c>
      <c r="M568" s="213" t="n">
        <v>46.9666666666667</v>
      </c>
      <c r="N568" s="213" t="n">
        <v>46.1</v>
      </c>
      <c r="O568" s="213" t="n">
        <v>4.53333333333333</v>
      </c>
      <c r="P568" s="213" t="n">
        <v>5.06666666666667</v>
      </c>
    </row>
    <row r="569" customFormat="false" ht="12.75" hidden="false" customHeight="false" outlineLevel="0" collapsed="false">
      <c r="A569" s="215" t="n">
        <v>40548</v>
      </c>
      <c r="B569" s="213" t="n">
        <v>47</v>
      </c>
      <c r="C569" s="213" t="n">
        <f aca="false">AVERAGEIFS($B$33:$B$1494,$A$33:$A$1494,A569)</f>
        <v>46.9666666666667</v>
      </c>
      <c r="D569" s="213" t="n">
        <v>46.1</v>
      </c>
      <c r="E569" s="213" t="n">
        <f aca="false">AVERAGEIFS($D$33:$D$1494,$A$33:$A$1494,A569)</f>
        <v>46.1</v>
      </c>
      <c r="F569" s="213" t="n">
        <v>4.1</v>
      </c>
      <c r="G569" s="213" t="n">
        <f aca="false">AVERAGEIFS($F$33:$F$1494,$A$33:$A$1494,A569)</f>
        <v>4.53333333333333</v>
      </c>
      <c r="H569" s="213" t="n">
        <v>5</v>
      </c>
      <c r="I569" s="213" t="n">
        <f aca="false">AVERAGEIFS($H$33:$H$1494,$A$33:$A$1494,A569)</f>
        <v>5.06666666666667</v>
      </c>
      <c r="L569" s="215" t="n">
        <v>40548</v>
      </c>
      <c r="M569" s="213" t="n">
        <v>46.9666666666667</v>
      </c>
      <c r="N569" s="213" t="n">
        <v>46.1</v>
      </c>
      <c r="O569" s="213" t="n">
        <v>4.53333333333333</v>
      </c>
      <c r="P569" s="213" t="n">
        <v>5.06666666666667</v>
      </c>
    </row>
    <row r="570" customFormat="false" ht="12.75" hidden="false" customHeight="false" outlineLevel="0" collapsed="false">
      <c r="A570" s="215" t="n">
        <v>40548</v>
      </c>
      <c r="B570" s="213" t="n">
        <v>47</v>
      </c>
      <c r="C570" s="213" t="n">
        <f aca="false">AVERAGEIFS($B$33:$B$1494,$A$33:$A$1494,A570)</f>
        <v>46.9666666666667</v>
      </c>
      <c r="D570" s="213" t="n">
        <v>46.1</v>
      </c>
      <c r="E570" s="213" t="n">
        <f aca="false">AVERAGEIFS($D$33:$D$1494,$A$33:$A$1494,A570)</f>
        <v>46.1</v>
      </c>
      <c r="F570" s="213" t="n">
        <v>4.2</v>
      </c>
      <c r="G570" s="213" t="n">
        <f aca="false">AVERAGEIFS($F$33:$F$1494,$A$33:$A$1494,A570)</f>
        <v>4.53333333333333</v>
      </c>
      <c r="H570" s="213" t="n">
        <v>5</v>
      </c>
      <c r="I570" s="213" t="n">
        <f aca="false">AVERAGEIFS($H$33:$H$1494,$A$33:$A$1494,A570)</f>
        <v>5.06666666666667</v>
      </c>
      <c r="L570" s="215" t="n">
        <v>40548</v>
      </c>
      <c r="M570" s="213" t="n">
        <v>46.9666666666667</v>
      </c>
      <c r="N570" s="213" t="n">
        <v>46.1</v>
      </c>
      <c r="O570" s="213" t="n">
        <v>4.53333333333333</v>
      </c>
      <c r="P570" s="213" t="n">
        <v>5.06666666666667</v>
      </c>
    </row>
    <row r="571" customFormat="false" ht="12.75" hidden="false" customHeight="false" outlineLevel="0" collapsed="false">
      <c r="A571" s="215" t="n">
        <v>40548</v>
      </c>
      <c r="B571" s="213" t="n">
        <v>46.9</v>
      </c>
      <c r="C571" s="213" t="n">
        <f aca="false">AVERAGEIFS($B$33:$B$1494,$A$33:$A$1494,A571)</f>
        <v>46.9666666666667</v>
      </c>
      <c r="D571" s="213" t="n">
        <v>46.1</v>
      </c>
      <c r="E571" s="213" t="n">
        <f aca="false">AVERAGEIFS($D$33:$D$1494,$A$33:$A$1494,A571)</f>
        <v>46.1</v>
      </c>
      <c r="F571" s="213" t="n">
        <v>5.1</v>
      </c>
      <c r="G571" s="213" t="n">
        <f aca="false">AVERAGEIFS($F$33:$F$1494,$A$33:$A$1494,A571)</f>
        <v>4.53333333333333</v>
      </c>
      <c r="H571" s="213" t="n">
        <v>5</v>
      </c>
      <c r="I571" s="213" t="n">
        <f aca="false">AVERAGEIFS($H$33:$H$1494,$A$33:$A$1494,A571)</f>
        <v>5.06666666666667</v>
      </c>
      <c r="L571" s="215" t="n">
        <v>40548</v>
      </c>
      <c r="M571" s="213" t="n">
        <v>46.9666666666667</v>
      </c>
      <c r="N571" s="213" t="n">
        <v>46.1</v>
      </c>
      <c r="O571" s="213" t="n">
        <v>4.53333333333333</v>
      </c>
      <c r="P571" s="213" t="n">
        <v>5.06666666666667</v>
      </c>
    </row>
    <row r="572" customFormat="false" ht="12.75" hidden="false" customHeight="false" outlineLevel="0" collapsed="false">
      <c r="A572" s="215" t="n">
        <v>40548</v>
      </c>
      <c r="B572" s="213" t="n">
        <v>46.9</v>
      </c>
      <c r="C572" s="213" t="n">
        <f aca="false">AVERAGEIFS($B$33:$B$1494,$A$33:$A$1494,A572)</f>
        <v>46.9666666666667</v>
      </c>
      <c r="D572" s="213" t="n">
        <v>46.1</v>
      </c>
      <c r="E572" s="213" t="n">
        <f aca="false">AVERAGEIFS($D$33:$D$1494,$A$33:$A$1494,A572)</f>
        <v>46.1</v>
      </c>
      <c r="F572" s="213" t="n">
        <v>5.4</v>
      </c>
      <c r="G572" s="213" t="n">
        <f aca="false">AVERAGEIFS($F$33:$F$1494,$A$33:$A$1494,A572)</f>
        <v>4.53333333333333</v>
      </c>
      <c r="H572" s="213" t="n">
        <v>5.2</v>
      </c>
      <c r="I572" s="213" t="n">
        <f aca="false">AVERAGEIFS($H$33:$H$1494,$A$33:$A$1494,A572)</f>
        <v>5.06666666666667</v>
      </c>
      <c r="L572" s="215" t="n">
        <v>40548</v>
      </c>
      <c r="M572" s="213" t="n">
        <v>46.9666666666667</v>
      </c>
      <c r="N572" s="213" t="n">
        <v>46.1</v>
      </c>
      <c r="O572" s="213" t="n">
        <v>4.53333333333333</v>
      </c>
      <c r="P572" s="213" t="n">
        <v>5.06666666666667</v>
      </c>
    </row>
    <row r="573" customFormat="false" ht="12.75" hidden="false" customHeight="false" outlineLevel="0" collapsed="false">
      <c r="A573" s="215" t="n">
        <v>40549</v>
      </c>
      <c r="B573" s="213" t="n">
        <v>46.9</v>
      </c>
      <c r="C573" s="213" t="n">
        <f aca="false">AVERAGEIFS($B$33:$B$1494,$A$33:$A$1494,A573)</f>
        <v>47.05</v>
      </c>
      <c r="D573" s="213" t="n">
        <v>46</v>
      </c>
      <c r="E573" s="213" t="n">
        <f aca="false">AVERAGEIFS($D$33:$D$1494,$A$33:$A$1494,A573)</f>
        <v>46</v>
      </c>
      <c r="F573" s="213" t="n">
        <v>5.5</v>
      </c>
      <c r="G573" s="213" t="n">
        <f aca="false">AVERAGEIFS($F$33:$F$1494,$A$33:$A$1494,A573)</f>
        <v>6.63333333333333</v>
      </c>
      <c r="H573" s="213" t="n">
        <v>5.3</v>
      </c>
      <c r="I573" s="213" t="n">
        <f aca="false">AVERAGEIFS($H$33:$H$1494,$A$33:$A$1494,A573)</f>
        <v>5.78333333333333</v>
      </c>
      <c r="L573" s="215" t="n">
        <v>40549</v>
      </c>
      <c r="M573" s="213" t="n">
        <v>47.05</v>
      </c>
      <c r="N573" s="213" t="n">
        <v>46</v>
      </c>
      <c r="O573" s="213" t="n">
        <v>6.63333333333333</v>
      </c>
      <c r="P573" s="213" t="n">
        <v>5.78333333333333</v>
      </c>
    </row>
    <row r="574" customFormat="false" ht="12.75" hidden="false" customHeight="false" outlineLevel="0" collapsed="false">
      <c r="A574" s="215" t="n">
        <v>40549</v>
      </c>
      <c r="B574" s="213" t="n">
        <v>46.9</v>
      </c>
      <c r="C574" s="213" t="n">
        <f aca="false">AVERAGEIFS($B$33:$B$1494,$A$33:$A$1494,A574)</f>
        <v>47.05</v>
      </c>
      <c r="D574" s="213" t="n">
        <v>46</v>
      </c>
      <c r="E574" s="213" t="n">
        <f aca="false">AVERAGEIFS($D$33:$D$1494,$A$33:$A$1494,A574)</f>
        <v>46</v>
      </c>
      <c r="F574" s="213" t="n">
        <v>5.9</v>
      </c>
      <c r="G574" s="213" t="n">
        <f aca="false">AVERAGEIFS($F$33:$F$1494,$A$33:$A$1494,A574)</f>
        <v>6.63333333333333</v>
      </c>
      <c r="H574" s="213" t="n">
        <v>5.5</v>
      </c>
      <c r="I574" s="213" t="n">
        <f aca="false">AVERAGEIFS($H$33:$H$1494,$A$33:$A$1494,A574)</f>
        <v>5.78333333333333</v>
      </c>
      <c r="L574" s="215" t="n">
        <v>40549</v>
      </c>
      <c r="M574" s="213" t="n">
        <v>47.05</v>
      </c>
      <c r="N574" s="213" t="n">
        <v>46</v>
      </c>
      <c r="O574" s="213" t="n">
        <v>6.63333333333333</v>
      </c>
      <c r="P574" s="213" t="n">
        <v>5.78333333333333</v>
      </c>
    </row>
    <row r="575" customFormat="false" ht="12.75" hidden="false" customHeight="false" outlineLevel="0" collapsed="false">
      <c r="A575" s="215" t="n">
        <v>40549</v>
      </c>
      <c r="B575" s="213" t="n">
        <v>46.9</v>
      </c>
      <c r="C575" s="213" t="n">
        <f aca="false">AVERAGEIFS($B$33:$B$1494,$A$33:$A$1494,A575)</f>
        <v>47.05</v>
      </c>
      <c r="D575" s="213" t="n">
        <v>46</v>
      </c>
      <c r="E575" s="213" t="n">
        <f aca="false">AVERAGEIFS($D$33:$D$1494,$A$33:$A$1494,A575)</f>
        <v>46</v>
      </c>
      <c r="F575" s="213" t="n">
        <v>6.3</v>
      </c>
      <c r="G575" s="213" t="n">
        <f aca="false">AVERAGEIFS($F$33:$F$1494,$A$33:$A$1494,A575)</f>
        <v>6.63333333333333</v>
      </c>
      <c r="H575" s="213" t="n">
        <v>5.6</v>
      </c>
      <c r="I575" s="213" t="n">
        <f aca="false">AVERAGEIFS($H$33:$H$1494,$A$33:$A$1494,A575)</f>
        <v>5.78333333333333</v>
      </c>
      <c r="L575" s="215" t="n">
        <v>40549</v>
      </c>
      <c r="M575" s="213" t="n">
        <v>47.05</v>
      </c>
      <c r="N575" s="213" t="n">
        <v>46</v>
      </c>
      <c r="O575" s="213" t="n">
        <v>6.63333333333333</v>
      </c>
      <c r="P575" s="213" t="n">
        <v>5.78333333333333</v>
      </c>
    </row>
    <row r="576" customFormat="false" ht="12.75" hidden="false" customHeight="false" outlineLevel="0" collapsed="false">
      <c r="A576" s="215" t="n">
        <v>40549</v>
      </c>
      <c r="B576" s="213" t="n">
        <v>46.9</v>
      </c>
      <c r="C576" s="213" t="n">
        <f aca="false">AVERAGEIFS($B$33:$B$1494,$A$33:$A$1494,A576)</f>
        <v>47.05</v>
      </c>
      <c r="D576" s="213" t="n">
        <v>46</v>
      </c>
      <c r="E576" s="213" t="n">
        <f aca="false">AVERAGEIFS($D$33:$D$1494,$A$33:$A$1494,A576)</f>
        <v>46</v>
      </c>
      <c r="F576" s="213" t="n">
        <v>6.8</v>
      </c>
      <c r="G576" s="213" t="n">
        <f aca="false">AVERAGEIFS($F$33:$F$1494,$A$33:$A$1494,A576)</f>
        <v>6.63333333333333</v>
      </c>
      <c r="H576" s="213" t="n">
        <v>5.8</v>
      </c>
      <c r="I576" s="213" t="n">
        <f aca="false">AVERAGEIFS($H$33:$H$1494,$A$33:$A$1494,A576)</f>
        <v>5.78333333333333</v>
      </c>
      <c r="L576" s="215" t="n">
        <v>40549</v>
      </c>
      <c r="M576" s="213" t="n">
        <v>47.05</v>
      </c>
      <c r="N576" s="213" t="n">
        <v>46</v>
      </c>
      <c r="O576" s="213" t="n">
        <v>6.63333333333333</v>
      </c>
      <c r="P576" s="213" t="n">
        <v>5.78333333333333</v>
      </c>
    </row>
    <row r="577" customFormat="false" ht="12.75" hidden="false" customHeight="false" outlineLevel="0" collapsed="false">
      <c r="A577" s="215" t="n">
        <v>40549</v>
      </c>
      <c r="B577" s="213" t="n">
        <v>47.4</v>
      </c>
      <c r="C577" s="213" t="n">
        <f aca="false">AVERAGEIFS($B$33:$B$1494,$A$33:$A$1494,A577)</f>
        <v>47.05</v>
      </c>
      <c r="D577" s="213" t="n">
        <v>46</v>
      </c>
      <c r="E577" s="213" t="n">
        <f aca="false">AVERAGEIFS($D$33:$D$1494,$A$33:$A$1494,A577)</f>
        <v>46</v>
      </c>
      <c r="F577" s="213" t="n">
        <v>7.5</v>
      </c>
      <c r="G577" s="213" t="n">
        <f aca="false">AVERAGEIFS($F$33:$F$1494,$A$33:$A$1494,A577)</f>
        <v>6.63333333333333</v>
      </c>
      <c r="H577" s="213" t="n">
        <v>6.1</v>
      </c>
      <c r="I577" s="213" t="n">
        <f aca="false">AVERAGEIFS($H$33:$H$1494,$A$33:$A$1494,A577)</f>
        <v>5.78333333333333</v>
      </c>
      <c r="L577" s="215" t="n">
        <v>40549</v>
      </c>
      <c r="M577" s="213" t="n">
        <v>47.05</v>
      </c>
      <c r="N577" s="213" t="n">
        <v>46</v>
      </c>
      <c r="O577" s="213" t="n">
        <v>6.63333333333333</v>
      </c>
      <c r="P577" s="213" t="n">
        <v>5.78333333333333</v>
      </c>
    </row>
    <row r="578" customFormat="false" ht="12.75" hidden="false" customHeight="false" outlineLevel="0" collapsed="false">
      <c r="A578" s="215" t="n">
        <v>40549</v>
      </c>
      <c r="B578" s="213" t="n">
        <v>47.3</v>
      </c>
      <c r="C578" s="213" t="n">
        <f aca="false">AVERAGEIFS($B$33:$B$1494,$A$33:$A$1494,A578)</f>
        <v>47.05</v>
      </c>
      <c r="D578" s="213" t="n">
        <v>46</v>
      </c>
      <c r="E578" s="213" t="n">
        <f aca="false">AVERAGEIFS($D$33:$D$1494,$A$33:$A$1494,A578)</f>
        <v>46</v>
      </c>
      <c r="F578" s="213" t="n">
        <v>7.8</v>
      </c>
      <c r="G578" s="213" t="n">
        <f aca="false">AVERAGEIFS($F$33:$F$1494,$A$33:$A$1494,A578)</f>
        <v>6.63333333333333</v>
      </c>
      <c r="H578" s="213" t="n">
        <v>6.4</v>
      </c>
      <c r="I578" s="213" t="n">
        <f aca="false">AVERAGEIFS($H$33:$H$1494,$A$33:$A$1494,A578)</f>
        <v>5.78333333333333</v>
      </c>
      <c r="L578" s="215" t="n">
        <v>40549</v>
      </c>
      <c r="M578" s="213" t="n">
        <v>47.05</v>
      </c>
      <c r="N578" s="213" t="n">
        <v>46</v>
      </c>
      <c r="O578" s="213" t="n">
        <v>6.63333333333333</v>
      </c>
      <c r="P578" s="213" t="n">
        <v>5.78333333333333</v>
      </c>
    </row>
    <row r="579" customFormat="false" ht="12.75" hidden="false" customHeight="false" outlineLevel="0" collapsed="false">
      <c r="A579" s="215" t="n">
        <v>40550</v>
      </c>
      <c r="B579" s="213" t="n">
        <v>47.4</v>
      </c>
      <c r="C579" s="213" t="n">
        <f aca="false">AVERAGEIFS($B$33:$B$1494,$A$33:$A$1494,A579)</f>
        <v>47.4666666666667</v>
      </c>
      <c r="D579" s="213" t="n">
        <v>46</v>
      </c>
      <c r="E579" s="213" t="n">
        <f aca="false">AVERAGEIFS($D$33:$D$1494,$A$33:$A$1494,A579)</f>
        <v>45.9666666666667</v>
      </c>
      <c r="F579" s="213" t="n">
        <v>7.8</v>
      </c>
      <c r="G579" s="213" t="n">
        <f aca="false">AVERAGEIFS($F$33:$F$1494,$A$33:$A$1494,A579)</f>
        <v>8.2</v>
      </c>
      <c r="H579" s="213" t="n">
        <v>6.6</v>
      </c>
      <c r="I579" s="213" t="n">
        <f aca="false">AVERAGEIFS($H$33:$H$1494,$A$33:$A$1494,A579)</f>
        <v>7</v>
      </c>
      <c r="L579" s="215" t="n">
        <v>40550</v>
      </c>
      <c r="M579" s="213" t="n">
        <v>47.4666666666667</v>
      </c>
      <c r="N579" s="213" t="n">
        <v>45.9666666666667</v>
      </c>
      <c r="O579" s="213" t="n">
        <v>8.2</v>
      </c>
      <c r="P579" s="213" t="n">
        <v>7</v>
      </c>
    </row>
    <row r="580" customFormat="false" ht="12.75" hidden="false" customHeight="false" outlineLevel="0" collapsed="false">
      <c r="A580" s="215" t="n">
        <v>40550</v>
      </c>
      <c r="B580" s="213" t="n">
        <v>47.4</v>
      </c>
      <c r="C580" s="213" t="n">
        <f aca="false">AVERAGEIFS($B$33:$B$1494,$A$33:$A$1494,A580)</f>
        <v>47.4666666666667</v>
      </c>
      <c r="D580" s="213" t="n">
        <v>46</v>
      </c>
      <c r="E580" s="213" t="n">
        <f aca="false">AVERAGEIFS($D$33:$D$1494,$A$33:$A$1494,A580)</f>
        <v>45.9666666666667</v>
      </c>
      <c r="F580" s="213" t="n">
        <v>7.8</v>
      </c>
      <c r="G580" s="213" t="n">
        <f aca="false">AVERAGEIFS($F$33:$F$1494,$A$33:$A$1494,A580)</f>
        <v>8.2</v>
      </c>
      <c r="H580" s="213" t="n">
        <v>6.8</v>
      </c>
      <c r="I580" s="213" t="n">
        <f aca="false">AVERAGEIFS($H$33:$H$1494,$A$33:$A$1494,A580)</f>
        <v>7</v>
      </c>
      <c r="L580" s="215" t="n">
        <v>40550</v>
      </c>
      <c r="M580" s="213" t="n">
        <v>47.4666666666667</v>
      </c>
      <c r="N580" s="213" t="n">
        <v>45.9666666666667</v>
      </c>
      <c r="O580" s="213" t="n">
        <v>8.2</v>
      </c>
      <c r="P580" s="213" t="n">
        <v>7</v>
      </c>
    </row>
    <row r="581" customFormat="false" ht="12.75" hidden="false" customHeight="false" outlineLevel="0" collapsed="false">
      <c r="A581" s="215" t="n">
        <v>40550</v>
      </c>
      <c r="B581" s="213" t="n">
        <v>47.4</v>
      </c>
      <c r="C581" s="213" t="n">
        <f aca="false">AVERAGEIFS($B$33:$B$1494,$A$33:$A$1494,A581)</f>
        <v>47.4666666666667</v>
      </c>
      <c r="D581" s="213" t="n">
        <v>46</v>
      </c>
      <c r="E581" s="213" t="n">
        <f aca="false">AVERAGEIFS($D$33:$D$1494,$A$33:$A$1494,A581)</f>
        <v>45.9666666666667</v>
      </c>
      <c r="F581" s="213" t="n">
        <v>8</v>
      </c>
      <c r="G581" s="213" t="n">
        <f aca="false">AVERAGEIFS($F$33:$F$1494,$A$33:$A$1494,A581)</f>
        <v>8.2</v>
      </c>
      <c r="H581" s="213" t="n">
        <v>6.9</v>
      </c>
      <c r="I581" s="213" t="n">
        <f aca="false">AVERAGEIFS($H$33:$H$1494,$A$33:$A$1494,A581)</f>
        <v>7</v>
      </c>
      <c r="L581" s="215" t="n">
        <v>40550</v>
      </c>
      <c r="M581" s="213" t="n">
        <v>47.4666666666667</v>
      </c>
      <c r="N581" s="213" t="n">
        <v>45.9666666666667</v>
      </c>
      <c r="O581" s="213" t="n">
        <v>8.2</v>
      </c>
      <c r="P581" s="213" t="n">
        <v>7</v>
      </c>
    </row>
    <row r="582" customFormat="false" ht="12.75" hidden="false" customHeight="false" outlineLevel="0" collapsed="false">
      <c r="A582" s="215" t="n">
        <v>40550</v>
      </c>
      <c r="B582" s="213" t="n">
        <v>47.5</v>
      </c>
      <c r="C582" s="213" t="n">
        <f aca="false">AVERAGEIFS($B$33:$B$1494,$A$33:$A$1494,A582)</f>
        <v>47.4666666666667</v>
      </c>
      <c r="D582" s="213" t="n">
        <v>46</v>
      </c>
      <c r="E582" s="213" t="n">
        <f aca="false">AVERAGEIFS($D$33:$D$1494,$A$33:$A$1494,A582)</f>
        <v>45.9666666666667</v>
      </c>
      <c r="F582" s="213" t="n">
        <v>8</v>
      </c>
      <c r="G582" s="213" t="n">
        <f aca="false">AVERAGEIFS($F$33:$F$1494,$A$33:$A$1494,A582)</f>
        <v>8.2</v>
      </c>
      <c r="H582" s="213" t="n">
        <v>7.1</v>
      </c>
      <c r="I582" s="213" t="n">
        <f aca="false">AVERAGEIFS($H$33:$H$1494,$A$33:$A$1494,A582)</f>
        <v>7</v>
      </c>
      <c r="L582" s="215" t="n">
        <v>40550</v>
      </c>
      <c r="M582" s="213" t="n">
        <v>47.4666666666667</v>
      </c>
      <c r="N582" s="213" t="n">
        <v>45.9666666666667</v>
      </c>
      <c r="O582" s="213" t="n">
        <v>8.2</v>
      </c>
      <c r="P582" s="213" t="n">
        <v>7</v>
      </c>
    </row>
    <row r="583" customFormat="false" ht="12.75" hidden="false" customHeight="false" outlineLevel="0" collapsed="false">
      <c r="A583" s="215" t="n">
        <v>40550</v>
      </c>
      <c r="B583" s="213" t="n">
        <v>47.6</v>
      </c>
      <c r="C583" s="213" t="n">
        <f aca="false">AVERAGEIFS($B$33:$B$1494,$A$33:$A$1494,A583)</f>
        <v>47.4666666666667</v>
      </c>
      <c r="D583" s="213" t="n">
        <v>45.9</v>
      </c>
      <c r="E583" s="213" t="n">
        <f aca="false">AVERAGEIFS($D$33:$D$1494,$A$33:$A$1494,A583)</f>
        <v>45.9666666666667</v>
      </c>
      <c r="F583" s="213" t="n">
        <v>8.7</v>
      </c>
      <c r="G583" s="213" t="n">
        <f aca="false">AVERAGEIFS($F$33:$F$1494,$A$33:$A$1494,A583)</f>
        <v>8.2</v>
      </c>
      <c r="H583" s="213" t="n">
        <v>7.2</v>
      </c>
      <c r="I583" s="213" t="n">
        <f aca="false">AVERAGEIFS($H$33:$H$1494,$A$33:$A$1494,A583)</f>
        <v>7</v>
      </c>
      <c r="L583" s="215" t="n">
        <v>40550</v>
      </c>
      <c r="M583" s="213" t="n">
        <v>47.4666666666667</v>
      </c>
      <c r="N583" s="213" t="n">
        <v>45.9666666666667</v>
      </c>
      <c r="O583" s="213" t="n">
        <v>8.2</v>
      </c>
      <c r="P583" s="213" t="n">
        <v>7</v>
      </c>
    </row>
    <row r="584" customFormat="false" ht="12.75" hidden="false" customHeight="false" outlineLevel="0" collapsed="false">
      <c r="A584" s="215" t="n">
        <v>40550</v>
      </c>
      <c r="B584" s="213" t="n">
        <v>47.5</v>
      </c>
      <c r="C584" s="213" t="n">
        <f aca="false">AVERAGEIFS($B$33:$B$1494,$A$33:$A$1494,A584)</f>
        <v>47.4666666666667</v>
      </c>
      <c r="D584" s="213" t="n">
        <v>45.9</v>
      </c>
      <c r="E584" s="213" t="n">
        <f aca="false">AVERAGEIFS($D$33:$D$1494,$A$33:$A$1494,A584)</f>
        <v>45.9666666666667</v>
      </c>
      <c r="F584" s="213" t="n">
        <v>8.9</v>
      </c>
      <c r="G584" s="213" t="n">
        <f aca="false">AVERAGEIFS($F$33:$F$1494,$A$33:$A$1494,A584)</f>
        <v>8.2</v>
      </c>
      <c r="H584" s="213" t="n">
        <v>7.4</v>
      </c>
      <c r="I584" s="213" t="n">
        <f aca="false">AVERAGEIFS($H$33:$H$1494,$A$33:$A$1494,A584)</f>
        <v>7</v>
      </c>
      <c r="L584" s="215" t="n">
        <v>40550</v>
      </c>
      <c r="M584" s="213" t="n">
        <v>47.4666666666667</v>
      </c>
      <c r="N584" s="213" t="n">
        <v>45.9666666666667</v>
      </c>
      <c r="O584" s="213" t="n">
        <v>8.2</v>
      </c>
      <c r="P584" s="213" t="n">
        <v>7</v>
      </c>
    </row>
    <row r="585" customFormat="false" ht="12.75" hidden="false" customHeight="false" outlineLevel="0" collapsed="false">
      <c r="A585" s="215" t="n">
        <v>40551</v>
      </c>
      <c r="B585" s="213" t="n">
        <v>47.5</v>
      </c>
      <c r="C585" s="213" t="n">
        <f aca="false">AVERAGEIFS($B$33:$B$1494,$A$33:$A$1494,A585)</f>
        <v>47.5833333333333</v>
      </c>
      <c r="D585" s="213" t="n">
        <v>45.9</v>
      </c>
      <c r="E585" s="213" t="n">
        <f aca="false">AVERAGEIFS($D$33:$D$1494,$A$33:$A$1494,A585)</f>
        <v>45.9</v>
      </c>
      <c r="F585" s="213" t="n">
        <v>8.6</v>
      </c>
      <c r="G585" s="213" t="n">
        <f aca="false">AVERAGEIFS($F$33:$F$1494,$A$33:$A$1494,A585)</f>
        <v>8.65</v>
      </c>
      <c r="H585" s="213" t="n">
        <v>7.6</v>
      </c>
      <c r="I585" s="213" t="n">
        <f aca="false">AVERAGEIFS($H$33:$H$1494,$A$33:$A$1494,A585)</f>
        <v>7.68333333333333</v>
      </c>
      <c r="L585" s="215" t="n">
        <v>40551</v>
      </c>
      <c r="M585" s="213" t="n">
        <v>47.5833333333333</v>
      </c>
      <c r="N585" s="213" t="n">
        <v>45.9</v>
      </c>
      <c r="O585" s="213" t="n">
        <v>8.65</v>
      </c>
      <c r="P585" s="213" t="n">
        <v>7.68333333333333</v>
      </c>
    </row>
    <row r="586" customFormat="false" ht="12.75" hidden="false" customHeight="false" outlineLevel="0" collapsed="false">
      <c r="A586" s="215" t="n">
        <v>40551</v>
      </c>
      <c r="B586" s="213" t="n">
        <v>47.6</v>
      </c>
      <c r="C586" s="213" t="n">
        <f aca="false">AVERAGEIFS($B$33:$B$1494,$A$33:$A$1494,A586)</f>
        <v>47.5833333333333</v>
      </c>
      <c r="D586" s="213" t="n">
        <v>45.9</v>
      </c>
      <c r="E586" s="213" t="n">
        <f aca="false">AVERAGEIFS($D$33:$D$1494,$A$33:$A$1494,A586)</f>
        <v>45.9</v>
      </c>
      <c r="F586" s="213" t="n">
        <v>8.4</v>
      </c>
      <c r="G586" s="213" t="n">
        <f aca="false">AVERAGEIFS($F$33:$F$1494,$A$33:$A$1494,A586)</f>
        <v>8.65</v>
      </c>
      <c r="H586" s="213" t="n">
        <v>7.6</v>
      </c>
      <c r="I586" s="213" t="n">
        <f aca="false">AVERAGEIFS($H$33:$H$1494,$A$33:$A$1494,A586)</f>
        <v>7.68333333333333</v>
      </c>
      <c r="L586" s="215" t="n">
        <v>40551</v>
      </c>
      <c r="M586" s="213" t="n">
        <v>47.5833333333333</v>
      </c>
      <c r="N586" s="213" t="n">
        <v>45.9</v>
      </c>
      <c r="O586" s="213" t="n">
        <v>8.65</v>
      </c>
      <c r="P586" s="213" t="n">
        <v>7.68333333333333</v>
      </c>
    </row>
    <row r="587" customFormat="false" ht="12.75" hidden="false" customHeight="false" outlineLevel="0" collapsed="false">
      <c r="A587" s="215" t="n">
        <v>40551</v>
      </c>
      <c r="B587" s="213" t="n">
        <v>47.6</v>
      </c>
      <c r="C587" s="213" t="n">
        <f aca="false">AVERAGEIFS($B$33:$B$1494,$A$33:$A$1494,A587)</f>
        <v>47.5833333333333</v>
      </c>
      <c r="D587" s="213" t="n">
        <v>45.9</v>
      </c>
      <c r="E587" s="213" t="n">
        <f aca="false">AVERAGEIFS($D$33:$D$1494,$A$33:$A$1494,A587)</f>
        <v>45.9</v>
      </c>
      <c r="F587" s="213" t="n">
        <v>8.3</v>
      </c>
      <c r="G587" s="213" t="n">
        <f aca="false">AVERAGEIFS($F$33:$F$1494,$A$33:$A$1494,A587)</f>
        <v>8.65</v>
      </c>
      <c r="H587" s="213" t="n">
        <v>7.6</v>
      </c>
      <c r="I587" s="213" t="n">
        <f aca="false">AVERAGEIFS($H$33:$H$1494,$A$33:$A$1494,A587)</f>
        <v>7.68333333333333</v>
      </c>
      <c r="L587" s="215" t="n">
        <v>40551</v>
      </c>
      <c r="M587" s="213" t="n">
        <v>47.5833333333333</v>
      </c>
      <c r="N587" s="213" t="n">
        <v>45.9</v>
      </c>
      <c r="O587" s="213" t="n">
        <v>8.65</v>
      </c>
      <c r="P587" s="213" t="n">
        <v>7.68333333333333</v>
      </c>
    </row>
    <row r="588" customFormat="false" ht="12.75" hidden="false" customHeight="false" outlineLevel="0" collapsed="false">
      <c r="A588" s="215" t="n">
        <v>40551</v>
      </c>
      <c r="B588" s="213" t="n">
        <v>47.6</v>
      </c>
      <c r="C588" s="213" t="n">
        <f aca="false">AVERAGEIFS($B$33:$B$1494,$A$33:$A$1494,A588)</f>
        <v>47.5833333333333</v>
      </c>
      <c r="D588" s="213" t="n">
        <v>45.9</v>
      </c>
      <c r="E588" s="213" t="n">
        <f aca="false">AVERAGEIFS($D$33:$D$1494,$A$33:$A$1494,A588)</f>
        <v>45.9</v>
      </c>
      <c r="F588" s="213" t="n">
        <v>8.4</v>
      </c>
      <c r="G588" s="213" t="n">
        <f aca="false">AVERAGEIFS($F$33:$F$1494,$A$33:$A$1494,A588)</f>
        <v>8.65</v>
      </c>
      <c r="H588" s="213" t="n">
        <v>7.7</v>
      </c>
      <c r="I588" s="213" t="n">
        <f aca="false">AVERAGEIFS($H$33:$H$1494,$A$33:$A$1494,A588)</f>
        <v>7.68333333333333</v>
      </c>
      <c r="L588" s="215" t="n">
        <v>40551</v>
      </c>
      <c r="M588" s="213" t="n">
        <v>47.5833333333333</v>
      </c>
      <c r="N588" s="213" t="n">
        <v>45.9</v>
      </c>
      <c r="O588" s="213" t="n">
        <v>8.65</v>
      </c>
      <c r="P588" s="213" t="n">
        <v>7.68333333333333</v>
      </c>
    </row>
    <row r="589" customFormat="false" ht="12.75" hidden="false" customHeight="false" outlineLevel="0" collapsed="false">
      <c r="A589" s="215" t="n">
        <v>40551</v>
      </c>
      <c r="B589" s="213" t="n">
        <v>47.6</v>
      </c>
      <c r="C589" s="213" t="n">
        <f aca="false">AVERAGEIFS($B$33:$B$1494,$A$33:$A$1494,A589)</f>
        <v>47.5833333333333</v>
      </c>
      <c r="D589" s="213" t="n">
        <v>45.9</v>
      </c>
      <c r="E589" s="213" t="n">
        <f aca="false">AVERAGEIFS($D$33:$D$1494,$A$33:$A$1494,A589)</f>
        <v>45.9</v>
      </c>
      <c r="F589" s="213" t="n">
        <v>9</v>
      </c>
      <c r="G589" s="213" t="n">
        <f aca="false">AVERAGEIFS($F$33:$F$1494,$A$33:$A$1494,A589)</f>
        <v>8.65</v>
      </c>
      <c r="H589" s="213" t="n">
        <v>7.7</v>
      </c>
      <c r="I589" s="213" t="n">
        <f aca="false">AVERAGEIFS($H$33:$H$1494,$A$33:$A$1494,A589)</f>
        <v>7.68333333333333</v>
      </c>
      <c r="L589" s="215" t="n">
        <v>40551</v>
      </c>
      <c r="M589" s="213" t="n">
        <v>47.5833333333333</v>
      </c>
      <c r="N589" s="213" t="n">
        <v>45.9</v>
      </c>
      <c r="O589" s="213" t="n">
        <v>8.65</v>
      </c>
      <c r="P589" s="213" t="n">
        <v>7.68333333333333</v>
      </c>
    </row>
    <row r="590" customFormat="false" ht="12.75" hidden="false" customHeight="false" outlineLevel="0" collapsed="false">
      <c r="A590" s="215" t="n">
        <v>40551</v>
      </c>
      <c r="B590" s="213" t="n">
        <v>47.6</v>
      </c>
      <c r="C590" s="213" t="n">
        <f aca="false">AVERAGEIFS($B$33:$B$1494,$A$33:$A$1494,A590)</f>
        <v>47.5833333333333</v>
      </c>
      <c r="D590" s="213" t="n">
        <v>45.9</v>
      </c>
      <c r="E590" s="213" t="n">
        <f aca="false">AVERAGEIFS($D$33:$D$1494,$A$33:$A$1494,A590)</f>
        <v>45.9</v>
      </c>
      <c r="F590" s="213" t="n">
        <v>9.2</v>
      </c>
      <c r="G590" s="213" t="n">
        <f aca="false">AVERAGEIFS($F$33:$F$1494,$A$33:$A$1494,A590)</f>
        <v>8.65</v>
      </c>
      <c r="H590" s="213" t="n">
        <v>7.9</v>
      </c>
      <c r="I590" s="213" t="n">
        <f aca="false">AVERAGEIFS($H$33:$H$1494,$A$33:$A$1494,A590)</f>
        <v>7.68333333333333</v>
      </c>
      <c r="L590" s="215" t="n">
        <v>40551</v>
      </c>
      <c r="M590" s="213" t="n">
        <v>47.5833333333333</v>
      </c>
      <c r="N590" s="213" t="n">
        <v>45.9</v>
      </c>
      <c r="O590" s="213" t="n">
        <v>8.65</v>
      </c>
      <c r="P590" s="213" t="n">
        <v>7.68333333333333</v>
      </c>
    </row>
    <row r="591" customFormat="false" ht="12.75" hidden="false" customHeight="false" outlineLevel="0" collapsed="false">
      <c r="A591" s="215" t="n">
        <v>40552</v>
      </c>
      <c r="B591" s="213" t="n">
        <v>47.6</v>
      </c>
      <c r="C591" s="213" t="n">
        <f aca="false">AVERAGEIFS($B$33:$B$1494,$A$33:$A$1494,A591)</f>
        <v>48.1</v>
      </c>
      <c r="D591" s="213" t="n">
        <v>45.9</v>
      </c>
      <c r="E591" s="213" t="n">
        <f aca="false">AVERAGEIFS($D$33:$D$1494,$A$33:$A$1494,A591)</f>
        <v>45.9</v>
      </c>
      <c r="F591" s="213" t="n">
        <v>9</v>
      </c>
      <c r="G591" s="213" t="n">
        <f aca="false">AVERAGEIFS($F$33:$F$1494,$A$33:$A$1494,A591)</f>
        <v>8.61666666666667</v>
      </c>
      <c r="H591" s="213" t="n">
        <v>8</v>
      </c>
      <c r="I591" s="213" t="n">
        <f aca="false">AVERAGEIFS($H$33:$H$1494,$A$33:$A$1494,A591)</f>
        <v>8</v>
      </c>
      <c r="L591" s="215" t="n">
        <v>40552</v>
      </c>
      <c r="M591" s="213" t="n">
        <v>48.1</v>
      </c>
      <c r="N591" s="213" t="n">
        <v>45.9</v>
      </c>
      <c r="O591" s="213" t="n">
        <v>8.61666666666667</v>
      </c>
      <c r="P591" s="213" t="n">
        <v>8</v>
      </c>
    </row>
    <row r="592" customFormat="false" ht="12.75" hidden="false" customHeight="false" outlineLevel="0" collapsed="false">
      <c r="A592" s="215" t="n">
        <v>40552</v>
      </c>
      <c r="B592" s="213" t="n">
        <v>47.6</v>
      </c>
      <c r="C592" s="213" t="n">
        <f aca="false">AVERAGEIFS($B$33:$B$1494,$A$33:$A$1494,A592)</f>
        <v>48.1</v>
      </c>
      <c r="D592" s="213" t="n">
        <v>45.9</v>
      </c>
      <c r="E592" s="213" t="n">
        <f aca="false">AVERAGEIFS($D$33:$D$1494,$A$33:$A$1494,A592)</f>
        <v>45.9</v>
      </c>
      <c r="F592" s="213" t="n">
        <v>8.8</v>
      </c>
      <c r="G592" s="213" t="n">
        <f aca="false">AVERAGEIFS($F$33:$F$1494,$A$33:$A$1494,A592)</f>
        <v>8.61666666666667</v>
      </c>
      <c r="H592" s="213" t="n">
        <v>8</v>
      </c>
      <c r="I592" s="213" t="n">
        <f aca="false">AVERAGEIFS($H$33:$H$1494,$A$33:$A$1494,A592)</f>
        <v>8</v>
      </c>
      <c r="L592" s="215" t="n">
        <v>40552</v>
      </c>
      <c r="M592" s="213" t="n">
        <v>48.1</v>
      </c>
      <c r="N592" s="213" t="n">
        <v>45.9</v>
      </c>
      <c r="O592" s="213" t="n">
        <v>8.61666666666667</v>
      </c>
      <c r="P592" s="213" t="n">
        <v>8</v>
      </c>
    </row>
    <row r="593" customFormat="false" ht="12.75" hidden="false" customHeight="false" outlineLevel="0" collapsed="false">
      <c r="A593" s="215" t="n">
        <v>40552</v>
      </c>
      <c r="B593" s="213" t="n">
        <v>47.6</v>
      </c>
      <c r="C593" s="213" t="n">
        <f aca="false">AVERAGEIFS($B$33:$B$1494,$A$33:$A$1494,A593)</f>
        <v>48.1</v>
      </c>
      <c r="D593" s="213" t="n">
        <v>45.9</v>
      </c>
      <c r="E593" s="213" t="n">
        <f aca="false">AVERAGEIFS($D$33:$D$1494,$A$33:$A$1494,A593)</f>
        <v>45.9</v>
      </c>
      <c r="F593" s="213" t="n">
        <v>8.6</v>
      </c>
      <c r="G593" s="213" t="n">
        <f aca="false">AVERAGEIFS($F$33:$F$1494,$A$33:$A$1494,A593)</f>
        <v>8.61666666666667</v>
      </c>
      <c r="H593" s="213" t="n">
        <v>8</v>
      </c>
      <c r="I593" s="213" t="n">
        <f aca="false">AVERAGEIFS($H$33:$H$1494,$A$33:$A$1494,A593)</f>
        <v>8</v>
      </c>
      <c r="L593" s="215" t="n">
        <v>40552</v>
      </c>
      <c r="M593" s="213" t="n">
        <v>48.1</v>
      </c>
      <c r="N593" s="213" t="n">
        <v>45.9</v>
      </c>
      <c r="O593" s="213" t="n">
        <v>8.61666666666667</v>
      </c>
      <c r="P593" s="213" t="n">
        <v>8</v>
      </c>
    </row>
    <row r="594" customFormat="false" ht="12.75" hidden="false" customHeight="false" outlineLevel="0" collapsed="false">
      <c r="A594" s="215" t="n">
        <v>40552</v>
      </c>
      <c r="B594" s="213" t="n">
        <v>47.6</v>
      </c>
      <c r="C594" s="213" t="n">
        <f aca="false">AVERAGEIFS($B$33:$B$1494,$A$33:$A$1494,A594)</f>
        <v>48.1</v>
      </c>
      <c r="D594" s="213" t="n">
        <v>45.9</v>
      </c>
      <c r="E594" s="213" t="n">
        <f aca="false">AVERAGEIFS($D$33:$D$1494,$A$33:$A$1494,A594)</f>
        <v>45.9</v>
      </c>
      <c r="F594" s="213" t="n">
        <v>8.5</v>
      </c>
      <c r="G594" s="213" t="n">
        <f aca="false">AVERAGEIFS($F$33:$F$1494,$A$33:$A$1494,A594)</f>
        <v>8.61666666666667</v>
      </c>
      <c r="H594" s="213" t="n">
        <v>8</v>
      </c>
      <c r="I594" s="213" t="n">
        <f aca="false">AVERAGEIFS($H$33:$H$1494,$A$33:$A$1494,A594)</f>
        <v>8</v>
      </c>
      <c r="L594" s="215" t="n">
        <v>40552</v>
      </c>
      <c r="M594" s="213" t="n">
        <v>48.1</v>
      </c>
      <c r="N594" s="213" t="n">
        <v>45.9</v>
      </c>
      <c r="O594" s="213" t="n">
        <v>8.61666666666667</v>
      </c>
      <c r="P594" s="213" t="n">
        <v>8</v>
      </c>
    </row>
    <row r="595" customFormat="false" ht="12.75" hidden="false" customHeight="false" outlineLevel="0" collapsed="false">
      <c r="A595" s="215" t="n">
        <v>40552</v>
      </c>
      <c r="B595" s="213" t="n">
        <v>49.6</v>
      </c>
      <c r="C595" s="213" t="n">
        <f aca="false">AVERAGEIFS($B$33:$B$1494,$A$33:$A$1494,A595)</f>
        <v>48.1</v>
      </c>
      <c r="D595" s="213" t="n">
        <v>45.9</v>
      </c>
      <c r="E595" s="213" t="n">
        <f aca="false">AVERAGEIFS($D$33:$D$1494,$A$33:$A$1494,A595)</f>
        <v>45.9</v>
      </c>
      <c r="F595" s="213" t="n">
        <v>8.6</v>
      </c>
      <c r="G595" s="213" t="n">
        <f aca="false">AVERAGEIFS($F$33:$F$1494,$A$33:$A$1494,A595)</f>
        <v>8.61666666666667</v>
      </c>
      <c r="H595" s="213" t="n">
        <v>8</v>
      </c>
      <c r="I595" s="213" t="n">
        <f aca="false">AVERAGEIFS($H$33:$H$1494,$A$33:$A$1494,A595)</f>
        <v>8</v>
      </c>
      <c r="L595" s="215" t="n">
        <v>40552</v>
      </c>
      <c r="M595" s="213" t="n">
        <v>48.1</v>
      </c>
      <c r="N595" s="213" t="n">
        <v>45.9</v>
      </c>
      <c r="O595" s="213" t="n">
        <v>8.61666666666667</v>
      </c>
      <c r="P595" s="213" t="n">
        <v>8</v>
      </c>
    </row>
    <row r="596" customFormat="false" ht="12.75" hidden="false" customHeight="false" outlineLevel="0" collapsed="false">
      <c r="A596" s="215" t="n">
        <v>40552</v>
      </c>
      <c r="B596" s="213" t="n">
        <v>48.6</v>
      </c>
      <c r="C596" s="213" t="n">
        <f aca="false">AVERAGEIFS($B$33:$B$1494,$A$33:$A$1494,A596)</f>
        <v>48.1</v>
      </c>
      <c r="D596" s="213" t="n">
        <v>45.9</v>
      </c>
      <c r="E596" s="213" t="n">
        <f aca="false">AVERAGEIFS($D$33:$D$1494,$A$33:$A$1494,A596)</f>
        <v>45.9</v>
      </c>
      <c r="F596" s="213" t="n">
        <v>8.2</v>
      </c>
      <c r="G596" s="213" t="n">
        <f aca="false">AVERAGEIFS($F$33:$F$1494,$A$33:$A$1494,A596)</f>
        <v>8.61666666666667</v>
      </c>
      <c r="H596" s="213" t="n">
        <v>8</v>
      </c>
      <c r="I596" s="213" t="n">
        <f aca="false">AVERAGEIFS($H$33:$H$1494,$A$33:$A$1494,A596)</f>
        <v>8</v>
      </c>
      <c r="L596" s="215" t="n">
        <v>40552</v>
      </c>
      <c r="M596" s="213" t="n">
        <v>48.1</v>
      </c>
      <c r="N596" s="213" t="n">
        <v>45.9</v>
      </c>
      <c r="O596" s="213" t="n">
        <v>8.61666666666667</v>
      </c>
      <c r="P596" s="213" t="n">
        <v>8</v>
      </c>
    </row>
    <row r="597" customFormat="false" ht="12.75" hidden="false" customHeight="false" outlineLevel="0" collapsed="false">
      <c r="A597" s="215" t="n">
        <v>40553</v>
      </c>
      <c r="B597" s="213" t="n">
        <v>48.2</v>
      </c>
      <c r="C597" s="213" t="n">
        <f aca="false">AVERAGEIFS($B$33:$B$1494,$A$33:$A$1494,A597)</f>
        <v>47.9666666666667</v>
      </c>
      <c r="D597" s="213" t="n">
        <v>45.9</v>
      </c>
      <c r="E597" s="213" t="n">
        <f aca="false">AVERAGEIFS($D$33:$D$1494,$A$33:$A$1494,A597)</f>
        <v>45.8166666666667</v>
      </c>
      <c r="F597" s="213" t="n">
        <v>7.3</v>
      </c>
      <c r="G597" s="213" t="n">
        <f aca="false">AVERAGEIFS($F$33:$F$1494,$A$33:$A$1494,A597)</f>
        <v>6.15</v>
      </c>
      <c r="H597" s="213" t="n">
        <v>7.9</v>
      </c>
      <c r="I597" s="213" t="n">
        <f aca="false">AVERAGEIFS($H$33:$H$1494,$A$33:$A$1494,A597)</f>
        <v>7.2</v>
      </c>
      <c r="L597" s="215" t="n">
        <v>40553</v>
      </c>
      <c r="M597" s="213" t="n">
        <v>47.9666666666667</v>
      </c>
      <c r="N597" s="213" t="n">
        <v>45.8166666666667</v>
      </c>
      <c r="O597" s="213" t="n">
        <v>6.15</v>
      </c>
      <c r="P597" s="213" t="n">
        <v>7.2</v>
      </c>
    </row>
    <row r="598" customFormat="false" ht="12.75" hidden="false" customHeight="false" outlineLevel="0" collapsed="false">
      <c r="A598" s="215" t="n">
        <v>40553</v>
      </c>
      <c r="B598" s="213" t="n">
        <v>48.1</v>
      </c>
      <c r="C598" s="213" t="n">
        <f aca="false">AVERAGEIFS($B$33:$B$1494,$A$33:$A$1494,A598)</f>
        <v>47.9666666666667</v>
      </c>
      <c r="D598" s="213" t="n">
        <v>45.8</v>
      </c>
      <c r="E598" s="213" t="n">
        <f aca="false">AVERAGEIFS($D$33:$D$1494,$A$33:$A$1494,A598)</f>
        <v>45.8166666666667</v>
      </c>
      <c r="F598" s="213" t="n">
        <v>6.5</v>
      </c>
      <c r="G598" s="213" t="n">
        <f aca="false">AVERAGEIFS($F$33:$F$1494,$A$33:$A$1494,A598)</f>
        <v>6.15</v>
      </c>
      <c r="H598" s="213" t="n">
        <v>7.6</v>
      </c>
      <c r="I598" s="213" t="n">
        <f aca="false">AVERAGEIFS($H$33:$H$1494,$A$33:$A$1494,A598)</f>
        <v>7.2</v>
      </c>
      <c r="L598" s="215" t="n">
        <v>40553</v>
      </c>
      <c r="M598" s="213" t="n">
        <v>47.9666666666667</v>
      </c>
      <c r="N598" s="213" t="n">
        <v>45.8166666666667</v>
      </c>
      <c r="O598" s="213" t="n">
        <v>6.15</v>
      </c>
      <c r="P598" s="213" t="n">
        <v>7.2</v>
      </c>
    </row>
    <row r="599" customFormat="false" ht="12.75" hidden="false" customHeight="false" outlineLevel="0" collapsed="false">
      <c r="A599" s="215" t="n">
        <v>40553</v>
      </c>
      <c r="B599" s="213" t="n">
        <v>47.9</v>
      </c>
      <c r="C599" s="213" t="n">
        <f aca="false">AVERAGEIFS($B$33:$B$1494,$A$33:$A$1494,A599)</f>
        <v>47.9666666666667</v>
      </c>
      <c r="D599" s="213" t="n">
        <v>45.8</v>
      </c>
      <c r="E599" s="213" t="n">
        <f aca="false">AVERAGEIFS($D$33:$D$1494,$A$33:$A$1494,A599)</f>
        <v>45.8166666666667</v>
      </c>
      <c r="F599" s="213" t="n">
        <v>5.7</v>
      </c>
      <c r="G599" s="213" t="n">
        <f aca="false">AVERAGEIFS($F$33:$F$1494,$A$33:$A$1494,A599)</f>
        <v>6.15</v>
      </c>
      <c r="H599" s="213" t="n">
        <v>7.3</v>
      </c>
      <c r="I599" s="213" t="n">
        <f aca="false">AVERAGEIFS($H$33:$H$1494,$A$33:$A$1494,A599)</f>
        <v>7.2</v>
      </c>
      <c r="L599" s="215" t="n">
        <v>40553</v>
      </c>
      <c r="M599" s="213" t="n">
        <v>47.9666666666667</v>
      </c>
      <c r="N599" s="213" t="n">
        <v>45.8166666666667</v>
      </c>
      <c r="O599" s="213" t="n">
        <v>6.15</v>
      </c>
      <c r="P599" s="213" t="n">
        <v>7.2</v>
      </c>
    </row>
    <row r="600" customFormat="false" ht="12.75" hidden="false" customHeight="false" outlineLevel="0" collapsed="false">
      <c r="A600" s="215" t="n">
        <v>40553</v>
      </c>
      <c r="B600" s="213" t="n">
        <v>47.9</v>
      </c>
      <c r="C600" s="213" t="n">
        <f aca="false">AVERAGEIFS($B$33:$B$1494,$A$33:$A$1494,A600)</f>
        <v>47.9666666666667</v>
      </c>
      <c r="D600" s="213" t="n">
        <v>45.8</v>
      </c>
      <c r="E600" s="213" t="n">
        <f aca="false">AVERAGEIFS($D$33:$D$1494,$A$33:$A$1494,A600)</f>
        <v>45.8166666666667</v>
      </c>
      <c r="F600" s="213" t="n">
        <v>5.2</v>
      </c>
      <c r="G600" s="213" t="n">
        <f aca="false">AVERAGEIFS($F$33:$F$1494,$A$33:$A$1494,A600)</f>
        <v>6.15</v>
      </c>
      <c r="H600" s="213" t="n">
        <v>7</v>
      </c>
      <c r="I600" s="213" t="n">
        <f aca="false">AVERAGEIFS($H$33:$H$1494,$A$33:$A$1494,A600)</f>
        <v>7.2</v>
      </c>
      <c r="L600" s="215" t="n">
        <v>40553</v>
      </c>
      <c r="M600" s="213" t="n">
        <v>47.9666666666667</v>
      </c>
      <c r="N600" s="213" t="n">
        <v>45.8166666666667</v>
      </c>
      <c r="O600" s="213" t="n">
        <v>6.15</v>
      </c>
      <c r="P600" s="213" t="n">
        <v>7.2</v>
      </c>
    </row>
    <row r="601" customFormat="false" ht="12.75" hidden="false" customHeight="false" outlineLevel="0" collapsed="false">
      <c r="A601" s="215" t="n">
        <v>40553</v>
      </c>
      <c r="B601" s="213" t="n">
        <v>47.9</v>
      </c>
      <c r="C601" s="213" t="n">
        <f aca="false">AVERAGEIFS($B$33:$B$1494,$A$33:$A$1494,A601)</f>
        <v>47.9666666666667</v>
      </c>
      <c r="D601" s="213" t="n">
        <v>45.8</v>
      </c>
      <c r="E601" s="213" t="n">
        <f aca="false">AVERAGEIFS($D$33:$D$1494,$A$33:$A$1494,A601)</f>
        <v>45.8166666666667</v>
      </c>
      <c r="F601" s="213" t="n">
        <v>6.1</v>
      </c>
      <c r="G601" s="213" t="n">
        <f aca="false">AVERAGEIFS($F$33:$F$1494,$A$33:$A$1494,A601)</f>
        <v>6.15</v>
      </c>
      <c r="H601" s="213" t="n">
        <v>6.7</v>
      </c>
      <c r="I601" s="213" t="n">
        <f aca="false">AVERAGEIFS($H$33:$H$1494,$A$33:$A$1494,A601)</f>
        <v>7.2</v>
      </c>
      <c r="L601" s="215" t="n">
        <v>40553</v>
      </c>
      <c r="M601" s="213" t="n">
        <v>47.9666666666667</v>
      </c>
      <c r="N601" s="213" t="n">
        <v>45.8166666666667</v>
      </c>
      <c r="O601" s="213" t="n">
        <v>6.15</v>
      </c>
      <c r="P601" s="213" t="n">
        <v>7.2</v>
      </c>
    </row>
    <row r="602" customFormat="false" ht="12.75" hidden="false" customHeight="false" outlineLevel="0" collapsed="false">
      <c r="A602" s="215" t="n">
        <v>40553</v>
      </c>
      <c r="B602" s="213" t="n">
        <v>47.8</v>
      </c>
      <c r="C602" s="213" t="n">
        <f aca="false">AVERAGEIFS($B$33:$B$1494,$A$33:$A$1494,A602)</f>
        <v>47.9666666666667</v>
      </c>
      <c r="D602" s="213" t="n">
        <v>45.8</v>
      </c>
      <c r="E602" s="213" t="n">
        <f aca="false">AVERAGEIFS($D$33:$D$1494,$A$33:$A$1494,A602)</f>
        <v>45.8166666666667</v>
      </c>
      <c r="F602" s="213" t="n">
        <v>6.1</v>
      </c>
      <c r="G602" s="213" t="n">
        <f aca="false">AVERAGEIFS($F$33:$F$1494,$A$33:$A$1494,A602)</f>
        <v>6.15</v>
      </c>
      <c r="H602" s="213" t="n">
        <v>6.7</v>
      </c>
      <c r="I602" s="213" t="n">
        <f aca="false">AVERAGEIFS($H$33:$H$1494,$A$33:$A$1494,A602)</f>
        <v>7.2</v>
      </c>
      <c r="L602" s="215" t="n">
        <v>40553</v>
      </c>
      <c r="M602" s="213" t="n">
        <v>47.9666666666667</v>
      </c>
      <c r="N602" s="213" t="n">
        <v>45.8166666666667</v>
      </c>
      <c r="O602" s="213" t="n">
        <v>6.15</v>
      </c>
      <c r="P602" s="213" t="n">
        <v>7.2</v>
      </c>
    </row>
    <row r="603" customFormat="false" ht="12.75" hidden="false" customHeight="false" outlineLevel="0" collapsed="false">
      <c r="A603" s="215" t="n">
        <v>40554</v>
      </c>
      <c r="B603" s="213" t="n">
        <v>47.8</v>
      </c>
      <c r="C603" s="213" t="n">
        <f aca="false">AVERAGEIFS($B$33:$B$1494,$A$33:$A$1494,A603)</f>
        <v>58.0166666666667</v>
      </c>
      <c r="D603" s="213" t="n">
        <v>45.8</v>
      </c>
      <c r="E603" s="213" t="n">
        <f aca="false">AVERAGEIFS($D$33:$D$1494,$A$33:$A$1494,A603)</f>
        <v>59.75</v>
      </c>
      <c r="F603" s="213" t="n">
        <v>5.5</v>
      </c>
      <c r="G603" s="213" t="n">
        <f aca="false">AVERAGEIFS($F$33:$F$1494,$A$33:$A$1494,A603)</f>
        <v>6.35</v>
      </c>
      <c r="H603" s="213" t="n">
        <v>6.6</v>
      </c>
      <c r="I603" s="213" t="n">
        <f aca="false">AVERAGEIFS($H$33:$H$1494,$A$33:$A$1494,A603)</f>
        <v>6.53333333333333</v>
      </c>
      <c r="L603" s="215" t="n">
        <v>40554</v>
      </c>
      <c r="M603" s="213" t="n">
        <v>58.0166666666667</v>
      </c>
      <c r="N603" s="213" t="n">
        <v>59.75</v>
      </c>
      <c r="O603" s="213" t="n">
        <v>6.35</v>
      </c>
      <c r="P603" s="213" t="n">
        <v>6.53333333333333</v>
      </c>
    </row>
    <row r="604" customFormat="false" ht="12.75" hidden="false" customHeight="false" outlineLevel="0" collapsed="false">
      <c r="A604" s="215" t="n">
        <v>40554</v>
      </c>
      <c r="B604" s="213" t="n">
        <v>47.8</v>
      </c>
      <c r="C604" s="213" t="n">
        <f aca="false">AVERAGEIFS($B$33:$B$1494,$A$33:$A$1494,A604)</f>
        <v>58.0166666666667</v>
      </c>
      <c r="D604" s="213" t="n">
        <v>45.8</v>
      </c>
      <c r="E604" s="213" t="n">
        <f aca="false">AVERAGEIFS($D$33:$D$1494,$A$33:$A$1494,A604)</f>
        <v>59.75</v>
      </c>
      <c r="F604" s="213" t="n">
        <v>5.5</v>
      </c>
      <c r="G604" s="213" t="n">
        <f aca="false">AVERAGEIFS($F$33:$F$1494,$A$33:$A$1494,A604)</f>
        <v>6.35</v>
      </c>
      <c r="H604" s="213" t="n">
        <v>6.5</v>
      </c>
      <c r="I604" s="213" t="n">
        <f aca="false">AVERAGEIFS($H$33:$H$1494,$A$33:$A$1494,A604)</f>
        <v>6.53333333333333</v>
      </c>
      <c r="L604" s="215" t="n">
        <v>40554</v>
      </c>
      <c r="M604" s="213" t="n">
        <v>58.0166666666667</v>
      </c>
      <c r="N604" s="213" t="n">
        <v>59.75</v>
      </c>
      <c r="O604" s="213" t="n">
        <v>6.35</v>
      </c>
      <c r="P604" s="213" t="n">
        <v>6.53333333333333</v>
      </c>
    </row>
    <row r="605" customFormat="false" ht="12.75" hidden="false" customHeight="false" outlineLevel="0" collapsed="false">
      <c r="A605" s="215" t="n">
        <v>40554</v>
      </c>
      <c r="B605" s="213" t="n">
        <v>51.7</v>
      </c>
      <c r="C605" s="213" t="n">
        <f aca="false">AVERAGEIFS($B$33:$B$1494,$A$33:$A$1494,A605)</f>
        <v>58.0166666666667</v>
      </c>
      <c r="D605" s="213" t="n">
        <v>45.8</v>
      </c>
      <c r="E605" s="213" t="n">
        <f aca="false">AVERAGEIFS($D$33:$D$1494,$A$33:$A$1494,A605)</f>
        <v>59.75</v>
      </c>
      <c r="F605" s="213" t="n">
        <v>5.7</v>
      </c>
      <c r="G605" s="213" t="n">
        <f aca="false">AVERAGEIFS($F$33:$F$1494,$A$33:$A$1494,A605)</f>
        <v>6.35</v>
      </c>
      <c r="H605" s="213" t="n">
        <v>6.4</v>
      </c>
      <c r="I605" s="213" t="n">
        <f aca="false">AVERAGEIFS($H$33:$H$1494,$A$33:$A$1494,A605)</f>
        <v>6.53333333333333</v>
      </c>
      <c r="L605" s="215" t="n">
        <v>40554</v>
      </c>
      <c r="M605" s="213" t="n">
        <v>58.0166666666667</v>
      </c>
      <c r="N605" s="213" t="n">
        <v>59.75</v>
      </c>
      <c r="O605" s="213" t="n">
        <v>6.35</v>
      </c>
      <c r="P605" s="213" t="n">
        <v>6.53333333333333</v>
      </c>
    </row>
    <row r="606" customFormat="false" ht="12.75" hidden="false" customHeight="false" outlineLevel="0" collapsed="false">
      <c r="A606" s="215" t="n">
        <v>40554</v>
      </c>
      <c r="B606" s="213" t="n">
        <v>66.9</v>
      </c>
      <c r="C606" s="213" t="n">
        <f aca="false">AVERAGEIFS($B$33:$B$1494,$A$33:$A$1494,A606)</f>
        <v>58.0166666666667</v>
      </c>
      <c r="D606" s="213" t="n">
        <v>73.3</v>
      </c>
      <c r="E606" s="213" t="n">
        <f aca="false">AVERAGEIFS($D$33:$D$1494,$A$33:$A$1494,A606)</f>
        <v>59.75</v>
      </c>
      <c r="F606" s="213" t="n">
        <v>6.2</v>
      </c>
      <c r="G606" s="213" t="n">
        <f aca="false">AVERAGEIFS($F$33:$F$1494,$A$33:$A$1494,A606)</f>
        <v>6.35</v>
      </c>
      <c r="H606" s="213" t="n">
        <v>6.4</v>
      </c>
      <c r="I606" s="213" t="n">
        <f aca="false">AVERAGEIFS($H$33:$H$1494,$A$33:$A$1494,A606)</f>
        <v>6.53333333333333</v>
      </c>
      <c r="L606" s="215" t="n">
        <v>40554</v>
      </c>
      <c r="M606" s="213" t="n">
        <v>58.0166666666667</v>
      </c>
      <c r="N606" s="213" t="n">
        <v>59.75</v>
      </c>
      <c r="O606" s="213" t="n">
        <v>6.35</v>
      </c>
      <c r="P606" s="213" t="n">
        <v>6.53333333333333</v>
      </c>
    </row>
    <row r="607" customFormat="false" ht="12.75" hidden="false" customHeight="false" outlineLevel="0" collapsed="false">
      <c r="A607" s="215" t="n">
        <v>40554</v>
      </c>
      <c r="B607" s="213" t="n">
        <v>67</v>
      </c>
      <c r="C607" s="213" t="n">
        <f aca="false">AVERAGEIFS($B$33:$B$1494,$A$33:$A$1494,A607)</f>
        <v>58.0166666666667</v>
      </c>
      <c r="D607" s="213" t="n">
        <v>73.8</v>
      </c>
      <c r="E607" s="213" t="n">
        <f aca="false">AVERAGEIFS($D$33:$D$1494,$A$33:$A$1494,A607)</f>
        <v>59.75</v>
      </c>
      <c r="F607" s="213" t="n">
        <v>7.4</v>
      </c>
      <c r="G607" s="213" t="n">
        <f aca="false">AVERAGEIFS($F$33:$F$1494,$A$33:$A$1494,A607)</f>
        <v>6.35</v>
      </c>
      <c r="H607" s="213" t="n">
        <v>6.5</v>
      </c>
      <c r="I607" s="213" t="n">
        <f aca="false">AVERAGEIFS($H$33:$H$1494,$A$33:$A$1494,A607)</f>
        <v>6.53333333333333</v>
      </c>
      <c r="L607" s="215" t="n">
        <v>40554</v>
      </c>
      <c r="M607" s="213" t="n">
        <v>58.0166666666667</v>
      </c>
      <c r="N607" s="213" t="n">
        <v>59.75</v>
      </c>
      <c r="O607" s="213" t="n">
        <v>6.35</v>
      </c>
      <c r="P607" s="213" t="n">
        <v>6.53333333333333</v>
      </c>
    </row>
    <row r="608" customFormat="false" ht="12.75" hidden="false" customHeight="false" outlineLevel="0" collapsed="false">
      <c r="A608" s="215" t="n">
        <v>40554</v>
      </c>
      <c r="B608" s="213" t="n">
        <v>66.9</v>
      </c>
      <c r="C608" s="213" t="n">
        <f aca="false">AVERAGEIFS($B$33:$B$1494,$A$33:$A$1494,A608)</f>
        <v>58.0166666666667</v>
      </c>
      <c r="D608" s="213" t="n">
        <v>74</v>
      </c>
      <c r="E608" s="213" t="n">
        <f aca="false">AVERAGEIFS($D$33:$D$1494,$A$33:$A$1494,A608)</f>
        <v>59.75</v>
      </c>
      <c r="F608" s="213" t="n">
        <v>7.8</v>
      </c>
      <c r="G608" s="213" t="n">
        <f aca="false">AVERAGEIFS($F$33:$F$1494,$A$33:$A$1494,A608)</f>
        <v>6.35</v>
      </c>
      <c r="H608" s="213" t="n">
        <v>6.8</v>
      </c>
      <c r="I608" s="213" t="n">
        <f aca="false">AVERAGEIFS($H$33:$H$1494,$A$33:$A$1494,A608)</f>
        <v>6.53333333333333</v>
      </c>
      <c r="L608" s="215" t="n">
        <v>40554</v>
      </c>
      <c r="M608" s="213" t="n">
        <v>58.0166666666667</v>
      </c>
      <c r="N608" s="213" t="n">
        <v>59.75</v>
      </c>
      <c r="O608" s="213" t="n">
        <v>6.35</v>
      </c>
      <c r="P608" s="213" t="n">
        <v>6.53333333333333</v>
      </c>
    </row>
    <row r="609" customFormat="false" ht="12.75" hidden="false" customHeight="false" outlineLevel="0" collapsed="false">
      <c r="A609" s="215" t="n">
        <v>40555</v>
      </c>
      <c r="B609" s="213" t="n">
        <v>60</v>
      </c>
      <c r="C609" s="213" t="n">
        <f aca="false">AVERAGEIFS($B$33:$B$1494,$A$33:$A$1494,A609)</f>
        <v>53.5833333333333</v>
      </c>
      <c r="D609" s="213" t="n">
        <v>74.1</v>
      </c>
      <c r="E609" s="213" t="n">
        <f aca="false">AVERAGEIFS($D$33:$D$1494,$A$33:$A$1494,A609)</f>
        <v>55.8833333333333</v>
      </c>
      <c r="F609" s="213" t="n">
        <v>7.7</v>
      </c>
      <c r="G609" s="213" t="n">
        <f aca="false">AVERAGEIFS($F$33:$F$1494,$A$33:$A$1494,A609)</f>
        <v>7.7</v>
      </c>
      <c r="H609" s="213" t="n">
        <v>7</v>
      </c>
      <c r="I609" s="213" t="n">
        <f aca="false">AVERAGEIFS($H$33:$H$1494,$A$33:$A$1494,A609)</f>
        <v>7.21666666666667</v>
      </c>
      <c r="L609" s="215" t="n">
        <v>40555</v>
      </c>
      <c r="M609" s="213" t="n">
        <v>53.5833333333333</v>
      </c>
      <c r="N609" s="213" t="n">
        <v>55.8833333333333</v>
      </c>
      <c r="O609" s="213" t="n">
        <v>7.7</v>
      </c>
      <c r="P609" s="213" t="n">
        <v>7.21666666666667</v>
      </c>
    </row>
    <row r="610" customFormat="false" ht="12.75" hidden="false" customHeight="false" outlineLevel="0" collapsed="false">
      <c r="A610" s="215" t="n">
        <v>40555</v>
      </c>
      <c r="B610" s="213" t="n">
        <v>54.5</v>
      </c>
      <c r="C610" s="213" t="n">
        <f aca="false">AVERAGEIFS($B$33:$B$1494,$A$33:$A$1494,A610)</f>
        <v>53.5833333333333</v>
      </c>
      <c r="D610" s="213" t="n">
        <v>60.7</v>
      </c>
      <c r="E610" s="213" t="n">
        <f aca="false">AVERAGEIFS($D$33:$D$1494,$A$33:$A$1494,A610)</f>
        <v>55.8833333333333</v>
      </c>
      <c r="F610" s="213" t="n">
        <v>7.6</v>
      </c>
      <c r="G610" s="213" t="n">
        <f aca="false">AVERAGEIFS($F$33:$F$1494,$A$33:$A$1494,A610)</f>
        <v>7.7</v>
      </c>
      <c r="H610" s="213" t="n">
        <v>7.2</v>
      </c>
      <c r="I610" s="213" t="n">
        <f aca="false">AVERAGEIFS($H$33:$H$1494,$A$33:$A$1494,A610)</f>
        <v>7.21666666666667</v>
      </c>
      <c r="L610" s="215" t="n">
        <v>40555</v>
      </c>
      <c r="M610" s="213" t="n">
        <v>53.5833333333333</v>
      </c>
      <c r="N610" s="213" t="n">
        <v>55.8833333333333</v>
      </c>
      <c r="O610" s="213" t="n">
        <v>7.7</v>
      </c>
      <c r="P610" s="213" t="n">
        <v>7.21666666666667</v>
      </c>
    </row>
    <row r="611" customFormat="false" ht="12.75" hidden="false" customHeight="false" outlineLevel="0" collapsed="false">
      <c r="A611" s="215" t="n">
        <v>40555</v>
      </c>
      <c r="B611" s="213" t="n">
        <v>52.5</v>
      </c>
      <c r="C611" s="213" t="n">
        <f aca="false">AVERAGEIFS($B$33:$B$1494,$A$33:$A$1494,A611)</f>
        <v>53.5833333333333</v>
      </c>
      <c r="D611" s="213" t="n">
        <v>50.4</v>
      </c>
      <c r="E611" s="213" t="n">
        <f aca="false">AVERAGEIFS($D$33:$D$1494,$A$33:$A$1494,A611)</f>
        <v>55.8833333333333</v>
      </c>
      <c r="F611" s="213" t="n">
        <v>7.5</v>
      </c>
      <c r="G611" s="213" t="n">
        <f aca="false">AVERAGEIFS($F$33:$F$1494,$A$33:$A$1494,A611)</f>
        <v>7.7</v>
      </c>
      <c r="H611" s="213" t="n">
        <v>7.2</v>
      </c>
      <c r="I611" s="213" t="n">
        <f aca="false">AVERAGEIFS($H$33:$H$1494,$A$33:$A$1494,A611)</f>
        <v>7.21666666666667</v>
      </c>
      <c r="L611" s="215" t="n">
        <v>40555</v>
      </c>
      <c r="M611" s="213" t="n">
        <v>53.5833333333333</v>
      </c>
      <c r="N611" s="213" t="n">
        <v>55.8833333333333</v>
      </c>
      <c r="O611" s="213" t="n">
        <v>7.7</v>
      </c>
      <c r="P611" s="213" t="n">
        <v>7.21666666666667</v>
      </c>
    </row>
    <row r="612" customFormat="false" ht="12.75" hidden="false" customHeight="false" outlineLevel="0" collapsed="false">
      <c r="A612" s="215" t="n">
        <v>40555</v>
      </c>
      <c r="B612" s="213" t="n">
        <v>51.7</v>
      </c>
      <c r="C612" s="213" t="n">
        <f aca="false">AVERAGEIFS($B$33:$B$1494,$A$33:$A$1494,A612)</f>
        <v>53.5833333333333</v>
      </c>
      <c r="D612" s="213" t="n">
        <v>50.3</v>
      </c>
      <c r="E612" s="213" t="n">
        <f aca="false">AVERAGEIFS($D$33:$D$1494,$A$33:$A$1494,A612)</f>
        <v>55.8833333333333</v>
      </c>
      <c r="F612" s="213" t="n">
        <v>7.5</v>
      </c>
      <c r="G612" s="213" t="n">
        <f aca="false">AVERAGEIFS($F$33:$F$1494,$A$33:$A$1494,A612)</f>
        <v>7.7</v>
      </c>
      <c r="H612" s="213" t="n">
        <v>7.2</v>
      </c>
      <c r="I612" s="213" t="n">
        <f aca="false">AVERAGEIFS($H$33:$H$1494,$A$33:$A$1494,A612)</f>
        <v>7.21666666666667</v>
      </c>
      <c r="L612" s="215" t="n">
        <v>40555</v>
      </c>
      <c r="M612" s="213" t="n">
        <v>53.5833333333333</v>
      </c>
      <c r="N612" s="213" t="n">
        <v>55.8833333333333</v>
      </c>
      <c r="O612" s="213" t="n">
        <v>7.7</v>
      </c>
      <c r="P612" s="213" t="n">
        <v>7.21666666666667</v>
      </c>
    </row>
    <row r="613" customFormat="false" ht="12.75" hidden="false" customHeight="false" outlineLevel="0" collapsed="false">
      <c r="A613" s="215" t="n">
        <v>40555</v>
      </c>
      <c r="B613" s="213" t="n">
        <v>51.3</v>
      </c>
      <c r="C613" s="213" t="n">
        <f aca="false">AVERAGEIFS($B$33:$B$1494,$A$33:$A$1494,A613)</f>
        <v>53.5833333333333</v>
      </c>
      <c r="D613" s="213" t="n">
        <v>50.1</v>
      </c>
      <c r="E613" s="213" t="n">
        <f aca="false">AVERAGEIFS($D$33:$D$1494,$A$33:$A$1494,A613)</f>
        <v>55.8833333333333</v>
      </c>
      <c r="F613" s="213" t="n">
        <v>7.7</v>
      </c>
      <c r="G613" s="213" t="n">
        <f aca="false">AVERAGEIFS($F$33:$F$1494,$A$33:$A$1494,A613)</f>
        <v>7.7</v>
      </c>
      <c r="H613" s="213" t="n">
        <v>7.3</v>
      </c>
      <c r="I613" s="213" t="n">
        <f aca="false">AVERAGEIFS($H$33:$H$1494,$A$33:$A$1494,A613)</f>
        <v>7.21666666666667</v>
      </c>
      <c r="L613" s="215" t="n">
        <v>40555</v>
      </c>
      <c r="M613" s="213" t="n">
        <v>53.5833333333333</v>
      </c>
      <c r="N613" s="213" t="n">
        <v>55.8833333333333</v>
      </c>
      <c r="O613" s="213" t="n">
        <v>7.7</v>
      </c>
      <c r="P613" s="213" t="n">
        <v>7.21666666666667</v>
      </c>
    </row>
    <row r="614" customFormat="false" ht="12.75" hidden="false" customHeight="false" outlineLevel="0" collapsed="false">
      <c r="A614" s="215" t="n">
        <v>40555</v>
      </c>
      <c r="B614" s="213" t="n">
        <v>51.5</v>
      </c>
      <c r="C614" s="213" t="n">
        <f aca="false">AVERAGEIFS($B$33:$B$1494,$A$33:$A$1494,A614)</f>
        <v>53.5833333333333</v>
      </c>
      <c r="D614" s="213" t="n">
        <v>49.7</v>
      </c>
      <c r="E614" s="213" t="n">
        <f aca="false">AVERAGEIFS($D$33:$D$1494,$A$33:$A$1494,A614)</f>
        <v>55.8833333333333</v>
      </c>
      <c r="F614" s="213" t="n">
        <v>8.2</v>
      </c>
      <c r="G614" s="213" t="n">
        <f aca="false">AVERAGEIFS($F$33:$F$1494,$A$33:$A$1494,A614)</f>
        <v>7.7</v>
      </c>
      <c r="H614" s="213" t="n">
        <v>7.4</v>
      </c>
      <c r="I614" s="213" t="n">
        <f aca="false">AVERAGEIFS($H$33:$H$1494,$A$33:$A$1494,A614)</f>
        <v>7.21666666666667</v>
      </c>
      <c r="L614" s="215" t="n">
        <v>40555</v>
      </c>
      <c r="M614" s="213" t="n">
        <v>53.5833333333333</v>
      </c>
      <c r="N614" s="213" t="n">
        <v>55.8833333333333</v>
      </c>
      <c r="O614" s="213" t="n">
        <v>7.7</v>
      </c>
      <c r="P614" s="213" t="n">
        <v>7.21666666666667</v>
      </c>
    </row>
    <row r="615" customFormat="false" ht="12.75" hidden="false" customHeight="false" outlineLevel="0" collapsed="false">
      <c r="A615" s="215" t="n">
        <v>40556</v>
      </c>
      <c r="B615" s="213" t="n">
        <v>51.3</v>
      </c>
      <c r="C615" s="213" t="n">
        <f aca="false">AVERAGEIFS($B$33:$B$1494,$A$33:$A$1494,A615)</f>
        <v>50.9</v>
      </c>
      <c r="D615" s="213" t="n">
        <v>49.3</v>
      </c>
      <c r="E615" s="213" t="n">
        <f aca="false">AVERAGEIFS($D$33:$D$1494,$A$33:$A$1494,A615)</f>
        <v>48.6</v>
      </c>
      <c r="F615" s="213" t="n">
        <v>8.5</v>
      </c>
      <c r="G615" s="213" t="n">
        <f aca="false">AVERAGEIFS($F$33:$F$1494,$A$33:$A$1494,A615)</f>
        <v>8.95</v>
      </c>
      <c r="H615" s="213" t="n">
        <v>7.5</v>
      </c>
      <c r="I615" s="213" t="n">
        <f aca="false">AVERAGEIFS($H$33:$H$1494,$A$33:$A$1494,A615)</f>
        <v>7.86666666666667</v>
      </c>
      <c r="L615" s="215" t="n">
        <v>40556</v>
      </c>
      <c r="M615" s="213" t="n">
        <v>50.9</v>
      </c>
      <c r="N615" s="213" t="n">
        <v>48.6</v>
      </c>
      <c r="O615" s="213" t="n">
        <v>8.95</v>
      </c>
      <c r="P615" s="213" t="n">
        <v>7.86666666666667</v>
      </c>
    </row>
    <row r="616" customFormat="false" ht="12.75" hidden="false" customHeight="false" outlineLevel="0" collapsed="false">
      <c r="A616" s="215" t="n">
        <v>40556</v>
      </c>
      <c r="B616" s="213" t="n">
        <v>51.1</v>
      </c>
      <c r="C616" s="213" t="n">
        <f aca="false">AVERAGEIFS($B$33:$B$1494,$A$33:$A$1494,A616)</f>
        <v>50.9</v>
      </c>
      <c r="D616" s="213" t="n">
        <v>49</v>
      </c>
      <c r="E616" s="213" t="n">
        <f aca="false">AVERAGEIFS($D$33:$D$1494,$A$33:$A$1494,A616)</f>
        <v>48.6</v>
      </c>
      <c r="F616" s="213" t="n">
        <v>8.6</v>
      </c>
      <c r="G616" s="213" t="n">
        <f aca="false">AVERAGEIFS($F$33:$F$1494,$A$33:$A$1494,A616)</f>
        <v>8.95</v>
      </c>
      <c r="H616" s="213" t="n">
        <v>7.7</v>
      </c>
      <c r="I616" s="213" t="n">
        <f aca="false">AVERAGEIFS($H$33:$H$1494,$A$33:$A$1494,A616)</f>
        <v>7.86666666666667</v>
      </c>
      <c r="L616" s="215" t="n">
        <v>40556</v>
      </c>
      <c r="M616" s="213" t="n">
        <v>50.9</v>
      </c>
      <c r="N616" s="213" t="n">
        <v>48.6</v>
      </c>
      <c r="O616" s="213" t="n">
        <v>8.95</v>
      </c>
      <c r="P616" s="213" t="n">
        <v>7.86666666666667</v>
      </c>
    </row>
    <row r="617" customFormat="false" ht="12.75" hidden="false" customHeight="false" outlineLevel="0" collapsed="false">
      <c r="A617" s="215" t="n">
        <v>40556</v>
      </c>
      <c r="B617" s="213" t="n">
        <v>51</v>
      </c>
      <c r="C617" s="213" t="n">
        <f aca="false">AVERAGEIFS($B$33:$B$1494,$A$33:$A$1494,A617)</f>
        <v>50.9</v>
      </c>
      <c r="D617" s="213" t="n">
        <v>48.6</v>
      </c>
      <c r="E617" s="213" t="n">
        <f aca="false">AVERAGEIFS($D$33:$D$1494,$A$33:$A$1494,A617)</f>
        <v>48.6</v>
      </c>
      <c r="F617" s="213" t="n">
        <v>8.7</v>
      </c>
      <c r="G617" s="213" t="n">
        <f aca="false">AVERAGEIFS($F$33:$F$1494,$A$33:$A$1494,A617)</f>
        <v>8.95</v>
      </c>
      <c r="H617" s="213" t="n">
        <v>7.8</v>
      </c>
      <c r="I617" s="213" t="n">
        <f aca="false">AVERAGEIFS($H$33:$H$1494,$A$33:$A$1494,A617)</f>
        <v>7.86666666666667</v>
      </c>
      <c r="L617" s="215" t="n">
        <v>40556</v>
      </c>
      <c r="M617" s="213" t="n">
        <v>50.9</v>
      </c>
      <c r="N617" s="213" t="n">
        <v>48.6</v>
      </c>
      <c r="O617" s="213" t="n">
        <v>8.95</v>
      </c>
      <c r="P617" s="213" t="n">
        <v>7.86666666666667</v>
      </c>
    </row>
    <row r="618" customFormat="false" ht="12.75" hidden="false" customHeight="false" outlineLevel="0" collapsed="false">
      <c r="A618" s="215" t="n">
        <v>40556</v>
      </c>
      <c r="B618" s="213" t="n">
        <v>50.8</v>
      </c>
      <c r="C618" s="213" t="n">
        <f aca="false">AVERAGEIFS($B$33:$B$1494,$A$33:$A$1494,A618)</f>
        <v>50.9</v>
      </c>
      <c r="D618" s="213" t="n">
        <v>48.4</v>
      </c>
      <c r="E618" s="213" t="n">
        <f aca="false">AVERAGEIFS($D$33:$D$1494,$A$33:$A$1494,A618)</f>
        <v>48.6</v>
      </c>
      <c r="F618" s="213" t="n">
        <v>8.8</v>
      </c>
      <c r="G618" s="213" t="n">
        <f aca="false">AVERAGEIFS($F$33:$F$1494,$A$33:$A$1494,A618)</f>
        <v>8.95</v>
      </c>
      <c r="H618" s="213" t="n">
        <v>7.9</v>
      </c>
      <c r="I618" s="213" t="n">
        <f aca="false">AVERAGEIFS($H$33:$H$1494,$A$33:$A$1494,A618)</f>
        <v>7.86666666666667</v>
      </c>
      <c r="L618" s="215" t="n">
        <v>40556</v>
      </c>
      <c r="M618" s="213" t="n">
        <v>50.9</v>
      </c>
      <c r="N618" s="213" t="n">
        <v>48.6</v>
      </c>
      <c r="O618" s="213" t="n">
        <v>8.95</v>
      </c>
      <c r="P618" s="213" t="n">
        <v>7.86666666666667</v>
      </c>
    </row>
    <row r="619" customFormat="false" ht="12.75" hidden="false" customHeight="false" outlineLevel="0" collapsed="false">
      <c r="A619" s="215" t="n">
        <v>40556</v>
      </c>
      <c r="B619" s="213" t="n">
        <v>50.7</v>
      </c>
      <c r="C619" s="213" t="n">
        <f aca="false">AVERAGEIFS($B$33:$B$1494,$A$33:$A$1494,A619)</f>
        <v>50.9</v>
      </c>
      <c r="D619" s="213" t="n">
        <v>48.2</v>
      </c>
      <c r="E619" s="213" t="n">
        <f aca="false">AVERAGEIFS($D$33:$D$1494,$A$33:$A$1494,A619)</f>
        <v>48.6</v>
      </c>
      <c r="F619" s="213" t="n">
        <v>9.6</v>
      </c>
      <c r="G619" s="213" t="n">
        <f aca="false">AVERAGEIFS($F$33:$F$1494,$A$33:$A$1494,A619)</f>
        <v>8.95</v>
      </c>
      <c r="H619" s="213" t="n">
        <v>8</v>
      </c>
      <c r="I619" s="213" t="n">
        <f aca="false">AVERAGEIFS($H$33:$H$1494,$A$33:$A$1494,A619)</f>
        <v>7.86666666666667</v>
      </c>
      <c r="L619" s="215" t="n">
        <v>40556</v>
      </c>
      <c r="M619" s="213" t="n">
        <v>50.9</v>
      </c>
      <c r="N619" s="213" t="n">
        <v>48.6</v>
      </c>
      <c r="O619" s="213" t="n">
        <v>8.95</v>
      </c>
      <c r="P619" s="213" t="n">
        <v>7.86666666666667</v>
      </c>
    </row>
    <row r="620" customFormat="false" ht="12.75" hidden="false" customHeight="false" outlineLevel="0" collapsed="false">
      <c r="A620" s="215" t="n">
        <v>40556</v>
      </c>
      <c r="B620" s="213" t="n">
        <v>50.5</v>
      </c>
      <c r="C620" s="213" t="n">
        <f aca="false">AVERAGEIFS($B$33:$B$1494,$A$33:$A$1494,A620)</f>
        <v>50.9</v>
      </c>
      <c r="D620" s="213" t="n">
        <v>48.1</v>
      </c>
      <c r="E620" s="213" t="n">
        <f aca="false">AVERAGEIFS($D$33:$D$1494,$A$33:$A$1494,A620)</f>
        <v>48.6</v>
      </c>
      <c r="F620" s="213" t="n">
        <v>9.5</v>
      </c>
      <c r="G620" s="213" t="n">
        <f aca="false">AVERAGEIFS($F$33:$F$1494,$A$33:$A$1494,A620)</f>
        <v>8.95</v>
      </c>
      <c r="H620" s="213" t="n">
        <v>8.3</v>
      </c>
      <c r="I620" s="213" t="n">
        <f aca="false">AVERAGEIFS($H$33:$H$1494,$A$33:$A$1494,A620)</f>
        <v>7.86666666666667</v>
      </c>
      <c r="L620" s="215" t="n">
        <v>40556</v>
      </c>
      <c r="M620" s="213" t="n">
        <v>50.9</v>
      </c>
      <c r="N620" s="213" t="n">
        <v>48.6</v>
      </c>
      <c r="O620" s="213" t="n">
        <v>8.95</v>
      </c>
      <c r="P620" s="213" t="n">
        <v>7.86666666666667</v>
      </c>
    </row>
    <row r="621" customFormat="false" ht="12.75" hidden="false" customHeight="false" outlineLevel="0" collapsed="false">
      <c r="A621" s="215" t="n">
        <v>40557</v>
      </c>
      <c r="B621" s="213" t="n">
        <v>50.4</v>
      </c>
      <c r="C621" s="213" t="n">
        <f aca="false">AVERAGEIFS($B$33:$B$1494,$A$33:$A$1494,A621)</f>
        <v>50.0666666666667</v>
      </c>
      <c r="D621" s="213" t="n">
        <v>47.9</v>
      </c>
      <c r="E621" s="213" t="n">
        <f aca="false">AVERAGEIFS($D$33:$D$1494,$A$33:$A$1494,A621)</f>
        <v>47.6833333333333</v>
      </c>
      <c r="F621" s="213" t="n">
        <v>8.6</v>
      </c>
      <c r="G621" s="213" t="n">
        <f aca="false">AVERAGEIFS($F$33:$F$1494,$A$33:$A$1494,A621)</f>
        <v>7.88333333333333</v>
      </c>
      <c r="H621" s="213" t="n">
        <v>8.4</v>
      </c>
      <c r="I621" s="213" t="n">
        <f aca="false">AVERAGEIFS($H$33:$H$1494,$A$33:$A$1494,A621)</f>
        <v>7.98333333333333</v>
      </c>
      <c r="L621" s="215" t="n">
        <v>40557</v>
      </c>
      <c r="M621" s="213" t="n">
        <v>50.0666666666667</v>
      </c>
      <c r="N621" s="213" t="n">
        <v>47.6833333333333</v>
      </c>
      <c r="O621" s="213" t="n">
        <v>7.88333333333333</v>
      </c>
      <c r="P621" s="213" t="n">
        <v>7.98333333333333</v>
      </c>
    </row>
    <row r="622" customFormat="false" ht="12.75" hidden="false" customHeight="false" outlineLevel="0" collapsed="false">
      <c r="A622" s="215" t="n">
        <v>40557</v>
      </c>
      <c r="B622" s="213" t="n">
        <v>50.2</v>
      </c>
      <c r="C622" s="213" t="n">
        <f aca="false">AVERAGEIFS($B$33:$B$1494,$A$33:$A$1494,A622)</f>
        <v>50.0666666666667</v>
      </c>
      <c r="D622" s="213" t="n">
        <v>47.8</v>
      </c>
      <c r="E622" s="213" t="n">
        <f aca="false">AVERAGEIFS($D$33:$D$1494,$A$33:$A$1494,A622)</f>
        <v>47.6833333333333</v>
      </c>
      <c r="F622" s="213" t="n">
        <v>7.8</v>
      </c>
      <c r="G622" s="213" t="n">
        <f aca="false">AVERAGEIFS($F$33:$F$1494,$A$33:$A$1494,A622)</f>
        <v>7.88333333333333</v>
      </c>
      <c r="H622" s="213" t="n">
        <v>8.2</v>
      </c>
      <c r="I622" s="213" t="n">
        <f aca="false">AVERAGEIFS($H$33:$H$1494,$A$33:$A$1494,A622)</f>
        <v>7.98333333333333</v>
      </c>
      <c r="L622" s="215" t="n">
        <v>40557</v>
      </c>
      <c r="M622" s="213" t="n">
        <v>50.0666666666667</v>
      </c>
      <c r="N622" s="213" t="n">
        <v>47.6833333333333</v>
      </c>
      <c r="O622" s="213" t="n">
        <v>7.88333333333333</v>
      </c>
      <c r="P622" s="213" t="n">
        <v>7.98333333333333</v>
      </c>
    </row>
    <row r="623" customFormat="false" ht="12.75" hidden="false" customHeight="false" outlineLevel="0" collapsed="false">
      <c r="A623" s="215" t="n">
        <v>40557</v>
      </c>
      <c r="B623" s="213" t="n">
        <v>50.1</v>
      </c>
      <c r="C623" s="213" t="n">
        <f aca="false">AVERAGEIFS($B$33:$B$1494,$A$33:$A$1494,A623)</f>
        <v>50.0666666666667</v>
      </c>
      <c r="D623" s="213" t="n">
        <v>47.7</v>
      </c>
      <c r="E623" s="213" t="n">
        <f aca="false">AVERAGEIFS($D$33:$D$1494,$A$33:$A$1494,A623)</f>
        <v>47.6833333333333</v>
      </c>
      <c r="F623" s="213" t="n">
        <v>7.3</v>
      </c>
      <c r="G623" s="213" t="n">
        <f aca="false">AVERAGEIFS($F$33:$F$1494,$A$33:$A$1494,A623)</f>
        <v>7.88333333333333</v>
      </c>
      <c r="H623" s="213" t="n">
        <v>8</v>
      </c>
      <c r="I623" s="213" t="n">
        <f aca="false">AVERAGEIFS($H$33:$H$1494,$A$33:$A$1494,A623)</f>
        <v>7.98333333333333</v>
      </c>
      <c r="L623" s="215" t="n">
        <v>40557</v>
      </c>
      <c r="M623" s="213" t="n">
        <v>50.0666666666667</v>
      </c>
      <c r="N623" s="213" t="n">
        <v>47.6833333333333</v>
      </c>
      <c r="O623" s="213" t="n">
        <v>7.88333333333333</v>
      </c>
      <c r="P623" s="213" t="n">
        <v>7.98333333333333</v>
      </c>
    </row>
    <row r="624" customFormat="false" ht="12.75" hidden="false" customHeight="false" outlineLevel="0" collapsed="false">
      <c r="A624" s="215" t="n">
        <v>40557</v>
      </c>
      <c r="B624" s="213" t="n">
        <v>50</v>
      </c>
      <c r="C624" s="213" t="n">
        <f aca="false">AVERAGEIFS($B$33:$B$1494,$A$33:$A$1494,A624)</f>
        <v>50.0666666666667</v>
      </c>
      <c r="D624" s="213" t="n">
        <v>47.6</v>
      </c>
      <c r="E624" s="213" t="n">
        <f aca="false">AVERAGEIFS($D$33:$D$1494,$A$33:$A$1494,A624)</f>
        <v>47.6833333333333</v>
      </c>
      <c r="F624" s="213" t="n">
        <v>7.3</v>
      </c>
      <c r="G624" s="213" t="n">
        <f aca="false">AVERAGEIFS($F$33:$F$1494,$A$33:$A$1494,A624)</f>
        <v>7.88333333333333</v>
      </c>
      <c r="H624" s="213" t="n">
        <v>7.8</v>
      </c>
      <c r="I624" s="213" t="n">
        <f aca="false">AVERAGEIFS($H$33:$H$1494,$A$33:$A$1494,A624)</f>
        <v>7.98333333333333</v>
      </c>
      <c r="L624" s="215" t="n">
        <v>40557</v>
      </c>
      <c r="M624" s="213" t="n">
        <v>50.0666666666667</v>
      </c>
      <c r="N624" s="213" t="n">
        <v>47.6833333333333</v>
      </c>
      <c r="O624" s="213" t="n">
        <v>7.88333333333333</v>
      </c>
      <c r="P624" s="213" t="n">
        <v>7.98333333333333</v>
      </c>
    </row>
    <row r="625" customFormat="false" ht="12.75" hidden="false" customHeight="false" outlineLevel="0" collapsed="false">
      <c r="A625" s="215" t="n">
        <v>40557</v>
      </c>
      <c r="B625" s="213" t="n">
        <v>49.9</v>
      </c>
      <c r="C625" s="213" t="n">
        <f aca="false">AVERAGEIFS($B$33:$B$1494,$A$33:$A$1494,A625)</f>
        <v>50.0666666666667</v>
      </c>
      <c r="D625" s="213" t="n">
        <v>47.6</v>
      </c>
      <c r="E625" s="213" t="n">
        <f aca="false">AVERAGEIFS($D$33:$D$1494,$A$33:$A$1494,A625)</f>
        <v>47.6833333333333</v>
      </c>
      <c r="F625" s="213" t="n">
        <v>8.1</v>
      </c>
      <c r="G625" s="213" t="n">
        <f aca="false">AVERAGEIFS($F$33:$F$1494,$A$33:$A$1494,A625)</f>
        <v>7.88333333333333</v>
      </c>
      <c r="H625" s="213" t="n">
        <v>7.7</v>
      </c>
      <c r="I625" s="213" t="n">
        <f aca="false">AVERAGEIFS($H$33:$H$1494,$A$33:$A$1494,A625)</f>
        <v>7.98333333333333</v>
      </c>
      <c r="L625" s="215" t="n">
        <v>40557</v>
      </c>
      <c r="M625" s="213" t="n">
        <v>50.0666666666667</v>
      </c>
      <c r="N625" s="213" t="n">
        <v>47.6833333333333</v>
      </c>
      <c r="O625" s="213" t="n">
        <v>7.88333333333333</v>
      </c>
      <c r="P625" s="213" t="n">
        <v>7.98333333333333</v>
      </c>
    </row>
    <row r="626" customFormat="false" ht="12.75" hidden="false" customHeight="false" outlineLevel="0" collapsed="false">
      <c r="A626" s="215" t="n">
        <v>40557</v>
      </c>
      <c r="B626" s="213" t="n">
        <v>49.8</v>
      </c>
      <c r="C626" s="213" t="n">
        <f aca="false">AVERAGEIFS($B$33:$B$1494,$A$33:$A$1494,A626)</f>
        <v>50.0666666666667</v>
      </c>
      <c r="D626" s="213" t="n">
        <v>47.5</v>
      </c>
      <c r="E626" s="213" t="n">
        <f aca="false">AVERAGEIFS($D$33:$D$1494,$A$33:$A$1494,A626)</f>
        <v>47.6833333333333</v>
      </c>
      <c r="F626" s="213" t="n">
        <v>8.2</v>
      </c>
      <c r="G626" s="213" t="n">
        <f aca="false">AVERAGEIFS($F$33:$F$1494,$A$33:$A$1494,A626)</f>
        <v>7.88333333333333</v>
      </c>
      <c r="H626" s="213" t="n">
        <v>7.8</v>
      </c>
      <c r="I626" s="213" t="n">
        <f aca="false">AVERAGEIFS($H$33:$H$1494,$A$33:$A$1494,A626)</f>
        <v>7.98333333333333</v>
      </c>
      <c r="L626" s="215" t="n">
        <v>40557</v>
      </c>
      <c r="M626" s="213" t="n">
        <v>50.0666666666667</v>
      </c>
      <c r="N626" s="213" t="n">
        <v>47.6833333333333</v>
      </c>
      <c r="O626" s="213" t="n">
        <v>7.88333333333333</v>
      </c>
      <c r="P626" s="213" t="n">
        <v>7.98333333333333</v>
      </c>
    </row>
    <row r="627" customFormat="false" ht="12.75" hidden="false" customHeight="false" outlineLevel="0" collapsed="false">
      <c r="A627" s="215" t="n">
        <v>40558</v>
      </c>
      <c r="B627" s="213" t="n">
        <v>49.8</v>
      </c>
      <c r="C627" s="213" t="n">
        <f aca="false">AVERAGEIFS($B$33:$B$1494,$A$33:$A$1494,A627)</f>
        <v>49.6333333333333</v>
      </c>
      <c r="D627" s="213" t="n">
        <v>47.4</v>
      </c>
      <c r="E627" s="213" t="n">
        <f aca="false">AVERAGEIFS($D$33:$D$1494,$A$33:$A$1494,A627)</f>
        <v>47.2833333333333</v>
      </c>
      <c r="F627" s="213" t="n">
        <v>7.8</v>
      </c>
      <c r="G627" s="213" t="n">
        <f aca="false">AVERAGEIFS($F$33:$F$1494,$A$33:$A$1494,A627)</f>
        <v>7.45</v>
      </c>
      <c r="H627" s="213" t="n">
        <v>7.8</v>
      </c>
      <c r="I627" s="213" t="n">
        <f aca="false">AVERAGEIFS($H$33:$H$1494,$A$33:$A$1494,A627)</f>
        <v>7.56666666666667</v>
      </c>
      <c r="L627" s="215" t="n">
        <v>40558</v>
      </c>
      <c r="M627" s="213" t="n">
        <v>49.6333333333333</v>
      </c>
      <c r="N627" s="213" t="n">
        <v>47.2833333333333</v>
      </c>
      <c r="O627" s="213" t="n">
        <v>7.45</v>
      </c>
      <c r="P627" s="213" t="n">
        <v>7.56666666666667</v>
      </c>
    </row>
    <row r="628" customFormat="false" ht="12.75" hidden="false" customHeight="false" outlineLevel="0" collapsed="false">
      <c r="A628" s="215" t="n">
        <v>40558</v>
      </c>
      <c r="B628" s="213" t="n">
        <v>49.7</v>
      </c>
      <c r="C628" s="213" t="n">
        <f aca="false">AVERAGEIFS($B$33:$B$1494,$A$33:$A$1494,A628)</f>
        <v>49.6333333333333</v>
      </c>
      <c r="D628" s="213" t="n">
        <v>47.3</v>
      </c>
      <c r="E628" s="213" t="n">
        <f aca="false">AVERAGEIFS($D$33:$D$1494,$A$33:$A$1494,A628)</f>
        <v>47.2833333333333</v>
      </c>
      <c r="F628" s="213" t="n">
        <v>7.1</v>
      </c>
      <c r="G628" s="213" t="n">
        <f aca="false">AVERAGEIFS($F$33:$F$1494,$A$33:$A$1494,A628)</f>
        <v>7.45</v>
      </c>
      <c r="H628" s="213" t="n">
        <v>7.7</v>
      </c>
      <c r="I628" s="213" t="n">
        <f aca="false">AVERAGEIFS($H$33:$H$1494,$A$33:$A$1494,A628)</f>
        <v>7.56666666666667</v>
      </c>
      <c r="L628" s="215" t="n">
        <v>40558</v>
      </c>
      <c r="M628" s="213" t="n">
        <v>49.6333333333333</v>
      </c>
      <c r="N628" s="213" t="n">
        <v>47.2833333333333</v>
      </c>
      <c r="O628" s="213" t="n">
        <v>7.45</v>
      </c>
      <c r="P628" s="213" t="n">
        <v>7.56666666666667</v>
      </c>
    </row>
    <row r="629" customFormat="false" ht="12.75" hidden="false" customHeight="false" outlineLevel="0" collapsed="false">
      <c r="A629" s="215" t="n">
        <v>40558</v>
      </c>
      <c r="B629" s="213" t="n">
        <v>49.7</v>
      </c>
      <c r="C629" s="213" t="n">
        <f aca="false">AVERAGEIFS($B$33:$B$1494,$A$33:$A$1494,A629)</f>
        <v>49.6333333333333</v>
      </c>
      <c r="D629" s="213" t="n">
        <v>47.3</v>
      </c>
      <c r="E629" s="213" t="n">
        <f aca="false">AVERAGEIFS($D$33:$D$1494,$A$33:$A$1494,A629)</f>
        <v>47.2833333333333</v>
      </c>
      <c r="F629" s="213" t="n">
        <v>6.9</v>
      </c>
      <c r="G629" s="213" t="n">
        <f aca="false">AVERAGEIFS($F$33:$F$1494,$A$33:$A$1494,A629)</f>
        <v>7.45</v>
      </c>
      <c r="H629" s="213" t="n">
        <v>7.6</v>
      </c>
      <c r="I629" s="213" t="n">
        <f aca="false">AVERAGEIFS($H$33:$H$1494,$A$33:$A$1494,A629)</f>
        <v>7.56666666666667</v>
      </c>
      <c r="L629" s="215" t="n">
        <v>40558</v>
      </c>
      <c r="M629" s="213" t="n">
        <v>49.6333333333333</v>
      </c>
      <c r="N629" s="213" t="n">
        <v>47.2833333333333</v>
      </c>
      <c r="O629" s="213" t="n">
        <v>7.45</v>
      </c>
      <c r="P629" s="213" t="n">
        <v>7.56666666666667</v>
      </c>
    </row>
    <row r="630" customFormat="false" ht="12.75" hidden="false" customHeight="false" outlineLevel="0" collapsed="false">
      <c r="A630" s="215" t="n">
        <v>40558</v>
      </c>
      <c r="B630" s="213" t="n">
        <v>49.6</v>
      </c>
      <c r="C630" s="213" t="n">
        <f aca="false">AVERAGEIFS($B$33:$B$1494,$A$33:$A$1494,A630)</f>
        <v>49.6333333333333</v>
      </c>
      <c r="D630" s="213" t="n">
        <v>47.3</v>
      </c>
      <c r="E630" s="213" t="n">
        <f aca="false">AVERAGEIFS($D$33:$D$1494,$A$33:$A$1494,A630)</f>
        <v>47.2833333333333</v>
      </c>
      <c r="F630" s="213" t="n">
        <v>7</v>
      </c>
      <c r="G630" s="213" t="n">
        <f aca="false">AVERAGEIFS($F$33:$F$1494,$A$33:$A$1494,A630)</f>
        <v>7.45</v>
      </c>
      <c r="H630" s="213" t="n">
        <v>7.4</v>
      </c>
      <c r="I630" s="213" t="n">
        <f aca="false">AVERAGEIFS($H$33:$H$1494,$A$33:$A$1494,A630)</f>
        <v>7.56666666666667</v>
      </c>
      <c r="L630" s="215" t="n">
        <v>40558</v>
      </c>
      <c r="M630" s="213" t="n">
        <v>49.6333333333333</v>
      </c>
      <c r="N630" s="213" t="n">
        <v>47.2833333333333</v>
      </c>
      <c r="O630" s="213" t="n">
        <v>7.45</v>
      </c>
      <c r="P630" s="213" t="n">
        <v>7.56666666666667</v>
      </c>
    </row>
    <row r="631" customFormat="false" ht="12.75" hidden="false" customHeight="false" outlineLevel="0" collapsed="false">
      <c r="A631" s="215" t="n">
        <v>40558</v>
      </c>
      <c r="B631" s="213" t="n">
        <v>49.5</v>
      </c>
      <c r="C631" s="213" t="n">
        <f aca="false">AVERAGEIFS($B$33:$B$1494,$A$33:$A$1494,A631)</f>
        <v>49.6333333333333</v>
      </c>
      <c r="D631" s="213" t="n">
        <v>47.2</v>
      </c>
      <c r="E631" s="213" t="n">
        <f aca="false">AVERAGEIFS($D$33:$D$1494,$A$33:$A$1494,A631)</f>
        <v>47.2833333333333</v>
      </c>
      <c r="F631" s="213" t="n">
        <v>7.9</v>
      </c>
      <c r="G631" s="213" t="n">
        <f aca="false">AVERAGEIFS($F$33:$F$1494,$A$33:$A$1494,A631)</f>
        <v>7.45</v>
      </c>
      <c r="H631" s="213" t="n">
        <v>7.4</v>
      </c>
      <c r="I631" s="213" t="n">
        <f aca="false">AVERAGEIFS($H$33:$H$1494,$A$33:$A$1494,A631)</f>
        <v>7.56666666666667</v>
      </c>
      <c r="L631" s="215" t="n">
        <v>40558</v>
      </c>
      <c r="M631" s="213" t="n">
        <v>49.6333333333333</v>
      </c>
      <c r="N631" s="213" t="n">
        <v>47.2833333333333</v>
      </c>
      <c r="O631" s="213" t="n">
        <v>7.45</v>
      </c>
      <c r="P631" s="213" t="n">
        <v>7.56666666666667</v>
      </c>
    </row>
    <row r="632" customFormat="false" ht="12.75" hidden="false" customHeight="false" outlineLevel="0" collapsed="false">
      <c r="A632" s="215" t="n">
        <v>40558</v>
      </c>
      <c r="B632" s="213" t="n">
        <v>49.5</v>
      </c>
      <c r="C632" s="213" t="n">
        <f aca="false">AVERAGEIFS($B$33:$B$1494,$A$33:$A$1494,A632)</f>
        <v>49.6333333333333</v>
      </c>
      <c r="D632" s="213" t="n">
        <v>47.2</v>
      </c>
      <c r="E632" s="213" t="n">
        <f aca="false">AVERAGEIFS($D$33:$D$1494,$A$33:$A$1494,A632)</f>
        <v>47.2833333333333</v>
      </c>
      <c r="F632" s="213" t="n">
        <v>8</v>
      </c>
      <c r="G632" s="213" t="n">
        <f aca="false">AVERAGEIFS($F$33:$F$1494,$A$33:$A$1494,A632)</f>
        <v>7.45</v>
      </c>
      <c r="H632" s="213" t="n">
        <v>7.5</v>
      </c>
      <c r="I632" s="213" t="n">
        <f aca="false">AVERAGEIFS($H$33:$H$1494,$A$33:$A$1494,A632)</f>
        <v>7.56666666666667</v>
      </c>
      <c r="L632" s="215" t="n">
        <v>40558</v>
      </c>
      <c r="M632" s="213" t="n">
        <v>49.6333333333333</v>
      </c>
      <c r="N632" s="213" t="n">
        <v>47.2833333333333</v>
      </c>
      <c r="O632" s="213" t="n">
        <v>7.45</v>
      </c>
      <c r="P632" s="213" t="n">
        <v>7.56666666666667</v>
      </c>
    </row>
    <row r="633" customFormat="false" ht="12.75" hidden="false" customHeight="false" outlineLevel="0" collapsed="false">
      <c r="A633" s="215" t="n">
        <v>40559</v>
      </c>
      <c r="B633" s="213" t="n">
        <v>49.4</v>
      </c>
      <c r="C633" s="213" t="n">
        <f aca="false">AVERAGEIFS($B$33:$B$1494,$A$33:$A$1494,A633)</f>
        <v>49.35</v>
      </c>
      <c r="D633" s="213" t="n">
        <v>47.1</v>
      </c>
      <c r="E633" s="213" t="n">
        <f aca="false">AVERAGEIFS($D$33:$D$1494,$A$33:$A$1494,A633)</f>
        <v>47.05</v>
      </c>
      <c r="F633" s="213" t="n">
        <v>7.3</v>
      </c>
      <c r="G633" s="213" t="n">
        <f aca="false">AVERAGEIFS($F$33:$F$1494,$A$33:$A$1494,A633)</f>
        <v>6.96666666666667</v>
      </c>
      <c r="H633" s="213" t="n">
        <v>7.6</v>
      </c>
      <c r="I633" s="213" t="n">
        <f aca="false">AVERAGEIFS($H$33:$H$1494,$A$33:$A$1494,A633)</f>
        <v>7.28333333333333</v>
      </c>
      <c r="L633" s="215" t="n">
        <v>40559</v>
      </c>
      <c r="M633" s="213" t="n">
        <v>49.35</v>
      </c>
      <c r="N633" s="213" t="n">
        <v>47.05</v>
      </c>
      <c r="O633" s="213" t="n">
        <v>6.96666666666667</v>
      </c>
      <c r="P633" s="213" t="n">
        <v>7.28333333333333</v>
      </c>
    </row>
    <row r="634" customFormat="false" ht="12.75" hidden="false" customHeight="false" outlineLevel="0" collapsed="false">
      <c r="A634" s="215" t="n">
        <v>40559</v>
      </c>
      <c r="B634" s="213" t="n">
        <v>49.4</v>
      </c>
      <c r="C634" s="213" t="n">
        <f aca="false">AVERAGEIFS($B$33:$B$1494,$A$33:$A$1494,A634)</f>
        <v>49.35</v>
      </c>
      <c r="D634" s="213" t="n">
        <v>47.1</v>
      </c>
      <c r="E634" s="213" t="n">
        <f aca="false">AVERAGEIFS($D$33:$D$1494,$A$33:$A$1494,A634)</f>
        <v>47.05</v>
      </c>
      <c r="F634" s="213" t="n">
        <v>6.6</v>
      </c>
      <c r="G634" s="213" t="n">
        <f aca="false">AVERAGEIFS($F$33:$F$1494,$A$33:$A$1494,A634)</f>
        <v>6.96666666666667</v>
      </c>
      <c r="H634" s="213" t="n">
        <v>7.5</v>
      </c>
      <c r="I634" s="213" t="n">
        <f aca="false">AVERAGEIFS($H$33:$H$1494,$A$33:$A$1494,A634)</f>
        <v>7.28333333333333</v>
      </c>
      <c r="L634" s="215" t="n">
        <v>40559</v>
      </c>
      <c r="M634" s="213" t="n">
        <v>49.35</v>
      </c>
      <c r="N634" s="213" t="n">
        <v>47.05</v>
      </c>
      <c r="O634" s="213" t="n">
        <v>6.96666666666667</v>
      </c>
      <c r="P634" s="213" t="n">
        <v>7.28333333333333</v>
      </c>
    </row>
    <row r="635" customFormat="false" ht="12.75" hidden="false" customHeight="false" outlineLevel="0" collapsed="false">
      <c r="A635" s="215" t="n">
        <v>40559</v>
      </c>
      <c r="B635" s="213" t="n">
        <v>49.4</v>
      </c>
      <c r="C635" s="213" t="n">
        <f aca="false">AVERAGEIFS($B$33:$B$1494,$A$33:$A$1494,A635)</f>
        <v>49.35</v>
      </c>
      <c r="D635" s="213" t="n">
        <v>47.1</v>
      </c>
      <c r="E635" s="213" t="n">
        <f aca="false">AVERAGEIFS($D$33:$D$1494,$A$33:$A$1494,A635)</f>
        <v>47.05</v>
      </c>
      <c r="F635" s="213" t="n">
        <v>6.2</v>
      </c>
      <c r="G635" s="213" t="n">
        <f aca="false">AVERAGEIFS($F$33:$F$1494,$A$33:$A$1494,A635)</f>
        <v>6.96666666666667</v>
      </c>
      <c r="H635" s="213" t="n">
        <v>7.3</v>
      </c>
      <c r="I635" s="213" t="n">
        <f aca="false">AVERAGEIFS($H$33:$H$1494,$A$33:$A$1494,A635)</f>
        <v>7.28333333333333</v>
      </c>
      <c r="L635" s="215" t="n">
        <v>40559</v>
      </c>
      <c r="M635" s="213" t="n">
        <v>49.35</v>
      </c>
      <c r="N635" s="213" t="n">
        <v>47.05</v>
      </c>
      <c r="O635" s="213" t="n">
        <v>6.96666666666667</v>
      </c>
      <c r="P635" s="213" t="n">
        <v>7.28333333333333</v>
      </c>
    </row>
    <row r="636" customFormat="false" ht="12.75" hidden="false" customHeight="false" outlineLevel="0" collapsed="false">
      <c r="A636" s="215" t="n">
        <v>40559</v>
      </c>
      <c r="B636" s="213" t="n">
        <v>49.4</v>
      </c>
      <c r="C636" s="213" t="n">
        <f aca="false">AVERAGEIFS($B$33:$B$1494,$A$33:$A$1494,A636)</f>
        <v>49.35</v>
      </c>
      <c r="D636" s="213" t="n">
        <v>47</v>
      </c>
      <c r="E636" s="213" t="n">
        <f aca="false">AVERAGEIFS($D$33:$D$1494,$A$33:$A$1494,A636)</f>
        <v>47.05</v>
      </c>
      <c r="F636" s="213" t="n">
        <v>6.4</v>
      </c>
      <c r="G636" s="213" t="n">
        <f aca="false">AVERAGEIFS($F$33:$F$1494,$A$33:$A$1494,A636)</f>
        <v>6.96666666666667</v>
      </c>
      <c r="H636" s="213" t="n">
        <v>7.1</v>
      </c>
      <c r="I636" s="213" t="n">
        <f aca="false">AVERAGEIFS($H$33:$H$1494,$A$33:$A$1494,A636)</f>
        <v>7.28333333333333</v>
      </c>
      <c r="L636" s="215" t="n">
        <v>40559</v>
      </c>
      <c r="M636" s="213" t="n">
        <v>49.35</v>
      </c>
      <c r="N636" s="213" t="n">
        <v>47.05</v>
      </c>
      <c r="O636" s="213" t="n">
        <v>6.96666666666667</v>
      </c>
      <c r="P636" s="213" t="n">
        <v>7.28333333333333</v>
      </c>
    </row>
    <row r="637" customFormat="false" ht="12.75" hidden="false" customHeight="false" outlineLevel="0" collapsed="false">
      <c r="A637" s="215" t="n">
        <v>40559</v>
      </c>
      <c r="B637" s="213" t="n">
        <v>49.3</v>
      </c>
      <c r="C637" s="213" t="n">
        <f aca="false">AVERAGEIFS($B$33:$B$1494,$A$33:$A$1494,A637)</f>
        <v>49.35</v>
      </c>
      <c r="D637" s="213" t="n">
        <v>47</v>
      </c>
      <c r="E637" s="213" t="n">
        <f aca="false">AVERAGEIFS($D$33:$D$1494,$A$33:$A$1494,A637)</f>
        <v>47.05</v>
      </c>
      <c r="F637" s="213" t="n">
        <v>7.5</v>
      </c>
      <c r="G637" s="213" t="n">
        <f aca="false">AVERAGEIFS($F$33:$F$1494,$A$33:$A$1494,A637)</f>
        <v>6.96666666666667</v>
      </c>
      <c r="H637" s="213" t="n">
        <v>7</v>
      </c>
      <c r="I637" s="213" t="n">
        <f aca="false">AVERAGEIFS($H$33:$H$1494,$A$33:$A$1494,A637)</f>
        <v>7.28333333333333</v>
      </c>
      <c r="L637" s="215" t="n">
        <v>40559</v>
      </c>
      <c r="M637" s="213" t="n">
        <v>49.35</v>
      </c>
      <c r="N637" s="213" t="n">
        <v>47.05</v>
      </c>
      <c r="O637" s="213" t="n">
        <v>6.96666666666667</v>
      </c>
      <c r="P637" s="213" t="n">
        <v>7.28333333333333</v>
      </c>
    </row>
    <row r="638" customFormat="false" ht="12.75" hidden="false" customHeight="false" outlineLevel="0" collapsed="false">
      <c r="A638" s="215" t="n">
        <v>40559</v>
      </c>
      <c r="B638" s="213" t="n">
        <v>49.2</v>
      </c>
      <c r="C638" s="213" t="n">
        <f aca="false">AVERAGEIFS($B$33:$B$1494,$A$33:$A$1494,A638)</f>
        <v>49.35</v>
      </c>
      <c r="D638" s="213" t="n">
        <v>47</v>
      </c>
      <c r="E638" s="213" t="n">
        <f aca="false">AVERAGEIFS($D$33:$D$1494,$A$33:$A$1494,A638)</f>
        <v>47.05</v>
      </c>
      <c r="F638" s="213" t="n">
        <v>7.8</v>
      </c>
      <c r="G638" s="213" t="n">
        <f aca="false">AVERAGEIFS($F$33:$F$1494,$A$33:$A$1494,A638)</f>
        <v>6.96666666666667</v>
      </c>
      <c r="H638" s="213" t="n">
        <v>7.2</v>
      </c>
      <c r="I638" s="213" t="n">
        <f aca="false">AVERAGEIFS($H$33:$H$1494,$A$33:$A$1494,A638)</f>
        <v>7.28333333333333</v>
      </c>
      <c r="L638" s="215" t="n">
        <v>40559</v>
      </c>
      <c r="M638" s="213" t="n">
        <v>49.35</v>
      </c>
      <c r="N638" s="213" t="n">
        <v>47.05</v>
      </c>
      <c r="O638" s="213" t="n">
        <v>6.96666666666667</v>
      </c>
      <c r="P638" s="213" t="n">
        <v>7.28333333333333</v>
      </c>
    </row>
    <row r="639" customFormat="false" ht="12.75" hidden="false" customHeight="false" outlineLevel="0" collapsed="false">
      <c r="A639" s="215" t="n">
        <v>40560</v>
      </c>
      <c r="B639" s="213" t="n">
        <v>49.2</v>
      </c>
      <c r="C639" s="213" t="n">
        <f aca="false">AVERAGEIFS($B$33:$B$1494,$A$33:$A$1494,A639)</f>
        <v>49.1166666666667</v>
      </c>
      <c r="D639" s="213" t="n">
        <v>47</v>
      </c>
      <c r="E639" s="213" t="n">
        <f aca="false">AVERAGEIFS($D$33:$D$1494,$A$33:$A$1494,A639)</f>
        <v>46.8833333333333</v>
      </c>
      <c r="F639" s="213" t="n">
        <v>7.6</v>
      </c>
      <c r="G639" s="213" t="n">
        <f aca="false">AVERAGEIFS($F$33:$F$1494,$A$33:$A$1494,A639)</f>
        <v>7.6</v>
      </c>
      <c r="H639" s="213" t="n">
        <v>7.3</v>
      </c>
      <c r="I639" s="213" t="n">
        <f aca="false">AVERAGEIFS($H$33:$H$1494,$A$33:$A$1494,A639)</f>
        <v>7.36666666666667</v>
      </c>
      <c r="L639" s="215" t="n">
        <v>40560</v>
      </c>
      <c r="M639" s="213" t="n">
        <v>49.1166666666667</v>
      </c>
      <c r="N639" s="213" t="n">
        <v>46.8833333333333</v>
      </c>
      <c r="O639" s="213" t="n">
        <v>7.6</v>
      </c>
      <c r="P639" s="213" t="n">
        <v>7.36666666666667</v>
      </c>
    </row>
    <row r="640" customFormat="false" ht="12.75" hidden="false" customHeight="false" outlineLevel="0" collapsed="false">
      <c r="A640" s="215" t="n">
        <v>40560</v>
      </c>
      <c r="B640" s="213" t="n">
        <v>49.2</v>
      </c>
      <c r="C640" s="213" t="n">
        <f aca="false">AVERAGEIFS($B$33:$B$1494,$A$33:$A$1494,A640)</f>
        <v>49.1166666666667</v>
      </c>
      <c r="D640" s="213" t="n">
        <v>46.9</v>
      </c>
      <c r="E640" s="213" t="n">
        <f aca="false">AVERAGEIFS($D$33:$D$1494,$A$33:$A$1494,A640)</f>
        <v>46.8833333333333</v>
      </c>
      <c r="F640" s="213" t="n">
        <v>7.5</v>
      </c>
      <c r="G640" s="213" t="n">
        <f aca="false">AVERAGEIFS($F$33:$F$1494,$A$33:$A$1494,A640)</f>
        <v>7.6</v>
      </c>
      <c r="H640" s="213" t="n">
        <v>7.4</v>
      </c>
      <c r="I640" s="213" t="n">
        <f aca="false">AVERAGEIFS($H$33:$H$1494,$A$33:$A$1494,A640)</f>
        <v>7.36666666666667</v>
      </c>
      <c r="L640" s="215" t="n">
        <v>40560</v>
      </c>
      <c r="M640" s="213" t="n">
        <v>49.1166666666667</v>
      </c>
      <c r="N640" s="213" t="n">
        <v>46.8833333333333</v>
      </c>
      <c r="O640" s="213" t="n">
        <v>7.6</v>
      </c>
      <c r="P640" s="213" t="n">
        <v>7.36666666666667</v>
      </c>
    </row>
    <row r="641" customFormat="false" ht="12.75" hidden="false" customHeight="false" outlineLevel="0" collapsed="false">
      <c r="A641" s="215" t="n">
        <v>40560</v>
      </c>
      <c r="B641" s="213" t="n">
        <v>49.1</v>
      </c>
      <c r="C641" s="213" t="n">
        <f aca="false">AVERAGEIFS($B$33:$B$1494,$A$33:$A$1494,A641)</f>
        <v>49.1166666666667</v>
      </c>
      <c r="D641" s="213" t="n">
        <v>46.9</v>
      </c>
      <c r="E641" s="213" t="n">
        <f aca="false">AVERAGEIFS($D$33:$D$1494,$A$33:$A$1494,A641)</f>
        <v>46.8833333333333</v>
      </c>
      <c r="F641" s="213" t="n">
        <v>7.1</v>
      </c>
      <c r="G641" s="213" t="n">
        <f aca="false">AVERAGEIFS($F$33:$F$1494,$A$33:$A$1494,A641)</f>
        <v>7.6</v>
      </c>
      <c r="H641" s="213" t="n">
        <v>7.4</v>
      </c>
      <c r="I641" s="213" t="n">
        <f aca="false">AVERAGEIFS($H$33:$H$1494,$A$33:$A$1494,A641)</f>
        <v>7.36666666666667</v>
      </c>
      <c r="L641" s="215" t="n">
        <v>40560</v>
      </c>
      <c r="M641" s="213" t="n">
        <v>49.1166666666667</v>
      </c>
      <c r="N641" s="213" t="n">
        <v>46.8833333333333</v>
      </c>
      <c r="O641" s="213" t="n">
        <v>7.6</v>
      </c>
      <c r="P641" s="213" t="n">
        <v>7.36666666666667</v>
      </c>
    </row>
    <row r="642" customFormat="false" ht="12.75" hidden="false" customHeight="false" outlineLevel="0" collapsed="false">
      <c r="A642" s="215" t="n">
        <v>40560</v>
      </c>
      <c r="B642" s="213" t="n">
        <v>49.1</v>
      </c>
      <c r="C642" s="213" t="n">
        <f aca="false">AVERAGEIFS($B$33:$B$1494,$A$33:$A$1494,A642)</f>
        <v>49.1166666666667</v>
      </c>
      <c r="D642" s="213" t="n">
        <v>46.9</v>
      </c>
      <c r="E642" s="213" t="n">
        <f aca="false">AVERAGEIFS($D$33:$D$1494,$A$33:$A$1494,A642)</f>
        <v>46.8833333333333</v>
      </c>
      <c r="F642" s="213" t="n">
        <v>7.1</v>
      </c>
      <c r="G642" s="213" t="n">
        <f aca="false">AVERAGEIFS($F$33:$F$1494,$A$33:$A$1494,A642)</f>
        <v>7.6</v>
      </c>
      <c r="H642" s="213" t="n">
        <v>7.3</v>
      </c>
      <c r="I642" s="213" t="n">
        <f aca="false">AVERAGEIFS($H$33:$H$1494,$A$33:$A$1494,A642)</f>
        <v>7.36666666666667</v>
      </c>
      <c r="L642" s="215" t="n">
        <v>40560</v>
      </c>
      <c r="M642" s="213" t="n">
        <v>49.1166666666667</v>
      </c>
      <c r="N642" s="213" t="n">
        <v>46.8833333333333</v>
      </c>
      <c r="O642" s="213" t="n">
        <v>7.6</v>
      </c>
      <c r="P642" s="213" t="n">
        <v>7.36666666666667</v>
      </c>
    </row>
    <row r="643" customFormat="false" ht="12.75" hidden="false" customHeight="false" outlineLevel="0" collapsed="false">
      <c r="A643" s="215" t="n">
        <v>40560</v>
      </c>
      <c r="B643" s="213" t="n">
        <v>49.1</v>
      </c>
      <c r="C643" s="213" t="n">
        <f aca="false">AVERAGEIFS($B$33:$B$1494,$A$33:$A$1494,A643)</f>
        <v>49.1166666666667</v>
      </c>
      <c r="D643" s="213" t="n">
        <v>46.8</v>
      </c>
      <c r="E643" s="213" t="n">
        <f aca="false">AVERAGEIFS($D$33:$D$1494,$A$33:$A$1494,A643)</f>
        <v>46.8833333333333</v>
      </c>
      <c r="F643" s="213" t="n">
        <v>8</v>
      </c>
      <c r="G643" s="213" t="n">
        <f aca="false">AVERAGEIFS($F$33:$F$1494,$A$33:$A$1494,A643)</f>
        <v>7.6</v>
      </c>
      <c r="H643" s="213" t="n">
        <v>7.3</v>
      </c>
      <c r="I643" s="213" t="n">
        <f aca="false">AVERAGEIFS($H$33:$H$1494,$A$33:$A$1494,A643)</f>
        <v>7.36666666666667</v>
      </c>
      <c r="L643" s="215" t="n">
        <v>40560</v>
      </c>
      <c r="M643" s="213" t="n">
        <v>49.1166666666667</v>
      </c>
      <c r="N643" s="213" t="n">
        <v>46.8833333333333</v>
      </c>
      <c r="O643" s="213" t="n">
        <v>7.6</v>
      </c>
      <c r="P643" s="213" t="n">
        <v>7.36666666666667</v>
      </c>
    </row>
    <row r="644" customFormat="false" ht="12.75" hidden="false" customHeight="false" outlineLevel="0" collapsed="false">
      <c r="A644" s="215" t="n">
        <v>40560</v>
      </c>
      <c r="B644" s="213" t="n">
        <v>49</v>
      </c>
      <c r="C644" s="213" t="n">
        <f aca="false">AVERAGEIFS($B$33:$B$1494,$A$33:$A$1494,A644)</f>
        <v>49.1166666666667</v>
      </c>
      <c r="D644" s="213" t="n">
        <v>46.8</v>
      </c>
      <c r="E644" s="213" t="n">
        <f aca="false">AVERAGEIFS($D$33:$D$1494,$A$33:$A$1494,A644)</f>
        <v>46.8833333333333</v>
      </c>
      <c r="F644" s="213" t="n">
        <v>8.3</v>
      </c>
      <c r="G644" s="213" t="n">
        <f aca="false">AVERAGEIFS($F$33:$F$1494,$A$33:$A$1494,A644)</f>
        <v>7.6</v>
      </c>
      <c r="H644" s="213" t="n">
        <v>7.5</v>
      </c>
      <c r="I644" s="213" t="n">
        <f aca="false">AVERAGEIFS($H$33:$H$1494,$A$33:$A$1494,A644)</f>
        <v>7.36666666666667</v>
      </c>
      <c r="L644" s="215" t="n">
        <v>40560</v>
      </c>
      <c r="M644" s="213" t="n">
        <v>49.1166666666667</v>
      </c>
      <c r="N644" s="213" t="n">
        <v>46.8833333333333</v>
      </c>
      <c r="O644" s="213" t="n">
        <v>7.6</v>
      </c>
      <c r="P644" s="213" t="n">
        <v>7.36666666666667</v>
      </c>
    </row>
    <row r="645" customFormat="false" ht="12.75" hidden="false" customHeight="false" outlineLevel="0" collapsed="false">
      <c r="A645" s="215" t="n">
        <v>40561</v>
      </c>
      <c r="B645" s="213" t="n">
        <v>49</v>
      </c>
      <c r="C645" s="213" t="n">
        <f aca="false">AVERAGEIFS($B$33:$B$1494,$A$33:$A$1494,A645)</f>
        <v>48.9666666666667</v>
      </c>
      <c r="D645" s="213" t="n">
        <v>46.8</v>
      </c>
      <c r="E645" s="213" t="n">
        <f aca="false">AVERAGEIFS($D$33:$D$1494,$A$33:$A$1494,A645)</f>
        <v>46.75</v>
      </c>
      <c r="F645" s="213" t="n">
        <v>7.6</v>
      </c>
      <c r="G645" s="213" t="n">
        <f aca="false">AVERAGEIFS($F$33:$F$1494,$A$33:$A$1494,A645)</f>
        <v>7.61666666666667</v>
      </c>
      <c r="H645" s="213" t="n">
        <v>7.6</v>
      </c>
      <c r="I645" s="213" t="n">
        <f aca="false">AVERAGEIFS($H$33:$H$1494,$A$33:$A$1494,A645)</f>
        <v>7.51666666666667</v>
      </c>
      <c r="L645" s="215" t="n">
        <v>40561</v>
      </c>
      <c r="M645" s="213" t="n">
        <v>48.9666666666667</v>
      </c>
      <c r="N645" s="213" t="n">
        <v>46.75</v>
      </c>
      <c r="O645" s="213" t="n">
        <v>7.61666666666667</v>
      </c>
      <c r="P645" s="213" t="n">
        <v>7.51666666666667</v>
      </c>
    </row>
    <row r="646" customFormat="false" ht="12.75" hidden="false" customHeight="false" outlineLevel="0" collapsed="false">
      <c r="A646" s="215" t="n">
        <v>40561</v>
      </c>
      <c r="B646" s="213" t="n">
        <v>49</v>
      </c>
      <c r="C646" s="213" t="n">
        <f aca="false">AVERAGEIFS($B$33:$B$1494,$A$33:$A$1494,A646)</f>
        <v>48.9666666666667</v>
      </c>
      <c r="D646" s="213" t="n">
        <v>46.8</v>
      </c>
      <c r="E646" s="213" t="n">
        <f aca="false">AVERAGEIFS($D$33:$D$1494,$A$33:$A$1494,A646)</f>
        <v>46.75</v>
      </c>
      <c r="F646" s="213" t="n">
        <v>7.4</v>
      </c>
      <c r="G646" s="213" t="n">
        <f aca="false">AVERAGEIFS($F$33:$F$1494,$A$33:$A$1494,A646)</f>
        <v>7.61666666666667</v>
      </c>
      <c r="H646" s="213" t="n">
        <v>7.6</v>
      </c>
      <c r="I646" s="213" t="n">
        <f aca="false">AVERAGEIFS($H$33:$H$1494,$A$33:$A$1494,A646)</f>
        <v>7.51666666666667</v>
      </c>
      <c r="L646" s="215" t="n">
        <v>40561</v>
      </c>
      <c r="M646" s="213" t="n">
        <v>48.9666666666667</v>
      </c>
      <c r="N646" s="213" t="n">
        <v>46.75</v>
      </c>
      <c r="O646" s="213" t="n">
        <v>7.61666666666667</v>
      </c>
      <c r="P646" s="213" t="n">
        <v>7.51666666666667</v>
      </c>
    </row>
    <row r="647" customFormat="false" ht="12.75" hidden="false" customHeight="false" outlineLevel="0" collapsed="false">
      <c r="A647" s="215" t="n">
        <v>40561</v>
      </c>
      <c r="B647" s="213" t="n">
        <v>49</v>
      </c>
      <c r="C647" s="213" t="n">
        <f aca="false">AVERAGEIFS($B$33:$B$1494,$A$33:$A$1494,A647)</f>
        <v>48.9666666666667</v>
      </c>
      <c r="D647" s="213" t="n">
        <v>46.8</v>
      </c>
      <c r="E647" s="213" t="n">
        <f aca="false">AVERAGEIFS($D$33:$D$1494,$A$33:$A$1494,A647)</f>
        <v>46.75</v>
      </c>
      <c r="F647" s="213" t="n">
        <v>7.2</v>
      </c>
      <c r="G647" s="213" t="n">
        <f aca="false">AVERAGEIFS($F$33:$F$1494,$A$33:$A$1494,A647)</f>
        <v>7.61666666666667</v>
      </c>
      <c r="H647" s="213" t="n">
        <v>7.5</v>
      </c>
      <c r="I647" s="213" t="n">
        <f aca="false">AVERAGEIFS($H$33:$H$1494,$A$33:$A$1494,A647)</f>
        <v>7.51666666666667</v>
      </c>
      <c r="L647" s="215" t="n">
        <v>40561</v>
      </c>
      <c r="M647" s="213" t="n">
        <v>48.9666666666667</v>
      </c>
      <c r="N647" s="213" t="n">
        <v>46.75</v>
      </c>
      <c r="O647" s="213" t="n">
        <v>7.61666666666667</v>
      </c>
      <c r="P647" s="213" t="n">
        <v>7.51666666666667</v>
      </c>
    </row>
    <row r="648" customFormat="false" ht="12.75" hidden="false" customHeight="false" outlineLevel="0" collapsed="false">
      <c r="A648" s="215" t="n">
        <v>40561</v>
      </c>
      <c r="B648" s="213" t="n">
        <v>49</v>
      </c>
      <c r="C648" s="213" t="n">
        <f aca="false">AVERAGEIFS($B$33:$B$1494,$A$33:$A$1494,A648)</f>
        <v>48.9666666666667</v>
      </c>
      <c r="D648" s="213" t="n">
        <v>46.7</v>
      </c>
      <c r="E648" s="213" t="n">
        <f aca="false">AVERAGEIFS($D$33:$D$1494,$A$33:$A$1494,A648)</f>
        <v>46.75</v>
      </c>
      <c r="F648" s="213" t="n">
        <v>7.2</v>
      </c>
      <c r="G648" s="213" t="n">
        <f aca="false">AVERAGEIFS($F$33:$F$1494,$A$33:$A$1494,A648)</f>
        <v>7.61666666666667</v>
      </c>
      <c r="H648" s="213" t="n">
        <v>7.4</v>
      </c>
      <c r="I648" s="213" t="n">
        <f aca="false">AVERAGEIFS($H$33:$H$1494,$A$33:$A$1494,A648)</f>
        <v>7.51666666666667</v>
      </c>
      <c r="L648" s="215" t="n">
        <v>40561</v>
      </c>
      <c r="M648" s="213" t="n">
        <v>48.9666666666667</v>
      </c>
      <c r="N648" s="213" t="n">
        <v>46.75</v>
      </c>
      <c r="O648" s="213" t="n">
        <v>7.61666666666667</v>
      </c>
      <c r="P648" s="213" t="n">
        <v>7.51666666666667</v>
      </c>
    </row>
    <row r="649" customFormat="false" ht="12.75" hidden="false" customHeight="false" outlineLevel="0" collapsed="false">
      <c r="A649" s="215" t="n">
        <v>40561</v>
      </c>
      <c r="B649" s="213" t="n">
        <v>48.9</v>
      </c>
      <c r="C649" s="213" t="n">
        <f aca="false">AVERAGEIFS($B$33:$B$1494,$A$33:$A$1494,A649)</f>
        <v>48.9666666666667</v>
      </c>
      <c r="D649" s="213" t="n">
        <v>46.7</v>
      </c>
      <c r="E649" s="213" t="n">
        <f aca="false">AVERAGEIFS($D$33:$D$1494,$A$33:$A$1494,A649)</f>
        <v>46.75</v>
      </c>
      <c r="F649" s="213" t="n">
        <v>8.1</v>
      </c>
      <c r="G649" s="213" t="n">
        <f aca="false">AVERAGEIFS($F$33:$F$1494,$A$33:$A$1494,A649)</f>
        <v>7.61666666666667</v>
      </c>
      <c r="H649" s="213" t="n">
        <v>7.4</v>
      </c>
      <c r="I649" s="213" t="n">
        <f aca="false">AVERAGEIFS($H$33:$H$1494,$A$33:$A$1494,A649)</f>
        <v>7.51666666666667</v>
      </c>
      <c r="L649" s="215" t="n">
        <v>40561</v>
      </c>
      <c r="M649" s="213" t="n">
        <v>48.9666666666667</v>
      </c>
      <c r="N649" s="213" t="n">
        <v>46.75</v>
      </c>
      <c r="O649" s="213" t="n">
        <v>7.61666666666667</v>
      </c>
      <c r="P649" s="213" t="n">
        <v>7.51666666666667</v>
      </c>
    </row>
    <row r="650" customFormat="false" ht="12.75" hidden="false" customHeight="false" outlineLevel="0" collapsed="false">
      <c r="A650" s="215" t="n">
        <v>40561</v>
      </c>
      <c r="B650" s="213" t="n">
        <v>48.9</v>
      </c>
      <c r="C650" s="213" t="n">
        <f aca="false">AVERAGEIFS($B$33:$B$1494,$A$33:$A$1494,A650)</f>
        <v>48.9666666666667</v>
      </c>
      <c r="D650" s="213" t="n">
        <v>46.7</v>
      </c>
      <c r="E650" s="213" t="n">
        <f aca="false">AVERAGEIFS($D$33:$D$1494,$A$33:$A$1494,A650)</f>
        <v>46.75</v>
      </c>
      <c r="F650" s="213" t="n">
        <v>8.2</v>
      </c>
      <c r="G650" s="213" t="n">
        <f aca="false">AVERAGEIFS($F$33:$F$1494,$A$33:$A$1494,A650)</f>
        <v>7.61666666666667</v>
      </c>
      <c r="H650" s="213" t="n">
        <v>7.6</v>
      </c>
      <c r="I650" s="213" t="n">
        <f aca="false">AVERAGEIFS($H$33:$H$1494,$A$33:$A$1494,A650)</f>
        <v>7.51666666666667</v>
      </c>
      <c r="L650" s="215" t="n">
        <v>40561</v>
      </c>
      <c r="M650" s="213" t="n">
        <v>48.9666666666667</v>
      </c>
      <c r="N650" s="213" t="n">
        <v>46.75</v>
      </c>
      <c r="O650" s="213" t="n">
        <v>7.61666666666667</v>
      </c>
      <c r="P650" s="213" t="n">
        <v>7.51666666666667</v>
      </c>
    </row>
    <row r="651" customFormat="false" ht="12.75" hidden="false" customHeight="false" outlineLevel="0" collapsed="false">
      <c r="A651" s="215" t="n">
        <v>40562</v>
      </c>
      <c r="B651" s="213" t="n">
        <v>48.9</v>
      </c>
      <c r="C651" s="213" t="n">
        <f aca="false">AVERAGEIFS($B$33:$B$1494,$A$33:$A$1494,A651)</f>
        <v>48.8333333333333</v>
      </c>
      <c r="D651" s="213" t="n">
        <v>46.7</v>
      </c>
      <c r="E651" s="213" t="n">
        <f aca="false">AVERAGEIFS($D$33:$D$1494,$A$33:$A$1494,A651)</f>
        <v>46.6666666666667</v>
      </c>
      <c r="F651" s="213" t="n">
        <v>7.8</v>
      </c>
      <c r="G651" s="213" t="n">
        <f aca="false">AVERAGEIFS($F$33:$F$1494,$A$33:$A$1494,A651)</f>
        <v>7.56666666666667</v>
      </c>
      <c r="H651" s="213" t="n">
        <v>7.6</v>
      </c>
      <c r="I651" s="213" t="n">
        <f aca="false">AVERAGEIFS($H$33:$H$1494,$A$33:$A$1494,A651)</f>
        <v>7.55</v>
      </c>
      <c r="L651" s="215" t="n">
        <v>40562</v>
      </c>
      <c r="M651" s="213" t="n">
        <v>48.8333333333333</v>
      </c>
      <c r="N651" s="213" t="n">
        <v>46.6666666666667</v>
      </c>
      <c r="O651" s="213" t="n">
        <v>7.56666666666667</v>
      </c>
      <c r="P651" s="213" t="n">
        <v>7.55</v>
      </c>
    </row>
    <row r="652" customFormat="false" ht="12.75" hidden="false" customHeight="false" outlineLevel="0" collapsed="false">
      <c r="A652" s="215" t="n">
        <v>40562</v>
      </c>
      <c r="B652" s="213" t="n">
        <v>48.9</v>
      </c>
      <c r="C652" s="213" t="n">
        <f aca="false">AVERAGEIFS($B$33:$B$1494,$A$33:$A$1494,A652)</f>
        <v>48.8333333333333</v>
      </c>
      <c r="D652" s="213" t="n">
        <v>46.7</v>
      </c>
      <c r="E652" s="213" t="n">
        <f aca="false">AVERAGEIFS($D$33:$D$1494,$A$33:$A$1494,A652)</f>
        <v>46.6666666666667</v>
      </c>
      <c r="F652" s="213" t="n">
        <v>7.6</v>
      </c>
      <c r="G652" s="213" t="n">
        <f aca="false">AVERAGEIFS($F$33:$F$1494,$A$33:$A$1494,A652)</f>
        <v>7.56666666666667</v>
      </c>
      <c r="H652" s="213" t="n">
        <v>7.6</v>
      </c>
      <c r="I652" s="213" t="n">
        <f aca="false">AVERAGEIFS($H$33:$H$1494,$A$33:$A$1494,A652)</f>
        <v>7.55</v>
      </c>
      <c r="L652" s="215" t="n">
        <v>40562</v>
      </c>
      <c r="M652" s="213" t="n">
        <v>48.8333333333333</v>
      </c>
      <c r="N652" s="213" t="n">
        <v>46.6666666666667</v>
      </c>
      <c r="O652" s="213" t="n">
        <v>7.56666666666667</v>
      </c>
      <c r="P652" s="213" t="n">
        <v>7.55</v>
      </c>
    </row>
    <row r="653" customFormat="false" ht="12.75" hidden="false" customHeight="false" outlineLevel="0" collapsed="false">
      <c r="A653" s="215" t="n">
        <v>40562</v>
      </c>
      <c r="B653" s="213" t="n">
        <v>48.8</v>
      </c>
      <c r="C653" s="213" t="n">
        <f aca="false">AVERAGEIFS($B$33:$B$1494,$A$33:$A$1494,A653)</f>
        <v>48.8333333333333</v>
      </c>
      <c r="D653" s="213" t="n">
        <v>46.7</v>
      </c>
      <c r="E653" s="213" t="n">
        <f aca="false">AVERAGEIFS($D$33:$D$1494,$A$33:$A$1494,A653)</f>
        <v>46.6666666666667</v>
      </c>
      <c r="F653" s="213" t="n">
        <v>7.4</v>
      </c>
      <c r="G653" s="213" t="n">
        <f aca="false">AVERAGEIFS($F$33:$F$1494,$A$33:$A$1494,A653)</f>
        <v>7.56666666666667</v>
      </c>
      <c r="H653" s="213" t="n">
        <v>7.6</v>
      </c>
      <c r="I653" s="213" t="n">
        <f aca="false">AVERAGEIFS($H$33:$H$1494,$A$33:$A$1494,A653)</f>
        <v>7.55</v>
      </c>
      <c r="L653" s="215" t="n">
        <v>40562</v>
      </c>
      <c r="M653" s="213" t="n">
        <v>48.8333333333333</v>
      </c>
      <c r="N653" s="213" t="n">
        <v>46.6666666666667</v>
      </c>
      <c r="O653" s="213" t="n">
        <v>7.56666666666667</v>
      </c>
      <c r="P653" s="213" t="n">
        <v>7.55</v>
      </c>
    </row>
    <row r="654" customFormat="false" ht="12.75" hidden="false" customHeight="false" outlineLevel="0" collapsed="false">
      <c r="A654" s="215" t="n">
        <v>40562</v>
      </c>
      <c r="B654" s="213" t="n">
        <v>48.8</v>
      </c>
      <c r="C654" s="213" t="n">
        <f aca="false">AVERAGEIFS($B$33:$B$1494,$A$33:$A$1494,A654)</f>
        <v>48.8333333333333</v>
      </c>
      <c r="D654" s="213" t="n">
        <v>46.7</v>
      </c>
      <c r="E654" s="213" t="n">
        <f aca="false">AVERAGEIFS($D$33:$D$1494,$A$33:$A$1494,A654)</f>
        <v>46.6666666666667</v>
      </c>
      <c r="F654" s="213" t="n">
        <v>7.3</v>
      </c>
      <c r="G654" s="213" t="n">
        <f aca="false">AVERAGEIFS($F$33:$F$1494,$A$33:$A$1494,A654)</f>
        <v>7.56666666666667</v>
      </c>
      <c r="H654" s="213" t="n">
        <v>7.5</v>
      </c>
      <c r="I654" s="213" t="n">
        <f aca="false">AVERAGEIFS($H$33:$H$1494,$A$33:$A$1494,A654)</f>
        <v>7.55</v>
      </c>
      <c r="L654" s="215" t="n">
        <v>40562</v>
      </c>
      <c r="M654" s="213" t="n">
        <v>48.8333333333333</v>
      </c>
      <c r="N654" s="213" t="n">
        <v>46.6666666666667</v>
      </c>
      <c r="O654" s="213" t="n">
        <v>7.56666666666667</v>
      </c>
      <c r="P654" s="213" t="n">
        <v>7.55</v>
      </c>
    </row>
    <row r="655" customFormat="false" ht="12.75" hidden="false" customHeight="false" outlineLevel="0" collapsed="false">
      <c r="A655" s="215" t="n">
        <v>40562</v>
      </c>
      <c r="B655" s="213" t="n">
        <v>48.8</v>
      </c>
      <c r="C655" s="213" t="n">
        <f aca="false">AVERAGEIFS($B$33:$B$1494,$A$33:$A$1494,A655)</f>
        <v>48.8333333333333</v>
      </c>
      <c r="D655" s="213" t="n">
        <v>46.6</v>
      </c>
      <c r="E655" s="213" t="n">
        <f aca="false">AVERAGEIFS($D$33:$D$1494,$A$33:$A$1494,A655)</f>
        <v>46.6666666666667</v>
      </c>
      <c r="F655" s="213" t="n">
        <v>7.8</v>
      </c>
      <c r="G655" s="213" t="n">
        <f aca="false">AVERAGEIFS($F$33:$F$1494,$A$33:$A$1494,A655)</f>
        <v>7.56666666666667</v>
      </c>
      <c r="H655" s="213" t="n">
        <v>7.5</v>
      </c>
      <c r="I655" s="213" t="n">
        <f aca="false">AVERAGEIFS($H$33:$H$1494,$A$33:$A$1494,A655)</f>
        <v>7.55</v>
      </c>
      <c r="L655" s="215" t="n">
        <v>40562</v>
      </c>
      <c r="M655" s="213" t="n">
        <v>48.8333333333333</v>
      </c>
      <c r="N655" s="213" t="n">
        <v>46.6666666666667</v>
      </c>
      <c r="O655" s="213" t="n">
        <v>7.56666666666667</v>
      </c>
      <c r="P655" s="213" t="n">
        <v>7.55</v>
      </c>
    </row>
    <row r="656" customFormat="false" ht="12.75" hidden="false" customHeight="false" outlineLevel="0" collapsed="false">
      <c r="A656" s="215" t="n">
        <v>40562</v>
      </c>
      <c r="B656" s="213" t="n">
        <v>48.8</v>
      </c>
      <c r="C656" s="213" t="n">
        <f aca="false">AVERAGEIFS($B$33:$B$1494,$A$33:$A$1494,A656)</f>
        <v>48.8333333333333</v>
      </c>
      <c r="D656" s="213" t="n">
        <v>46.6</v>
      </c>
      <c r="E656" s="213" t="n">
        <f aca="false">AVERAGEIFS($D$33:$D$1494,$A$33:$A$1494,A656)</f>
        <v>46.6666666666667</v>
      </c>
      <c r="F656" s="213" t="n">
        <v>7.5</v>
      </c>
      <c r="G656" s="213" t="n">
        <f aca="false">AVERAGEIFS($F$33:$F$1494,$A$33:$A$1494,A656)</f>
        <v>7.56666666666667</v>
      </c>
      <c r="H656" s="213" t="n">
        <v>7.5</v>
      </c>
      <c r="I656" s="213" t="n">
        <f aca="false">AVERAGEIFS($H$33:$H$1494,$A$33:$A$1494,A656)</f>
        <v>7.55</v>
      </c>
      <c r="L656" s="215" t="n">
        <v>40562</v>
      </c>
      <c r="M656" s="213" t="n">
        <v>48.8333333333333</v>
      </c>
      <c r="N656" s="213" t="n">
        <v>46.6666666666667</v>
      </c>
      <c r="O656" s="213" t="n">
        <v>7.56666666666667</v>
      </c>
      <c r="P656" s="213" t="n">
        <v>7.55</v>
      </c>
    </row>
    <row r="657" customFormat="false" ht="12.75" hidden="false" customHeight="false" outlineLevel="0" collapsed="false">
      <c r="A657" s="215" t="n">
        <v>40563</v>
      </c>
      <c r="B657" s="213" t="n">
        <v>48.8</v>
      </c>
      <c r="C657" s="213" t="n">
        <f aca="false">AVERAGEIFS($B$33:$B$1494,$A$33:$A$1494,A657)</f>
        <v>48.7666666666667</v>
      </c>
      <c r="D657" s="213" t="n">
        <v>46.6</v>
      </c>
      <c r="E657" s="213" t="n">
        <f aca="false">AVERAGEIFS($D$33:$D$1494,$A$33:$A$1494,A657)</f>
        <v>46.5666666666667</v>
      </c>
      <c r="F657" s="213" t="n">
        <v>6.6</v>
      </c>
      <c r="G657" s="213" t="n">
        <f aca="false">AVERAGEIFS($F$33:$F$1494,$A$33:$A$1494,A657)</f>
        <v>5.26666666666667</v>
      </c>
      <c r="H657" s="213" t="n">
        <v>7.5</v>
      </c>
      <c r="I657" s="213" t="n">
        <f aca="false">AVERAGEIFS($H$33:$H$1494,$A$33:$A$1494,A657)</f>
        <v>6.81666666666667</v>
      </c>
      <c r="L657" s="215" t="n">
        <v>40563</v>
      </c>
      <c r="M657" s="213" t="n">
        <v>48.7666666666667</v>
      </c>
      <c r="N657" s="213" t="n">
        <v>46.5666666666667</v>
      </c>
      <c r="O657" s="213" t="n">
        <v>5.26666666666667</v>
      </c>
      <c r="P657" s="213" t="n">
        <v>6.81666666666667</v>
      </c>
    </row>
    <row r="658" customFormat="false" ht="12.75" hidden="false" customHeight="false" outlineLevel="0" collapsed="false">
      <c r="A658" s="215" t="n">
        <v>40563</v>
      </c>
      <c r="B658" s="213" t="n">
        <v>48.8</v>
      </c>
      <c r="C658" s="213" t="n">
        <f aca="false">AVERAGEIFS($B$33:$B$1494,$A$33:$A$1494,A658)</f>
        <v>48.7666666666667</v>
      </c>
      <c r="D658" s="213" t="n">
        <v>46.6</v>
      </c>
      <c r="E658" s="213" t="n">
        <f aca="false">AVERAGEIFS($D$33:$D$1494,$A$33:$A$1494,A658)</f>
        <v>46.5666666666667</v>
      </c>
      <c r="F658" s="213" t="n">
        <v>5.7</v>
      </c>
      <c r="G658" s="213" t="n">
        <f aca="false">AVERAGEIFS($F$33:$F$1494,$A$33:$A$1494,A658)</f>
        <v>5.26666666666667</v>
      </c>
      <c r="H658" s="213" t="n">
        <v>7.3</v>
      </c>
      <c r="I658" s="213" t="n">
        <f aca="false">AVERAGEIFS($H$33:$H$1494,$A$33:$A$1494,A658)</f>
        <v>6.81666666666667</v>
      </c>
      <c r="L658" s="215" t="n">
        <v>40563</v>
      </c>
      <c r="M658" s="213" t="n">
        <v>48.7666666666667</v>
      </c>
      <c r="N658" s="213" t="n">
        <v>46.5666666666667</v>
      </c>
      <c r="O658" s="213" t="n">
        <v>5.26666666666667</v>
      </c>
      <c r="P658" s="213" t="n">
        <v>6.81666666666667</v>
      </c>
    </row>
    <row r="659" customFormat="false" ht="12.75" hidden="false" customHeight="false" outlineLevel="0" collapsed="false">
      <c r="A659" s="215" t="n">
        <v>40563</v>
      </c>
      <c r="B659" s="213" t="n">
        <v>48.8</v>
      </c>
      <c r="C659" s="213" t="n">
        <f aca="false">AVERAGEIFS($B$33:$B$1494,$A$33:$A$1494,A659)</f>
        <v>48.7666666666667</v>
      </c>
      <c r="D659" s="213" t="n">
        <v>46.6</v>
      </c>
      <c r="E659" s="213" t="n">
        <f aca="false">AVERAGEIFS($D$33:$D$1494,$A$33:$A$1494,A659)</f>
        <v>46.5666666666667</v>
      </c>
      <c r="F659" s="213" t="n">
        <v>4.8</v>
      </c>
      <c r="G659" s="213" t="n">
        <f aca="false">AVERAGEIFS($F$33:$F$1494,$A$33:$A$1494,A659)</f>
        <v>5.26666666666667</v>
      </c>
      <c r="H659" s="213" t="n">
        <v>7</v>
      </c>
      <c r="I659" s="213" t="n">
        <f aca="false">AVERAGEIFS($H$33:$H$1494,$A$33:$A$1494,A659)</f>
        <v>6.81666666666667</v>
      </c>
      <c r="L659" s="215" t="n">
        <v>40563</v>
      </c>
      <c r="M659" s="213" t="n">
        <v>48.7666666666667</v>
      </c>
      <c r="N659" s="213" t="n">
        <v>46.5666666666667</v>
      </c>
      <c r="O659" s="213" t="n">
        <v>5.26666666666667</v>
      </c>
      <c r="P659" s="213" t="n">
        <v>6.81666666666667</v>
      </c>
    </row>
    <row r="660" customFormat="false" ht="12.75" hidden="false" customHeight="false" outlineLevel="0" collapsed="false">
      <c r="A660" s="215" t="n">
        <v>40563</v>
      </c>
      <c r="B660" s="213" t="n">
        <v>48.8</v>
      </c>
      <c r="C660" s="213" t="n">
        <f aca="false">AVERAGEIFS($B$33:$B$1494,$A$33:$A$1494,A660)</f>
        <v>48.7666666666667</v>
      </c>
      <c r="D660" s="213" t="n">
        <v>46.6</v>
      </c>
      <c r="E660" s="213" t="n">
        <f aca="false">AVERAGEIFS($D$33:$D$1494,$A$33:$A$1494,A660)</f>
        <v>46.5666666666667</v>
      </c>
      <c r="F660" s="213" t="n">
        <v>4.4</v>
      </c>
      <c r="G660" s="213" t="n">
        <f aca="false">AVERAGEIFS($F$33:$F$1494,$A$33:$A$1494,A660)</f>
        <v>5.26666666666667</v>
      </c>
      <c r="H660" s="213" t="n">
        <v>6.6</v>
      </c>
      <c r="I660" s="213" t="n">
        <f aca="false">AVERAGEIFS($H$33:$H$1494,$A$33:$A$1494,A660)</f>
        <v>6.81666666666667</v>
      </c>
      <c r="L660" s="215" t="n">
        <v>40563</v>
      </c>
      <c r="M660" s="213" t="n">
        <v>48.7666666666667</v>
      </c>
      <c r="N660" s="213" t="n">
        <v>46.5666666666667</v>
      </c>
      <c r="O660" s="213" t="n">
        <v>5.26666666666667</v>
      </c>
      <c r="P660" s="213" t="n">
        <v>6.81666666666667</v>
      </c>
    </row>
    <row r="661" customFormat="false" ht="12.75" hidden="false" customHeight="false" outlineLevel="0" collapsed="false">
      <c r="A661" s="215" t="n">
        <v>40563</v>
      </c>
      <c r="B661" s="213" t="n">
        <v>48.7</v>
      </c>
      <c r="C661" s="213" t="n">
        <f aca="false">AVERAGEIFS($B$33:$B$1494,$A$33:$A$1494,A661)</f>
        <v>48.7666666666667</v>
      </c>
      <c r="D661" s="213" t="n">
        <v>46.5</v>
      </c>
      <c r="E661" s="213" t="n">
        <f aca="false">AVERAGEIFS($D$33:$D$1494,$A$33:$A$1494,A661)</f>
        <v>46.5666666666667</v>
      </c>
      <c r="F661" s="213" t="n">
        <v>5</v>
      </c>
      <c r="G661" s="213" t="n">
        <f aca="false">AVERAGEIFS($F$33:$F$1494,$A$33:$A$1494,A661)</f>
        <v>5.26666666666667</v>
      </c>
      <c r="H661" s="213" t="n">
        <v>6.3</v>
      </c>
      <c r="I661" s="213" t="n">
        <f aca="false">AVERAGEIFS($H$33:$H$1494,$A$33:$A$1494,A661)</f>
        <v>6.81666666666667</v>
      </c>
      <c r="L661" s="215" t="n">
        <v>40563</v>
      </c>
      <c r="M661" s="213" t="n">
        <v>48.7666666666667</v>
      </c>
      <c r="N661" s="213" t="n">
        <v>46.5666666666667</v>
      </c>
      <c r="O661" s="213" t="n">
        <v>5.26666666666667</v>
      </c>
      <c r="P661" s="213" t="n">
        <v>6.81666666666667</v>
      </c>
    </row>
    <row r="662" customFormat="false" ht="12.75" hidden="false" customHeight="false" outlineLevel="0" collapsed="false">
      <c r="A662" s="215" t="n">
        <v>40563</v>
      </c>
      <c r="B662" s="213" t="n">
        <v>48.7</v>
      </c>
      <c r="C662" s="213" t="n">
        <f aca="false">AVERAGEIFS($B$33:$B$1494,$A$33:$A$1494,A662)</f>
        <v>48.7666666666667</v>
      </c>
      <c r="D662" s="213" t="n">
        <v>46.5</v>
      </c>
      <c r="E662" s="213" t="n">
        <f aca="false">AVERAGEIFS($D$33:$D$1494,$A$33:$A$1494,A662)</f>
        <v>46.5666666666667</v>
      </c>
      <c r="F662" s="213" t="n">
        <v>5.1</v>
      </c>
      <c r="G662" s="213" t="n">
        <f aca="false">AVERAGEIFS($F$33:$F$1494,$A$33:$A$1494,A662)</f>
        <v>5.26666666666667</v>
      </c>
      <c r="H662" s="213" t="n">
        <v>6.2</v>
      </c>
      <c r="I662" s="213" t="n">
        <f aca="false">AVERAGEIFS($H$33:$H$1494,$A$33:$A$1494,A662)</f>
        <v>6.81666666666667</v>
      </c>
      <c r="L662" s="215" t="n">
        <v>40563</v>
      </c>
      <c r="M662" s="213" t="n">
        <v>48.7666666666667</v>
      </c>
      <c r="N662" s="213" t="n">
        <v>46.5666666666667</v>
      </c>
      <c r="O662" s="213" t="n">
        <v>5.26666666666667</v>
      </c>
      <c r="P662" s="213" t="n">
        <v>6.81666666666667</v>
      </c>
    </row>
    <row r="663" customFormat="false" ht="12.75" hidden="false" customHeight="false" outlineLevel="0" collapsed="false">
      <c r="A663" s="215" t="n">
        <v>40564</v>
      </c>
      <c r="B663" s="213" t="n">
        <v>48.7</v>
      </c>
      <c r="C663" s="213" t="n">
        <f aca="false">AVERAGEIFS($B$33:$B$1494,$A$33:$A$1494,A663)</f>
        <v>48.6833333333333</v>
      </c>
      <c r="D663" s="213" t="n">
        <v>46.5</v>
      </c>
      <c r="E663" s="213" t="n">
        <f aca="false">AVERAGEIFS($D$33:$D$1494,$A$33:$A$1494,A663)</f>
        <v>46.4833333333333</v>
      </c>
      <c r="F663" s="213" t="n">
        <v>4.6</v>
      </c>
      <c r="G663" s="213" t="n">
        <f aca="false">AVERAGEIFS($F$33:$F$1494,$A$33:$A$1494,A663)</f>
        <v>3.93333333333333</v>
      </c>
      <c r="H663" s="213" t="n">
        <v>6.1</v>
      </c>
      <c r="I663" s="213" t="n">
        <f aca="false">AVERAGEIFS($H$33:$H$1494,$A$33:$A$1494,A663)</f>
        <v>5.58333333333333</v>
      </c>
      <c r="L663" s="215" t="n">
        <v>40564</v>
      </c>
      <c r="M663" s="213" t="n">
        <v>48.6833333333333</v>
      </c>
      <c r="N663" s="213" t="n">
        <v>46.4833333333333</v>
      </c>
      <c r="O663" s="213" t="n">
        <v>3.93333333333333</v>
      </c>
      <c r="P663" s="213" t="n">
        <v>5.58333333333333</v>
      </c>
    </row>
    <row r="664" customFormat="false" ht="12.75" hidden="false" customHeight="false" outlineLevel="0" collapsed="false">
      <c r="A664" s="215" t="n">
        <v>40564</v>
      </c>
      <c r="B664" s="213" t="n">
        <v>48.7</v>
      </c>
      <c r="C664" s="213" t="n">
        <f aca="false">AVERAGEIFS($B$33:$B$1494,$A$33:$A$1494,A664)</f>
        <v>48.6833333333333</v>
      </c>
      <c r="D664" s="213" t="n">
        <v>46.5</v>
      </c>
      <c r="E664" s="213" t="n">
        <f aca="false">AVERAGEIFS($D$33:$D$1494,$A$33:$A$1494,A664)</f>
        <v>46.4833333333333</v>
      </c>
      <c r="F664" s="213" t="n">
        <v>4.2</v>
      </c>
      <c r="G664" s="213" t="n">
        <f aca="false">AVERAGEIFS($F$33:$F$1494,$A$33:$A$1494,A664)</f>
        <v>3.93333333333333</v>
      </c>
      <c r="H664" s="213" t="n">
        <v>6</v>
      </c>
      <c r="I664" s="213" t="n">
        <f aca="false">AVERAGEIFS($H$33:$H$1494,$A$33:$A$1494,A664)</f>
        <v>5.58333333333333</v>
      </c>
      <c r="L664" s="215" t="n">
        <v>40564</v>
      </c>
      <c r="M664" s="213" t="n">
        <v>48.6833333333333</v>
      </c>
      <c r="N664" s="213" t="n">
        <v>46.4833333333333</v>
      </c>
      <c r="O664" s="213" t="n">
        <v>3.93333333333333</v>
      </c>
      <c r="P664" s="213" t="n">
        <v>5.58333333333333</v>
      </c>
    </row>
    <row r="665" customFormat="false" ht="12.75" hidden="false" customHeight="false" outlineLevel="0" collapsed="false">
      <c r="A665" s="215" t="n">
        <v>40564</v>
      </c>
      <c r="B665" s="213" t="n">
        <v>48.7</v>
      </c>
      <c r="C665" s="213" t="n">
        <f aca="false">AVERAGEIFS($B$33:$B$1494,$A$33:$A$1494,A665)</f>
        <v>48.6833333333333</v>
      </c>
      <c r="D665" s="213" t="n">
        <v>46.5</v>
      </c>
      <c r="E665" s="213" t="n">
        <f aca="false">AVERAGEIFS($D$33:$D$1494,$A$33:$A$1494,A665)</f>
        <v>46.4833333333333</v>
      </c>
      <c r="F665" s="213" t="n">
        <v>3.7</v>
      </c>
      <c r="G665" s="213" t="n">
        <f aca="false">AVERAGEIFS($F$33:$F$1494,$A$33:$A$1494,A665)</f>
        <v>3.93333333333333</v>
      </c>
      <c r="H665" s="213" t="n">
        <v>5.7</v>
      </c>
      <c r="I665" s="213" t="n">
        <f aca="false">AVERAGEIFS($H$33:$H$1494,$A$33:$A$1494,A665)</f>
        <v>5.58333333333333</v>
      </c>
      <c r="L665" s="215" t="n">
        <v>40564</v>
      </c>
      <c r="M665" s="213" t="n">
        <v>48.6833333333333</v>
      </c>
      <c r="N665" s="213" t="n">
        <v>46.4833333333333</v>
      </c>
      <c r="O665" s="213" t="n">
        <v>3.93333333333333</v>
      </c>
      <c r="P665" s="213" t="n">
        <v>5.58333333333333</v>
      </c>
    </row>
    <row r="666" customFormat="false" ht="12.75" hidden="false" customHeight="false" outlineLevel="0" collapsed="false">
      <c r="A666" s="215" t="n">
        <v>40564</v>
      </c>
      <c r="B666" s="213" t="n">
        <v>48.7</v>
      </c>
      <c r="C666" s="213" t="n">
        <f aca="false">AVERAGEIFS($B$33:$B$1494,$A$33:$A$1494,A666)</f>
        <v>48.6833333333333</v>
      </c>
      <c r="D666" s="213" t="n">
        <v>46.5</v>
      </c>
      <c r="E666" s="213" t="n">
        <f aca="false">AVERAGEIFS($D$33:$D$1494,$A$33:$A$1494,A666)</f>
        <v>46.4833333333333</v>
      </c>
      <c r="F666" s="213" t="n">
        <v>3.5</v>
      </c>
      <c r="G666" s="213" t="n">
        <f aca="false">AVERAGEIFS($F$33:$F$1494,$A$33:$A$1494,A666)</f>
        <v>3.93333333333333</v>
      </c>
      <c r="H666" s="213" t="n">
        <v>5.4</v>
      </c>
      <c r="I666" s="213" t="n">
        <f aca="false">AVERAGEIFS($H$33:$H$1494,$A$33:$A$1494,A666)</f>
        <v>5.58333333333333</v>
      </c>
      <c r="L666" s="215" t="n">
        <v>40564</v>
      </c>
      <c r="M666" s="213" t="n">
        <v>48.6833333333333</v>
      </c>
      <c r="N666" s="213" t="n">
        <v>46.4833333333333</v>
      </c>
      <c r="O666" s="213" t="n">
        <v>3.93333333333333</v>
      </c>
      <c r="P666" s="213" t="n">
        <v>5.58333333333333</v>
      </c>
    </row>
    <row r="667" customFormat="false" ht="12.75" hidden="false" customHeight="false" outlineLevel="0" collapsed="false">
      <c r="A667" s="215" t="n">
        <v>40564</v>
      </c>
      <c r="B667" s="213" t="n">
        <v>48.7</v>
      </c>
      <c r="C667" s="213" t="n">
        <f aca="false">AVERAGEIFS($B$33:$B$1494,$A$33:$A$1494,A667)</f>
        <v>48.6833333333333</v>
      </c>
      <c r="D667" s="213" t="n">
        <v>46.5</v>
      </c>
      <c r="E667" s="213" t="n">
        <f aca="false">AVERAGEIFS($D$33:$D$1494,$A$33:$A$1494,A667)</f>
        <v>46.4833333333333</v>
      </c>
      <c r="F667" s="213" t="n">
        <v>3.8</v>
      </c>
      <c r="G667" s="213" t="n">
        <f aca="false">AVERAGEIFS($F$33:$F$1494,$A$33:$A$1494,A667)</f>
        <v>3.93333333333333</v>
      </c>
      <c r="H667" s="213" t="n">
        <v>5.2</v>
      </c>
      <c r="I667" s="213" t="n">
        <f aca="false">AVERAGEIFS($H$33:$H$1494,$A$33:$A$1494,A667)</f>
        <v>5.58333333333333</v>
      </c>
      <c r="L667" s="215" t="n">
        <v>40564</v>
      </c>
      <c r="M667" s="213" t="n">
        <v>48.6833333333333</v>
      </c>
      <c r="N667" s="213" t="n">
        <v>46.4833333333333</v>
      </c>
      <c r="O667" s="213" t="n">
        <v>3.93333333333333</v>
      </c>
      <c r="P667" s="213" t="n">
        <v>5.58333333333333</v>
      </c>
    </row>
    <row r="668" customFormat="false" ht="12.75" hidden="false" customHeight="false" outlineLevel="0" collapsed="false">
      <c r="A668" s="215" t="n">
        <v>40564</v>
      </c>
      <c r="B668" s="213" t="n">
        <v>48.6</v>
      </c>
      <c r="C668" s="213" t="n">
        <f aca="false">AVERAGEIFS($B$33:$B$1494,$A$33:$A$1494,A668)</f>
        <v>48.6833333333333</v>
      </c>
      <c r="D668" s="213" t="n">
        <v>46.4</v>
      </c>
      <c r="E668" s="213" t="n">
        <f aca="false">AVERAGEIFS($D$33:$D$1494,$A$33:$A$1494,A668)</f>
        <v>46.4833333333333</v>
      </c>
      <c r="F668" s="213" t="n">
        <v>3.8</v>
      </c>
      <c r="G668" s="213" t="n">
        <f aca="false">AVERAGEIFS($F$33:$F$1494,$A$33:$A$1494,A668)</f>
        <v>3.93333333333333</v>
      </c>
      <c r="H668" s="213" t="n">
        <v>5.1</v>
      </c>
      <c r="I668" s="213" t="n">
        <f aca="false">AVERAGEIFS($H$33:$H$1494,$A$33:$A$1494,A668)</f>
        <v>5.58333333333333</v>
      </c>
      <c r="L668" s="215" t="n">
        <v>40564</v>
      </c>
      <c r="M668" s="213" t="n">
        <v>48.6833333333333</v>
      </c>
      <c r="N668" s="213" t="n">
        <v>46.4833333333333</v>
      </c>
      <c r="O668" s="213" t="n">
        <v>3.93333333333333</v>
      </c>
      <c r="P668" s="213" t="n">
        <v>5.58333333333333</v>
      </c>
    </row>
    <row r="669" customFormat="false" ht="12.75" hidden="false" customHeight="false" outlineLevel="0" collapsed="false">
      <c r="A669" s="215" t="n">
        <v>40565</v>
      </c>
      <c r="B669" s="213" t="n">
        <v>48.6</v>
      </c>
      <c r="C669" s="213" t="n">
        <f aca="false">AVERAGEIFS($B$33:$B$1494,$A$33:$A$1494,A669)</f>
        <v>48.6</v>
      </c>
      <c r="D669" s="213" t="n">
        <v>46.4</v>
      </c>
      <c r="E669" s="213" t="n">
        <f aca="false">AVERAGEIFS($D$33:$D$1494,$A$33:$A$1494,A669)</f>
        <v>46.4</v>
      </c>
      <c r="F669" s="213" t="n">
        <v>3.3</v>
      </c>
      <c r="G669" s="213" t="n">
        <f aca="false">AVERAGEIFS($F$33:$F$1494,$A$33:$A$1494,A669)</f>
        <v>2.66666666666667</v>
      </c>
      <c r="H669" s="213" t="n">
        <v>5</v>
      </c>
      <c r="I669" s="213" t="n">
        <f aca="false">AVERAGEIFS($H$33:$H$1494,$A$33:$A$1494,A669)</f>
        <v>4.55</v>
      </c>
      <c r="L669" s="215" t="n">
        <v>40565</v>
      </c>
      <c r="M669" s="213" t="n">
        <v>48.6</v>
      </c>
      <c r="N669" s="213" t="n">
        <v>46.4</v>
      </c>
      <c r="O669" s="213" t="n">
        <v>2.66666666666667</v>
      </c>
      <c r="P669" s="213" t="n">
        <v>4.55</v>
      </c>
    </row>
    <row r="670" customFormat="false" ht="12.75" hidden="false" customHeight="false" outlineLevel="0" collapsed="false">
      <c r="A670" s="215" t="n">
        <v>40565</v>
      </c>
      <c r="B670" s="213" t="n">
        <v>48.6</v>
      </c>
      <c r="C670" s="213" t="n">
        <f aca="false">AVERAGEIFS($B$33:$B$1494,$A$33:$A$1494,A670)</f>
        <v>48.6</v>
      </c>
      <c r="D670" s="213" t="n">
        <v>46.4</v>
      </c>
      <c r="E670" s="213" t="n">
        <f aca="false">AVERAGEIFS($D$33:$D$1494,$A$33:$A$1494,A670)</f>
        <v>46.4</v>
      </c>
      <c r="F670" s="213" t="n">
        <v>2.9</v>
      </c>
      <c r="G670" s="213" t="n">
        <f aca="false">AVERAGEIFS($F$33:$F$1494,$A$33:$A$1494,A670)</f>
        <v>2.66666666666667</v>
      </c>
      <c r="H670" s="213" t="n">
        <v>4.8</v>
      </c>
      <c r="I670" s="213" t="n">
        <f aca="false">AVERAGEIFS($H$33:$H$1494,$A$33:$A$1494,A670)</f>
        <v>4.55</v>
      </c>
      <c r="L670" s="215" t="n">
        <v>40565</v>
      </c>
      <c r="M670" s="213" t="n">
        <v>48.6</v>
      </c>
      <c r="N670" s="213" t="n">
        <v>46.4</v>
      </c>
      <c r="O670" s="213" t="n">
        <v>2.66666666666667</v>
      </c>
      <c r="P670" s="213" t="n">
        <v>4.55</v>
      </c>
    </row>
    <row r="671" customFormat="false" ht="12.75" hidden="false" customHeight="false" outlineLevel="0" collapsed="false">
      <c r="A671" s="215" t="n">
        <v>40565</v>
      </c>
      <c r="B671" s="213" t="n">
        <v>48.6</v>
      </c>
      <c r="C671" s="213" t="n">
        <f aca="false">AVERAGEIFS($B$33:$B$1494,$A$33:$A$1494,A671)</f>
        <v>48.6</v>
      </c>
      <c r="D671" s="213" t="n">
        <v>46.4</v>
      </c>
      <c r="E671" s="213" t="n">
        <f aca="false">AVERAGEIFS($D$33:$D$1494,$A$33:$A$1494,A671)</f>
        <v>46.4</v>
      </c>
      <c r="F671" s="213" t="n">
        <v>2.6</v>
      </c>
      <c r="G671" s="213" t="n">
        <f aca="false">AVERAGEIFS($F$33:$F$1494,$A$33:$A$1494,A671)</f>
        <v>2.66666666666667</v>
      </c>
      <c r="H671" s="213" t="n">
        <v>4.6</v>
      </c>
      <c r="I671" s="213" t="n">
        <f aca="false">AVERAGEIFS($H$33:$H$1494,$A$33:$A$1494,A671)</f>
        <v>4.55</v>
      </c>
      <c r="L671" s="215" t="n">
        <v>40565</v>
      </c>
      <c r="M671" s="213" t="n">
        <v>48.6</v>
      </c>
      <c r="N671" s="213" t="n">
        <v>46.4</v>
      </c>
      <c r="O671" s="213" t="n">
        <v>2.66666666666667</v>
      </c>
      <c r="P671" s="213" t="n">
        <v>4.55</v>
      </c>
    </row>
    <row r="672" customFormat="false" ht="12.75" hidden="false" customHeight="false" outlineLevel="0" collapsed="false">
      <c r="A672" s="215" t="n">
        <v>40565</v>
      </c>
      <c r="B672" s="213" t="n">
        <v>48.6</v>
      </c>
      <c r="C672" s="213" t="n">
        <f aca="false">AVERAGEIFS($B$33:$B$1494,$A$33:$A$1494,A672)</f>
        <v>48.6</v>
      </c>
      <c r="D672" s="213" t="n">
        <v>46.4</v>
      </c>
      <c r="E672" s="213" t="n">
        <f aca="false">AVERAGEIFS($D$33:$D$1494,$A$33:$A$1494,A672)</f>
        <v>46.4</v>
      </c>
      <c r="F672" s="213" t="n">
        <v>2.4</v>
      </c>
      <c r="G672" s="213" t="n">
        <f aca="false">AVERAGEIFS($F$33:$F$1494,$A$33:$A$1494,A672)</f>
        <v>2.66666666666667</v>
      </c>
      <c r="H672" s="213" t="n">
        <v>4.5</v>
      </c>
      <c r="I672" s="213" t="n">
        <f aca="false">AVERAGEIFS($H$33:$H$1494,$A$33:$A$1494,A672)</f>
        <v>4.55</v>
      </c>
      <c r="L672" s="215" t="n">
        <v>40565</v>
      </c>
      <c r="M672" s="213" t="n">
        <v>48.6</v>
      </c>
      <c r="N672" s="213" t="n">
        <v>46.4</v>
      </c>
      <c r="O672" s="213" t="n">
        <v>2.66666666666667</v>
      </c>
      <c r="P672" s="213" t="n">
        <v>4.55</v>
      </c>
    </row>
    <row r="673" customFormat="false" ht="12.75" hidden="false" customHeight="false" outlineLevel="0" collapsed="false">
      <c r="A673" s="215" t="n">
        <v>40565</v>
      </c>
      <c r="B673" s="213" t="n">
        <v>48.6</v>
      </c>
      <c r="C673" s="213" t="n">
        <f aca="false">AVERAGEIFS($B$33:$B$1494,$A$33:$A$1494,A673)</f>
        <v>48.6</v>
      </c>
      <c r="D673" s="213" t="n">
        <v>46.4</v>
      </c>
      <c r="E673" s="213" t="n">
        <f aca="false">AVERAGEIFS($D$33:$D$1494,$A$33:$A$1494,A673)</f>
        <v>46.4</v>
      </c>
      <c r="F673" s="213" t="n">
        <v>2.4</v>
      </c>
      <c r="G673" s="213" t="n">
        <f aca="false">AVERAGEIFS($F$33:$F$1494,$A$33:$A$1494,A673)</f>
        <v>2.66666666666667</v>
      </c>
      <c r="H673" s="213" t="n">
        <v>4.3</v>
      </c>
      <c r="I673" s="213" t="n">
        <f aca="false">AVERAGEIFS($H$33:$H$1494,$A$33:$A$1494,A673)</f>
        <v>4.55</v>
      </c>
      <c r="L673" s="215" t="n">
        <v>40565</v>
      </c>
      <c r="M673" s="213" t="n">
        <v>48.6</v>
      </c>
      <c r="N673" s="213" t="n">
        <v>46.4</v>
      </c>
      <c r="O673" s="213" t="n">
        <v>2.66666666666667</v>
      </c>
      <c r="P673" s="213" t="n">
        <v>4.55</v>
      </c>
    </row>
    <row r="674" customFormat="false" ht="12.75" hidden="false" customHeight="false" outlineLevel="0" collapsed="false">
      <c r="A674" s="215" t="n">
        <v>40565</v>
      </c>
      <c r="B674" s="213" t="n">
        <v>48.6</v>
      </c>
      <c r="C674" s="213" t="n">
        <f aca="false">AVERAGEIFS($B$33:$B$1494,$A$33:$A$1494,A674)</f>
        <v>48.6</v>
      </c>
      <c r="D674" s="213" t="n">
        <v>46.4</v>
      </c>
      <c r="E674" s="213" t="n">
        <f aca="false">AVERAGEIFS($D$33:$D$1494,$A$33:$A$1494,A674)</f>
        <v>46.4</v>
      </c>
      <c r="F674" s="213" t="n">
        <v>2.4</v>
      </c>
      <c r="G674" s="213" t="n">
        <f aca="false">AVERAGEIFS($F$33:$F$1494,$A$33:$A$1494,A674)</f>
        <v>2.66666666666667</v>
      </c>
      <c r="H674" s="213" t="n">
        <v>4.1</v>
      </c>
      <c r="I674" s="213" t="n">
        <f aca="false">AVERAGEIFS($H$33:$H$1494,$A$33:$A$1494,A674)</f>
        <v>4.55</v>
      </c>
      <c r="L674" s="215" t="n">
        <v>40565</v>
      </c>
      <c r="M674" s="213" t="n">
        <v>48.6</v>
      </c>
      <c r="N674" s="213" t="n">
        <v>46.4</v>
      </c>
      <c r="O674" s="213" t="n">
        <v>2.66666666666667</v>
      </c>
      <c r="P674" s="213" t="n">
        <v>4.55</v>
      </c>
    </row>
    <row r="675" customFormat="false" ht="12.75" hidden="false" customHeight="false" outlineLevel="0" collapsed="false">
      <c r="A675" s="215" t="n">
        <v>40566</v>
      </c>
      <c r="B675" s="213" t="n">
        <v>48.6</v>
      </c>
      <c r="C675" s="213" t="n">
        <f aca="false">AVERAGEIFS($B$33:$B$1494,$A$33:$A$1494,A675)</f>
        <v>48.5666666666667</v>
      </c>
      <c r="D675" s="213" t="n">
        <v>46.4</v>
      </c>
      <c r="E675" s="213" t="n">
        <f aca="false">AVERAGEIFS($D$33:$D$1494,$A$33:$A$1494,A675)</f>
        <v>46.3666666666667</v>
      </c>
      <c r="F675" s="213" t="n">
        <v>2.2</v>
      </c>
      <c r="G675" s="213" t="n">
        <f aca="false">AVERAGEIFS($F$33:$F$1494,$A$33:$A$1494,A675)</f>
        <v>2.28333333333333</v>
      </c>
      <c r="H675" s="213" t="n">
        <v>4</v>
      </c>
      <c r="I675" s="213" t="n">
        <f aca="false">AVERAGEIFS($H$33:$H$1494,$A$33:$A$1494,A675)</f>
        <v>3.76666666666667</v>
      </c>
      <c r="L675" s="215" t="n">
        <v>40566</v>
      </c>
      <c r="M675" s="213" t="n">
        <v>48.5666666666667</v>
      </c>
      <c r="N675" s="213" t="n">
        <v>46.3666666666667</v>
      </c>
      <c r="O675" s="213" t="n">
        <v>2.28333333333333</v>
      </c>
      <c r="P675" s="213" t="n">
        <v>3.76666666666667</v>
      </c>
    </row>
    <row r="676" customFormat="false" ht="12.75" hidden="false" customHeight="false" outlineLevel="0" collapsed="false">
      <c r="A676" s="215" t="n">
        <v>40566</v>
      </c>
      <c r="B676" s="213" t="n">
        <v>48.6</v>
      </c>
      <c r="C676" s="213" t="n">
        <f aca="false">AVERAGEIFS($B$33:$B$1494,$A$33:$A$1494,A676)</f>
        <v>48.5666666666667</v>
      </c>
      <c r="D676" s="213" t="n">
        <v>46.4</v>
      </c>
      <c r="E676" s="213" t="n">
        <f aca="false">AVERAGEIFS($D$33:$D$1494,$A$33:$A$1494,A676)</f>
        <v>46.3666666666667</v>
      </c>
      <c r="F676" s="213" t="n">
        <v>2.1</v>
      </c>
      <c r="G676" s="213" t="n">
        <f aca="false">AVERAGEIFS($F$33:$F$1494,$A$33:$A$1494,A676)</f>
        <v>2.28333333333333</v>
      </c>
      <c r="H676" s="213" t="n">
        <v>3.9</v>
      </c>
      <c r="I676" s="213" t="n">
        <f aca="false">AVERAGEIFS($H$33:$H$1494,$A$33:$A$1494,A676)</f>
        <v>3.76666666666667</v>
      </c>
      <c r="L676" s="215" t="n">
        <v>40566</v>
      </c>
      <c r="M676" s="213" t="n">
        <v>48.5666666666667</v>
      </c>
      <c r="N676" s="213" t="n">
        <v>46.3666666666667</v>
      </c>
      <c r="O676" s="213" t="n">
        <v>2.28333333333333</v>
      </c>
      <c r="P676" s="213" t="n">
        <v>3.76666666666667</v>
      </c>
    </row>
    <row r="677" customFormat="false" ht="12.75" hidden="false" customHeight="false" outlineLevel="0" collapsed="false">
      <c r="A677" s="215" t="n">
        <v>40566</v>
      </c>
      <c r="B677" s="213" t="n">
        <v>48.6</v>
      </c>
      <c r="C677" s="213" t="n">
        <f aca="false">AVERAGEIFS($B$33:$B$1494,$A$33:$A$1494,A677)</f>
        <v>48.5666666666667</v>
      </c>
      <c r="D677" s="213" t="n">
        <v>46.4</v>
      </c>
      <c r="E677" s="213" t="n">
        <f aca="false">AVERAGEIFS($D$33:$D$1494,$A$33:$A$1494,A677)</f>
        <v>46.3666666666667</v>
      </c>
      <c r="F677" s="213" t="n">
        <v>2</v>
      </c>
      <c r="G677" s="213" t="n">
        <f aca="false">AVERAGEIFS($F$33:$F$1494,$A$33:$A$1494,A677)</f>
        <v>2.28333333333333</v>
      </c>
      <c r="H677" s="213" t="n">
        <v>3.8</v>
      </c>
      <c r="I677" s="213" t="n">
        <f aca="false">AVERAGEIFS($H$33:$H$1494,$A$33:$A$1494,A677)</f>
        <v>3.76666666666667</v>
      </c>
      <c r="L677" s="215" t="n">
        <v>40566</v>
      </c>
      <c r="M677" s="213" t="n">
        <v>48.5666666666667</v>
      </c>
      <c r="N677" s="213" t="n">
        <v>46.3666666666667</v>
      </c>
      <c r="O677" s="213" t="n">
        <v>2.28333333333333</v>
      </c>
      <c r="P677" s="213" t="n">
        <v>3.76666666666667</v>
      </c>
    </row>
    <row r="678" customFormat="false" ht="12.75" hidden="false" customHeight="false" outlineLevel="0" collapsed="false">
      <c r="A678" s="215" t="n">
        <v>40566</v>
      </c>
      <c r="B678" s="213" t="n">
        <v>48.6</v>
      </c>
      <c r="C678" s="213" t="n">
        <f aca="false">AVERAGEIFS($B$33:$B$1494,$A$33:$A$1494,A678)</f>
        <v>48.5666666666667</v>
      </c>
      <c r="D678" s="213" t="n">
        <v>46.4</v>
      </c>
      <c r="E678" s="213" t="n">
        <f aca="false">AVERAGEIFS($D$33:$D$1494,$A$33:$A$1494,A678)</f>
        <v>46.3666666666667</v>
      </c>
      <c r="F678" s="213" t="n">
        <v>2.1</v>
      </c>
      <c r="G678" s="213" t="n">
        <f aca="false">AVERAGEIFS($F$33:$F$1494,$A$33:$A$1494,A678)</f>
        <v>2.28333333333333</v>
      </c>
      <c r="H678" s="213" t="n">
        <v>3.7</v>
      </c>
      <c r="I678" s="213" t="n">
        <f aca="false">AVERAGEIFS($H$33:$H$1494,$A$33:$A$1494,A678)</f>
        <v>3.76666666666667</v>
      </c>
      <c r="L678" s="215" t="n">
        <v>40566</v>
      </c>
      <c r="M678" s="213" t="n">
        <v>48.5666666666667</v>
      </c>
      <c r="N678" s="213" t="n">
        <v>46.3666666666667</v>
      </c>
      <c r="O678" s="213" t="n">
        <v>2.28333333333333</v>
      </c>
      <c r="P678" s="213" t="n">
        <v>3.76666666666667</v>
      </c>
    </row>
    <row r="679" customFormat="false" ht="12.75" hidden="false" customHeight="false" outlineLevel="0" collapsed="false">
      <c r="A679" s="215" t="n">
        <v>40566</v>
      </c>
      <c r="B679" s="213" t="n">
        <v>48.5</v>
      </c>
      <c r="C679" s="213" t="n">
        <f aca="false">AVERAGEIFS($B$33:$B$1494,$A$33:$A$1494,A679)</f>
        <v>48.5666666666667</v>
      </c>
      <c r="D679" s="213" t="n">
        <v>46.3</v>
      </c>
      <c r="E679" s="213" t="n">
        <f aca="false">AVERAGEIFS($D$33:$D$1494,$A$33:$A$1494,A679)</f>
        <v>46.3666666666667</v>
      </c>
      <c r="F679" s="213" t="n">
        <v>2.6</v>
      </c>
      <c r="G679" s="213" t="n">
        <f aca="false">AVERAGEIFS($F$33:$F$1494,$A$33:$A$1494,A679)</f>
        <v>2.28333333333333</v>
      </c>
      <c r="H679" s="213" t="n">
        <v>3.6</v>
      </c>
      <c r="I679" s="213" t="n">
        <f aca="false">AVERAGEIFS($H$33:$H$1494,$A$33:$A$1494,A679)</f>
        <v>3.76666666666667</v>
      </c>
      <c r="L679" s="215" t="n">
        <v>40566</v>
      </c>
      <c r="M679" s="213" t="n">
        <v>48.5666666666667</v>
      </c>
      <c r="N679" s="213" t="n">
        <v>46.3666666666667</v>
      </c>
      <c r="O679" s="213" t="n">
        <v>2.28333333333333</v>
      </c>
      <c r="P679" s="213" t="n">
        <v>3.76666666666667</v>
      </c>
    </row>
    <row r="680" customFormat="false" ht="12.75" hidden="false" customHeight="false" outlineLevel="0" collapsed="false">
      <c r="A680" s="215" t="n">
        <v>40566</v>
      </c>
      <c r="B680" s="213" t="n">
        <v>48.5</v>
      </c>
      <c r="C680" s="213" t="n">
        <f aca="false">AVERAGEIFS($B$33:$B$1494,$A$33:$A$1494,A680)</f>
        <v>48.5666666666667</v>
      </c>
      <c r="D680" s="213" t="n">
        <v>46.3</v>
      </c>
      <c r="E680" s="213" t="n">
        <f aca="false">AVERAGEIFS($D$33:$D$1494,$A$33:$A$1494,A680)</f>
        <v>46.3666666666667</v>
      </c>
      <c r="F680" s="213" t="n">
        <v>2.7</v>
      </c>
      <c r="G680" s="213" t="n">
        <f aca="false">AVERAGEIFS($F$33:$F$1494,$A$33:$A$1494,A680)</f>
        <v>2.28333333333333</v>
      </c>
      <c r="H680" s="213" t="n">
        <v>3.6</v>
      </c>
      <c r="I680" s="213" t="n">
        <f aca="false">AVERAGEIFS($H$33:$H$1494,$A$33:$A$1494,A680)</f>
        <v>3.76666666666667</v>
      </c>
      <c r="L680" s="215" t="n">
        <v>40566</v>
      </c>
      <c r="M680" s="213" t="n">
        <v>48.5666666666667</v>
      </c>
      <c r="N680" s="213" t="n">
        <v>46.3666666666667</v>
      </c>
      <c r="O680" s="213" t="n">
        <v>2.28333333333333</v>
      </c>
      <c r="P680" s="213" t="n">
        <v>3.76666666666667</v>
      </c>
    </row>
    <row r="681" customFormat="false" ht="12.75" hidden="false" customHeight="false" outlineLevel="0" collapsed="false">
      <c r="A681" s="215" t="n">
        <v>40567</v>
      </c>
      <c r="B681" s="213" t="n">
        <v>48.5</v>
      </c>
      <c r="C681" s="213" t="n">
        <f aca="false">AVERAGEIFS($B$33:$B$1494,$A$33:$A$1494,A681)</f>
        <v>48.45</v>
      </c>
      <c r="D681" s="213" t="n">
        <v>46.3</v>
      </c>
      <c r="E681" s="213" t="n">
        <f aca="false">AVERAGEIFS($D$33:$D$1494,$A$33:$A$1494,A681)</f>
        <v>46.3</v>
      </c>
      <c r="F681" s="213" t="n">
        <v>2.2</v>
      </c>
      <c r="G681" s="213" t="n">
        <f aca="false">AVERAGEIFS($F$33:$F$1494,$A$33:$A$1494,A681)</f>
        <v>1.98333333333333</v>
      </c>
      <c r="H681" s="213" t="n">
        <v>3.7</v>
      </c>
      <c r="I681" s="213" t="n">
        <f aca="false">AVERAGEIFS($H$33:$H$1494,$A$33:$A$1494,A681)</f>
        <v>3.46666666666667</v>
      </c>
      <c r="L681" s="215" t="n">
        <v>40567</v>
      </c>
      <c r="M681" s="213" t="n">
        <v>48.45</v>
      </c>
      <c r="N681" s="213" t="n">
        <v>46.3</v>
      </c>
      <c r="O681" s="213" t="n">
        <v>1.98333333333333</v>
      </c>
      <c r="P681" s="213" t="n">
        <v>3.46666666666667</v>
      </c>
    </row>
    <row r="682" customFormat="false" ht="12.75" hidden="false" customHeight="false" outlineLevel="0" collapsed="false">
      <c r="A682" s="215" t="n">
        <v>40567</v>
      </c>
      <c r="B682" s="213" t="n">
        <v>48.5</v>
      </c>
      <c r="C682" s="213" t="n">
        <f aca="false">AVERAGEIFS($B$33:$B$1494,$A$33:$A$1494,A682)</f>
        <v>48.45</v>
      </c>
      <c r="D682" s="213" t="n">
        <v>46.3</v>
      </c>
      <c r="E682" s="213" t="n">
        <f aca="false">AVERAGEIFS($D$33:$D$1494,$A$33:$A$1494,A682)</f>
        <v>46.3</v>
      </c>
      <c r="F682" s="213" t="n">
        <v>1.9</v>
      </c>
      <c r="G682" s="213" t="n">
        <f aca="false">AVERAGEIFS($F$33:$F$1494,$A$33:$A$1494,A682)</f>
        <v>1.98333333333333</v>
      </c>
      <c r="H682" s="213" t="n">
        <v>3.6</v>
      </c>
      <c r="I682" s="213" t="n">
        <f aca="false">AVERAGEIFS($H$33:$H$1494,$A$33:$A$1494,A682)</f>
        <v>3.46666666666667</v>
      </c>
      <c r="L682" s="215" t="n">
        <v>40567</v>
      </c>
      <c r="M682" s="213" t="n">
        <v>48.45</v>
      </c>
      <c r="N682" s="213" t="n">
        <v>46.3</v>
      </c>
      <c r="O682" s="213" t="n">
        <v>1.98333333333333</v>
      </c>
      <c r="P682" s="213" t="n">
        <v>3.46666666666667</v>
      </c>
    </row>
    <row r="683" customFormat="false" ht="12.75" hidden="false" customHeight="false" outlineLevel="0" collapsed="false">
      <c r="A683" s="215" t="n">
        <v>40567</v>
      </c>
      <c r="B683" s="213" t="n">
        <v>48.5</v>
      </c>
      <c r="C683" s="213" t="n">
        <f aca="false">AVERAGEIFS($B$33:$B$1494,$A$33:$A$1494,A683)</f>
        <v>48.45</v>
      </c>
      <c r="D683" s="213" t="n">
        <v>46.3</v>
      </c>
      <c r="E683" s="213" t="n">
        <f aca="false">AVERAGEIFS($D$33:$D$1494,$A$33:$A$1494,A683)</f>
        <v>46.3</v>
      </c>
      <c r="F683" s="213" t="n">
        <v>1.8</v>
      </c>
      <c r="G683" s="213" t="n">
        <f aca="false">AVERAGEIFS($F$33:$F$1494,$A$33:$A$1494,A683)</f>
        <v>1.98333333333333</v>
      </c>
      <c r="H683" s="213" t="n">
        <v>3.5</v>
      </c>
      <c r="I683" s="213" t="n">
        <f aca="false">AVERAGEIFS($H$33:$H$1494,$A$33:$A$1494,A683)</f>
        <v>3.46666666666667</v>
      </c>
      <c r="L683" s="215" t="n">
        <v>40567</v>
      </c>
      <c r="M683" s="213" t="n">
        <v>48.45</v>
      </c>
      <c r="N683" s="213" t="n">
        <v>46.3</v>
      </c>
      <c r="O683" s="213" t="n">
        <v>1.98333333333333</v>
      </c>
      <c r="P683" s="213" t="n">
        <v>3.46666666666667</v>
      </c>
    </row>
    <row r="684" customFormat="false" ht="12.75" hidden="false" customHeight="false" outlineLevel="0" collapsed="false">
      <c r="A684" s="215" t="n">
        <v>40567</v>
      </c>
      <c r="B684" s="213" t="n">
        <v>48.4</v>
      </c>
      <c r="C684" s="213" t="n">
        <f aca="false">AVERAGEIFS($B$33:$B$1494,$A$33:$A$1494,A684)</f>
        <v>48.45</v>
      </c>
      <c r="D684" s="213" t="n">
        <v>46.3</v>
      </c>
      <c r="E684" s="213" t="n">
        <f aca="false">AVERAGEIFS($D$33:$D$1494,$A$33:$A$1494,A684)</f>
        <v>46.3</v>
      </c>
      <c r="F684" s="213" t="n">
        <v>1.9</v>
      </c>
      <c r="G684" s="213" t="n">
        <f aca="false">AVERAGEIFS($F$33:$F$1494,$A$33:$A$1494,A684)</f>
        <v>1.98333333333333</v>
      </c>
      <c r="H684" s="213" t="n">
        <v>3.4</v>
      </c>
      <c r="I684" s="213" t="n">
        <f aca="false">AVERAGEIFS($H$33:$H$1494,$A$33:$A$1494,A684)</f>
        <v>3.46666666666667</v>
      </c>
      <c r="L684" s="215" t="n">
        <v>40567</v>
      </c>
      <c r="M684" s="213" t="n">
        <v>48.45</v>
      </c>
      <c r="N684" s="213" t="n">
        <v>46.3</v>
      </c>
      <c r="O684" s="213" t="n">
        <v>1.98333333333333</v>
      </c>
      <c r="P684" s="213" t="n">
        <v>3.46666666666667</v>
      </c>
    </row>
    <row r="685" customFormat="false" ht="12.75" hidden="false" customHeight="false" outlineLevel="0" collapsed="false">
      <c r="A685" s="215" t="n">
        <v>40567</v>
      </c>
      <c r="B685" s="213" t="n">
        <v>48.4</v>
      </c>
      <c r="C685" s="213" t="n">
        <f aca="false">AVERAGEIFS($B$33:$B$1494,$A$33:$A$1494,A685)</f>
        <v>48.45</v>
      </c>
      <c r="D685" s="213" t="n">
        <v>46.3</v>
      </c>
      <c r="E685" s="213" t="n">
        <f aca="false">AVERAGEIFS($D$33:$D$1494,$A$33:$A$1494,A685)</f>
        <v>46.3</v>
      </c>
      <c r="F685" s="213" t="n">
        <v>2.1</v>
      </c>
      <c r="G685" s="213" t="n">
        <f aca="false">AVERAGEIFS($F$33:$F$1494,$A$33:$A$1494,A685)</f>
        <v>1.98333333333333</v>
      </c>
      <c r="H685" s="213" t="n">
        <v>3.3</v>
      </c>
      <c r="I685" s="213" t="n">
        <f aca="false">AVERAGEIFS($H$33:$H$1494,$A$33:$A$1494,A685)</f>
        <v>3.46666666666667</v>
      </c>
      <c r="L685" s="215" t="n">
        <v>40567</v>
      </c>
      <c r="M685" s="213" t="n">
        <v>48.45</v>
      </c>
      <c r="N685" s="213" t="n">
        <v>46.3</v>
      </c>
      <c r="O685" s="213" t="n">
        <v>1.98333333333333</v>
      </c>
      <c r="P685" s="213" t="n">
        <v>3.46666666666667</v>
      </c>
    </row>
    <row r="686" customFormat="false" ht="12.75" hidden="false" customHeight="false" outlineLevel="0" collapsed="false">
      <c r="A686" s="215" t="n">
        <v>40567</v>
      </c>
      <c r="B686" s="213" t="n">
        <v>48.4</v>
      </c>
      <c r="C686" s="213" t="n">
        <f aca="false">AVERAGEIFS($B$33:$B$1494,$A$33:$A$1494,A686)</f>
        <v>48.45</v>
      </c>
      <c r="D686" s="213" t="n">
        <v>46.3</v>
      </c>
      <c r="E686" s="213" t="n">
        <f aca="false">AVERAGEIFS($D$33:$D$1494,$A$33:$A$1494,A686)</f>
        <v>46.3</v>
      </c>
      <c r="F686" s="213" t="n">
        <v>2</v>
      </c>
      <c r="G686" s="213" t="n">
        <f aca="false">AVERAGEIFS($F$33:$F$1494,$A$33:$A$1494,A686)</f>
        <v>1.98333333333333</v>
      </c>
      <c r="H686" s="213" t="n">
        <v>3.3</v>
      </c>
      <c r="I686" s="213" t="n">
        <f aca="false">AVERAGEIFS($H$33:$H$1494,$A$33:$A$1494,A686)</f>
        <v>3.46666666666667</v>
      </c>
      <c r="L686" s="215" t="n">
        <v>40567</v>
      </c>
      <c r="M686" s="213" t="n">
        <v>48.45</v>
      </c>
      <c r="N686" s="213" t="n">
        <v>46.3</v>
      </c>
      <c r="O686" s="213" t="n">
        <v>1.98333333333333</v>
      </c>
      <c r="P686" s="213" t="n">
        <v>3.46666666666667</v>
      </c>
    </row>
    <row r="687" customFormat="false" ht="12.75" hidden="false" customHeight="false" outlineLevel="0" collapsed="false">
      <c r="A687" s="215" t="n">
        <v>40568</v>
      </c>
      <c r="B687" s="213" t="n">
        <v>48.4</v>
      </c>
      <c r="C687" s="213" t="n">
        <f aca="false">AVERAGEIFS($B$33:$B$1494,$A$33:$A$1494,A687)</f>
        <v>48.3333333333333</v>
      </c>
      <c r="D687" s="213" t="n">
        <v>46.3</v>
      </c>
      <c r="E687" s="213" t="n">
        <f aca="false">AVERAGEIFS($D$33:$D$1494,$A$33:$A$1494,A687)</f>
        <v>46.2833333333333</v>
      </c>
      <c r="F687" s="213" t="n">
        <v>1.9</v>
      </c>
      <c r="G687" s="213" t="n">
        <f aca="false">AVERAGEIFS($F$33:$F$1494,$A$33:$A$1494,A687)</f>
        <v>1.91666666666667</v>
      </c>
      <c r="H687" s="213" t="n">
        <v>3.3</v>
      </c>
      <c r="I687" s="213" t="n">
        <f aca="false">AVERAGEIFS($H$33:$H$1494,$A$33:$A$1494,A687)</f>
        <v>3.18333333333333</v>
      </c>
      <c r="L687" s="215" t="n">
        <v>40568</v>
      </c>
      <c r="M687" s="213" t="n">
        <v>48.3333333333333</v>
      </c>
      <c r="N687" s="213" t="n">
        <v>46.2833333333333</v>
      </c>
      <c r="O687" s="213" t="n">
        <v>1.91666666666667</v>
      </c>
      <c r="P687" s="213" t="n">
        <v>3.18333333333333</v>
      </c>
    </row>
    <row r="688" customFormat="false" ht="12.75" hidden="false" customHeight="false" outlineLevel="0" collapsed="false">
      <c r="A688" s="215" t="n">
        <v>40568</v>
      </c>
      <c r="B688" s="213" t="n">
        <v>48.4</v>
      </c>
      <c r="C688" s="213" t="n">
        <f aca="false">AVERAGEIFS($B$33:$B$1494,$A$33:$A$1494,A688)</f>
        <v>48.3333333333333</v>
      </c>
      <c r="D688" s="213" t="n">
        <v>46.3</v>
      </c>
      <c r="E688" s="213" t="n">
        <f aca="false">AVERAGEIFS($D$33:$D$1494,$A$33:$A$1494,A688)</f>
        <v>46.2833333333333</v>
      </c>
      <c r="F688" s="213" t="n">
        <v>1.8</v>
      </c>
      <c r="G688" s="213" t="n">
        <f aca="false">AVERAGEIFS($F$33:$F$1494,$A$33:$A$1494,A688)</f>
        <v>1.91666666666667</v>
      </c>
      <c r="H688" s="213" t="n">
        <v>3.3</v>
      </c>
      <c r="I688" s="213" t="n">
        <f aca="false">AVERAGEIFS($H$33:$H$1494,$A$33:$A$1494,A688)</f>
        <v>3.18333333333333</v>
      </c>
      <c r="L688" s="215" t="n">
        <v>40568</v>
      </c>
      <c r="M688" s="213" t="n">
        <v>48.3333333333333</v>
      </c>
      <c r="N688" s="213" t="n">
        <v>46.2833333333333</v>
      </c>
      <c r="O688" s="213" t="n">
        <v>1.91666666666667</v>
      </c>
      <c r="P688" s="213" t="n">
        <v>3.18333333333333</v>
      </c>
    </row>
    <row r="689" customFormat="false" ht="12.75" hidden="false" customHeight="false" outlineLevel="0" collapsed="false">
      <c r="A689" s="215" t="n">
        <v>40568</v>
      </c>
      <c r="B689" s="213" t="n">
        <v>48.3</v>
      </c>
      <c r="C689" s="213" t="n">
        <f aca="false">AVERAGEIFS($B$33:$B$1494,$A$33:$A$1494,A689)</f>
        <v>48.3333333333333</v>
      </c>
      <c r="D689" s="213" t="n">
        <v>46.3</v>
      </c>
      <c r="E689" s="213" t="n">
        <f aca="false">AVERAGEIFS($D$33:$D$1494,$A$33:$A$1494,A689)</f>
        <v>46.2833333333333</v>
      </c>
      <c r="F689" s="213" t="n">
        <v>1.7</v>
      </c>
      <c r="G689" s="213" t="n">
        <f aca="false">AVERAGEIFS($F$33:$F$1494,$A$33:$A$1494,A689)</f>
        <v>1.91666666666667</v>
      </c>
      <c r="H689" s="213" t="n">
        <v>3.2</v>
      </c>
      <c r="I689" s="213" t="n">
        <f aca="false">AVERAGEIFS($H$33:$H$1494,$A$33:$A$1494,A689)</f>
        <v>3.18333333333333</v>
      </c>
      <c r="L689" s="215" t="n">
        <v>40568</v>
      </c>
      <c r="M689" s="213" t="n">
        <v>48.3333333333333</v>
      </c>
      <c r="N689" s="213" t="n">
        <v>46.2833333333333</v>
      </c>
      <c r="O689" s="213" t="n">
        <v>1.91666666666667</v>
      </c>
      <c r="P689" s="213" t="n">
        <v>3.18333333333333</v>
      </c>
    </row>
    <row r="690" customFormat="false" ht="12.75" hidden="false" customHeight="false" outlineLevel="0" collapsed="false">
      <c r="A690" s="215" t="n">
        <v>40568</v>
      </c>
      <c r="B690" s="213" t="n">
        <v>48.3</v>
      </c>
      <c r="C690" s="213" t="n">
        <f aca="false">AVERAGEIFS($B$33:$B$1494,$A$33:$A$1494,A690)</f>
        <v>48.3333333333333</v>
      </c>
      <c r="D690" s="213" t="n">
        <v>46.3</v>
      </c>
      <c r="E690" s="213" t="n">
        <f aca="false">AVERAGEIFS($D$33:$D$1494,$A$33:$A$1494,A690)</f>
        <v>46.2833333333333</v>
      </c>
      <c r="F690" s="213" t="n">
        <v>1.8</v>
      </c>
      <c r="G690" s="213" t="n">
        <f aca="false">AVERAGEIFS($F$33:$F$1494,$A$33:$A$1494,A690)</f>
        <v>1.91666666666667</v>
      </c>
      <c r="H690" s="213" t="n">
        <v>3.1</v>
      </c>
      <c r="I690" s="213" t="n">
        <f aca="false">AVERAGEIFS($H$33:$H$1494,$A$33:$A$1494,A690)</f>
        <v>3.18333333333333</v>
      </c>
      <c r="L690" s="215" t="n">
        <v>40568</v>
      </c>
      <c r="M690" s="213" t="n">
        <v>48.3333333333333</v>
      </c>
      <c r="N690" s="213" t="n">
        <v>46.2833333333333</v>
      </c>
      <c r="O690" s="213" t="n">
        <v>1.91666666666667</v>
      </c>
      <c r="P690" s="213" t="n">
        <v>3.18333333333333</v>
      </c>
    </row>
    <row r="691" customFormat="false" ht="12.75" hidden="false" customHeight="false" outlineLevel="0" collapsed="false">
      <c r="A691" s="215" t="n">
        <v>40568</v>
      </c>
      <c r="B691" s="213" t="n">
        <v>48.3</v>
      </c>
      <c r="C691" s="213" t="n">
        <f aca="false">AVERAGEIFS($B$33:$B$1494,$A$33:$A$1494,A691)</f>
        <v>48.3333333333333</v>
      </c>
      <c r="D691" s="213" t="n">
        <v>46.3</v>
      </c>
      <c r="E691" s="213" t="n">
        <f aca="false">AVERAGEIFS($D$33:$D$1494,$A$33:$A$1494,A691)</f>
        <v>46.2833333333333</v>
      </c>
      <c r="F691" s="213" t="n">
        <v>2</v>
      </c>
      <c r="G691" s="213" t="n">
        <f aca="false">AVERAGEIFS($F$33:$F$1494,$A$33:$A$1494,A691)</f>
        <v>1.91666666666667</v>
      </c>
      <c r="H691" s="213" t="n">
        <v>3.1</v>
      </c>
      <c r="I691" s="213" t="n">
        <f aca="false">AVERAGEIFS($H$33:$H$1494,$A$33:$A$1494,A691)</f>
        <v>3.18333333333333</v>
      </c>
      <c r="L691" s="215" t="n">
        <v>40568</v>
      </c>
      <c r="M691" s="213" t="n">
        <v>48.3333333333333</v>
      </c>
      <c r="N691" s="213" t="n">
        <v>46.2833333333333</v>
      </c>
      <c r="O691" s="213" t="n">
        <v>1.91666666666667</v>
      </c>
      <c r="P691" s="213" t="n">
        <v>3.18333333333333</v>
      </c>
    </row>
    <row r="692" customFormat="false" ht="12.75" hidden="false" customHeight="false" outlineLevel="0" collapsed="false">
      <c r="A692" s="215" t="n">
        <v>40568</v>
      </c>
      <c r="B692" s="213" t="n">
        <v>48.3</v>
      </c>
      <c r="C692" s="213" t="n">
        <f aca="false">AVERAGEIFS($B$33:$B$1494,$A$33:$A$1494,A692)</f>
        <v>48.3333333333333</v>
      </c>
      <c r="D692" s="213" t="n">
        <v>46.2</v>
      </c>
      <c r="E692" s="213" t="n">
        <f aca="false">AVERAGEIFS($D$33:$D$1494,$A$33:$A$1494,A692)</f>
        <v>46.2833333333333</v>
      </c>
      <c r="F692" s="213" t="n">
        <v>2.3</v>
      </c>
      <c r="G692" s="213" t="n">
        <f aca="false">AVERAGEIFS($F$33:$F$1494,$A$33:$A$1494,A692)</f>
        <v>1.91666666666667</v>
      </c>
      <c r="H692" s="213" t="n">
        <v>3.1</v>
      </c>
      <c r="I692" s="213" t="n">
        <f aca="false">AVERAGEIFS($H$33:$H$1494,$A$33:$A$1494,A692)</f>
        <v>3.18333333333333</v>
      </c>
      <c r="L692" s="215" t="n">
        <v>40568</v>
      </c>
      <c r="M692" s="213" t="n">
        <v>48.3333333333333</v>
      </c>
      <c r="N692" s="213" t="n">
        <v>46.2833333333333</v>
      </c>
      <c r="O692" s="213" t="n">
        <v>1.91666666666667</v>
      </c>
      <c r="P692" s="213" t="n">
        <v>3.18333333333333</v>
      </c>
    </row>
    <row r="693" customFormat="false" ht="12.75" hidden="false" customHeight="false" outlineLevel="0" collapsed="false">
      <c r="A693" s="215" t="n">
        <v>40569</v>
      </c>
      <c r="B693" s="213" t="n">
        <v>48.3</v>
      </c>
      <c r="C693" s="213" t="n">
        <f aca="false">AVERAGEIFS($B$33:$B$1494,$A$33:$A$1494,A693)</f>
        <v>48.2666666666667</v>
      </c>
      <c r="D693" s="213" t="n">
        <v>46.2</v>
      </c>
      <c r="E693" s="213" t="n">
        <f aca="false">AVERAGEIFS($D$33:$D$1494,$A$33:$A$1494,A693)</f>
        <v>46.2</v>
      </c>
      <c r="F693" s="213" t="n">
        <v>2.2</v>
      </c>
      <c r="G693" s="213" t="n">
        <f aca="false">AVERAGEIFS($F$33:$F$1494,$A$33:$A$1494,A693)</f>
        <v>2.4</v>
      </c>
      <c r="H693" s="213" t="n">
        <v>3.1</v>
      </c>
      <c r="I693" s="213" t="n">
        <f aca="false">AVERAGEIFS($H$33:$H$1494,$A$33:$A$1494,A693)</f>
        <v>3.15</v>
      </c>
      <c r="L693" s="215" t="n">
        <v>40569</v>
      </c>
      <c r="M693" s="213" t="n">
        <v>48.2666666666667</v>
      </c>
      <c r="N693" s="213" t="n">
        <v>46.2</v>
      </c>
      <c r="O693" s="213" t="n">
        <v>2.4</v>
      </c>
      <c r="P693" s="213" t="n">
        <v>3.15</v>
      </c>
    </row>
    <row r="694" customFormat="false" ht="12.75" hidden="false" customHeight="false" outlineLevel="0" collapsed="false">
      <c r="A694" s="215" t="n">
        <v>40569</v>
      </c>
      <c r="B694" s="213" t="n">
        <v>48.2</v>
      </c>
      <c r="C694" s="213" t="n">
        <f aca="false">AVERAGEIFS($B$33:$B$1494,$A$33:$A$1494,A694)</f>
        <v>48.2666666666667</v>
      </c>
      <c r="D694" s="213" t="n">
        <v>46.2</v>
      </c>
      <c r="E694" s="213" t="n">
        <f aca="false">AVERAGEIFS($D$33:$D$1494,$A$33:$A$1494,A694)</f>
        <v>46.2</v>
      </c>
      <c r="F694" s="213" t="n">
        <v>2.1</v>
      </c>
      <c r="G694" s="213" t="n">
        <f aca="false">AVERAGEIFS($F$33:$F$1494,$A$33:$A$1494,A694)</f>
        <v>2.4</v>
      </c>
      <c r="H694" s="213" t="n">
        <v>3.1</v>
      </c>
      <c r="I694" s="213" t="n">
        <f aca="false">AVERAGEIFS($H$33:$H$1494,$A$33:$A$1494,A694)</f>
        <v>3.15</v>
      </c>
      <c r="L694" s="215" t="n">
        <v>40569</v>
      </c>
      <c r="M694" s="213" t="n">
        <v>48.2666666666667</v>
      </c>
      <c r="N694" s="213" t="n">
        <v>46.2</v>
      </c>
      <c r="O694" s="213" t="n">
        <v>2.4</v>
      </c>
      <c r="P694" s="213" t="n">
        <v>3.15</v>
      </c>
    </row>
    <row r="695" customFormat="false" ht="12.75" hidden="false" customHeight="false" outlineLevel="0" collapsed="false">
      <c r="A695" s="215" t="n">
        <v>40569</v>
      </c>
      <c r="B695" s="213" t="n">
        <v>48.3</v>
      </c>
      <c r="C695" s="213" t="n">
        <f aca="false">AVERAGEIFS($B$33:$B$1494,$A$33:$A$1494,A695)</f>
        <v>48.2666666666667</v>
      </c>
      <c r="D695" s="213" t="n">
        <v>46.2</v>
      </c>
      <c r="E695" s="213" t="n">
        <f aca="false">AVERAGEIFS($D$33:$D$1494,$A$33:$A$1494,A695)</f>
        <v>46.2</v>
      </c>
      <c r="F695" s="213" t="n">
        <v>2</v>
      </c>
      <c r="G695" s="213" t="n">
        <f aca="false">AVERAGEIFS($F$33:$F$1494,$A$33:$A$1494,A695)</f>
        <v>2.4</v>
      </c>
      <c r="H695" s="213" t="n">
        <v>3.1</v>
      </c>
      <c r="I695" s="213" t="n">
        <f aca="false">AVERAGEIFS($H$33:$H$1494,$A$33:$A$1494,A695)</f>
        <v>3.15</v>
      </c>
      <c r="L695" s="215" t="n">
        <v>40569</v>
      </c>
      <c r="M695" s="213" t="n">
        <v>48.2666666666667</v>
      </c>
      <c r="N695" s="213" t="n">
        <v>46.2</v>
      </c>
      <c r="O695" s="213" t="n">
        <v>2.4</v>
      </c>
      <c r="P695" s="213" t="n">
        <v>3.15</v>
      </c>
    </row>
    <row r="696" customFormat="false" ht="12.75" hidden="false" customHeight="false" outlineLevel="0" collapsed="false">
      <c r="A696" s="215" t="n">
        <v>40569</v>
      </c>
      <c r="B696" s="213" t="n">
        <v>48.3</v>
      </c>
      <c r="C696" s="213" t="n">
        <f aca="false">AVERAGEIFS($B$33:$B$1494,$A$33:$A$1494,A696)</f>
        <v>48.2666666666667</v>
      </c>
      <c r="D696" s="213" t="n">
        <v>46.2</v>
      </c>
      <c r="E696" s="213" t="n">
        <f aca="false">AVERAGEIFS($D$33:$D$1494,$A$33:$A$1494,A696)</f>
        <v>46.2</v>
      </c>
      <c r="F696" s="213" t="n">
        <v>2.1</v>
      </c>
      <c r="G696" s="213" t="n">
        <f aca="false">AVERAGEIFS($F$33:$F$1494,$A$33:$A$1494,A696)</f>
        <v>2.4</v>
      </c>
      <c r="H696" s="213" t="n">
        <v>3.1</v>
      </c>
      <c r="I696" s="213" t="n">
        <f aca="false">AVERAGEIFS($H$33:$H$1494,$A$33:$A$1494,A696)</f>
        <v>3.15</v>
      </c>
      <c r="L696" s="215" t="n">
        <v>40569</v>
      </c>
      <c r="M696" s="213" t="n">
        <v>48.2666666666667</v>
      </c>
      <c r="N696" s="213" t="n">
        <v>46.2</v>
      </c>
      <c r="O696" s="213" t="n">
        <v>2.4</v>
      </c>
      <c r="P696" s="213" t="n">
        <v>3.15</v>
      </c>
    </row>
    <row r="697" customFormat="false" ht="12.75" hidden="false" customHeight="false" outlineLevel="0" collapsed="false">
      <c r="A697" s="215" t="n">
        <v>40569</v>
      </c>
      <c r="B697" s="213" t="n">
        <v>48.3</v>
      </c>
      <c r="C697" s="213" t="n">
        <f aca="false">AVERAGEIFS($B$33:$B$1494,$A$33:$A$1494,A697)</f>
        <v>48.2666666666667</v>
      </c>
      <c r="D697" s="213" t="n">
        <v>46.2</v>
      </c>
      <c r="E697" s="213" t="n">
        <f aca="false">AVERAGEIFS($D$33:$D$1494,$A$33:$A$1494,A697)</f>
        <v>46.2</v>
      </c>
      <c r="F697" s="213" t="n">
        <v>3</v>
      </c>
      <c r="G697" s="213" t="n">
        <f aca="false">AVERAGEIFS($F$33:$F$1494,$A$33:$A$1494,A697)</f>
        <v>2.4</v>
      </c>
      <c r="H697" s="213" t="n">
        <v>3.2</v>
      </c>
      <c r="I697" s="213" t="n">
        <f aca="false">AVERAGEIFS($H$33:$H$1494,$A$33:$A$1494,A697)</f>
        <v>3.15</v>
      </c>
      <c r="L697" s="215" t="n">
        <v>40569</v>
      </c>
      <c r="M697" s="213" t="n">
        <v>48.2666666666667</v>
      </c>
      <c r="N697" s="213" t="n">
        <v>46.2</v>
      </c>
      <c r="O697" s="213" t="n">
        <v>2.4</v>
      </c>
      <c r="P697" s="213" t="n">
        <v>3.15</v>
      </c>
    </row>
    <row r="698" customFormat="false" ht="12.75" hidden="false" customHeight="false" outlineLevel="0" collapsed="false">
      <c r="A698" s="215" t="n">
        <v>40569</v>
      </c>
      <c r="B698" s="213" t="n">
        <v>48.2</v>
      </c>
      <c r="C698" s="213" t="n">
        <f aca="false">AVERAGEIFS($B$33:$B$1494,$A$33:$A$1494,A698)</f>
        <v>48.2666666666667</v>
      </c>
      <c r="D698" s="213" t="n">
        <v>46.2</v>
      </c>
      <c r="E698" s="213" t="n">
        <f aca="false">AVERAGEIFS($D$33:$D$1494,$A$33:$A$1494,A698)</f>
        <v>46.2</v>
      </c>
      <c r="F698" s="213" t="n">
        <v>3</v>
      </c>
      <c r="G698" s="213" t="n">
        <f aca="false">AVERAGEIFS($F$33:$F$1494,$A$33:$A$1494,A698)</f>
        <v>2.4</v>
      </c>
      <c r="H698" s="213" t="n">
        <v>3.3</v>
      </c>
      <c r="I698" s="213" t="n">
        <f aca="false">AVERAGEIFS($H$33:$H$1494,$A$33:$A$1494,A698)</f>
        <v>3.15</v>
      </c>
      <c r="L698" s="215" t="n">
        <v>40569</v>
      </c>
      <c r="M698" s="213" t="n">
        <v>48.2666666666667</v>
      </c>
      <c r="N698" s="213" t="n">
        <v>46.2</v>
      </c>
      <c r="O698" s="213" t="n">
        <v>2.4</v>
      </c>
      <c r="P698" s="213" t="n">
        <v>3.15</v>
      </c>
    </row>
    <row r="699" customFormat="false" ht="12.75" hidden="false" customHeight="false" outlineLevel="0" collapsed="false">
      <c r="A699" s="215" t="n">
        <v>40570</v>
      </c>
      <c r="B699" s="213" t="n">
        <v>48.2</v>
      </c>
      <c r="C699" s="213" t="n">
        <f aca="false">AVERAGEIFS($B$33:$B$1494,$A$33:$A$1494,A699)</f>
        <v>48.1833333333333</v>
      </c>
      <c r="D699" s="213" t="n">
        <v>46.2</v>
      </c>
      <c r="E699" s="213" t="n">
        <f aca="false">AVERAGEIFS($D$33:$D$1494,$A$33:$A$1494,A699)</f>
        <v>46.1833333333333</v>
      </c>
      <c r="F699" s="213" t="n">
        <v>2.5</v>
      </c>
      <c r="G699" s="213" t="n">
        <f aca="false">AVERAGEIFS($F$33:$F$1494,$A$33:$A$1494,A699)</f>
        <v>2.56666666666667</v>
      </c>
      <c r="H699" s="213" t="n">
        <v>3.4</v>
      </c>
      <c r="I699" s="213" t="n">
        <f aca="false">AVERAGEIFS($H$33:$H$1494,$A$33:$A$1494,A699)</f>
        <v>3.33333333333333</v>
      </c>
      <c r="L699" s="215" t="n">
        <v>40570</v>
      </c>
      <c r="M699" s="213" t="n">
        <v>48.1833333333333</v>
      </c>
      <c r="N699" s="213" t="n">
        <v>46.1833333333333</v>
      </c>
      <c r="O699" s="213" t="n">
        <v>2.56666666666667</v>
      </c>
      <c r="P699" s="213" t="n">
        <v>3.33333333333333</v>
      </c>
    </row>
    <row r="700" customFormat="false" ht="12.75" hidden="false" customHeight="false" outlineLevel="0" collapsed="false">
      <c r="A700" s="215" t="n">
        <v>40570</v>
      </c>
      <c r="B700" s="213" t="n">
        <v>48.2</v>
      </c>
      <c r="C700" s="213" t="n">
        <f aca="false">AVERAGEIFS($B$33:$B$1494,$A$33:$A$1494,A700)</f>
        <v>48.1833333333333</v>
      </c>
      <c r="D700" s="213" t="n">
        <v>46.2</v>
      </c>
      <c r="E700" s="213" t="n">
        <f aca="false">AVERAGEIFS($D$33:$D$1494,$A$33:$A$1494,A700)</f>
        <v>46.1833333333333</v>
      </c>
      <c r="F700" s="213" t="n">
        <v>2.1</v>
      </c>
      <c r="G700" s="213" t="n">
        <f aca="false">AVERAGEIFS($F$33:$F$1494,$A$33:$A$1494,A700)</f>
        <v>2.56666666666667</v>
      </c>
      <c r="H700" s="213" t="n">
        <v>3.4</v>
      </c>
      <c r="I700" s="213" t="n">
        <f aca="false">AVERAGEIFS($H$33:$H$1494,$A$33:$A$1494,A700)</f>
        <v>3.33333333333333</v>
      </c>
      <c r="L700" s="215" t="n">
        <v>40570</v>
      </c>
      <c r="M700" s="213" t="n">
        <v>48.1833333333333</v>
      </c>
      <c r="N700" s="213" t="n">
        <v>46.1833333333333</v>
      </c>
      <c r="O700" s="213" t="n">
        <v>2.56666666666667</v>
      </c>
      <c r="P700" s="213" t="n">
        <v>3.33333333333333</v>
      </c>
    </row>
    <row r="701" customFormat="false" ht="12.75" hidden="false" customHeight="false" outlineLevel="0" collapsed="false">
      <c r="A701" s="215" t="n">
        <v>40570</v>
      </c>
      <c r="B701" s="213" t="n">
        <v>48.2</v>
      </c>
      <c r="C701" s="213" t="n">
        <f aca="false">AVERAGEIFS($B$33:$B$1494,$A$33:$A$1494,A701)</f>
        <v>48.1833333333333</v>
      </c>
      <c r="D701" s="213" t="n">
        <v>46.2</v>
      </c>
      <c r="E701" s="213" t="n">
        <f aca="false">AVERAGEIFS($D$33:$D$1494,$A$33:$A$1494,A701)</f>
        <v>46.1833333333333</v>
      </c>
      <c r="F701" s="213" t="n">
        <v>1.9</v>
      </c>
      <c r="G701" s="213" t="n">
        <f aca="false">AVERAGEIFS($F$33:$F$1494,$A$33:$A$1494,A701)</f>
        <v>2.56666666666667</v>
      </c>
      <c r="H701" s="213" t="n">
        <v>3.3</v>
      </c>
      <c r="I701" s="213" t="n">
        <f aca="false">AVERAGEIFS($H$33:$H$1494,$A$33:$A$1494,A701)</f>
        <v>3.33333333333333</v>
      </c>
      <c r="L701" s="215" t="n">
        <v>40570</v>
      </c>
      <c r="M701" s="213" t="n">
        <v>48.1833333333333</v>
      </c>
      <c r="N701" s="213" t="n">
        <v>46.1833333333333</v>
      </c>
      <c r="O701" s="213" t="n">
        <v>2.56666666666667</v>
      </c>
      <c r="P701" s="213" t="n">
        <v>3.33333333333333</v>
      </c>
    </row>
    <row r="702" customFormat="false" ht="12.75" hidden="false" customHeight="false" outlineLevel="0" collapsed="false">
      <c r="A702" s="215" t="n">
        <v>40570</v>
      </c>
      <c r="B702" s="213" t="n">
        <v>48.2</v>
      </c>
      <c r="C702" s="213" t="n">
        <f aca="false">AVERAGEIFS($B$33:$B$1494,$A$33:$A$1494,A702)</f>
        <v>48.1833333333333</v>
      </c>
      <c r="D702" s="213" t="n">
        <v>46.2</v>
      </c>
      <c r="E702" s="213" t="n">
        <f aca="false">AVERAGEIFS($D$33:$D$1494,$A$33:$A$1494,A702)</f>
        <v>46.1833333333333</v>
      </c>
      <c r="F702" s="213" t="n">
        <v>1.9</v>
      </c>
      <c r="G702" s="213" t="n">
        <f aca="false">AVERAGEIFS($F$33:$F$1494,$A$33:$A$1494,A702)</f>
        <v>2.56666666666667</v>
      </c>
      <c r="H702" s="213" t="n">
        <v>3.2</v>
      </c>
      <c r="I702" s="213" t="n">
        <f aca="false">AVERAGEIFS($H$33:$H$1494,$A$33:$A$1494,A702)</f>
        <v>3.33333333333333</v>
      </c>
      <c r="L702" s="215" t="n">
        <v>40570</v>
      </c>
      <c r="M702" s="213" t="n">
        <v>48.1833333333333</v>
      </c>
      <c r="N702" s="213" t="n">
        <v>46.1833333333333</v>
      </c>
      <c r="O702" s="213" t="n">
        <v>2.56666666666667</v>
      </c>
      <c r="P702" s="213" t="n">
        <v>3.33333333333333</v>
      </c>
    </row>
    <row r="703" customFormat="false" ht="12.75" hidden="false" customHeight="false" outlineLevel="0" collapsed="false">
      <c r="A703" s="215" t="n">
        <v>40570</v>
      </c>
      <c r="B703" s="213" t="n">
        <v>48.2</v>
      </c>
      <c r="C703" s="213" t="n">
        <f aca="false">AVERAGEIFS($B$33:$B$1494,$A$33:$A$1494,A703)</f>
        <v>48.1833333333333</v>
      </c>
      <c r="D703" s="213" t="n">
        <v>46.2</v>
      </c>
      <c r="E703" s="213" t="n">
        <f aca="false">AVERAGEIFS($D$33:$D$1494,$A$33:$A$1494,A703)</f>
        <v>46.1833333333333</v>
      </c>
      <c r="F703" s="213" t="n">
        <v>3.2</v>
      </c>
      <c r="G703" s="213" t="n">
        <f aca="false">AVERAGEIFS($F$33:$F$1494,$A$33:$A$1494,A703)</f>
        <v>2.56666666666667</v>
      </c>
      <c r="H703" s="213" t="n">
        <v>3.2</v>
      </c>
      <c r="I703" s="213" t="n">
        <f aca="false">AVERAGEIFS($H$33:$H$1494,$A$33:$A$1494,A703)</f>
        <v>3.33333333333333</v>
      </c>
      <c r="L703" s="215" t="n">
        <v>40570</v>
      </c>
      <c r="M703" s="213" t="n">
        <v>48.1833333333333</v>
      </c>
      <c r="N703" s="213" t="n">
        <v>46.1833333333333</v>
      </c>
      <c r="O703" s="213" t="n">
        <v>2.56666666666667</v>
      </c>
      <c r="P703" s="213" t="n">
        <v>3.33333333333333</v>
      </c>
    </row>
    <row r="704" customFormat="false" ht="12.75" hidden="false" customHeight="false" outlineLevel="0" collapsed="false">
      <c r="A704" s="215" t="n">
        <v>40570</v>
      </c>
      <c r="B704" s="213" t="n">
        <v>48.1</v>
      </c>
      <c r="C704" s="213" t="n">
        <f aca="false">AVERAGEIFS($B$33:$B$1494,$A$33:$A$1494,A704)</f>
        <v>48.1833333333333</v>
      </c>
      <c r="D704" s="213" t="n">
        <v>46.1</v>
      </c>
      <c r="E704" s="213" t="n">
        <f aca="false">AVERAGEIFS($D$33:$D$1494,$A$33:$A$1494,A704)</f>
        <v>46.1833333333333</v>
      </c>
      <c r="F704" s="213" t="n">
        <v>3.8</v>
      </c>
      <c r="G704" s="213" t="n">
        <f aca="false">AVERAGEIFS($F$33:$F$1494,$A$33:$A$1494,A704)</f>
        <v>2.56666666666667</v>
      </c>
      <c r="H704" s="213" t="n">
        <v>3.5</v>
      </c>
      <c r="I704" s="213" t="n">
        <f aca="false">AVERAGEIFS($H$33:$H$1494,$A$33:$A$1494,A704)</f>
        <v>3.33333333333333</v>
      </c>
      <c r="L704" s="215" t="n">
        <v>40570</v>
      </c>
      <c r="M704" s="213" t="n">
        <v>48.1833333333333</v>
      </c>
      <c r="N704" s="213" t="n">
        <v>46.1833333333333</v>
      </c>
      <c r="O704" s="213" t="n">
        <v>2.56666666666667</v>
      </c>
      <c r="P704" s="213" t="n">
        <v>3.33333333333333</v>
      </c>
    </row>
    <row r="705" customFormat="false" ht="12.75" hidden="false" customHeight="false" outlineLevel="0" collapsed="false">
      <c r="A705" s="215" t="n">
        <v>40571</v>
      </c>
      <c r="B705" s="213" t="n">
        <v>48.1</v>
      </c>
      <c r="C705" s="213" t="n">
        <f aca="false">AVERAGEIFS($B$33:$B$1494,$A$33:$A$1494,A705)</f>
        <v>48.05</v>
      </c>
      <c r="D705" s="213" t="n">
        <v>46.1</v>
      </c>
      <c r="E705" s="213" t="n">
        <f aca="false">AVERAGEIFS($D$33:$D$1494,$A$33:$A$1494,A705)</f>
        <v>46.1</v>
      </c>
      <c r="F705" s="213" t="n">
        <v>3.6</v>
      </c>
      <c r="G705" s="213" t="n">
        <f aca="false">AVERAGEIFS($F$33:$F$1494,$A$33:$A$1494,A705)</f>
        <v>4.1</v>
      </c>
      <c r="H705" s="213" t="n">
        <v>3.7</v>
      </c>
      <c r="I705" s="213" t="n">
        <f aca="false">AVERAGEIFS($H$33:$H$1494,$A$33:$A$1494,A705)</f>
        <v>3.93333333333333</v>
      </c>
      <c r="L705" s="215" t="n">
        <v>40571</v>
      </c>
      <c r="M705" s="213" t="n">
        <v>48.05</v>
      </c>
      <c r="N705" s="213" t="n">
        <v>46.1</v>
      </c>
      <c r="O705" s="213" t="n">
        <v>4.1</v>
      </c>
      <c r="P705" s="213" t="n">
        <v>3.93333333333333</v>
      </c>
    </row>
    <row r="706" customFormat="false" ht="12.75" hidden="false" customHeight="false" outlineLevel="0" collapsed="false">
      <c r="A706" s="215" t="n">
        <v>40571</v>
      </c>
      <c r="B706" s="213" t="n">
        <v>48.1</v>
      </c>
      <c r="C706" s="213" t="n">
        <f aca="false">AVERAGEIFS($B$33:$B$1494,$A$33:$A$1494,A706)</f>
        <v>48.05</v>
      </c>
      <c r="D706" s="213" t="n">
        <v>46.1</v>
      </c>
      <c r="E706" s="213" t="n">
        <f aca="false">AVERAGEIFS($D$33:$D$1494,$A$33:$A$1494,A706)</f>
        <v>46.1</v>
      </c>
      <c r="F706" s="213" t="n">
        <v>3.7</v>
      </c>
      <c r="G706" s="213" t="n">
        <f aca="false">AVERAGEIFS($F$33:$F$1494,$A$33:$A$1494,A706)</f>
        <v>4.1</v>
      </c>
      <c r="H706" s="213" t="n">
        <v>3.8</v>
      </c>
      <c r="I706" s="213" t="n">
        <f aca="false">AVERAGEIFS($H$33:$H$1494,$A$33:$A$1494,A706)</f>
        <v>3.93333333333333</v>
      </c>
      <c r="L706" s="215" t="n">
        <v>40571</v>
      </c>
      <c r="M706" s="213" t="n">
        <v>48.05</v>
      </c>
      <c r="N706" s="213" t="n">
        <v>46.1</v>
      </c>
      <c r="O706" s="213" t="n">
        <v>4.1</v>
      </c>
      <c r="P706" s="213" t="n">
        <v>3.93333333333333</v>
      </c>
    </row>
    <row r="707" customFormat="false" ht="12.75" hidden="false" customHeight="false" outlineLevel="0" collapsed="false">
      <c r="A707" s="215" t="n">
        <v>40571</v>
      </c>
      <c r="B707" s="213" t="n">
        <v>48.1</v>
      </c>
      <c r="C707" s="213" t="n">
        <f aca="false">AVERAGEIFS($B$33:$B$1494,$A$33:$A$1494,A707)</f>
        <v>48.05</v>
      </c>
      <c r="D707" s="213" t="n">
        <v>46.1</v>
      </c>
      <c r="E707" s="213" t="n">
        <f aca="false">AVERAGEIFS($D$33:$D$1494,$A$33:$A$1494,A707)</f>
        <v>46.1</v>
      </c>
      <c r="F707" s="213" t="n">
        <v>3.7</v>
      </c>
      <c r="G707" s="213" t="n">
        <f aca="false">AVERAGEIFS($F$33:$F$1494,$A$33:$A$1494,A707)</f>
        <v>4.1</v>
      </c>
      <c r="H707" s="213" t="n">
        <v>3.9</v>
      </c>
      <c r="I707" s="213" t="n">
        <f aca="false">AVERAGEIFS($H$33:$H$1494,$A$33:$A$1494,A707)</f>
        <v>3.93333333333333</v>
      </c>
      <c r="L707" s="215" t="n">
        <v>40571</v>
      </c>
      <c r="M707" s="213" t="n">
        <v>48.05</v>
      </c>
      <c r="N707" s="213" t="n">
        <v>46.1</v>
      </c>
      <c r="O707" s="213" t="n">
        <v>4.1</v>
      </c>
      <c r="P707" s="213" t="n">
        <v>3.93333333333333</v>
      </c>
    </row>
    <row r="708" customFormat="false" ht="12.75" hidden="false" customHeight="false" outlineLevel="0" collapsed="false">
      <c r="A708" s="215" t="n">
        <v>40571</v>
      </c>
      <c r="B708" s="213" t="n">
        <v>48.1</v>
      </c>
      <c r="C708" s="213" t="n">
        <f aca="false">AVERAGEIFS($B$33:$B$1494,$A$33:$A$1494,A708)</f>
        <v>48.05</v>
      </c>
      <c r="D708" s="213" t="n">
        <v>46.1</v>
      </c>
      <c r="E708" s="213" t="n">
        <f aca="false">AVERAGEIFS($D$33:$D$1494,$A$33:$A$1494,A708)</f>
        <v>46.1</v>
      </c>
      <c r="F708" s="213" t="n">
        <v>3.7</v>
      </c>
      <c r="G708" s="213" t="n">
        <f aca="false">AVERAGEIFS($F$33:$F$1494,$A$33:$A$1494,A708)</f>
        <v>4.1</v>
      </c>
      <c r="H708" s="213" t="n">
        <v>3.9</v>
      </c>
      <c r="I708" s="213" t="n">
        <f aca="false">AVERAGEIFS($H$33:$H$1494,$A$33:$A$1494,A708)</f>
        <v>3.93333333333333</v>
      </c>
      <c r="L708" s="215" t="n">
        <v>40571</v>
      </c>
      <c r="M708" s="213" t="n">
        <v>48.05</v>
      </c>
      <c r="N708" s="213" t="n">
        <v>46.1</v>
      </c>
      <c r="O708" s="213" t="n">
        <v>4.1</v>
      </c>
      <c r="P708" s="213" t="n">
        <v>3.93333333333333</v>
      </c>
    </row>
    <row r="709" customFormat="false" ht="12.75" hidden="false" customHeight="false" outlineLevel="0" collapsed="false">
      <c r="A709" s="215" t="n">
        <v>40571</v>
      </c>
      <c r="B709" s="213" t="n">
        <v>48</v>
      </c>
      <c r="C709" s="213" t="n">
        <f aca="false">AVERAGEIFS($B$33:$B$1494,$A$33:$A$1494,A709)</f>
        <v>48.05</v>
      </c>
      <c r="D709" s="213" t="n">
        <v>46.1</v>
      </c>
      <c r="E709" s="213" t="n">
        <f aca="false">AVERAGEIFS($D$33:$D$1494,$A$33:$A$1494,A709)</f>
        <v>46.1</v>
      </c>
      <c r="F709" s="213" t="n">
        <v>4.8</v>
      </c>
      <c r="G709" s="213" t="n">
        <f aca="false">AVERAGEIFS($F$33:$F$1494,$A$33:$A$1494,A709)</f>
        <v>4.1</v>
      </c>
      <c r="H709" s="213" t="n">
        <v>4</v>
      </c>
      <c r="I709" s="213" t="n">
        <f aca="false">AVERAGEIFS($H$33:$H$1494,$A$33:$A$1494,A709)</f>
        <v>3.93333333333333</v>
      </c>
      <c r="L709" s="215" t="n">
        <v>40571</v>
      </c>
      <c r="M709" s="213" t="n">
        <v>48.05</v>
      </c>
      <c r="N709" s="213" t="n">
        <v>46.1</v>
      </c>
      <c r="O709" s="213" t="n">
        <v>4.1</v>
      </c>
      <c r="P709" s="213" t="n">
        <v>3.93333333333333</v>
      </c>
    </row>
    <row r="710" customFormat="false" ht="12.75" hidden="false" customHeight="false" outlineLevel="0" collapsed="false">
      <c r="A710" s="215" t="n">
        <v>40571</v>
      </c>
      <c r="B710" s="213" t="n">
        <v>47.9</v>
      </c>
      <c r="C710" s="213" t="n">
        <f aca="false">AVERAGEIFS($B$33:$B$1494,$A$33:$A$1494,A710)</f>
        <v>48.05</v>
      </c>
      <c r="D710" s="213" t="n">
        <v>46.1</v>
      </c>
      <c r="E710" s="213" t="n">
        <f aca="false">AVERAGEIFS($D$33:$D$1494,$A$33:$A$1494,A710)</f>
        <v>46.1</v>
      </c>
      <c r="F710" s="213" t="n">
        <v>5.1</v>
      </c>
      <c r="G710" s="213" t="n">
        <f aca="false">AVERAGEIFS($F$33:$F$1494,$A$33:$A$1494,A710)</f>
        <v>4.1</v>
      </c>
      <c r="H710" s="213" t="n">
        <v>4.3</v>
      </c>
      <c r="I710" s="213" t="n">
        <f aca="false">AVERAGEIFS($H$33:$H$1494,$A$33:$A$1494,A710)</f>
        <v>3.93333333333333</v>
      </c>
      <c r="L710" s="215" t="n">
        <v>40571</v>
      </c>
      <c r="M710" s="213" t="n">
        <v>48.05</v>
      </c>
      <c r="N710" s="213" t="n">
        <v>46.1</v>
      </c>
      <c r="O710" s="213" t="n">
        <v>4.1</v>
      </c>
      <c r="P710" s="213" t="n">
        <v>3.93333333333333</v>
      </c>
    </row>
    <row r="711" customFormat="false" ht="12.75" hidden="false" customHeight="false" outlineLevel="0" collapsed="false">
      <c r="A711" s="215" t="n">
        <v>40572</v>
      </c>
      <c r="B711" s="213" t="n">
        <v>47.9</v>
      </c>
      <c r="C711" s="213" t="n">
        <f aca="false">AVERAGEIFS($B$33:$B$1494,$A$33:$A$1494,A711)</f>
        <v>51.0333333333333</v>
      </c>
      <c r="D711" s="213" t="n">
        <v>46.1</v>
      </c>
      <c r="E711" s="213" t="n">
        <f aca="false">AVERAGEIFS($D$33:$D$1494,$A$33:$A$1494,A711)</f>
        <v>46.1</v>
      </c>
      <c r="F711" s="213" t="n">
        <v>5.1</v>
      </c>
      <c r="G711" s="213" t="n">
        <f aca="false">AVERAGEIFS($F$33:$F$1494,$A$33:$A$1494,A711)</f>
        <v>5.16666666666667</v>
      </c>
      <c r="H711" s="213" t="n">
        <v>4.5</v>
      </c>
      <c r="I711" s="213" t="n">
        <f aca="false">AVERAGEIFS($H$33:$H$1494,$A$33:$A$1494,A711)</f>
        <v>4.78333333333333</v>
      </c>
      <c r="L711" s="215" t="n">
        <v>40572</v>
      </c>
      <c r="M711" s="213" t="n">
        <v>51.0333333333333</v>
      </c>
      <c r="N711" s="213" t="n">
        <v>46.1</v>
      </c>
      <c r="O711" s="213" t="n">
        <v>5.16666666666667</v>
      </c>
      <c r="P711" s="213" t="n">
        <v>4.78333333333333</v>
      </c>
    </row>
    <row r="712" customFormat="false" ht="12.75" hidden="false" customHeight="false" outlineLevel="0" collapsed="false">
      <c r="A712" s="215" t="n">
        <v>40572</v>
      </c>
      <c r="B712" s="213" t="n">
        <v>47.9</v>
      </c>
      <c r="C712" s="213" t="n">
        <f aca="false">AVERAGEIFS($B$33:$B$1494,$A$33:$A$1494,A712)</f>
        <v>51.0333333333333</v>
      </c>
      <c r="D712" s="213" t="n">
        <v>46.1</v>
      </c>
      <c r="E712" s="213" t="n">
        <f aca="false">AVERAGEIFS($D$33:$D$1494,$A$33:$A$1494,A712)</f>
        <v>46.1</v>
      </c>
      <c r="F712" s="213" t="n">
        <v>5.1</v>
      </c>
      <c r="G712" s="213" t="n">
        <f aca="false">AVERAGEIFS($F$33:$F$1494,$A$33:$A$1494,A712)</f>
        <v>5.16666666666667</v>
      </c>
      <c r="H712" s="213" t="n">
        <v>4.7</v>
      </c>
      <c r="I712" s="213" t="n">
        <f aca="false">AVERAGEIFS($H$33:$H$1494,$A$33:$A$1494,A712)</f>
        <v>4.78333333333333</v>
      </c>
      <c r="L712" s="215" t="n">
        <v>40572</v>
      </c>
      <c r="M712" s="213" t="n">
        <v>51.0333333333333</v>
      </c>
      <c r="N712" s="213" t="n">
        <v>46.1</v>
      </c>
      <c r="O712" s="213" t="n">
        <v>5.16666666666667</v>
      </c>
      <c r="P712" s="213" t="n">
        <v>4.78333333333333</v>
      </c>
    </row>
    <row r="713" customFormat="false" ht="12.75" hidden="false" customHeight="false" outlineLevel="0" collapsed="false">
      <c r="A713" s="215" t="n">
        <v>40572</v>
      </c>
      <c r="B713" s="213" t="n">
        <v>47.9</v>
      </c>
      <c r="C713" s="213" t="n">
        <f aca="false">AVERAGEIFS($B$33:$B$1494,$A$33:$A$1494,A713)</f>
        <v>51.0333333333333</v>
      </c>
      <c r="D713" s="213" t="n">
        <v>46.1</v>
      </c>
      <c r="E713" s="213" t="n">
        <f aca="false">AVERAGEIFS($D$33:$D$1494,$A$33:$A$1494,A713)</f>
        <v>46.1</v>
      </c>
      <c r="F713" s="213" t="n">
        <v>5.1</v>
      </c>
      <c r="G713" s="213" t="n">
        <f aca="false">AVERAGEIFS($F$33:$F$1494,$A$33:$A$1494,A713)</f>
        <v>5.16666666666667</v>
      </c>
      <c r="H713" s="213" t="n">
        <v>4.8</v>
      </c>
      <c r="I713" s="213" t="n">
        <f aca="false">AVERAGEIFS($H$33:$H$1494,$A$33:$A$1494,A713)</f>
        <v>4.78333333333333</v>
      </c>
      <c r="L713" s="215" t="n">
        <v>40572</v>
      </c>
      <c r="M713" s="213" t="n">
        <v>51.0333333333333</v>
      </c>
      <c r="N713" s="213" t="n">
        <v>46.1</v>
      </c>
      <c r="O713" s="213" t="n">
        <v>5.16666666666667</v>
      </c>
      <c r="P713" s="213" t="n">
        <v>4.78333333333333</v>
      </c>
    </row>
    <row r="714" customFormat="false" ht="12.75" hidden="false" customHeight="false" outlineLevel="0" collapsed="false">
      <c r="A714" s="215" t="n">
        <v>40572</v>
      </c>
      <c r="B714" s="213" t="n">
        <v>47.9</v>
      </c>
      <c r="C714" s="213" t="n">
        <f aca="false">AVERAGEIFS($B$33:$B$1494,$A$33:$A$1494,A714)</f>
        <v>51.0333333333333</v>
      </c>
      <c r="D714" s="213" t="n">
        <v>46.1</v>
      </c>
      <c r="E714" s="213" t="n">
        <f aca="false">AVERAGEIFS($D$33:$D$1494,$A$33:$A$1494,A714)</f>
        <v>46.1</v>
      </c>
      <c r="F714" s="213" t="n">
        <v>5.2</v>
      </c>
      <c r="G714" s="213" t="n">
        <f aca="false">AVERAGEIFS($F$33:$F$1494,$A$33:$A$1494,A714)</f>
        <v>5.16666666666667</v>
      </c>
      <c r="H714" s="213" t="n">
        <v>4.8</v>
      </c>
      <c r="I714" s="213" t="n">
        <f aca="false">AVERAGEIFS($H$33:$H$1494,$A$33:$A$1494,A714)</f>
        <v>4.78333333333333</v>
      </c>
      <c r="L714" s="215" t="n">
        <v>40572</v>
      </c>
      <c r="M714" s="213" t="n">
        <v>51.0333333333333</v>
      </c>
      <c r="N714" s="213" t="n">
        <v>46.1</v>
      </c>
      <c r="O714" s="213" t="n">
        <v>5.16666666666667</v>
      </c>
      <c r="P714" s="213" t="n">
        <v>4.78333333333333</v>
      </c>
    </row>
    <row r="715" customFormat="false" ht="12.75" hidden="false" customHeight="false" outlineLevel="0" collapsed="false">
      <c r="A715" s="215" t="n">
        <v>40572</v>
      </c>
      <c r="B715" s="213" t="n">
        <v>48.2</v>
      </c>
      <c r="C715" s="213" t="n">
        <f aca="false">AVERAGEIFS($B$33:$B$1494,$A$33:$A$1494,A715)</f>
        <v>51.0333333333333</v>
      </c>
      <c r="D715" s="213" t="n">
        <v>46.1</v>
      </c>
      <c r="E715" s="213" t="n">
        <f aca="false">AVERAGEIFS($D$33:$D$1494,$A$33:$A$1494,A715)</f>
        <v>46.1</v>
      </c>
      <c r="F715" s="213" t="n">
        <v>5.4</v>
      </c>
      <c r="G715" s="213" t="n">
        <f aca="false">AVERAGEIFS($F$33:$F$1494,$A$33:$A$1494,A715)</f>
        <v>5.16666666666667</v>
      </c>
      <c r="H715" s="213" t="n">
        <v>4.9</v>
      </c>
      <c r="I715" s="213" t="n">
        <f aca="false">AVERAGEIFS($H$33:$H$1494,$A$33:$A$1494,A715)</f>
        <v>4.78333333333333</v>
      </c>
      <c r="L715" s="215" t="n">
        <v>40572</v>
      </c>
      <c r="M715" s="213" t="n">
        <v>51.0333333333333</v>
      </c>
      <c r="N715" s="213" t="n">
        <v>46.1</v>
      </c>
      <c r="O715" s="213" t="n">
        <v>5.16666666666667</v>
      </c>
      <c r="P715" s="213" t="n">
        <v>4.78333333333333</v>
      </c>
    </row>
    <row r="716" customFormat="false" ht="12.75" hidden="false" customHeight="false" outlineLevel="0" collapsed="false">
      <c r="A716" s="215" t="n">
        <v>40572</v>
      </c>
      <c r="B716" s="213" t="n">
        <v>66.4</v>
      </c>
      <c r="C716" s="213" t="n">
        <f aca="false">AVERAGEIFS($B$33:$B$1494,$A$33:$A$1494,A716)</f>
        <v>51.0333333333333</v>
      </c>
      <c r="D716" s="213" t="n">
        <v>46.1</v>
      </c>
      <c r="E716" s="213" t="n">
        <f aca="false">AVERAGEIFS($D$33:$D$1494,$A$33:$A$1494,A716)</f>
        <v>46.1</v>
      </c>
      <c r="F716" s="213" t="n">
        <v>5.1</v>
      </c>
      <c r="G716" s="213" t="n">
        <f aca="false">AVERAGEIFS($F$33:$F$1494,$A$33:$A$1494,A716)</f>
        <v>5.16666666666667</v>
      </c>
      <c r="H716" s="213" t="n">
        <v>5</v>
      </c>
      <c r="I716" s="213" t="n">
        <f aca="false">AVERAGEIFS($H$33:$H$1494,$A$33:$A$1494,A716)</f>
        <v>4.78333333333333</v>
      </c>
      <c r="L716" s="215" t="n">
        <v>40572</v>
      </c>
      <c r="M716" s="213" t="n">
        <v>51.0333333333333</v>
      </c>
      <c r="N716" s="213" t="n">
        <v>46.1</v>
      </c>
      <c r="O716" s="213" t="n">
        <v>5.16666666666667</v>
      </c>
      <c r="P716" s="213" t="n">
        <v>4.78333333333333</v>
      </c>
    </row>
    <row r="717" customFormat="false" ht="12.75" hidden="false" customHeight="false" outlineLevel="0" collapsed="false">
      <c r="A717" s="215" t="n">
        <v>40573</v>
      </c>
      <c r="B717" s="213" t="n">
        <v>64.7</v>
      </c>
      <c r="C717" s="213" t="n">
        <f aca="false">AVERAGEIFS($B$33:$B$1494,$A$33:$A$1494,A717)</f>
        <v>55.9833333333333</v>
      </c>
      <c r="D717" s="213" t="n">
        <v>46.1</v>
      </c>
      <c r="E717" s="213" t="n">
        <f aca="false">AVERAGEIFS($D$33:$D$1494,$A$33:$A$1494,A717)</f>
        <v>46.1</v>
      </c>
      <c r="F717" s="213" t="n">
        <v>4.9</v>
      </c>
      <c r="G717" s="213" t="n">
        <f aca="false">AVERAGEIFS($F$33:$F$1494,$A$33:$A$1494,A717)</f>
        <v>4.96666666666667</v>
      </c>
      <c r="H717" s="213" t="n">
        <v>5</v>
      </c>
      <c r="I717" s="213" t="n">
        <f aca="false">AVERAGEIFS($H$33:$H$1494,$A$33:$A$1494,A717)</f>
        <v>5.01666666666667</v>
      </c>
      <c r="L717" s="215" t="n">
        <v>40573</v>
      </c>
      <c r="M717" s="213" t="n">
        <v>55.9833333333333</v>
      </c>
      <c r="N717" s="213" t="n">
        <v>46.1</v>
      </c>
      <c r="O717" s="213" t="n">
        <v>4.96666666666667</v>
      </c>
      <c r="P717" s="213" t="n">
        <v>5.01666666666667</v>
      </c>
    </row>
    <row r="718" customFormat="false" ht="12.75" hidden="false" customHeight="false" outlineLevel="0" collapsed="false">
      <c r="A718" s="215" t="n">
        <v>40573</v>
      </c>
      <c r="B718" s="213" t="n">
        <v>60.8</v>
      </c>
      <c r="C718" s="213" t="n">
        <f aca="false">AVERAGEIFS($B$33:$B$1494,$A$33:$A$1494,A718)</f>
        <v>55.9833333333333</v>
      </c>
      <c r="D718" s="213" t="n">
        <v>46.1</v>
      </c>
      <c r="E718" s="213" t="n">
        <f aca="false">AVERAGEIFS($D$33:$D$1494,$A$33:$A$1494,A718)</f>
        <v>46.1</v>
      </c>
      <c r="F718" s="213" t="n">
        <v>4.9</v>
      </c>
      <c r="G718" s="213" t="n">
        <f aca="false">AVERAGEIFS($F$33:$F$1494,$A$33:$A$1494,A718)</f>
        <v>4.96666666666667</v>
      </c>
      <c r="H718" s="213" t="n">
        <v>5</v>
      </c>
      <c r="I718" s="213" t="n">
        <f aca="false">AVERAGEIFS($H$33:$H$1494,$A$33:$A$1494,A718)</f>
        <v>5.01666666666667</v>
      </c>
      <c r="L718" s="215" t="n">
        <v>40573</v>
      </c>
      <c r="M718" s="213" t="n">
        <v>55.9833333333333</v>
      </c>
      <c r="N718" s="213" t="n">
        <v>46.1</v>
      </c>
      <c r="O718" s="213" t="n">
        <v>4.96666666666667</v>
      </c>
      <c r="P718" s="213" t="n">
        <v>5.01666666666667</v>
      </c>
    </row>
    <row r="719" customFormat="false" ht="12.75" hidden="false" customHeight="false" outlineLevel="0" collapsed="false">
      <c r="A719" s="215" t="n">
        <v>40573</v>
      </c>
      <c r="B719" s="213" t="n">
        <v>53.9</v>
      </c>
      <c r="C719" s="213" t="n">
        <f aca="false">AVERAGEIFS($B$33:$B$1494,$A$33:$A$1494,A719)</f>
        <v>55.9833333333333</v>
      </c>
      <c r="D719" s="213" t="n">
        <v>46.1</v>
      </c>
      <c r="E719" s="213" t="n">
        <f aca="false">AVERAGEIFS($D$33:$D$1494,$A$33:$A$1494,A719)</f>
        <v>46.1</v>
      </c>
      <c r="F719" s="213" t="n">
        <v>4.8</v>
      </c>
      <c r="G719" s="213" t="n">
        <f aca="false">AVERAGEIFS($F$33:$F$1494,$A$33:$A$1494,A719)</f>
        <v>4.96666666666667</v>
      </c>
      <c r="H719" s="213" t="n">
        <v>5</v>
      </c>
      <c r="I719" s="213" t="n">
        <f aca="false">AVERAGEIFS($H$33:$H$1494,$A$33:$A$1494,A719)</f>
        <v>5.01666666666667</v>
      </c>
      <c r="L719" s="215" t="n">
        <v>40573</v>
      </c>
      <c r="M719" s="213" t="n">
        <v>55.9833333333333</v>
      </c>
      <c r="N719" s="213" t="n">
        <v>46.1</v>
      </c>
      <c r="O719" s="213" t="n">
        <v>4.96666666666667</v>
      </c>
      <c r="P719" s="213" t="n">
        <v>5.01666666666667</v>
      </c>
    </row>
    <row r="720" customFormat="false" ht="12.75" hidden="false" customHeight="false" outlineLevel="0" collapsed="false">
      <c r="A720" s="215" t="n">
        <v>40573</v>
      </c>
      <c r="B720" s="213" t="n">
        <v>52.6</v>
      </c>
      <c r="C720" s="213" t="n">
        <f aca="false">AVERAGEIFS($B$33:$B$1494,$A$33:$A$1494,A720)</f>
        <v>55.9833333333333</v>
      </c>
      <c r="D720" s="213" t="n">
        <v>46.1</v>
      </c>
      <c r="E720" s="213" t="n">
        <f aca="false">AVERAGEIFS($D$33:$D$1494,$A$33:$A$1494,A720)</f>
        <v>46.1</v>
      </c>
      <c r="F720" s="213" t="n">
        <v>4.9</v>
      </c>
      <c r="G720" s="213" t="n">
        <f aca="false">AVERAGEIFS($F$33:$F$1494,$A$33:$A$1494,A720)</f>
        <v>4.96666666666667</v>
      </c>
      <c r="H720" s="213" t="n">
        <v>5</v>
      </c>
      <c r="I720" s="213" t="n">
        <f aca="false">AVERAGEIFS($H$33:$H$1494,$A$33:$A$1494,A720)</f>
        <v>5.01666666666667</v>
      </c>
      <c r="L720" s="215" t="n">
        <v>40573</v>
      </c>
      <c r="M720" s="213" t="n">
        <v>55.9833333333333</v>
      </c>
      <c r="N720" s="213" t="n">
        <v>46.1</v>
      </c>
      <c r="O720" s="213" t="n">
        <v>4.96666666666667</v>
      </c>
      <c r="P720" s="213" t="n">
        <v>5.01666666666667</v>
      </c>
    </row>
    <row r="721" customFormat="false" ht="12.75" hidden="false" customHeight="false" outlineLevel="0" collapsed="false">
      <c r="A721" s="215" t="n">
        <v>40573</v>
      </c>
      <c r="B721" s="213" t="n">
        <v>52.1</v>
      </c>
      <c r="C721" s="213" t="n">
        <f aca="false">AVERAGEIFS($B$33:$B$1494,$A$33:$A$1494,A721)</f>
        <v>55.9833333333333</v>
      </c>
      <c r="D721" s="213" t="n">
        <v>46.1</v>
      </c>
      <c r="E721" s="213" t="n">
        <f aca="false">AVERAGEIFS($D$33:$D$1494,$A$33:$A$1494,A721)</f>
        <v>46.1</v>
      </c>
      <c r="F721" s="213" t="n">
        <v>5.1</v>
      </c>
      <c r="G721" s="213" t="n">
        <f aca="false">AVERAGEIFS($F$33:$F$1494,$A$33:$A$1494,A721)</f>
        <v>4.96666666666667</v>
      </c>
      <c r="H721" s="213" t="n">
        <v>5</v>
      </c>
      <c r="I721" s="213" t="n">
        <f aca="false">AVERAGEIFS($H$33:$H$1494,$A$33:$A$1494,A721)</f>
        <v>5.01666666666667</v>
      </c>
      <c r="L721" s="215" t="n">
        <v>40573</v>
      </c>
      <c r="M721" s="213" t="n">
        <v>55.9833333333333</v>
      </c>
      <c r="N721" s="213" t="n">
        <v>46.1</v>
      </c>
      <c r="O721" s="213" t="n">
        <v>4.96666666666667</v>
      </c>
      <c r="P721" s="213" t="n">
        <v>5.01666666666667</v>
      </c>
    </row>
    <row r="722" customFormat="false" ht="12.75" hidden="false" customHeight="false" outlineLevel="0" collapsed="false">
      <c r="A722" s="215" t="n">
        <v>40573</v>
      </c>
      <c r="B722" s="213" t="n">
        <v>51.8</v>
      </c>
      <c r="C722" s="213" t="n">
        <f aca="false">AVERAGEIFS($B$33:$B$1494,$A$33:$A$1494,A722)</f>
        <v>55.9833333333333</v>
      </c>
      <c r="D722" s="213" t="n">
        <v>46.1</v>
      </c>
      <c r="E722" s="213" t="n">
        <f aca="false">AVERAGEIFS($D$33:$D$1494,$A$33:$A$1494,A722)</f>
        <v>46.1</v>
      </c>
      <c r="F722" s="213" t="n">
        <v>5.2</v>
      </c>
      <c r="G722" s="213" t="n">
        <f aca="false">AVERAGEIFS($F$33:$F$1494,$A$33:$A$1494,A722)</f>
        <v>4.96666666666667</v>
      </c>
      <c r="H722" s="213" t="n">
        <v>5.1</v>
      </c>
      <c r="I722" s="213" t="n">
        <f aca="false">AVERAGEIFS($H$33:$H$1494,$A$33:$A$1494,A722)</f>
        <v>5.01666666666667</v>
      </c>
      <c r="L722" s="215" t="n">
        <v>40573</v>
      </c>
      <c r="M722" s="213" t="n">
        <v>55.9833333333333</v>
      </c>
      <c r="N722" s="213" t="n">
        <v>46.1</v>
      </c>
      <c r="O722" s="213" t="n">
        <v>4.96666666666667</v>
      </c>
      <c r="P722" s="213" t="n">
        <v>5.01666666666667</v>
      </c>
    </row>
    <row r="723" customFormat="false" ht="12.75" hidden="false" customHeight="false" outlineLevel="0" collapsed="false">
      <c r="A723" s="215" t="n">
        <v>40574</v>
      </c>
      <c r="B723" s="213" t="n">
        <v>51.4</v>
      </c>
      <c r="C723" s="213" t="n">
        <f aca="false">AVERAGEIFS($B$33:$B$1494,$A$33:$A$1494,A723)</f>
        <v>50.7666666666667</v>
      </c>
      <c r="D723" s="213" t="n">
        <v>46.2</v>
      </c>
      <c r="E723" s="213" t="n">
        <f aca="false">AVERAGEIFS($D$33:$D$1494,$A$33:$A$1494,A723)</f>
        <v>46.2</v>
      </c>
      <c r="F723" s="213" t="n">
        <v>5.1</v>
      </c>
      <c r="G723" s="213" t="n">
        <f aca="false">AVERAGEIFS($F$33:$F$1494,$A$33:$A$1494,A723)</f>
        <v>4.5</v>
      </c>
      <c r="H723" s="213" t="n">
        <v>5.1</v>
      </c>
      <c r="I723" s="213" t="n">
        <f aca="false">AVERAGEIFS($H$33:$H$1494,$A$33:$A$1494,A723)</f>
        <v>4.91666666666667</v>
      </c>
      <c r="L723" s="215" t="n">
        <v>40574</v>
      </c>
      <c r="M723" s="213" t="n">
        <v>50.7666666666667</v>
      </c>
      <c r="N723" s="213" t="n">
        <v>46.2</v>
      </c>
      <c r="O723" s="213" t="n">
        <v>4.5</v>
      </c>
      <c r="P723" s="213" t="n">
        <v>4.91666666666667</v>
      </c>
    </row>
    <row r="724" customFormat="false" ht="12.75" hidden="false" customHeight="false" outlineLevel="0" collapsed="false">
      <c r="A724" s="215" t="n">
        <v>40574</v>
      </c>
      <c r="B724" s="213" t="n">
        <v>51.2</v>
      </c>
      <c r="C724" s="213" t="n">
        <f aca="false">AVERAGEIFS($B$33:$B$1494,$A$33:$A$1494,A724)</f>
        <v>50.7666666666667</v>
      </c>
      <c r="D724" s="213" t="n">
        <v>46.2</v>
      </c>
      <c r="E724" s="213" t="n">
        <f aca="false">AVERAGEIFS($D$33:$D$1494,$A$33:$A$1494,A724)</f>
        <v>46.2</v>
      </c>
      <c r="F724" s="213" t="n">
        <v>4.8</v>
      </c>
      <c r="G724" s="213" t="n">
        <f aca="false">AVERAGEIFS($F$33:$F$1494,$A$33:$A$1494,A724)</f>
        <v>4.5</v>
      </c>
      <c r="H724" s="213" t="n">
        <v>5.1</v>
      </c>
      <c r="I724" s="213" t="n">
        <f aca="false">AVERAGEIFS($H$33:$H$1494,$A$33:$A$1494,A724)</f>
        <v>4.91666666666667</v>
      </c>
      <c r="L724" s="215" t="n">
        <v>40574</v>
      </c>
      <c r="M724" s="213" t="n">
        <v>50.7666666666667</v>
      </c>
      <c r="N724" s="213" t="n">
        <v>46.2</v>
      </c>
      <c r="O724" s="213" t="n">
        <v>4.5</v>
      </c>
      <c r="P724" s="213" t="n">
        <v>4.91666666666667</v>
      </c>
    </row>
    <row r="725" customFormat="false" ht="12.75" hidden="false" customHeight="false" outlineLevel="0" collapsed="false">
      <c r="A725" s="215" t="n">
        <v>40574</v>
      </c>
      <c r="B725" s="213" t="n">
        <v>50.8</v>
      </c>
      <c r="C725" s="213" t="n">
        <f aca="false">AVERAGEIFS($B$33:$B$1494,$A$33:$A$1494,A725)</f>
        <v>50.7666666666667</v>
      </c>
      <c r="D725" s="213" t="n">
        <v>46.2</v>
      </c>
      <c r="E725" s="213" t="n">
        <f aca="false">AVERAGEIFS($D$33:$D$1494,$A$33:$A$1494,A725)</f>
        <v>46.2</v>
      </c>
      <c r="F725" s="213" t="n">
        <v>4.4</v>
      </c>
      <c r="G725" s="213" t="n">
        <f aca="false">AVERAGEIFS($F$33:$F$1494,$A$33:$A$1494,A725)</f>
        <v>4.5</v>
      </c>
      <c r="H725" s="213" t="n">
        <v>5</v>
      </c>
      <c r="I725" s="213" t="n">
        <f aca="false">AVERAGEIFS($H$33:$H$1494,$A$33:$A$1494,A725)</f>
        <v>4.91666666666667</v>
      </c>
      <c r="L725" s="215" t="n">
        <v>40574</v>
      </c>
      <c r="M725" s="213" t="n">
        <v>50.7666666666667</v>
      </c>
      <c r="N725" s="213" t="n">
        <v>46.2</v>
      </c>
      <c r="O725" s="213" t="n">
        <v>4.5</v>
      </c>
      <c r="P725" s="213" t="n">
        <v>4.91666666666667</v>
      </c>
    </row>
    <row r="726" customFormat="false" ht="12.75" hidden="false" customHeight="false" outlineLevel="0" collapsed="false">
      <c r="A726" s="215" t="n">
        <v>40574</v>
      </c>
      <c r="B726" s="213" t="n">
        <v>50.6</v>
      </c>
      <c r="C726" s="213" t="n">
        <f aca="false">AVERAGEIFS($B$33:$B$1494,$A$33:$A$1494,A726)</f>
        <v>50.7666666666667</v>
      </c>
      <c r="D726" s="213" t="n">
        <v>46.2</v>
      </c>
      <c r="E726" s="213" t="n">
        <f aca="false">AVERAGEIFS($D$33:$D$1494,$A$33:$A$1494,A726)</f>
        <v>46.2</v>
      </c>
      <c r="F726" s="213" t="n">
        <v>4.2</v>
      </c>
      <c r="G726" s="213" t="n">
        <f aca="false">AVERAGEIFS($F$33:$F$1494,$A$33:$A$1494,A726)</f>
        <v>4.5</v>
      </c>
      <c r="H726" s="213" t="n">
        <v>4.9</v>
      </c>
      <c r="I726" s="213" t="n">
        <f aca="false">AVERAGEIFS($H$33:$H$1494,$A$33:$A$1494,A726)</f>
        <v>4.91666666666667</v>
      </c>
      <c r="L726" s="215" t="n">
        <v>40574</v>
      </c>
      <c r="M726" s="213" t="n">
        <v>50.7666666666667</v>
      </c>
      <c r="N726" s="213" t="n">
        <v>46.2</v>
      </c>
      <c r="O726" s="213" t="n">
        <v>4.5</v>
      </c>
      <c r="P726" s="213" t="n">
        <v>4.91666666666667</v>
      </c>
    </row>
    <row r="727" customFormat="false" ht="12.75" hidden="false" customHeight="false" outlineLevel="0" collapsed="false">
      <c r="A727" s="215" t="n">
        <v>40574</v>
      </c>
      <c r="B727" s="213" t="n">
        <v>50.4</v>
      </c>
      <c r="C727" s="213" t="n">
        <f aca="false">AVERAGEIFS($B$33:$B$1494,$A$33:$A$1494,A727)</f>
        <v>50.7666666666667</v>
      </c>
      <c r="D727" s="213" t="n">
        <v>46.2</v>
      </c>
      <c r="E727" s="213" t="n">
        <f aca="false">AVERAGEIFS($D$33:$D$1494,$A$33:$A$1494,A727)</f>
        <v>46.2</v>
      </c>
      <c r="F727" s="213" t="n">
        <v>4.3</v>
      </c>
      <c r="G727" s="213" t="n">
        <f aca="false">AVERAGEIFS($F$33:$F$1494,$A$33:$A$1494,A727)</f>
        <v>4.5</v>
      </c>
      <c r="H727" s="213" t="n">
        <v>4.7</v>
      </c>
      <c r="I727" s="213" t="n">
        <f aca="false">AVERAGEIFS($H$33:$H$1494,$A$33:$A$1494,A727)</f>
        <v>4.91666666666667</v>
      </c>
      <c r="L727" s="215" t="n">
        <v>40574</v>
      </c>
      <c r="M727" s="213" t="n">
        <v>50.7666666666667</v>
      </c>
      <c r="N727" s="213" t="n">
        <v>46.2</v>
      </c>
      <c r="O727" s="213" t="n">
        <v>4.5</v>
      </c>
      <c r="P727" s="213" t="n">
        <v>4.91666666666667</v>
      </c>
    </row>
    <row r="728" customFormat="false" ht="12.75" hidden="false" customHeight="false" outlineLevel="0" collapsed="false">
      <c r="A728" s="215" t="n">
        <v>40574</v>
      </c>
      <c r="B728" s="213" t="n">
        <v>50.2</v>
      </c>
      <c r="C728" s="213" t="n">
        <f aca="false">AVERAGEIFS($B$33:$B$1494,$A$33:$A$1494,A728)</f>
        <v>50.7666666666667</v>
      </c>
      <c r="D728" s="213" t="n">
        <v>46.2</v>
      </c>
      <c r="E728" s="213" t="n">
        <f aca="false">AVERAGEIFS($D$33:$D$1494,$A$33:$A$1494,A728)</f>
        <v>46.2</v>
      </c>
      <c r="F728" s="213" t="n">
        <v>4.2</v>
      </c>
      <c r="G728" s="213" t="n">
        <f aca="false">AVERAGEIFS($F$33:$F$1494,$A$33:$A$1494,A728)</f>
        <v>4.5</v>
      </c>
      <c r="H728" s="213" t="n">
        <v>4.7</v>
      </c>
      <c r="I728" s="213" t="n">
        <f aca="false">AVERAGEIFS($H$33:$H$1494,$A$33:$A$1494,A728)</f>
        <v>4.91666666666667</v>
      </c>
      <c r="L728" s="215" t="n">
        <v>40574</v>
      </c>
      <c r="M728" s="213" t="n">
        <v>50.7666666666667</v>
      </c>
      <c r="N728" s="213" t="n">
        <v>46.2</v>
      </c>
      <c r="O728" s="213" t="n">
        <v>4.5</v>
      </c>
      <c r="P728" s="213" t="n">
        <v>4.91666666666667</v>
      </c>
    </row>
    <row r="729" customFormat="false" ht="12.75" hidden="false" customHeight="false" outlineLevel="0" collapsed="false">
      <c r="A729" s="215" t="n">
        <v>40575</v>
      </c>
      <c r="B729" s="213" t="n">
        <v>50</v>
      </c>
      <c r="C729" s="213" t="n">
        <f aca="false">AVERAGEIFS($B$33:$B$1494,$A$33:$A$1494,A729)</f>
        <v>49.7666666666667</v>
      </c>
      <c r="D729" s="213" t="n">
        <v>46.2</v>
      </c>
      <c r="E729" s="213" t="n">
        <f aca="false">AVERAGEIFS($D$33:$D$1494,$A$33:$A$1494,A729)</f>
        <v>46.2666666666667</v>
      </c>
      <c r="F729" s="213" t="n">
        <v>3.9</v>
      </c>
      <c r="G729" s="213" t="n">
        <f aca="false">AVERAGEIFS($F$33:$F$1494,$A$33:$A$1494,A729)</f>
        <v>3.28333333333333</v>
      </c>
      <c r="H729" s="213" t="n">
        <v>4.6</v>
      </c>
      <c r="I729" s="213" t="n">
        <f aca="false">AVERAGEIFS($H$33:$H$1494,$A$33:$A$1494,A729)</f>
        <v>4.3</v>
      </c>
      <c r="L729" s="215" t="n">
        <v>40575</v>
      </c>
      <c r="M729" s="213" t="n">
        <v>49.7666666666667</v>
      </c>
      <c r="N729" s="213" t="n">
        <v>46.2666666666667</v>
      </c>
      <c r="O729" s="213" t="n">
        <v>3.28333333333333</v>
      </c>
      <c r="P729" s="213" t="n">
        <v>4.3</v>
      </c>
    </row>
    <row r="730" customFormat="false" ht="12.75" hidden="false" customHeight="false" outlineLevel="0" collapsed="false">
      <c r="A730" s="215" t="n">
        <v>40575</v>
      </c>
      <c r="B730" s="213" t="n">
        <v>49.9</v>
      </c>
      <c r="C730" s="213" t="n">
        <f aca="false">AVERAGEIFS($B$33:$B$1494,$A$33:$A$1494,A730)</f>
        <v>49.7666666666667</v>
      </c>
      <c r="D730" s="213" t="n">
        <v>46.2</v>
      </c>
      <c r="E730" s="213" t="n">
        <f aca="false">AVERAGEIFS($D$33:$D$1494,$A$33:$A$1494,A730)</f>
        <v>46.2666666666667</v>
      </c>
      <c r="F730" s="213" t="n">
        <v>3.3</v>
      </c>
      <c r="G730" s="213" t="n">
        <f aca="false">AVERAGEIFS($F$33:$F$1494,$A$33:$A$1494,A730)</f>
        <v>3.28333333333333</v>
      </c>
      <c r="H730" s="213" t="n">
        <v>4.5</v>
      </c>
      <c r="I730" s="213" t="n">
        <f aca="false">AVERAGEIFS($H$33:$H$1494,$A$33:$A$1494,A730)</f>
        <v>4.3</v>
      </c>
      <c r="L730" s="215" t="n">
        <v>40575</v>
      </c>
      <c r="M730" s="213" t="n">
        <v>49.7666666666667</v>
      </c>
      <c r="N730" s="213" t="n">
        <v>46.2666666666667</v>
      </c>
      <c r="O730" s="213" t="n">
        <v>3.28333333333333</v>
      </c>
      <c r="P730" s="213" t="n">
        <v>4.3</v>
      </c>
    </row>
    <row r="731" customFormat="false" ht="12.75" hidden="false" customHeight="false" outlineLevel="0" collapsed="false">
      <c r="A731" s="215" t="n">
        <v>40575</v>
      </c>
      <c r="B731" s="213" t="n">
        <v>49.8</v>
      </c>
      <c r="C731" s="213" t="n">
        <f aca="false">AVERAGEIFS($B$33:$B$1494,$A$33:$A$1494,A731)</f>
        <v>49.7666666666667</v>
      </c>
      <c r="D731" s="213" t="n">
        <v>46.3</v>
      </c>
      <c r="E731" s="213" t="n">
        <f aca="false">AVERAGEIFS($D$33:$D$1494,$A$33:$A$1494,A731)</f>
        <v>46.2666666666667</v>
      </c>
      <c r="F731" s="213" t="n">
        <v>3.2</v>
      </c>
      <c r="G731" s="213" t="n">
        <f aca="false">AVERAGEIFS($F$33:$F$1494,$A$33:$A$1494,A731)</f>
        <v>3.28333333333333</v>
      </c>
      <c r="H731" s="213" t="n">
        <v>4.4</v>
      </c>
      <c r="I731" s="213" t="n">
        <f aca="false">AVERAGEIFS($H$33:$H$1494,$A$33:$A$1494,A731)</f>
        <v>4.3</v>
      </c>
      <c r="L731" s="215" t="n">
        <v>40575</v>
      </c>
      <c r="M731" s="213" t="n">
        <v>49.7666666666667</v>
      </c>
      <c r="N731" s="213" t="n">
        <v>46.2666666666667</v>
      </c>
      <c r="O731" s="213" t="n">
        <v>3.28333333333333</v>
      </c>
      <c r="P731" s="213" t="n">
        <v>4.3</v>
      </c>
    </row>
    <row r="732" customFormat="false" ht="12.75" hidden="false" customHeight="false" outlineLevel="0" collapsed="false">
      <c r="A732" s="215" t="n">
        <v>40575</v>
      </c>
      <c r="B732" s="213" t="n">
        <v>49.7</v>
      </c>
      <c r="C732" s="213" t="n">
        <f aca="false">AVERAGEIFS($B$33:$B$1494,$A$33:$A$1494,A732)</f>
        <v>49.7666666666667</v>
      </c>
      <c r="D732" s="213" t="n">
        <v>46.3</v>
      </c>
      <c r="E732" s="213" t="n">
        <f aca="false">AVERAGEIFS($D$33:$D$1494,$A$33:$A$1494,A732)</f>
        <v>46.2666666666667</v>
      </c>
      <c r="F732" s="213" t="n">
        <v>3.2</v>
      </c>
      <c r="G732" s="213" t="n">
        <f aca="false">AVERAGEIFS($F$33:$F$1494,$A$33:$A$1494,A732)</f>
        <v>3.28333333333333</v>
      </c>
      <c r="H732" s="213" t="n">
        <v>4.2</v>
      </c>
      <c r="I732" s="213" t="n">
        <f aca="false">AVERAGEIFS($H$33:$H$1494,$A$33:$A$1494,A732)</f>
        <v>4.3</v>
      </c>
      <c r="L732" s="215" t="n">
        <v>40575</v>
      </c>
      <c r="M732" s="213" t="n">
        <v>49.7666666666667</v>
      </c>
      <c r="N732" s="213" t="n">
        <v>46.2666666666667</v>
      </c>
      <c r="O732" s="213" t="n">
        <v>3.28333333333333</v>
      </c>
      <c r="P732" s="213" t="n">
        <v>4.3</v>
      </c>
    </row>
    <row r="733" customFormat="false" ht="12.75" hidden="false" customHeight="false" outlineLevel="0" collapsed="false">
      <c r="A733" s="215" t="n">
        <v>40575</v>
      </c>
      <c r="B733" s="213" t="n">
        <v>49.6</v>
      </c>
      <c r="C733" s="213" t="n">
        <f aca="false">AVERAGEIFS($B$33:$B$1494,$A$33:$A$1494,A733)</f>
        <v>49.7666666666667</v>
      </c>
      <c r="D733" s="213" t="n">
        <v>46.3</v>
      </c>
      <c r="E733" s="213" t="n">
        <f aca="false">AVERAGEIFS($D$33:$D$1494,$A$33:$A$1494,A733)</f>
        <v>46.2666666666667</v>
      </c>
      <c r="F733" s="213" t="n">
        <v>3.2</v>
      </c>
      <c r="G733" s="213" t="n">
        <f aca="false">AVERAGEIFS($F$33:$F$1494,$A$33:$A$1494,A733)</f>
        <v>3.28333333333333</v>
      </c>
      <c r="H733" s="213" t="n">
        <v>4.1</v>
      </c>
      <c r="I733" s="213" t="n">
        <f aca="false">AVERAGEIFS($H$33:$H$1494,$A$33:$A$1494,A733)</f>
        <v>4.3</v>
      </c>
      <c r="L733" s="215" t="n">
        <v>40575</v>
      </c>
      <c r="M733" s="213" t="n">
        <v>49.7666666666667</v>
      </c>
      <c r="N733" s="213" t="n">
        <v>46.2666666666667</v>
      </c>
      <c r="O733" s="213" t="n">
        <v>3.28333333333333</v>
      </c>
      <c r="P733" s="213" t="n">
        <v>4.3</v>
      </c>
    </row>
    <row r="734" customFormat="false" ht="12.75" hidden="false" customHeight="false" outlineLevel="0" collapsed="false">
      <c r="A734" s="215" t="n">
        <v>40575</v>
      </c>
      <c r="B734" s="213" t="n">
        <v>49.6</v>
      </c>
      <c r="C734" s="213" t="n">
        <f aca="false">AVERAGEIFS($B$33:$B$1494,$A$33:$A$1494,A734)</f>
        <v>49.7666666666667</v>
      </c>
      <c r="D734" s="213" t="n">
        <v>46.3</v>
      </c>
      <c r="E734" s="213" t="n">
        <f aca="false">AVERAGEIFS($D$33:$D$1494,$A$33:$A$1494,A734)</f>
        <v>46.2666666666667</v>
      </c>
      <c r="F734" s="213" t="n">
        <v>2.9</v>
      </c>
      <c r="G734" s="213" t="n">
        <f aca="false">AVERAGEIFS($F$33:$F$1494,$A$33:$A$1494,A734)</f>
        <v>3.28333333333333</v>
      </c>
      <c r="H734" s="213" t="n">
        <v>4</v>
      </c>
      <c r="I734" s="213" t="n">
        <f aca="false">AVERAGEIFS($H$33:$H$1494,$A$33:$A$1494,A734)</f>
        <v>4.3</v>
      </c>
      <c r="L734" s="215" t="n">
        <v>40575</v>
      </c>
      <c r="M734" s="213" t="n">
        <v>49.7666666666667</v>
      </c>
      <c r="N734" s="213" t="n">
        <v>46.2666666666667</v>
      </c>
      <c r="O734" s="213" t="n">
        <v>3.28333333333333</v>
      </c>
      <c r="P734" s="213" t="n">
        <v>4.3</v>
      </c>
    </row>
    <row r="735" customFormat="false" ht="12.75" hidden="false" customHeight="false" outlineLevel="0" collapsed="false">
      <c r="A735" s="215" t="n">
        <v>40576</v>
      </c>
      <c r="B735" s="213" t="n">
        <v>49.5</v>
      </c>
      <c r="C735" s="213" t="n">
        <f aca="false">AVERAGEIFS($B$33:$B$1494,$A$33:$A$1494,A735)</f>
        <v>49.4</v>
      </c>
      <c r="D735" s="213" t="n">
        <v>46.3</v>
      </c>
      <c r="E735" s="213" t="n">
        <f aca="false">AVERAGEIFS($D$33:$D$1494,$A$33:$A$1494,A735)</f>
        <v>46.3</v>
      </c>
      <c r="F735" s="213" t="n">
        <v>2.7</v>
      </c>
      <c r="G735" s="213" t="n">
        <f aca="false">AVERAGEIFS($F$33:$F$1494,$A$33:$A$1494,A735)</f>
        <v>2.76666666666667</v>
      </c>
      <c r="H735" s="213" t="n">
        <v>3.9</v>
      </c>
      <c r="I735" s="213" t="n">
        <f aca="false">AVERAGEIFS($H$33:$H$1494,$A$33:$A$1494,A735)</f>
        <v>3.68333333333333</v>
      </c>
      <c r="L735" s="215" t="n">
        <v>40576</v>
      </c>
      <c r="M735" s="213" t="n">
        <v>49.4</v>
      </c>
      <c r="N735" s="213" t="n">
        <v>46.3</v>
      </c>
      <c r="O735" s="213" t="n">
        <v>2.76666666666667</v>
      </c>
      <c r="P735" s="213" t="n">
        <v>3.68333333333333</v>
      </c>
    </row>
    <row r="736" customFormat="false" ht="12.75" hidden="false" customHeight="false" outlineLevel="0" collapsed="false">
      <c r="A736" s="215" t="n">
        <v>40576</v>
      </c>
      <c r="B736" s="213" t="n">
        <v>49.5</v>
      </c>
      <c r="C736" s="213" t="n">
        <f aca="false">AVERAGEIFS($B$33:$B$1494,$A$33:$A$1494,A736)</f>
        <v>49.4</v>
      </c>
      <c r="D736" s="213" t="n">
        <v>46.3</v>
      </c>
      <c r="E736" s="213" t="n">
        <f aca="false">AVERAGEIFS($D$33:$D$1494,$A$33:$A$1494,A736)</f>
        <v>46.3</v>
      </c>
      <c r="F736" s="213" t="n">
        <v>2.6</v>
      </c>
      <c r="G736" s="213" t="n">
        <f aca="false">AVERAGEIFS($F$33:$F$1494,$A$33:$A$1494,A736)</f>
        <v>2.76666666666667</v>
      </c>
      <c r="H736" s="213" t="n">
        <v>3.8</v>
      </c>
      <c r="I736" s="213" t="n">
        <f aca="false">AVERAGEIFS($H$33:$H$1494,$A$33:$A$1494,A736)</f>
        <v>3.68333333333333</v>
      </c>
      <c r="L736" s="215" t="n">
        <v>40576</v>
      </c>
      <c r="M736" s="213" t="n">
        <v>49.4</v>
      </c>
      <c r="N736" s="213" t="n">
        <v>46.3</v>
      </c>
      <c r="O736" s="213" t="n">
        <v>2.76666666666667</v>
      </c>
      <c r="P736" s="213" t="n">
        <v>3.68333333333333</v>
      </c>
    </row>
    <row r="737" customFormat="false" ht="12.75" hidden="false" customHeight="false" outlineLevel="0" collapsed="false">
      <c r="A737" s="215" t="n">
        <v>40576</v>
      </c>
      <c r="B737" s="213" t="n">
        <v>49.4</v>
      </c>
      <c r="C737" s="213" t="n">
        <f aca="false">AVERAGEIFS($B$33:$B$1494,$A$33:$A$1494,A737)</f>
        <v>49.4</v>
      </c>
      <c r="D737" s="213" t="n">
        <v>46.3</v>
      </c>
      <c r="E737" s="213" t="n">
        <f aca="false">AVERAGEIFS($D$33:$D$1494,$A$33:$A$1494,A737)</f>
        <v>46.3</v>
      </c>
      <c r="F737" s="213" t="n">
        <v>2.4</v>
      </c>
      <c r="G737" s="213" t="n">
        <f aca="false">AVERAGEIFS($F$33:$F$1494,$A$33:$A$1494,A737)</f>
        <v>2.76666666666667</v>
      </c>
      <c r="H737" s="213" t="n">
        <v>3.7</v>
      </c>
      <c r="I737" s="213" t="n">
        <f aca="false">AVERAGEIFS($H$33:$H$1494,$A$33:$A$1494,A737)</f>
        <v>3.68333333333333</v>
      </c>
      <c r="L737" s="215" t="n">
        <v>40576</v>
      </c>
      <c r="M737" s="213" t="n">
        <v>49.4</v>
      </c>
      <c r="N737" s="213" t="n">
        <v>46.3</v>
      </c>
      <c r="O737" s="213" t="n">
        <v>2.76666666666667</v>
      </c>
      <c r="P737" s="213" t="n">
        <v>3.68333333333333</v>
      </c>
    </row>
    <row r="738" customFormat="false" ht="12.75" hidden="false" customHeight="false" outlineLevel="0" collapsed="false">
      <c r="A738" s="215" t="n">
        <v>40576</v>
      </c>
      <c r="B738" s="213" t="n">
        <v>49.4</v>
      </c>
      <c r="C738" s="213" t="n">
        <f aca="false">AVERAGEIFS($B$33:$B$1494,$A$33:$A$1494,A738)</f>
        <v>49.4</v>
      </c>
      <c r="D738" s="213" t="n">
        <v>46.3</v>
      </c>
      <c r="E738" s="213" t="n">
        <f aca="false">AVERAGEIFS($D$33:$D$1494,$A$33:$A$1494,A738)</f>
        <v>46.3</v>
      </c>
      <c r="F738" s="213" t="n">
        <v>2.3</v>
      </c>
      <c r="G738" s="213" t="n">
        <f aca="false">AVERAGEIFS($F$33:$F$1494,$A$33:$A$1494,A738)</f>
        <v>2.76666666666667</v>
      </c>
      <c r="H738" s="213" t="n">
        <v>3.6</v>
      </c>
      <c r="I738" s="213" t="n">
        <f aca="false">AVERAGEIFS($H$33:$H$1494,$A$33:$A$1494,A738)</f>
        <v>3.68333333333333</v>
      </c>
      <c r="L738" s="215" t="n">
        <v>40576</v>
      </c>
      <c r="M738" s="213" t="n">
        <v>49.4</v>
      </c>
      <c r="N738" s="213" t="n">
        <v>46.3</v>
      </c>
      <c r="O738" s="213" t="n">
        <v>2.76666666666667</v>
      </c>
      <c r="P738" s="213" t="n">
        <v>3.68333333333333</v>
      </c>
    </row>
    <row r="739" customFormat="false" ht="12.75" hidden="false" customHeight="false" outlineLevel="0" collapsed="false">
      <c r="A739" s="215" t="n">
        <v>40576</v>
      </c>
      <c r="B739" s="213" t="n">
        <v>49.3</v>
      </c>
      <c r="C739" s="213" t="n">
        <f aca="false">AVERAGEIFS($B$33:$B$1494,$A$33:$A$1494,A739)</f>
        <v>49.4</v>
      </c>
      <c r="D739" s="213" t="n">
        <v>46.3</v>
      </c>
      <c r="E739" s="213" t="n">
        <f aca="false">AVERAGEIFS($D$33:$D$1494,$A$33:$A$1494,A739)</f>
        <v>46.3</v>
      </c>
      <c r="F739" s="213" t="n">
        <v>3.1</v>
      </c>
      <c r="G739" s="213" t="n">
        <f aca="false">AVERAGEIFS($F$33:$F$1494,$A$33:$A$1494,A739)</f>
        <v>2.76666666666667</v>
      </c>
      <c r="H739" s="213" t="n">
        <v>3.5</v>
      </c>
      <c r="I739" s="213" t="n">
        <f aca="false">AVERAGEIFS($H$33:$H$1494,$A$33:$A$1494,A739)</f>
        <v>3.68333333333333</v>
      </c>
      <c r="L739" s="215" t="n">
        <v>40576</v>
      </c>
      <c r="M739" s="213" t="n">
        <v>49.4</v>
      </c>
      <c r="N739" s="213" t="n">
        <v>46.3</v>
      </c>
      <c r="O739" s="213" t="n">
        <v>2.76666666666667</v>
      </c>
      <c r="P739" s="213" t="n">
        <v>3.68333333333333</v>
      </c>
    </row>
    <row r="740" customFormat="false" ht="12.75" hidden="false" customHeight="false" outlineLevel="0" collapsed="false">
      <c r="A740" s="215" t="n">
        <v>40576</v>
      </c>
      <c r="B740" s="213" t="n">
        <v>49.3</v>
      </c>
      <c r="C740" s="213" t="n">
        <f aca="false">AVERAGEIFS($B$33:$B$1494,$A$33:$A$1494,A740)</f>
        <v>49.4</v>
      </c>
      <c r="D740" s="213" t="n">
        <v>46.3</v>
      </c>
      <c r="E740" s="213" t="n">
        <f aca="false">AVERAGEIFS($D$33:$D$1494,$A$33:$A$1494,A740)</f>
        <v>46.3</v>
      </c>
      <c r="F740" s="213" t="n">
        <v>3.5</v>
      </c>
      <c r="G740" s="213" t="n">
        <f aca="false">AVERAGEIFS($F$33:$F$1494,$A$33:$A$1494,A740)</f>
        <v>2.76666666666667</v>
      </c>
      <c r="H740" s="213" t="n">
        <v>3.6</v>
      </c>
      <c r="I740" s="213" t="n">
        <f aca="false">AVERAGEIFS($H$33:$H$1494,$A$33:$A$1494,A740)</f>
        <v>3.68333333333333</v>
      </c>
      <c r="L740" s="215" t="n">
        <v>40576</v>
      </c>
      <c r="M740" s="213" t="n">
        <v>49.4</v>
      </c>
      <c r="N740" s="213" t="n">
        <v>46.3</v>
      </c>
      <c r="O740" s="213" t="n">
        <v>2.76666666666667</v>
      </c>
      <c r="P740" s="213" t="n">
        <v>3.68333333333333</v>
      </c>
    </row>
    <row r="741" customFormat="false" ht="12.75" hidden="false" customHeight="false" outlineLevel="0" collapsed="false">
      <c r="A741" s="215" t="n">
        <v>40577</v>
      </c>
      <c r="B741" s="213" t="n">
        <v>49.2</v>
      </c>
      <c r="C741" s="213" t="n">
        <f aca="false">AVERAGEIFS($B$33:$B$1494,$A$33:$A$1494,A741)</f>
        <v>49.1</v>
      </c>
      <c r="D741" s="213" t="n">
        <v>46.3</v>
      </c>
      <c r="E741" s="213" t="n">
        <f aca="false">AVERAGEIFS($D$33:$D$1494,$A$33:$A$1494,A741)</f>
        <v>46.2833333333333</v>
      </c>
      <c r="F741" s="213" t="n">
        <v>3.6</v>
      </c>
      <c r="G741" s="213" t="n">
        <f aca="false">AVERAGEIFS($F$33:$F$1494,$A$33:$A$1494,A741)</f>
        <v>4.36666666666667</v>
      </c>
      <c r="H741" s="213" t="n">
        <v>3.8</v>
      </c>
      <c r="I741" s="213" t="n">
        <f aca="false">AVERAGEIFS($H$33:$H$1494,$A$33:$A$1494,A741)</f>
        <v>4.1</v>
      </c>
      <c r="L741" s="215" t="n">
        <v>40577</v>
      </c>
      <c r="M741" s="213" t="n">
        <v>49.1</v>
      </c>
      <c r="N741" s="213" t="n">
        <v>46.2833333333333</v>
      </c>
      <c r="O741" s="213" t="n">
        <v>4.36666666666667</v>
      </c>
      <c r="P741" s="213" t="n">
        <v>4.1</v>
      </c>
    </row>
    <row r="742" customFormat="false" ht="12.75" hidden="false" customHeight="false" outlineLevel="0" collapsed="false">
      <c r="A742" s="215" t="n">
        <v>40577</v>
      </c>
      <c r="B742" s="213" t="n">
        <v>49.2</v>
      </c>
      <c r="C742" s="213" t="n">
        <f aca="false">AVERAGEIFS($B$33:$B$1494,$A$33:$A$1494,A742)</f>
        <v>49.1</v>
      </c>
      <c r="D742" s="213" t="n">
        <v>46.3</v>
      </c>
      <c r="E742" s="213" t="n">
        <f aca="false">AVERAGEIFS($D$33:$D$1494,$A$33:$A$1494,A742)</f>
        <v>46.2833333333333</v>
      </c>
      <c r="F742" s="213" t="n">
        <v>3.8</v>
      </c>
      <c r="G742" s="213" t="n">
        <f aca="false">AVERAGEIFS($F$33:$F$1494,$A$33:$A$1494,A742)</f>
        <v>4.36666666666667</v>
      </c>
      <c r="H742" s="213" t="n">
        <v>3.9</v>
      </c>
      <c r="I742" s="213" t="n">
        <f aca="false">AVERAGEIFS($H$33:$H$1494,$A$33:$A$1494,A742)</f>
        <v>4.1</v>
      </c>
      <c r="L742" s="215" t="n">
        <v>40577</v>
      </c>
      <c r="M742" s="213" t="n">
        <v>49.1</v>
      </c>
      <c r="N742" s="213" t="n">
        <v>46.2833333333333</v>
      </c>
      <c r="O742" s="213" t="n">
        <v>4.36666666666667</v>
      </c>
      <c r="P742" s="213" t="n">
        <v>4.1</v>
      </c>
    </row>
    <row r="743" customFormat="false" ht="12.75" hidden="false" customHeight="false" outlineLevel="0" collapsed="false">
      <c r="A743" s="215" t="n">
        <v>40577</v>
      </c>
      <c r="B743" s="213" t="n">
        <v>49.1</v>
      </c>
      <c r="C743" s="213" t="n">
        <f aca="false">AVERAGEIFS($B$33:$B$1494,$A$33:$A$1494,A743)</f>
        <v>49.1</v>
      </c>
      <c r="D743" s="213" t="n">
        <v>46.3</v>
      </c>
      <c r="E743" s="213" t="n">
        <f aca="false">AVERAGEIFS($D$33:$D$1494,$A$33:$A$1494,A743)</f>
        <v>46.2833333333333</v>
      </c>
      <c r="F743" s="213" t="n">
        <v>3.9</v>
      </c>
      <c r="G743" s="213" t="n">
        <f aca="false">AVERAGEIFS($F$33:$F$1494,$A$33:$A$1494,A743)</f>
        <v>4.36666666666667</v>
      </c>
      <c r="H743" s="213" t="n">
        <v>4</v>
      </c>
      <c r="I743" s="213" t="n">
        <f aca="false">AVERAGEIFS($H$33:$H$1494,$A$33:$A$1494,A743)</f>
        <v>4.1</v>
      </c>
      <c r="L743" s="215" t="n">
        <v>40577</v>
      </c>
      <c r="M743" s="213" t="n">
        <v>49.1</v>
      </c>
      <c r="N743" s="213" t="n">
        <v>46.2833333333333</v>
      </c>
      <c r="O743" s="213" t="n">
        <v>4.36666666666667</v>
      </c>
      <c r="P743" s="213" t="n">
        <v>4.1</v>
      </c>
    </row>
    <row r="744" customFormat="false" ht="12.75" hidden="false" customHeight="false" outlineLevel="0" collapsed="false">
      <c r="A744" s="215" t="n">
        <v>40577</v>
      </c>
      <c r="B744" s="213" t="n">
        <v>49.1</v>
      </c>
      <c r="C744" s="213" t="n">
        <f aca="false">AVERAGEIFS($B$33:$B$1494,$A$33:$A$1494,A744)</f>
        <v>49.1</v>
      </c>
      <c r="D744" s="213" t="n">
        <v>46.3</v>
      </c>
      <c r="E744" s="213" t="n">
        <f aca="false">AVERAGEIFS($D$33:$D$1494,$A$33:$A$1494,A744)</f>
        <v>46.2833333333333</v>
      </c>
      <c r="F744" s="213" t="n">
        <v>4.2</v>
      </c>
      <c r="G744" s="213" t="n">
        <f aca="false">AVERAGEIFS($F$33:$F$1494,$A$33:$A$1494,A744)</f>
        <v>4.36666666666667</v>
      </c>
      <c r="H744" s="213" t="n">
        <v>4.1</v>
      </c>
      <c r="I744" s="213" t="n">
        <f aca="false">AVERAGEIFS($H$33:$H$1494,$A$33:$A$1494,A744)</f>
        <v>4.1</v>
      </c>
      <c r="L744" s="215" t="n">
        <v>40577</v>
      </c>
      <c r="M744" s="213" t="n">
        <v>49.1</v>
      </c>
      <c r="N744" s="213" t="n">
        <v>46.2833333333333</v>
      </c>
      <c r="O744" s="213" t="n">
        <v>4.36666666666667</v>
      </c>
      <c r="P744" s="213" t="n">
        <v>4.1</v>
      </c>
    </row>
    <row r="745" customFormat="false" ht="12.75" hidden="false" customHeight="false" outlineLevel="0" collapsed="false">
      <c r="A745" s="215" t="n">
        <v>40577</v>
      </c>
      <c r="B745" s="213" t="n">
        <v>49</v>
      </c>
      <c r="C745" s="213" t="n">
        <f aca="false">AVERAGEIFS($B$33:$B$1494,$A$33:$A$1494,A745)</f>
        <v>49.1</v>
      </c>
      <c r="D745" s="213" t="n">
        <v>46.3</v>
      </c>
      <c r="E745" s="213" t="n">
        <f aca="false">AVERAGEIFS($D$33:$D$1494,$A$33:$A$1494,A745)</f>
        <v>46.2833333333333</v>
      </c>
      <c r="F745" s="213" t="n">
        <v>5.1</v>
      </c>
      <c r="G745" s="213" t="n">
        <f aca="false">AVERAGEIFS($F$33:$F$1494,$A$33:$A$1494,A745)</f>
        <v>4.36666666666667</v>
      </c>
      <c r="H745" s="213" t="n">
        <v>4.3</v>
      </c>
      <c r="I745" s="213" t="n">
        <f aca="false">AVERAGEIFS($H$33:$H$1494,$A$33:$A$1494,A745)</f>
        <v>4.1</v>
      </c>
      <c r="L745" s="215" t="n">
        <v>40577</v>
      </c>
      <c r="M745" s="213" t="n">
        <v>49.1</v>
      </c>
      <c r="N745" s="213" t="n">
        <v>46.2833333333333</v>
      </c>
      <c r="O745" s="213" t="n">
        <v>4.36666666666667</v>
      </c>
      <c r="P745" s="213" t="n">
        <v>4.1</v>
      </c>
    </row>
    <row r="746" customFormat="false" ht="12.75" hidden="false" customHeight="false" outlineLevel="0" collapsed="false">
      <c r="A746" s="215" t="n">
        <v>40577</v>
      </c>
      <c r="B746" s="213" t="n">
        <v>49</v>
      </c>
      <c r="C746" s="213" t="n">
        <f aca="false">AVERAGEIFS($B$33:$B$1494,$A$33:$A$1494,A746)</f>
        <v>49.1</v>
      </c>
      <c r="D746" s="213" t="n">
        <v>46.2</v>
      </c>
      <c r="E746" s="213" t="n">
        <f aca="false">AVERAGEIFS($D$33:$D$1494,$A$33:$A$1494,A746)</f>
        <v>46.2833333333333</v>
      </c>
      <c r="F746" s="213" t="n">
        <v>5.6</v>
      </c>
      <c r="G746" s="213" t="n">
        <f aca="false">AVERAGEIFS($F$33:$F$1494,$A$33:$A$1494,A746)</f>
        <v>4.36666666666667</v>
      </c>
      <c r="H746" s="213" t="n">
        <v>4.5</v>
      </c>
      <c r="I746" s="213" t="n">
        <f aca="false">AVERAGEIFS($H$33:$H$1494,$A$33:$A$1494,A746)</f>
        <v>4.1</v>
      </c>
      <c r="L746" s="215" t="n">
        <v>40577</v>
      </c>
      <c r="M746" s="213" t="n">
        <v>49.1</v>
      </c>
      <c r="N746" s="213" t="n">
        <v>46.2833333333333</v>
      </c>
      <c r="O746" s="213" t="n">
        <v>4.36666666666667</v>
      </c>
      <c r="P746" s="213" t="n">
        <v>4.1</v>
      </c>
    </row>
    <row r="747" customFormat="false" ht="12.75" hidden="false" customHeight="false" outlineLevel="0" collapsed="false">
      <c r="A747" s="215" t="n">
        <v>40578</v>
      </c>
      <c r="B747" s="213" t="n">
        <v>48.9</v>
      </c>
      <c r="C747" s="213" t="n">
        <f aca="false">AVERAGEIFS($B$33:$B$1494,$A$33:$A$1494,A747)</f>
        <v>48.85</v>
      </c>
      <c r="D747" s="213" t="n">
        <v>46.3</v>
      </c>
      <c r="E747" s="213" t="n">
        <f aca="false">AVERAGEIFS($D$33:$D$1494,$A$33:$A$1494,A747)</f>
        <v>46.25</v>
      </c>
      <c r="F747" s="213" t="n">
        <v>5.6</v>
      </c>
      <c r="G747" s="213" t="n">
        <f aca="false">AVERAGEIFS($F$33:$F$1494,$A$33:$A$1494,A747)</f>
        <v>6.11666666666667</v>
      </c>
      <c r="H747" s="213" t="n">
        <v>4.8</v>
      </c>
      <c r="I747" s="213" t="n">
        <f aca="false">AVERAGEIFS($H$33:$H$1494,$A$33:$A$1494,A747)</f>
        <v>5.2</v>
      </c>
      <c r="L747" s="215" t="n">
        <v>40578</v>
      </c>
      <c r="M747" s="213" t="n">
        <v>48.85</v>
      </c>
      <c r="N747" s="213" t="n">
        <v>46.25</v>
      </c>
      <c r="O747" s="213" t="n">
        <v>6.11666666666667</v>
      </c>
      <c r="P747" s="213" t="n">
        <v>5.2</v>
      </c>
    </row>
    <row r="748" customFormat="false" ht="12.75" hidden="false" customHeight="false" outlineLevel="0" collapsed="false">
      <c r="A748" s="215" t="n">
        <v>40578</v>
      </c>
      <c r="B748" s="213" t="n">
        <v>48.9</v>
      </c>
      <c r="C748" s="213" t="n">
        <f aca="false">AVERAGEIFS($B$33:$B$1494,$A$33:$A$1494,A748)</f>
        <v>48.85</v>
      </c>
      <c r="D748" s="213" t="n">
        <v>46.2</v>
      </c>
      <c r="E748" s="213" t="n">
        <f aca="false">AVERAGEIFS($D$33:$D$1494,$A$33:$A$1494,A748)</f>
        <v>46.25</v>
      </c>
      <c r="F748" s="213" t="n">
        <v>5.6</v>
      </c>
      <c r="G748" s="213" t="n">
        <f aca="false">AVERAGEIFS($F$33:$F$1494,$A$33:$A$1494,A748)</f>
        <v>6.11666666666667</v>
      </c>
      <c r="H748" s="213" t="n">
        <v>5</v>
      </c>
      <c r="I748" s="213" t="n">
        <f aca="false">AVERAGEIFS($H$33:$H$1494,$A$33:$A$1494,A748)</f>
        <v>5.2</v>
      </c>
      <c r="L748" s="215" t="n">
        <v>40578</v>
      </c>
      <c r="M748" s="213" t="n">
        <v>48.85</v>
      </c>
      <c r="N748" s="213" t="n">
        <v>46.25</v>
      </c>
      <c r="O748" s="213" t="n">
        <v>6.11666666666667</v>
      </c>
      <c r="P748" s="213" t="n">
        <v>5.2</v>
      </c>
    </row>
    <row r="749" customFormat="false" ht="12.75" hidden="false" customHeight="false" outlineLevel="0" collapsed="false">
      <c r="A749" s="215" t="n">
        <v>40578</v>
      </c>
      <c r="B749" s="213" t="n">
        <v>48.9</v>
      </c>
      <c r="C749" s="213" t="n">
        <f aca="false">AVERAGEIFS($B$33:$B$1494,$A$33:$A$1494,A749)</f>
        <v>48.85</v>
      </c>
      <c r="D749" s="213" t="n">
        <v>46.3</v>
      </c>
      <c r="E749" s="213" t="n">
        <f aca="false">AVERAGEIFS($D$33:$D$1494,$A$33:$A$1494,A749)</f>
        <v>46.25</v>
      </c>
      <c r="F749" s="213" t="n">
        <v>5.6</v>
      </c>
      <c r="G749" s="213" t="n">
        <f aca="false">AVERAGEIFS($F$33:$F$1494,$A$33:$A$1494,A749)</f>
        <v>6.11666666666667</v>
      </c>
      <c r="H749" s="213" t="n">
        <v>5.1</v>
      </c>
      <c r="I749" s="213" t="n">
        <f aca="false">AVERAGEIFS($H$33:$H$1494,$A$33:$A$1494,A749)</f>
        <v>5.2</v>
      </c>
      <c r="L749" s="215" t="n">
        <v>40578</v>
      </c>
      <c r="M749" s="213" t="n">
        <v>48.85</v>
      </c>
      <c r="N749" s="213" t="n">
        <v>46.25</v>
      </c>
      <c r="O749" s="213" t="n">
        <v>6.11666666666667</v>
      </c>
      <c r="P749" s="213" t="n">
        <v>5.2</v>
      </c>
    </row>
    <row r="750" customFormat="false" ht="12.75" hidden="false" customHeight="false" outlineLevel="0" collapsed="false">
      <c r="A750" s="215" t="n">
        <v>40578</v>
      </c>
      <c r="B750" s="213" t="n">
        <v>48.9</v>
      </c>
      <c r="C750" s="213" t="n">
        <f aca="false">AVERAGEIFS($B$33:$B$1494,$A$33:$A$1494,A750)</f>
        <v>48.85</v>
      </c>
      <c r="D750" s="213" t="n">
        <v>46.3</v>
      </c>
      <c r="E750" s="213" t="n">
        <f aca="false">AVERAGEIFS($D$33:$D$1494,$A$33:$A$1494,A750)</f>
        <v>46.25</v>
      </c>
      <c r="F750" s="213" t="n">
        <v>5.8</v>
      </c>
      <c r="G750" s="213" t="n">
        <f aca="false">AVERAGEIFS($F$33:$F$1494,$A$33:$A$1494,A750)</f>
        <v>6.11666666666667</v>
      </c>
      <c r="H750" s="213" t="n">
        <v>5.2</v>
      </c>
      <c r="I750" s="213" t="n">
        <f aca="false">AVERAGEIFS($H$33:$H$1494,$A$33:$A$1494,A750)</f>
        <v>5.2</v>
      </c>
      <c r="L750" s="215" t="n">
        <v>40578</v>
      </c>
      <c r="M750" s="213" t="n">
        <v>48.85</v>
      </c>
      <c r="N750" s="213" t="n">
        <v>46.25</v>
      </c>
      <c r="O750" s="213" t="n">
        <v>6.11666666666667</v>
      </c>
      <c r="P750" s="213" t="n">
        <v>5.2</v>
      </c>
    </row>
    <row r="751" customFormat="false" ht="12.75" hidden="false" customHeight="false" outlineLevel="0" collapsed="false">
      <c r="A751" s="215" t="n">
        <v>40578</v>
      </c>
      <c r="B751" s="213" t="n">
        <v>48.8</v>
      </c>
      <c r="C751" s="213" t="n">
        <f aca="false">AVERAGEIFS($B$33:$B$1494,$A$33:$A$1494,A751)</f>
        <v>48.85</v>
      </c>
      <c r="D751" s="213" t="n">
        <v>46.2</v>
      </c>
      <c r="E751" s="213" t="n">
        <f aca="false">AVERAGEIFS($D$33:$D$1494,$A$33:$A$1494,A751)</f>
        <v>46.25</v>
      </c>
      <c r="F751" s="213" t="n">
        <v>6.9</v>
      </c>
      <c r="G751" s="213" t="n">
        <f aca="false">AVERAGEIFS($F$33:$F$1494,$A$33:$A$1494,A751)</f>
        <v>6.11666666666667</v>
      </c>
      <c r="H751" s="213" t="n">
        <v>5.4</v>
      </c>
      <c r="I751" s="213" t="n">
        <f aca="false">AVERAGEIFS($H$33:$H$1494,$A$33:$A$1494,A751)</f>
        <v>5.2</v>
      </c>
      <c r="L751" s="215" t="n">
        <v>40578</v>
      </c>
      <c r="M751" s="213" t="n">
        <v>48.85</v>
      </c>
      <c r="N751" s="213" t="n">
        <v>46.25</v>
      </c>
      <c r="O751" s="213" t="n">
        <v>6.11666666666667</v>
      </c>
      <c r="P751" s="213" t="n">
        <v>5.2</v>
      </c>
    </row>
    <row r="752" customFormat="false" ht="12.75" hidden="false" customHeight="false" outlineLevel="0" collapsed="false">
      <c r="A752" s="215" t="n">
        <v>40578</v>
      </c>
      <c r="B752" s="213" t="n">
        <v>48.7</v>
      </c>
      <c r="C752" s="213" t="n">
        <f aca="false">AVERAGEIFS($B$33:$B$1494,$A$33:$A$1494,A752)</f>
        <v>48.85</v>
      </c>
      <c r="D752" s="213" t="n">
        <v>46.2</v>
      </c>
      <c r="E752" s="213" t="n">
        <f aca="false">AVERAGEIFS($D$33:$D$1494,$A$33:$A$1494,A752)</f>
        <v>46.25</v>
      </c>
      <c r="F752" s="213" t="n">
        <v>7.2</v>
      </c>
      <c r="G752" s="213" t="n">
        <f aca="false">AVERAGEIFS($F$33:$F$1494,$A$33:$A$1494,A752)</f>
        <v>6.11666666666667</v>
      </c>
      <c r="H752" s="213" t="n">
        <v>5.7</v>
      </c>
      <c r="I752" s="213" t="n">
        <f aca="false">AVERAGEIFS($H$33:$H$1494,$A$33:$A$1494,A752)</f>
        <v>5.2</v>
      </c>
      <c r="L752" s="215" t="n">
        <v>40578</v>
      </c>
      <c r="M752" s="213" t="n">
        <v>48.85</v>
      </c>
      <c r="N752" s="213" t="n">
        <v>46.25</v>
      </c>
      <c r="O752" s="213" t="n">
        <v>6.11666666666667</v>
      </c>
      <c r="P752" s="213" t="n">
        <v>5.2</v>
      </c>
    </row>
    <row r="753" customFormat="false" ht="12.75" hidden="false" customHeight="false" outlineLevel="0" collapsed="false">
      <c r="A753" s="215" t="n">
        <v>40579</v>
      </c>
      <c r="B753" s="213" t="n">
        <v>48.7</v>
      </c>
      <c r="C753" s="213" t="n">
        <f aca="false">AVERAGEIFS($B$33:$B$1494,$A$33:$A$1494,A753)</f>
        <v>48.6666666666667</v>
      </c>
      <c r="D753" s="213" t="n">
        <v>46.2</v>
      </c>
      <c r="E753" s="213" t="n">
        <f aca="false">AVERAGEIFS($D$33:$D$1494,$A$33:$A$1494,A753)</f>
        <v>46.2</v>
      </c>
      <c r="F753" s="213" t="n">
        <v>6.6</v>
      </c>
      <c r="G753" s="213" t="n">
        <f aca="false">AVERAGEIFS($F$33:$F$1494,$A$33:$A$1494,A753)</f>
        <v>6.23333333333333</v>
      </c>
      <c r="H753" s="213" t="n">
        <v>6</v>
      </c>
      <c r="I753" s="213" t="n">
        <f aca="false">AVERAGEIFS($H$33:$H$1494,$A$33:$A$1494,A753)</f>
        <v>5.88333333333333</v>
      </c>
      <c r="L753" s="215" t="n">
        <v>40579</v>
      </c>
      <c r="M753" s="213" t="n">
        <v>48.6666666666667</v>
      </c>
      <c r="N753" s="213" t="n">
        <v>46.2</v>
      </c>
      <c r="O753" s="213" t="n">
        <v>6.23333333333333</v>
      </c>
      <c r="P753" s="213" t="n">
        <v>5.88333333333333</v>
      </c>
    </row>
    <row r="754" customFormat="false" ht="12.75" hidden="false" customHeight="false" outlineLevel="0" collapsed="false">
      <c r="A754" s="215" t="n">
        <v>40579</v>
      </c>
      <c r="B754" s="213" t="n">
        <v>48.7</v>
      </c>
      <c r="C754" s="213" t="n">
        <f aca="false">AVERAGEIFS($B$33:$B$1494,$A$33:$A$1494,A754)</f>
        <v>48.6666666666667</v>
      </c>
      <c r="D754" s="213" t="n">
        <v>46.2</v>
      </c>
      <c r="E754" s="213" t="n">
        <f aca="false">AVERAGEIFS($D$33:$D$1494,$A$33:$A$1494,A754)</f>
        <v>46.2</v>
      </c>
      <c r="F754" s="213" t="n">
        <v>6.4</v>
      </c>
      <c r="G754" s="213" t="n">
        <f aca="false">AVERAGEIFS($F$33:$F$1494,$A$33:$A$1494,A754)</f>
        <v>6.23333333333333</v>
      </c>
      <c r="H754" s="213" t="n">
        <v>6</v>
      </c>
      <c r="I754" s="213" t="n">
        <f aca="false">AVERAGEIFS($H$33:$H$1494,$A$33:$A$1494,A754)</f>
        <v>5.88333333333333</v>
      </c>
      <c r="L754" s="215" t="n">
        <v>40579</v>
      </c>
      <c r="M754" s="213" t="n">
        <v>48.6666666666667</v>
      </c>
      <c r="N754" s="213" t="n">
        <v>46.2</v>
      </c>
      <c r="O754" s="213" t="n">
        <v>6.23333333333333</v>
      </c>
      <c r="P754" s="213" t="n">
        <v>5.88333333333333</v>
      </c>
    </row>
    <row r="755" customFormat="false" ht="12.75" hidden="false" customHeight="false" outlineLevel="0" collapsed="false">
      <c r="A755" s="215" t="n">
        <v>40579</v>
      </c>
      <c r="B755" s="213" t="n">
        <v>48.7</v>
      </c>
      <c r="C755" s="213" t="n">
        <f aca="false">AVERAGEIFS($B$33:$B$1494,$A$33:$A$1494,A755)</f>
        <v>48.6666666666667</v>
      </c>
      <c r="D755" s="213" t="n">
        <v>46.2</v>
      </c>
      <c r="E755" s="213" t="n">
        <f aca="false">AVERAGEIFS($D$33:$D$1494,$A$33:$A$1494,A755)</f>
        <v>46.2</v>
      </c>
      <c r="F755" s="213" t="n">
        <v>5.5</v>
      </c>
      <c r="G755" s="213" t="n">
        <f aca="false">AVERAGEIFS($F$33:$F$1494,$A$33:$A$1494,A755)</f>
        <v>6.23333333333333</v>
      </c>
      <c r="H755" s="213" t="n">
        <v>5.9</v>
      </c>
      <c r="I755" s="213" t="n">
        <f aca="false">AVERAGEIFS($H$33:$H$1494,$A$33:$A$1494,A755)</f>
        <v>5.88333333333333</v>
      </c>
      <c r="L755" s="215" t="n">
        <v>40579</v>
      </c>
      <c r="M755" s="213" t="n">
        <v>48.6666666666667</v>
      </c>
      <c r="N755" s="213" t="n">
        <v>46.2</v>
      </c>
      <c r="O755" s="213" t="n">
        <v>6.23333333333333</v>
      </c>
      <c r="P755" s="213" t="n">
        <v>5.88333333333333</v>
      </c>
    </row>
    <row r="756" customFormat="false" ht="12.75" hidden="false" customHeight="false" outlineLevel="0" collapsed="false">
      <c r="A756" s="215" t="n">
        <v>40579</v>
      </c>
      <c r="B756" s="213" t="n">
        <v>48.7</v>
      </c>
      <c r="C756" s="213" t="n">
        <f aca="false">AVERAGEIFS($B$33:$B$1494,$A$33:$A$1494,A756)</f>
        <v>48.6666666666667</v>
      </c>
      <c r="D756" s="213" t="n">
        <v>46.2</v>
      </c>
      <c r="E756" s="213" t="n">
        <f aca="false">AVERAGEIFS($D$33:$D$1494,$A$33:$A$1494,A756)</f>
        <v>46.2</v>
      </c>
      <c r="F756" s="213" t="n">
        <v>5.3</v>
      </c>
      <c r="G756" s="213" t="n">
        <f aca="false">AVERAGEIFS($F$33:$F$1494,$A$33:$A$1494,A756)</f>
        <v>6.23333333333333</v>
      </c>
      <c r="H756" s="213" t="n">
        <v>5.8</v>
      </c>
      <c r="I756" s="213" t="n">
        <f aca="false">AVERAGEIFS($H$33:$H$1494,$A$33:$A$1494,A756)</f>
        <v>5.88333333333333</v>
      </c>
      <c r="L756" s="215" t="n">
        <v>40579</v>
      </c>
      <c r="M756" s="213" t="n">
        <v>48.6666666666667</v>
      </c>
      <c r="N756" s="213" t="n">
        <v>46.2</v>
      </c>
      <c r="O756" s="213" t="n">
        <v>6.23333333333333</v>
      </c>
      <c r="P756" s="213" t="n">
        <v>5.88333333333333</v>
      </c>
    </row>
    <row r="757" customFormat="false" ht="12.75" hidden="false" customHeight="false" outlineLevel="0" collapsed="false">
      <c r="A757" s="215" t="n">
        <v>40579</v>
      </c>
      <c r="B757" s="213" t="n">
        <v>48.6</v>
      </c>
      <c r="C757" s="213" t="n">
        <f aca="false">AVERAGEIFS($B$33:$B$1494,$A$33:$A$1494,A757)</f>
        <v>48.6666666666667</v>
      </c>
      <c r="D757" s="213" t="n">
        <v>46.2</v>
      </c>
      <c r="E757" s="213" t="n">
        <f aca="false">AVERAGEIFS($D$33:$D$1494,$A$33:$A$1494,A757)</f>
        <v>46.2</v>
      </c>
      <c r="F757" s="213" t="n">
        <v>6.7</v>
      </c>
      <c r="G757" s="213" t="n">
        <f aca="false">AVERAGEIFS($F$33:$F$1494,$A$33:$A$1494,A757)</f>
        <v>6.23333333333333</v>
      </c>
      <c r="H757" s="213" t="n">
        <v>5.7</v>
      </c>
      <c r="I757" s="213" t="n">
        <f aca="false">AVERAGEIFS($H$33:$H$1494,$A$33:$A$1494,A757)</f>
        <v>5.88333333333333</v>
      </c>
      <c r="L757" s="215" t="n">
        <v>40579</v>
      </c>
      <c r="M757" s="213" t="n">
        <v>48.6666666666667</v>
      </c>
      <c r="N757" s="213" t="n">
        <v>46.2</v>
      </c>
      <c r="O757" s="213" t="n">
        <v>6.23333333333333</v>
      </c>
      <c r="P757" s="213" t="n">
        <v>5.88333333333333</v>
      </c>
    </row>
    <row r="758" customFormat="false" ht="12.75" hidden="false" customHeight="false" outlineLevel="0" collapsed="false">
      <c r="A758" s="215" t="n">
        <v>40579</v>
      </c>
      <c r="B758" s="213" t="n">
        <v>48.6</v>
      </c>
      <c r="C758" s="213" t="n">
        <f aca="false">AVERAGEIFS($B$33:$B$1494,$A$33:$A$1494,A758)</f>
        <v>48.6666666666667</v>
      </c>
      <c r="D758" s="213" t="n">
        <v>46.2</v>
      </c>
      <c r="E758" s="213" t="n">
        <f aca="false">AVERAGEIFS($D$33:$D$1494,$A$33:$A$1494,A758)</f>
        <v>46.2</v>
      </c>
      <c r="F758" s="213" t="n">
        <v>6.9</v>
      </c>
      <c r="G758" s="213" t="n">
        <f aca="false">AVERAGEIFS($F$33:$F$1494,$A$33:$A$1494,A758)</f>
        <v>6.23333333333333</v>
      </c>
      <c r="H758" s="213" t="n">
        <v>5.9</v>
      </c>
      <c r="I758" s="213" t="n">
        <f aca="false">AVERAGEIFS($H$33:$H$1494,$A$33:$A$1494,A758)</f>
        <v>5.88333333333333</v>
      </c>
      <c r="L758" s="215" t="n">
        <v>40579</v>
      </c>
      <c r="M758" s="213" t="n">
        <v>48.6666666666667</v>
      </c>
      <c r="N758" s="213" t="n">
        <v>46.2</v>
      </c>
      <c r="O758" s="213" t="n">
        <v>6.23333333333333</v>
      </c>
      <c r="P758" s="213" t="n">
        <v>5.88333333333333</v>
      </c>
    </row>
    <row r="759" customFormat="false" ht="12.75" hidden="false" customHeight="false" outlineLevel="0" collapsed="false">
      <c r="A759" s="215" t="n">
        <v>40580</v>
      </c>
      <c r="B759" s="213" t="n">
        <v>48.6</v>
      </c>
      <c r="C759" s="213" t="n">
        <f aca="false">AVERAGEIFS($B$33:$B$1494,$A$33:$A$1494,A759)</f>
        <v>48.5666666666667</v>
      </c>
      <c r="D759" s="213" t="n">
        <v>46.2</v>
      </c>
      <c r="E759" s="213" t="n">
        <f aca="false">AVERAGEIFS($D$33:$D$1494,$A$33:$A$1494,A759)</f>
        <v>46.1833333333333</v>
      </c>
      <c r="F759" s="213" t="n">
        <v>5.9</v>
      </c>
      <c r="G759" s="213" t="n">
        <f aca="false">AVERAGEIFS($F$33:$F$1494,$A$33:$A$1494,A759)</f>
        <v>5.21666666666667</v>
      </c>
      <c r="H759" s="213" t="n">
        <v>6.1</v>
      </c>
      <c r="I759" s="213" t="n">
        <f aca="false">AVERAGEIFS($H$33:$H$1494,$A$33:$A$1494,A759)</f>
        <v>5.65</v>
      </c>
      <c r="L759" s="215" t="n">
        <v>40580</v>
      </c>
      <c r="M759" s="213" t="n">
        <v>48.5666666666667</v>
      </c>
      <c r="N759" s="213" t="n">
        <v>46.1833333333333</v>
      </c>
      <c r="O759" s="213" t="n">
        <v>5.21666666666667</v>
      </c>
      <c r="P759" s="213" t="n">
        <v>5.65</v>
      </c>
    </row>
    <row r="760" customFormat="false" ht="12.75" hidden="false" customHeight="false" outlineLevel="0" collapsed="false">
      <c r="A760" s="215" t="n">
        <v>40580</v>
      </c>
      <c r="B760" s="213" t="n">
        <v>48.6</v>
      </c>
      <c r="C760" s="213" t="n">
        <f aca="false">AVERAGEIFS($B$33:$B$1494,$A$33:$A$1494,A760)</f>
        <v>48.5666666666667</v>
      </c>
      <c r="D760" s="213" t="n">
        <v>46.2</v>
      </c>
      <c r="E760" s="213" t="n">
        <f aca="false">AVERAGEIFS($D$33:$D$1494,$A$33:$A$1494,A760)</f>
        <v>46.1833333333333</v>
      </c>
      <c r="F760" s="213" t="n">
        <v>5.1</v>
      </c>
      <c r="G760" s="213" t="n">
        <f aca="false">AVERAGEIFS($F$33:$F$1494,$A$33:$A$1494,A760)</f>
        <v>5.21666666666667</v>
      </c>
      <c r="H760" s="213" t="n">
        <v>5.9</v>
      </c>
      <c r="I760" s="213" t="n">
        <f aca="false">AVERAGEIFS($H$33:$H$1494,$A$33:$A$1494,A760)</f>
        <v>5.65</v>
      </c>
      <c r="L760" s="215" t="n">
        <v>40580</v>
      </c>
      <c r="M760" s="213" t="n">
        <v>48.5666666666667</v>
      </c>
      <c r="N760" s="213" t="n">
        <v>46.1833333333333</v>
      </c>
      <c r="O760" s="213" t="n">
        <v>5.21666666666667</v>
      </c>
      <c r="P760" s="213" t="n">
        <v>5.65</v>
      </c>
    </row>
    <row r="761" customFormat="false" ht="12.75" hidden="false" customHeight="false" outlineLevel="0" collapsed="false">
      <c r="A761" s="215" t="n">
        <v>40580</v>
      </c>
      <c r="B761" s="213" t="n">
        <v>48.6</v>
      </c>
      <c r="C761" s="213" t="n">
        <f aca="false">AVERAGEIFS($B$33:$B$1494,$A$33:$A$1494,A761)</f>
        <v>48.5666666666667</v>
      </c>
      <c r="D761" s="213" t="n">
        <v>46.2</v>
      </c>
      <c r="E761" s="213" t="n">
        <f aca="false">AVERAGEIFS($D$33:$D$1494,$A$33:$A$1494,A761)</f>
        <v>46.1833333333333</v>
      </c>
      <c r="F761" s="213" t="n">
        <v>4.4</v>
      </c>
      <c r="G761" s="213" t="n">
        <f aca="false">AVERAGEIFS($F$33:$F$1494,$A$33:$A$1494,A761)</f>
        <v>5.21666666666667</v>
      </c>
      <c r="H761" s="213" t="n">
        <v>5.7</v>
      </c>
      <c r="I761" s="213" t="n">
        <f aca="false">AVERAGEIFS($H$33:$H$1494,$A$33:$A$1494,A761)</f>
        <v>5.65</v>
      </c>
      <c r="L761" s="215" t="n">
        <v>40580</v>
      </c>
      <c r="M761" s="213" t="n">
        <v>48.5666666666667</v>
      </c>
      <c r="N761" s="213" t="n">
        <v>46.1833333333333</v>
      </c>
      <c r="O761" s="213" t="n">
        <v>5.21666666666667</v>
      </c>
      <c r="P761" s="213" t="n">
        <v>5.65</v>
      </c>
    </row>
    <row r="762" customFormat="false" ht="12.75" hidden="false" customHeight="false" outlineLevel="0" collapsed="false">
      <c r="A762" s="215" t="n">
        <v>40580</v>
      </c>
      <c r="B762" s="213" t="n">
        <v>48.6</v>
      </c>
      <c r="C762" s="213" t="n">
        <f aca="false">AVERAGEIFS($B$33:$B$1494,$A$33:$A$1494,A762)</f>
        <v>48.5666666666667</v>
      </c>
      <c r="D762" s="213" t="n">
        <v>46.2</v>
      </c>
      <c r="E762" s="213" t="n">
        <f aca="false">AVERAGEIFS($D$33:$D$1494,$A$33:$A$1494,A762)</f>
        <v>46.1833333333333</v>
      </c>
      <c r="F762" s="213" t="n">
        <v>4.3</v>
      </c>
      <c r="G762" s="213" t="n">
        <f aca="false">AVERAGEIFS($F$33:$F$1494,$A$33:$A$1494,A762)</f>
        <v>5.21666666666667</v>
      </c>
      <c r="H762" s="213" t="n">
        <v>5.4</v>
      </c>
      <c r="I762" s="213" t="n">
        <f aca="false">AVERAGEIFS($H$33:$H$1494,$A$33:$A$1494,A762)</f>
        <v>5.65</v>
      </c>
      <c r="L762" s="215" t="n">
        <v>40580</v>
      </c>
      <c r="M762" s="213" t="n">
        <v>48.5666666666667</v>
      </c>
      <c r="N762" s="213" t="n">
        <v>46.1833333333333</v>
      </c>
      <c r="O762" s="213" t="n">
        <v>5.21666666666667</v>
      </c>
      <c r="P762" s="213" t="n">
        <v>5.65</v>
      </c>
    </row>
    <row r="763" customFormat="false" ht="12.75" hidden="false" customHeight="false" outlineLevel="0" collapsed="false">
      <c r="A763" s="215" t="n">
        <v>40580</v>
      </c>
      <c r="B763" s="213" t="n">
        <v>48.5</v>
      </c>
      <c r="C763" s="213" t="n">
        <f aca="false">AVERAGEIFS($B$33:$B$1494,$A$33:$A$1494,A763)</f>
        <v>48.5666666666667</v>
      </c>
      <c r="D763" s="213" t="n">
        <v>46.2</v>
      </c>
      <c r="E763" s="213" t="n">
        <f aca="false">AVERAGEIFS($D$33:$D$1494,$A$33:$A$1494,A763)</f>
        <v>46.1833333333333</v>
      </c>
      <c r="F763" s="213" t="n">
        <v>5.6</v>
      </c>
      <c r="G763" s="213" t="n">
        <f aca="false">AVERAGEIFS($F$33:$F$1494,$A$33:$A$1494,A763)</f>
        <v>5.21666666666667</v>
      </c>
      <c r="H763" s="213" t="n">
        <v>5.3</v>
      </c>
      <c r="I763" s="213" t="n">
        <f aca="false">AVERAGEIFS($H$33:$H$1494,$A$33:$A$1494,A763)</f>
        <v>5.65</v>
      </c>
      <c r="L763" s="215" t="n">
        <v>40580</v>
      </c>
      <c r="M763" s="213" t="n">
        <v>48.5666666666667</v>
      </c>
      <c r="N763" s="213" t="n">
        <v>46.1833333333333</v>
      </c>
      <c r="O763" s="213" t="n">
        <v>5.21666666666667</v>
      </c>
      <c r="P763" s="213" t="n">
        <v>5.65</v>
      </c>
    </row>
    <row r="764" customFormat="false" ht="12.75" hidden="false" customHeight="false" outlineLevel="0" collapsed="false">
      <c r="A764" s="215" t="n">
        <v>40580</v>
      </c>
      <c r="B764" s="213" t="n">
        <v>48.5</v>
      </c>
      <c r="C764" s="213" t="n">
        <f aca="false">AVERAGEIFS($B$33:$B$1494,$A$33:$A$1494,A764)</f>
        <v>48.5666666666667</v>
      </c>
      <c r="D764" s="213" t="n">
        <v>46.1</v>
      </c>
      <c r="E764" s="213" t="n">
        <f aca="false">AVERAGEIFS($D$33:$D$1494,$A$33:$A$1494,A764)</f>
        <v>46.1833333333333</v>
      </c>
      <c r="F764" s="213" t="n">
        <v>6</v>
      </c>
      <c r="G764" s="213" t="n">
        <f aca="false">AVERAGEIFS($F$33:$F$1494,$A$33:$A$1494,A764)</f>
        <v>5.21666666666667</v>
      </c>
      <c r="H764" s="213" t="n">
        <v>5.5</v>
      </c>
      <c r="I764" s="213" t="n">
        <f aca="false">AVERAGEIFS($H$33:$H$1494,$A$33:$A$1494,A764)</f>
        <v>5.65</v>
      </c>
      <c r="L764" s="215" t="n">
        <v>40580</v>
      </c>
      <c r="M764" s="213" t="n">
        <v>48.5666666666667</v>
      </c>
      <c r="N764" s="213" t="n">
        <v>46.1833333333333</v>
      </c>
      <c r="O764" s="213" t="n">
        <v>5.21666666666667</v>
      </c>
      <c r="P764" s="213" t="n">
        <v>5.65</v>
      </c>
    </row>
    <row r="765" customFormat="false" ht="12.75" hidden="false" customHeight="false" outlineLevel="0" collapsed="false">
      <c r="A765" s="215" t="n">
        <v>40581</v>
      </c>
      <c r="B765" s="213" t="n">
        <v>48.5</v>
      </c>
      <c r="C765" s="213" t="n">
        <f aca="false">AVERAGEIFS($B$33:$B$1494,$A$33:$A$1494,A765)</f>
        <v>48.4333333333333</v>
      </c>
      <c r="D765" s="213" t="n">
        <v>46.1</v>
      </c>
      <c r="E765" s="213" t="n">
        <f aca="false">AVERAGEIFS($D$33:$D$1494,$A$33:$A$1494,A765)</f>
        <v>46.1166666666667</v>
      </c>
      <c r="F765" s="213" t="n">
        <v>5.2</v>
      </c>
      <c r="G765" s="213" t="n">
        <f aca="false">AVERAGEIFS($F$33:$F$1494,$A$33:$A$1494,A765)</f>
        <v>5.08333333333333</v>
      </c>
      <c r="H765" s="213" t="n">
        <v>5.6</v>
      </c>
      <c r="I765" s="213" t="n">
        <f aca="false">AVERAGEIFS($H$33:$H$1494,$A$33:$A$1494,A765)</f>
        <v>5.3</v>
      </c>
      <c r="L765" s="215" t="n">
        <v>40581</v>
      </c>
      <c r="M765" s="213" t="n">
        <v>48.4333333333333</v>
      </c>
      <c r="N765" s="213" t="n">
        <v>46.1166666666667</v>
      </c>
      <c r="O765" s="213" t="n">
        <v>5.08333333333333</v>
      </c>
      <c r="P765" s="213" t="n">
        <v>5.3</v>
      </c>
    </row>
    <row r="766" customFormat="false" ht="12.75" hidden="false" customHeight="false" outlineLevel="0" collapsed="false">
      <c r="A766" s="215" t="n">
        <v>40581</v>
      </c>
      <c r="B766" s="213" t="n">
        <v>48.5</v>
      </c>
      <c r="C766" s="213" t="n">
        <f aca="false">AVERAGEIFS($B$33:$B$1494,$A$33:$A$1494,A766)</f>
        <v>48.4333333333333</v>
      </c>
      <c r="D766" s="213" t="n">
        <v>46.1</v>
      </c>
      <c r="E766" s="213" t="n">
        <f aca="false">AVERAGEIFS($D$33:$D$1494,$A$33:$A$1494,A766)</f>
        <v>46.1166666666667</v>
      </c>
      <c r="F766" s="213" t="n">
        <v>4.5</v>
      </c>
      <c r="G766" s="213" t="n">
        <f aca="false">AVERAGEIFS($F$33:$F$1494,$A$33:$A$1494,A766)</f>
        <v>5.08333333333333</v>
      </c>
      <c r="H766" s="213" t="n">
        <v>5.5</v>
      </c>
      <c r="I766" s="213" t="n">
        <f aca="false">AVERAGEIFS($H$33:$H$1494,$A$33:$A$1494,A766)</f>
        <v>5.3</v>
      </c>
      <c r="L766" s="215" t="n">
        <v>40581</v>
      </c>
      <c r="M766" s="213" t="n">
        <v>48.4333333333333</v>
      </c>
      <c r="N766" s="213" t="n">
        <v>46.1166666666667</v>
      </c>
      <c r="O766" s="213" t="n">
        <v>5.08333333333333</v>
      </c>
      <c r="P766" s="213" t="n">
        <v>5.3</v>
      </c>
    </row>
    <row r="767" customFormat="false" ht="12.75" hidden="false" customHeight="false" outlineLevel="0" collapsed="false">
      <c r="A767" s="215" t="n">
        <v>40581</v>
      </c>
      <c r="B767" s="213" t="n">
        <v>48.5</v>
      </c>
      <c r="C767" s="213" t="n">
        <f aca="false">AVERAGEIFS($B$33:$B$1494,$A$33:$A$1494,A767)</f>
        <v>48.4333333333333</v>
      </c>
      <c r="D767" s="213" t="n">
        <v>46.1</v>
      </c>
      <c r="E767" s="213" t="n">
        <f aca="false">AVERAGEIFS($D$33:$D$1494,$A$33:$A$1494,A767)</f>
        <v>46.1166666666667</v>
      </c>
      <c r="F767" s="213" t="n">
        <v>3.9</v>
      </c>
      <c r="G767" s="213" t="n">
        <f aca="false">AVERAGEIFS($F$33:$F$1494,$A$33:$A$1494,A767)</f>
        <v>5.08333333333333</v>
      </c>
      <c r="H767" s="213" t="n">
        <v>5.3</v>
      </c>
      <c r="I767" s="213" t="n">
        <f aca="false">AVERAGEIFS($H$33:$H$1494,$A$33:$A$1494,A767)</f>
        <v>5.3</v>
      </c>
      <c r="L767" s="215" t="n">
        <v>40581</v>
      </c>
      <c r="M767" s="213" t="n">
        <v>48.4333333333333</v>
      </c>
      <c r="N767" s="213" t="n">
        <v>46.1166666666667</v>
      </c>
      <c r="O767" s="213" t="n">
        <v>5.08333333333333</v>
      </c>
      <c r="P767" s="213" t="n">
        <v>5.3</v>
      </c>
    </row>
    <row r="768" customFormat="false" ht="12.75" hidden="false" customHeight="false" outlineLevel="0" collapsed="false">
      <c r="A768" s="215" t="n">
        <v>40581</v>
      </c>
      <c r="B768" s="213" t="n">
        <v>48.4</v>
      </c>
      <c r="C768" s="213" t="n">
        <f aca="false">AVERAGEIFS($B$33:$B$1494,$A$33:$A$1494,A768)</f>
        <v>48.4333333333333</v>
      </c>
      <c r="D768" s="213" t="n">
        <v>46.2</v>
      </c>
      <c r="E768" s="213" t="n">
        <f aca="false">AVERAGEIFS($D$33:$D$1494,$A$33:$A$1494,A768)</f>
        <v>46.1166666666667</v>
      </c>
      <c r="F768" s="213" t="n">
        <v>4.2</v>
      </c>
      <c r="G768" s="213" t="n">
        <f aca="false">AVERAGEIFS($F$33:$F$1494,$A$33:$A$1494,A768)</f>
        <v>5.08333333333333</v>
      </c>
      <c r="H768" s="213" t="n">
        <v>5</v>
      </c>
      <c r="I768" s="213" t="n">
        <f aca="false">AVERAGEIFS($H$33:$H$1494,$A$33:$A$1494,A768)</f>
        <v>5.3</v>
      </c>
      <c r="L768" s="215" t="n">
        <v>40581</v>
      </c>
      <c r="M768" s="213" t="n">
        <v>48.4333333333333</v>
      </c>
      <c r="N768" s="213" t="n">
        <v>46.1166666666667</v>
      </c>
      <c r="O768" s="213" t="n">
        <v>5.08333333333333</v>
      </c>
      <c r="P768" s="213" t="n">
        <v>5.3</v>
      </c>
    </row>
    <row r="769" customFormat="false" ht="12.75" hidden="false" customHeight="false" outlineLevel="0" collapsed="false">
      <c r="A769" s="215" t="n">
        <v>40581</v>
      </c>
      <c r="B769" s="213" t="n">
        <v>48.4</v>
      </c>
      <c r="C769" s="213" t="n">
        <f aca="false">AVERAGEIFS($B$33:$B$1494,$A$33:$A$1494,A769)</f>
        <v>48.4333333333333</v>
      </c>
      <c r="D769" s="213" t="n">
        <v>46.1</v>
      </c>
      <c r="E769" s="213" t="n">
        <f aca="false">AVERAGEIFS($D$33:$D$1494,$A$33:$A$1494,A769)</f>
        <v>46.1166666666667</v>
      </c>
      <c r="F769" s="213" t="n">
        <v>6.1</v>
      </c>
      <c r="G769" s="213" t="n">
        <f aca="false">AVERAGEIFS($F$33:$F$1494,$A$33:$A$1494,A769)</f>
        <v>5.08333333333333</v>
      </c>
      <c r="H769" s="213" t="n">
        <v>5</v>
      </c>
      <c r="I769" s="213" t="n">
        <f aca="false">AVERAGEIFS($H$33:$H$1494,$A$33:$A$1494,A769)</f>
        <v>5.3</v>
      </c>
      <c r="L769" s="215" t="n">
        <v>40581</v>
      </c>
      <c r="M769" s="213" t="n">
        <v>48.4333333333333</v>
      </c>
      <c r="N769" s="213" t="n">
        <v>46.1166666666667</v>
      </c>
      <c r="O769" s="213" t="n">
        <v>5.08333333333333</v>
      </c>
      <c r="P769" s="213" t="n">
        <v>5.3</v>
      </c>
    </row>
    <row r="770" customFormat="false" ht="12.75" hidden="false" customHeight="false" outlineLevel="0" collapsed="false">
      <c r="A770" s="215" t="n">
        <v>40581</v>
      </c>
      <c r="B770" s="213" t="n">
        <v>48.3</v>
      </c>
      <c r="C770" s="213" t="n">
        <f aca="false">AVERAGEIFS($B$33:$B$1494,$A$33:$A$1494,A770)</f>
        <v>48.4333333333333</v>
      </c>
      <c r="D770" s="213" t="n">
        <v>46.1</v>
      </c>
      <c r="E770" s="213" t="n">
        <f aca="false">AVERAGEIFS($D$33:$D$1494,$A$33:$A$1494,A770)</f>
        <v>46.1166666666667</v>
      </c>
      <c r="F770" s="213" t="n">
        <v>6.6</v>
      </c>
      <c r="G770" s="213" t="n">
        <f aca="false">AVERAGEIFS($F$33:$F$1494,$A$33:$A$1494,A770)</f>
        <v>5.08333333333333</v>
      </c>
      <c r="H770" s="213" t="n">
        <v>5.4</v>
      </c>
      <c r="I770" s="213" t="n">
        <f aca="false">AVERAGEIFS($H$33:$H$1494,$A$33:$A$1494,A770)</f>
        <v>5.3</v>
      </c>
      <c r="L770" s="215" t="n">
        <v>40581</v>
      </c>
      <c r="M770" s="213" t="n">
        <v>48.4333333333333</v>
      </c>
      <c r="N770" s="213" t="n">
        <v>46.1166666666667</v>
      </c>
      <c r="O770" s="213" t="n">
        <v>5.08333333333333</v>
      </c>
      <c r="P770" s="213" t="n">
        <v>5.3</v>
      </c>
    </row>
    <row r="771" customFormat="false" ht="12.75" hidden="false" customHeight="false" outlineLevel="0" collapsed="false">
      <c r="A771" s="215" t="n">
        <v>40582</v>
      </c>
      <c r="B771" s="213" t="n">
        <v>48.3</v>
      </c>
      <c r="C771" s="213" t="n">
        <f aca="false">AVERAGEIFS($B$33:$B$1494,$A$33:$A$1494,A771)</f>
        <v>48.25</v>
      </c>
      <c r="D771" s="213" t="n">
        <v>46.1</v>
      </c>
      <c r="E771" s="213" t="n">
        <f aca="false">AVERAGEIFS($D$33:$D$1494,$A$33:$A$1494,A771)</f>
        <v>46.1166666666667</v>
      </c>
      <c r="F771" s="213" t="n">
        <v>6.2</v>
      </c>
      <c r="G771" s="213" t="n">
        <f aca="false">AVERAGEIFS($F$33:$F$1494,$A$33:$A$1494,A771)</f>
        <v>6.05</v>
      </c>
      <c r="H771" s="213" t="n">
        <v>5.7</v>
      </c>
      <c r="I771" s="213" t="n">
        <f aca="false">AVERAGEIFS($H$33:$H$1494,$A$33:$A$1494,A771)</f>
        <v>5.71666666666667</v>
      </c>
      <c r="L771" s="215" t="n">
        <v>40582</v>
      </c>
      <c r="M771" s="213" t="n">
        <v>48.25</v>
      </c>
      <c r="N771" s="213" t="n">
        <v>46.1166666666667</v>
      </c>
      <c r="O771" s="213" t="n">
        <v>6.05</v>
      </c>
      <c r="P771" s="213" t="n">
        <v>5.71666666666667</v>
      </c>
    </row>
    <row r="772" customFormat="false" ht="12.75" hidden="false" customHeight="false" outlineLevel="0" collapsed="false">
      <c r="A772" s="215" t="n">
        <v>40582</v>
      </c>
      <c r="B772" s="213" t="n">
        <v>48.3</v>
      </c>
      <c r="C772" s="213" t="n">
        <f aca="false">AVERAGEIFS($B$33:$B$1494,$A$33:$A$1494,A772)</f>
        <v>48.25</v>
      </c>
      <c r="D772" s="213" t="n">
        <v>46.1</v>
      </c>
      <c r="E772" s="213" t="n">
        <f aca="false">AVERAGEIFS($D$33:$D$1494,$A$33:$A$1494,A772)</f>
        <v>46.1166666666667</v>
      </c>
      <c r="F772" s="213" t="n">
        <v>5.8</v>
      </c>
      <c r="G772" s="213" t="n">
        <f aca="false">AVERAGEIFS($F$33:$F$1494,$A$33:$A$1494,A772)</f>
        <v>6.05</v>
      </c>
      <c r="H772" s="213" t="n">
        <v>5.8</v>
      </c>
      <c r="I772" s="213" t="n">
        <f aca="false">AVERAGEIFS($H$33:$H$1494,$A$33:$A$1494,A772)</f>
        <v>5.71666666666667</v>
      </c>
      <c r="L772" s="215" t="n">
        <v>40582</v>
      </c>
      <c r="M772" s="213" t="n">
        <v>48.25</v>
      </c>
      <c r="N772" s="213" t="n">
        <v>46.1166666666667</v>
      </c>
      <c r="O772" s="213" t="n">
        <v>6.05</v>
      </c>
      <c r="P772" s="213" t="n">
        <v>5.71666666666667</v>
      </c>
    </row>
    <row r="773" customFormat="false" ht="12.75" hidden="false" customHeight="false" outlineLevel="0" collapsed="false">
      <c r="A773" s="215" t="n">
        <v>40582</v>
      </c>
      <c r="B773" s="213" t="n">
        <v>48.3</v>
      </c>
      <c r="C773" s="213" t="n">
        <f aca="false">AVERAGEIFS($B$33:$B$1494,$A$33:$A$1494,A773)</f>
        <v>48.25</v>
      </c>
      <c r="D773" s="213" t="n">
        <v>46.1</v>
      </c>
      <c r="E773" s="213" t="n">
        <f aca="false">AVERAGEIFS($D$33:$D$1494,$A$33:$A$1494,A773)</f>
        <v>46.1166666666667</v>
      </c>
      <c r="F773" s="213" t="n">
        <v>5.3</v>
      </c>
      <c r="G773" s="213" t="n">
        <f aca="false">AVERAGEIFS($F$33:$F$1494,$A$33:$A$1494,A773)</f>
        <v>6.05</v>
      </c>
      <c r="H773" s="213" t="n">
        <v>5.7</v>
      </c>
      <c r="I773" s="213" t="n">
        <f aca="false">AVERAGEIFS($H$33:$H$1494,$A$33:$A$1494,A773)</f>
        <v>5.71666666666667</v>
      </c>
      <c r="L773" s="215" t="n">
        <v>40582</v>
      </c>
      <c r="M773" s="213" t="n">
        <v>48.25</v>
      </c>
      <c r="N773" s="213" t="n">
        <v>46.1166666666667</v>
      </c>
      <c r="O773" s="213" t="n">
        <v>6.05</v>
      </c>
      <c r="P773" s="213" t="n">
        <v>5.71666666666667</v>
      </c>
    </row>
    <row r="774" customFormat="false" ht="12.75" hidden="false" customHeight="false" outlineLevel="0" collapsed="false">
      <c r="A774" s="215" t="n">
        <v>40582</v>
      </c>
      <c r="B774" s="213" t="n">
        <v>48.3</v>
      </c>
      <c r="C774" s="213" t="n">
        <f aca="false">AVERAGEIFS($B$33:$B$1494,$A$33:$A$1494,A774)</f>
        <v>48.25</v>
      </c>
      <c r="D774" s="213" t="n">
        <v>46.1</v>
      </c>
      <c r="E774" s="213" t="n">
        <f aca="false">AVERAGEIFS($D$33:$D$1494,$A$33:$A$1494,A774)</f>
        <v>46.1166666666667</v>
      </c>
      <c r="F774" s="213" t="n">
        <v>5.2</v>
      </c>
      <c r="G774" s="213" t="n">
        <f aca="false">AVERAGEIFS($F$33:$F$1494,$A$33:$A$1494,A774)</f>
        <v>6.05</v>
      </c>
      <c r="H774" s="213" t="n">
        <v>5.6</v>
      </c>
      <c r="I774" s="213" t="n">
        <f aca="false">AVERAGEIFS($H$33:$H$1494,$A$33:$A$1494,A774)</f>
        <v>5.71666666666667</v>
      </c>
      <c r="L774" s="215" t="n">
        <v>40582</v>
      </c>
      <c r="M774" s="213" t="n">
        <v>48.25</v>
      </c>
      <c r="N774" s="213" t="n">
        <v>46.1166666666667</v>
      </c>
      <c r="O774" s="213" t="n">
        <v>6.05</v>
      </c>
      <c r="P774" s="213" t="n">
        <v>5.71666666666667</v>
      </c>
    </row>
    <row r="775" customFormat="false" ht="12.75" hidden="false" customHeight="false" outlineLevel="0" collapsed="false">
      <c r="A775" s="215" t="n">
        <v>40582</v>
      </c>
      <c r="B775" s="213" t="n">
        <v>48.2</v>
      </c>
      <c r="C775" s="213" t="n">
        <f aca="false">AVERAGEIFS($B$33:$B$1494,$A$33:$A$1494,A775)</f>
        <v>48.25</v>
      </c>
      <c r="D775" s="213" t="n">
        <v>46.1</v>
      </c>
      <c r="E775" s="213" t="n">
        <f aca="false">AVERAGEIFS($D$33:$D$1494,$A$33:$A$1494,A775)</f>
        <v>46.1166666666667</v>
      </c>
      <c r="F775" s="213" t="n">
        <v>6.7</v>
      </c>
      <c r="G775" s="213" t="n">
        <f aca="false">AVERAGEIFS($F$33:$F$1494,$A$33:$A$1494,A775)</f>
        <v>6.05</v>
      </c>
      <c r="H775" s="213" t="n">
        <v>5.6</v>
      </c>
      <c r="I775" s="213" t="n">
        <f aca="false">AVERAGEIFS($H$33:$H$1494,$A$33:$A$1494,A775)</f>
        <v>5.71666666666667</v>
      </c>
      <c r="L775" s="215" t="n">
        <v>40582</v>
      </c>
      <c r="M775" s="213" t="n">
        <v>48.25</v>
      </c>
      <c r="N775" s="213" t="n">
        <v>46.1166666666667</v>
      </c>
      <c r="O775" s="213" t="n">
        <v>6.05</v>
      </c>
      <c r="P775" s="213" t="n">
        <v>5.71666666666667</v>
      </c>
    </row>
    <row r="776" customFormat="false" ht="12.75" hidden="false" customHeight="false" outlineLevel="0" collapsed="false">
      <c r="A776" s="215" t="n">
        <v>40582</v>
      </c>
      <c r="B776" s="213" t="n">
        <v>48.1</v>
      </c>
      <c r="C776" s="213" t="n">
        <f aca="false">AVERAGEIFS($B$33:$B$1494,$A$33:$A$1494,A776)</f>
        <v>48.25</v>
      </c>
      <c r="D776" s="213" t="n">
        <v>46.2</v>
      </c>
      <c r="E776" s="213" t="n">
        <f aca="false">AVERAGEIFS($D$33:$D$1494,$A$33:$A$1494,A776)</f>
        <v>46.1166666666667</v>
      </c>
      <c r="F776" s="213" t="n">
        <v>7.1</v>
      </c>
      <c r="G776" s="213" t="n">
        <f aca="false">AVERAGEIFS($F$33:$F$1494,$A$33:$A$1494,A776)</f>
        <v>6.05</v>
      </c>
      <c r="H776" s="213" t="n">
        <v>5.9</v>
      </c>
      <c r="I776" s="213" t="n">
        <f aca="false">AVERAGEIFS($H$33:$H$1494,$A$33:$A$1494,A776)</f>
        <v>5.71666666666667</v>
      </c>
      <c r="L776" s="215" t="n">
        <v>40582</v>
      </c>
      <c r="M776" s="213" t="n">
        <v>48.25</v>
      </c>
      <c r="N776" s="213" t="n">
        <v>46.1166666666667</v>
      </c>
      <c r="O776" s="213" t="n">
        <v>6.05</v>
      </c>
      <c r="P776" s="213" t="n">
        <v>5.71666666666667</v>
      </c>
    </row>
    <row r="777" customFormat="false" ht="12.75" hidden="false" customHeight="false" outlineLevel="0" collapsed="false">
      <c r="A777" s="215" t="n">
        <v>40583</v>
      </c>
      <c r="B777" s="213" t="n">
        <v>48.1</v>
      </c>
      <c r="C777" s="213" t="n">
        <f aca="false">AVERAGEIFS($B$33:$B$1494,$A$33:$A$1494,A777)</f>
        <v>48.05</v>
      </c>
      <c r="D777" s="213" t="n">
        <v>46.1</v>
      </c>
      <c r="E777" s="213" t="n">
        <f aca="false">AVERAGEIFS($D$33:$D$1494,$A$33:$A$1494,A777)</f>
        <v>45.9666666666667</v>
      </c>
      <c r="F777" s="213" t="n">
        <v>6.2</v>
      </c>
      <c r="G777" s="213" t="n">
        <f aca="false">AVERAGEIFS($F$33:$F$1494,$A$33:$A$1494,A777)</f>
        <v>6.2</v>
      </c>
      <c r="H777" s="213" t="n">
        <v>6.1</v>
      </c>
      <c r="I777" s="213" t="n">
        <f aca="false">AVERAGEIFS($H$33:$H$1494,$A$33:$A$1494,A777)</f>
        <v>5.95</v>
      </c>
      <c r="L777" s="215" t="n">
        <v>40583</v>
      </c>
      <c r="M777" s="213" t="n">
        <v>48.05</v>
      </c>
      <c r="N777" s="213" t="n">
        <v>45.9666666666667</v>
      </c>
      <c r="O777" s="213" t="n">
        <v>6.2</v>
      </c>
      <c r="P777" s="213" t="n">
        <v>5.95</v>
      </c>
    </row>
    <row r="778" customFormat="false" ht="12.75" hidden="false" customHeight="false" outlineLevel="0" collapsed="false">
      <c r="A778" s="215" t="n">
        <v>40583</v>
      </c>
      <c r="B778" s="213" t="n">
        <v>48.1</v>
      </c>
      <c r="C778" s="213" t="n">
        <f aca="false">AVERAGEIFS($B$33:$B$1494,$A$33:$A$1494,A778)</f>
        <v>48.05</v>
      </c>
      <c r="D778" s="213" t="n">
        <v>46.1</v>
      </c>
      <c r="E778" s="213" t="n">
        <f aca="false">AVERAGEIFS($D$33:$D$1494,$A$33:$A$1494,A778)</f>
        <v>45.9666666666667</v>
      </c>
      <c r="F778" s="213" t="n">
        <v>5.9</v>
      </c>
      <c r="G778" s="213" t="n">
        <f aca="false">AVERAGEIFS($F$33:$F$1494,$A$33:$A$1494,A778)</f>
        <v>6.2</v>
      </c>
      <c r="H778" s="213" t="n">
        <v>6</v>
      </c>
      <c r="I778" s="213" t="n">
        <f aca="false">AVERAGEIFS($H$33:$H$1494,$A$33:$A$1494,A778)</f>
        <v>5.95</v>
      </c>
      <c r="L778" s="215" t="n">
        <v>40583</v>
      </c>
      <c r="M778" s="213" t="n">
        <v>48.05</v>
      </c>
      <c r="N778" s="213" t="n">
        <v>45.9666666666667</v>
      </c>
      <c r="O778" s="213" t="n">
        <v>6.2</v>
      </c>
      <c r="P778" s="213" t="n">
        <v>5.95</v>
      </c>
    </row>
    <row r="779" customFormat="false" ht="12.75" hidden="false" customHeight="false" outlineLevel="0" collapsed="false">
      <c r="A779" s="215" t="n">
        <v>40583</v>
      </c>
      <c r="B779" s="213" t="n">
        <v>48.1</v>
      </c>
      <c r="C779" s="213" t="n">
        <f aca="false">AVERAGEIFS($B$33:$B$1494,$A$33:$A$1494,A779)</f>
        <v>48.05</v>
      </c>
      <c r="D779" s="213" t="n">
        <v>45.9</v>
      </c>
      <c r="E779" s="213" t="n">
        <f aca="false">AVERAGEIFS($D$33:$D$1494,$A$33:$A$1494,A779)</f>
        <v>45.9666666666667</v>
      </c>
      <c r="F779" s="213" t="n">
        <v>5.5</v>
      </c>
      <c r="G779" s="213" t="n">
        <f aca="false">AVERAGEIFS($F$33:$F$1494,$A$33:$A$1494,A779)</f>
        <v>6.2</v>
      </c>
      <c r="H779" s="213" t="n">
        <v>5.9</v>
      </c>
      <c r="I779" s="213" t="n">
        <f aca="false">AVERAGEIFS($H$33:$H$1494,$A$33:$A$1494,A779)</f>
        <v>5.95</v>
      </c>
      <c r="L779" s="215" t="n">
        <v>40583</v>
      </c>
      <c r="M779" s="213" t="n">
        <v>48.05</v>
      </c>
      <c r="N779" s="213" t="n">
        <v>45.9666666666667</v>
      </c>
      <c r="O779" s="213" t="n">
        <v>6.2</v>
      </c>
      <c r="P779" s="213" t="n">
        <v>5.95</v>
      </c>
    </row>
    <row r="780" customFormat="false" ht="12.75" hidden="false" customHeight="false" outlineLevel="0" collapsed="false">
      <c r="A780" s="215" t="n">
        <v>40583</v>
      </c>
      <c r="B780" s="213" t="n">
        <v>48.1</v>
      </c>
      <c r="C780" s="213" t="n">
        <f aca="false">AVERAGEIFS($B$33:$B$1494,$A$33:$A$1494,A780)</f>
        <v>48.05</v>
      </c>
      <c r="D780" s="213" t="n">
        <v>45.9</v>
      </c>
      <c r="E780" s="213" t="n">
        <f aca="false">AVERAGEIFS($D$33:$D$1494,$A$33:$A$1494,A780)</f>
        <v>45.9666666666667</v>
      </c>
      <c r="F780" s="213" t="n">
        <v>5.5</v>
      </c>
      <c r="G780" s="213" t="n">
        <f aca="false">AVERAGEIFS($F$33:$F$1494,$A$33:$A$1494,A780)</f>
        <v>6.2</v>
      </c>
      <c r="H780" s="213" t="n">
        <v>5.8</v>
      </c>
      <c r="I780" s="213" t="n">
        <f aca="false">AVERAGEIFS($H$33:$H$1494,$A$33:$A$1494,A780)</f>
        <v>5.95</v>
      </c>
      <c r="L780" s="215" t="n">
        <v>40583</v>
      </c>
      <c r="M780" s="213" t="n">
        <v>48.05</v>
      </c>
      <c r="N780" s="213" t="n">
        <v>45.9666666666667</v>
      </c>
      <c r="O780" s="213" t="n">
        <v>6.2</v>
      </c>
      <c r="P780" s="213" t="n">
        <v>5.95</v>
      </c>
    </row>
    <row r="781" customFormat="false" ht="12.75" hidden="false" customHeight="false" outlineLevel="0" collapsed="false">
      <c r="A781" s="215" t="n">
        <v>40583</v>
      </c>
      <c r="B781" s="213" t="n">
        <v>48</v>
      </c>
      <c r="C781" s="213" t="n">
        <f aca="false">AVERAGEIFS($B$33:$B$1494,$A$33:$A$1494,A781)</f>
        <v>48.05</v>
      </c>
      <c r="D781" s="213" t="n">
        <v>45.9</v>
      </c>
      <c r="E781" s="213" t="n">
        <f aca="false">AVERAGEIFS($D$33:$D$1494,$A$33:$A$1494,A781)</f>
        <v>45.9666666666667</v>
      </c>
      <c r="F781" s="213" t="n">
        <v>6.9</v>
      </c>
      <c r="G781" s="213" t="n">
        <f aca="false">AVERAGEIFS($F$33:$F$1494,$A$33:$A$1494,A781)</f>
        <v>6.2</v>
      </c>
      <c r="H781" s="213" t="n">
        <v>5.8</v>
      </c>
      <c r="I781" s="213" t="n">
        <f aca="false">AVERAGEIFS($H$33:$H$1494,$A$33:$A$1494,A781)</f>
        <v>5.95</v>
      </c>
      <c r="L781" s="215" t="n">
        <v>40583</v>
      </c>
      <c r="M781" s="213" t="n">
        <v>48.05</v>
      </c>
      <c r="N781" s="213" t="n">
        <v>45.9666666666667</v>
      </c>
      <c r="O781" s="213" t="n">
        <v>6.2</v>
      </c>
      <c r="P781" s="213" t="n">
        <v>5.95</v>
      </c>
    </row>
    <row r="782" customFormat="false" ht="12.75" hidden="false" customHeight="false" outlineLevel="0" collapsed="false">
      <c r="A782" s="215" t="n">
        <v>40583</v>
      </c>
      <c r="B782" s="213" t="n">
        <v>47.9</v>
      </c>
      <c r="C782" s="213" t="n">
        <f aca="false">AVERAGEIFS($B$33:$B$1494,$A$33:$A$1494,A782)</f>
        <v>48.05</v>
      </c>
      <c r="D782" s="213" t="n">
        <v>45.9</v>
      </c>
      <c r="E782" s="213" t="n">
        <f aca="false">AVERAGEIFS($D$33:$D$1494,$A$33:$A$1494,A782)</f>
        <v>45.9666666666667</v>
      </c>
      <c r="F782" s="213" t="n">
        <v>7.2</v>
      </c>
      <c r="G782" s="213" t="n">
        <f aca="false">AVERAGEIFS($F$33:$F$1494,$A$33:$A$1494,A782)</f>
        <v>6.2</v>
      </c>
      <c r="H782" s="213" t="n">
        <v>6.1</v>
      </c>
      <c r="I782" s="213" t="n">
        <f aca="false">AVERAGEIFS($H$33:$H$1494,$A$33:$A$1494,A782)</f>
        <v>5.95</v>
      </c>
      <c r="L782" s="215" t="n">
        <v>40583</v>
      </c>
      <c r="M782" s="213" t="n">
        <v>48.05</v>
      </c>
      <c r="N782" s="213" t="n">
        <v>45.9666666666667</v>
      </c>
      <c r="O782" s="213" t="n">
        <v>6.2</v>
      </c>
      <c r="P782" s="213" t="n">
        <v>5.95</v>
      </c>
    </row>
    <row r="783" customFormat="false" ht="12.75" hidden="false" customHeight="false" outlineLevel="0" collapsed="false">
      <c r="A783" s="215" t="n">
        <v>40584</v>
      </c>
      <c r="B783" s="213" t="n">
        <v>47.9</v>
      </c>
      <c r="C783" s="213" t="n">
        <f aca="false">AVERAGEIFS($B$33:$B$1494,$A$33:$A$1494,A783)</f>
        <v>47.8666666666667</v>
      </c>
      <c r="D783" s="213" t="n">
        <v>45.9</v>
      </c>
      <c r="E783" s="213" t="n">
        <f aca="false">AVERAGEIFS($D$33:$D$1494,$A$33:$A$1494,A783)</f>
        <v>45.8666666666667</v>
      </c>
      <c r="F783" s="213" t="n">
        <v>6.6</v>
      </c>
      <c r="G783" s="213" t="n">
        <f aca="false">AVERAGEIFS($F$33:$F$1494,$A$33:$A$1494,A783)</f>
        <v>6.3</v>
      </c>
      <c r="H783" s="213" t="n">
        <v>6.3</v>
      </c>
      <c r="I783" s="213" t="n">
        <f aca="false">AVERAGEIFS($H$33:$H$1494,$A$33:$A$1494,A783)</f>
        <v>6.16666666666667</v>
      </c>
      <c r="L783" s="215" t="n">
        <v>40584</v>
      </c>
      <c r="M783" s="213" t="n">
        <v>47.8666666666667</v>
      </c>
      <c r="N783" s="213" t="n">
        <v>45.8666666666667</v>
      </c>
      <c r="O783" s="213" t="n">
        <v>6.3</v>
      </c>
      <c r="P783" s="213" t="n">
        <v>6.16666666666667</v>
      </c>
    </row>
    <row r="784" customFormat="false" ht="12.75" hidden="false" customHeight="false" outlineLevel="0" collapsed="false">
      <c r="A784" s="215" t="n">
        <v>40584</v>
      </c>
      <c r="B784" s="213" t="n">
        <v>47.9</v>
      </c>
      <c r="C784" s="213" t="n">
        <f aca="false">AVERAGEIFS($B$33:$B$1494,$A$33:$A$1494,A784)</f>
        <v>47.8666666666667</v>
      </c>
      <c r="D784" s="213" t="n">
        <v>45.9</v>
      </c>
      <c r="E784" s="213" t="n">
        <f aca="false">AVERAGEIFS($D$33:$D$1494,$A$33:$A$1494,A784)</f>
        <v>45.8666666666667</v>
      </c>
      <c r="F784" s="213" t="n">
        <v>6.2</v>
      </c>
      <c r="G784" s="213" t="n">
        <f aca="false">AVERAGEIFS($F$33:$F$1494,$A$33:$A$1494,A784)</f>
        <v>6.3</v>
      </c>
      <c r="H784" s="213" t="n">
        <v>6.3</v>
      </c>
      <c r="I784" s="213" t="n">
        <f aca="false">AVERAGEIFS($H$33:$H$1494,$A$33:$A$1494,A784)</f>
        <v>6.16666666666667</v>
      </c>
      <c r="L784" s="215" t="n">
        <v>40584</v>
      </c>
      <c r="M784" s="213" t="n">
        <v>47.8666666666667</v>
      </c>
      <c r="N784" s="213" t="n">
        <v>45.8666666666667</v>
      </c>
      <c r="O784" s="213" t="n">
        <v>6.3</v>
      </c>
      <c r="P784" s="213" t="n">
        <v>6.16666666666667</v>
      </c>
    </row>
    <row r="785" customFormat="false" ht="12.75" hidden="false" customHeight="false" outlineLevel="0" collapsed="false">
      <c r="A785" s="215" t="n">
        <v>40584</v>
      </c>
      <c r="B785" s="213" t="n">
        <v>47.9</v>
      </c>
      <c r="C785" s="213" t="n">
        <f aca="false">AVERAGEIFS($B$33:$B$1494,$A$33:$A$1494,A785)</f>
        <v>47.8666666666667</v>
      </c>
      <c r="D785" s="213" t="n">
        <v>45.9</v>
      </c>
      <c r="E785" s="213" t="n">
        <f aca="false">AVERAGEIFS($D$33:$D$1494,$A$33:$A$1494,A785)</f>
        <v>45.8666666666667</v>
      </c>
      <c r="F785" s="213" t="n">
        <v>5.6</v>
      </c>
      <c r="G785" s="213" t="n">
        <f aca="false">AVERAGEIFS($F$33:$F$1494,$A$33:$A$1494,A785)</f>
        <v>6.3</v>
      </c>
      <c r="H785" s="213" t="n">
        <v>6.2</v>
      </c>
      <c r="I785" s="213" t="n">
        <f aca="false">AVERAGEIFS($H$33:$H$1494,$A$33:$A$1494,A785)</f>
        <v>6.16666666666667</v>
      </c>
      <c r="L785" s="215" t="n">
        <v>40584</v>
      </c>
      <c r="M785" s="213" t="n">
        <v>47.8666666666667</v>
      </c>
      <c r="N785" s="213" t="n">
        <v>45.8666666666667</v>
      </c>
      <c r="O785" s="213" t="n">
        <v>6.3</v>
      </c>
      <c r="P785" s="213" t="n">
        <v>6.16666666666667</v>
      </c>
    </row>
    <row r="786" customFormat="false" ht="12.75" hidden="false" customHeight="false" outlineLevel="0" collapsed="false">
      <c r="A786" s="215" t="n">
        <v>40584</v>
      </c>
      <c r="B786" s="213" t="n">
        <v>47.9</v>
      </c>
      <c r="C786" s="213" t="n">
        <f aca="false">AVERAGEIFS($B$33:$B$1494,$A$33:$A$1494,A786)</f>
        <v>47.8666666666667</v>
      </c>
      <c r="D786" s="213" t="n">
        <v>45.9</v>
      </c>
      <c r="E786" s="213" t="n">
        <f aca="false">AVERAGEIFS($D$33:$D$1494,$A$33:$A$1494,A786)</f>
        <v>45.8666666666667</v>
      </c>
      <c r="F786" s="213" t="n">
        <v>5.5</v>
      </c>
      <c r="G786" s="213" t="n">
        <f aca="false">AVERAGEIFS($F$33:$F$1494,$A$33:$A$1494,A786)</f>
        <v>6.3</v>
      </c>
      <c r="H786" s="213" t="n">
        <v>6</v>
      </c>
      <c r="I786" s="213" t="n">
        <f aca="false">AVERAGEIFS($H$33:$H$1494,$A$33:$A$1494,A786)</f>
        <v>6.16666666666667</v>
      </c>
      <c r="L786" s="215" t="n">
        <v>40584</v>
      </c>
      <c r="M786" s="213" t="n">
        <v>47.8666666666667</v>
      </c>
      <c r="N786" s="213" t="n">
        <v>45.8666666666667</v>
      </c>
      <c r="O786" s="213" t="n">
        <v>6.3</v>
      </c>
      <c r="P786" s="213" t="n">
        <v>6.16666666666667</v>
      </c>
    </row>
    <row r="787" customFormat="false" ht="12.75" hidden="false" customHeight="false" outlineLevel="0" collapsed="false">
      <c r="A787" s="215" t="n">
        <v>40584</v>
      </c>
      <c r="B787" s="213" t="n">
        <v>47.8</v>
      </c>
      <c r="C787" s="213" t="n">
        <f aca="false">AVERAGEIFS($B$33:$B$1494,$A$33:$A$1494,A787)</f>
        <v>47.8666666666667</v>
      </c>
      <c r="D787" s="213" t="n">
        <v>45.8</v>
      </c>
      <c r="E787" s="213" t="n">
        <f aca="false">AVERAGEIFS($D$33:$D$1494,$A$33:$A$1494,A787)</f>
        <v>45.8666666666667</v>
      </c>
      <c r="F787" s="213" t="n">
        <v>6.8</v>
      </c>
      <c r="G787" s="213" t="n">
        <f aca="false">AVERAGEIFS($F$33:$F$1494,$A$33:$A$1494,A787)</f>
        <v>6.3</v>
      </c>
      <c r="H787" s="213" t="n">
        <v>6</v>
      </c>
      <c r="I787" s="213" t="n">
        <f aca="false">AVERAGEIFS($H$33:$H$1494,$A$33:$A$1494,A787)</f>
        <v>6.16666666666667</v>
      </c>
      <c r="L787" s="215" t="n">
        <v>40584</v>
      </c>
      <c r="M787" s="213" t="n">
        <v>47.8666666666667</v>
      </c>
      <c r="N787" s="213" t="n">
        <v>45.8666666666667</v>
      </c>
      <c r="O787" s="213" t="n">
        <v>6.3</v>
      </c>
      <c r="P787" s="213" t="n">
        <v>6.16666666666667</v>
      </c>
    </row>
    <row r="788" customFormat="false" ht="12.75" hidden="false" customHeight="false" outlineLevel="0" collapsed="false">
      <c r="A788" s="215" t="n">
        <v>40584</v>
      </c>
      <c r="B788" s="213" t="n">
        <v>47.8</v>
      </c>
      <c r="C788" s="213" t="n">
        <f aca="false">AVERAGEIFS($B$33:$B$1494,$A$33:$A$1494,A788)</f>
        <v>47.8666666666667</v>
      </c>
      <c r="D788" s="213" t="n">
        <v>45.8</v>
      </c>
      <c r="E788" s="213" t="n">
        <f aca="false">AVERAGEIFS($D$33:$D$1494,$A$33:$A$1494,A788)</f>
        <v>45.8666666666667</v>
      </c>
      <c r="F788" s="213" t="n">
        <v>7.1</v>
      </c>
      <c r="G788" s="213" t="n">
        <f aca="false">AVERAGEIFS($F$33:$F$1494,$A$33:$A$1494,A788)</f>
        <v>6.3</v>
      </c>
      <c r="H788" s="213" t="n">
        <v>6.2</v>
      </c>
      <c r="I788" s="213" t="n">
        <f aca="false">AVERAGEIFS($H$33:$H$1494,$A$33:$A$1494,A788)</f>
        <v>6.16666666666667</v>
      </c>
      <c r="L788" s="215" t="n">
        <v>40584</v>
      </c>
      <c r="M788" s="213" t="n">
        <v>47.8666666666667</v>
      </c>
      <c r="N788" s="213" t="n">
        <v>45.8666666666667</v>
      </c>
      <c r="O788" s="213" t="n">
        <v>6.3</v>
      </c>
      <c r="P788" s="213" t="n">
        <v>6.16666666666667</v>
      </c>
    </row>
    <row r="789" customFormat="false" ht="12.75" hidden="false" customHeight="false" outlineLevel="0" collapsed="false">
      <c r="A789" s="215" t="n">
        <v>40585</v>
      </c>
      <c r="B789" s="213" t="n">
        <v>47.8</v>
      </c>
      <c r="C789" s="213" t="n">
        <f aca="false">AVERAGEIFS($B$33:$B$1494,$A$33:$A$1494,A789)</f>
        <v>47.7333333333333</v>
      </c>
      <c r="D789" s="213" t="n">
        <v>45.8</v>
      </c>
      <c r="E789" s="213" t="n">
        <f aca="false">AVERAGEIFS($D$33:$D$1494,$A$33:$A$1494,A789)</f>
        <v>45.7833333333333</v>
      </c>
      <c r="F789" s="213" t="n">
        <v>6.7</v>
      </c>
      <c r="G789" s="213" t="n">
        <f aca="false">AVERAGEIFS($F$33:$F$1494,$A$33:$A$1494,A789)</f>
        <v>6.63333333333333</v>
      </c>
      <c r="H789" s="213" t="n">
        <v>6.4</v>
      </c>
      <c r="I789" s="213" t="n">
        <f aca="false">AVERAGEIFS($H$33:$H$1494,$A$33:$A$1494,A789)</f>
        <v>6.31666666666667</v>
      </c>
      <c r="L789" s="215" t="n">
        <v>40585</v>
      </c>
      <c r="M789" s="213" t="n">
        <v>47.7333333333333</v>
      </c>
      <c r="N789" s="213" t="n">
        <v>45.7833333333333</v>
      </c>
      <c r="O789" s="213" t="n">
        <v>6.63333333333333</v>
      </c>
      <c r="P789" s="213" t="n">
        <v>6.31666666666667</v>
      </c>
    </row>
    <row r="790" customFormat="false" ht="12.75" hidden="false" customHeight="false" outlineLevel="0" collapsed="false">
      <c r="A790" s="215" t="n">
        <v>40585</v>
      </c>
      <c r="B790" s="213" t="n">
        <v>47.8</v>
      </c>
      <c r="C790" s="213" t="n">
        <f aca="false">AVERAGEIFS($B$33:$B$1494,$A$33:$A$1494,A790)</f>
        <v>47.7333333333333</v>
      </c>
      <c r="D790" s="213" t="n">
        <v>45.8</v>
      </c>
      <c r="E790" s="213" t="n">
        <f aca="false">AVERAGEIFS($D$33:$D$1494,$A$33:$A$1494,A790)</f>
        <v>45.7833333333333</v>
      </c>
      <c r="F790" s="213" t="n">
        <v>6.3</v>
      </c>
      <c r="G790" s="213" t="n">
        <f aca="false">AVERAGEIFS($F$33:$F$1494,$A$33:$A$1494,A790)</f>
        <v>6.63333333333333</v>
      </c>
      <c r="H790" s="213" t="n">
        <v>6.4</v>
      </c>
      <c r="I790" s="213" t="n">
        <f aca="false">AVERAGEIFS($H$33:$H$1494,$A$33:$A$1494,A790)</f>
        <v>6.31666666666667</v>
      </c>
      <c r="L790" s="215" t="n">
        <v>40585</v>
      </c>
      <c r="M790" s="213" t="n">
        <v>47.7333333333333</v>
      </c>
      <c r="N790" s="213" t="n">
        <v>45.7833333333333</v>
      </c>
      <c r="O790" s="213" t="n">
        <v>6.63333333333333</v>
      </c>
      <c r="P790" s="213" t="n">
        <v>6.31666666666667</v>
      </c>
    </row>
    <row r="791" customFormat="false" ht="12.75" hidden="false" customHeight="false" outlineLevel="0" collapsed="false">
      <c r="A791" s="215" t="n">
        <v>40585</v>
      </c>
      <c r="B791" s="213" t="n">
        <v>47.8</v>
      </c>
      <c r="C791" s="213" t="n">
        <f aca="false">AVERAGEIFS($B$33:$B$1494,$A$33:$A$1494,A791)</f>
        <v>47.7333333333333</v>
      </c>
      <c r="D791" s="213" t="n">
        <v>45.8</v>
      </c>
      <c r="E791" s="213" t="n">
        <f aca="false">AVERAGEIFS($D$33:$D$1494,$A$33:$A$1494,A791)</f>
        <v>45.7833333333333</v>
      </c>
      <c r="F791" s="213" t="n">
        <v>6</v>
      </c>
      <c r="G791" s="213" t="n">
        <f aca="false">AVERAGEIFS($F$33:$F$1494,$A$33:$A$1494,A791)</f>
        <v>6.63333333333333</v>
      </c>
      <c r="H791" s="213" t="n">
        <v>6.3</v>
      </c>
      <c r="I791" s="213" t="n">
        <f aca="false">AVERAGEIFS($H$33:$H$1494,$A$33:$A$1494,A791)</f>
        <v>6.31666666666667</v>
      </c>
      <c r="L791" s="215" t="n">
        <v>40585</v>
      </c>
      <c r="M791" s="213" t="n">
        <v>47.7333333333333</v>
      </c>
      <c r="N791" s="213" t="n">
        <v>45.7833333333333</v>
      </c>
      <c r="O791" s="213" t="n">
        <v>6.63333333333333</v>
      </c>
      <c r="P791" s="213" t="n">
        <v>6.31666666666667</v>
      </c>
    </row>
    <row r="792" customFormat="false" ht="12.75" hidden="false" customHeight="false" outlineLevel="0" collapsed="false">
      <c r="A792" s="215" t="n">
        <v>40585</v>
      </c>
      <c r="B792" s="213" t="n">
        <v>47.7</v>
      </c>
      <c r="C792" s="213" t="n">
        <f aca="false">AVERAGEIFS($B$33:$B$1494,$A$33:$A$1494,A792)</f>
        <v>47.7333333333333</v>
      </c>
      <c r="D792" s="213" t="n">
        <v>45.8</v>
      </c>
      <c r="E792" s="213" t="n">
        <f aca="false">AVERAGEIFS($D$33:$D$1494,$A$33:$A$1494,A792)</f>
        <v>45.7833333333333</v>
      </c>
      <c r="F792" s="213" t="n">
        <v>6</v>
      </c>
      <c r="G792" s="213" t="n">
        <f aca="false">AVERAGEIFS($F$33:$F$1494,$A$33:$A$1494,A792)</f>
        <v>6.63333333333333</v>
      </c>
      <c r="H792" s="213" t="n">
        <v>6.2</v>
      </c>
      <c r="I792" s="213" t="n">
        <f aca="false">AVERAGEIFS($H$33:$H$1494,$A$33:$A$1494,A792)</f>
        <v>6.31666666666667</v>
      </c>
      <c r="L792" s="215" t="n">
        <v>40585</v>
      </c>
      <c r="M792" s="213" t="n">
        <v>47.7333333333333</v>
      </c>
      <c r="N792" s="213" t="n">
        <v>45.7833333333333</v>
      </c>
      <c r="O792" s="213" t="n">
        <v>6.63333333333333</v>
      </c>
      <c r="P792" s="213" t="n">
        <v>6.31666666666667</v>
      </c>
    </row>
    <row r="793" customFormat="false" ht="12.75" hidden="false" customHeight="false" outlineLevel="0" collapsed="false">
      <c r="A793" s="215" t="n">
        <v>40585</v>
      </c>
      <c r="B793" s="213" t="n">
        <v>47.7</v>
      </c>
      <c r="C793" s="213" t="n">
        <f aca="false">AVERAGEIFS($B$33:$B$1494,$A$33:$A$1494,A793)</f>
        <v>47.7333333333333</v>
      </c>
      <c r="D793" s="213" t="n">
        <v>45.8</v>
      </c>
      <c r="E793" s="213" t="n">
        <f aca="false">AVERAGEIFS($D$33:$D$1494,$A$33:$A$1494,A793)</f>
        <v>45.7833333333333</v>
      </c>
      <c r="F793" s="213" t="n">
        <v>7.3</v>
      </c>
      <c r="G793" s="213" t="n">
        <f aca="false">AVERAGEIFS($F$33:$F$1494,$A$33:$A$1494,A793)</f>
        <v>6.63333333333333</v>
      </c>
      <c r="H793" s="213" t="n">
        <v>6.2</v>
      </c>
      <c r="I793" s="213" t="n">
        <f aca="false">AVERAGEIFS($H$33:$H$1494,$A$33:$A$1494,A793)</f>
        <v>6.31666666666667</v>
      </c>
      <c r="L793" s="215" t="n">
        <v>40585</v>
      </c>
      <c r="M793" s="213" t="n">
        <v>47.7333333333333</v>
      </c>
      <c r="N793" s="213" t="n">
        <v>45.7833333333333</v>
      </c>
      <c r="O793" s="213" t="n">
        <v>6.63333333333333</v>
      </c>
      <c r="P793" s="213" t="n">
        <v>6.31666666666667</v>
      </c>
    </row>
    <row r="794" customFormat="false" ht="12.75" hidden="false" customHeight="false" outlineLevel="0" collapsed="false">
      <c r="A794" s="215" t="n">
        <v>40585</v>
      </c>
      <c r="B794" s="213" t="n">
        <v>47.6</v>
      </c>
      <c r="C794" s="213" t="n">
        <f aca="false">AVERAGEIFS($B$33:$B$1494,$A$33:$A$1494,A794)</f>
        <v>47.7333333333333</v>
      </c>
      <c r="D794" s="213" t="n">
        <v>45.7</v>
      </c>
      <c r="E794" s="213" t="n">
        <f aca="false">AVERAGEIFS($D$33:$D$1494,$A$33:$A$1494,A794)</f>
        <v>45.7833333333333</v>
      </c>
      <c r="F794" s="213" t="n">
        <v>7.5</v>
      </c>
      <c r="G794" s="213" t="n">
        <f aca="false">AVERAGEIFS($F$33:$F$1494,$A$33:$A$1494,A794)</f>
        <v>6.63333333333333</v>
      </c>
      <c r="H794" s="213" t="n">
        <v>6.4</v>
      </c>
      <c r="I794" s="213" t="n">
        <f aca="false">AVERAGEIFS($H$33:$H$1494,$A$33:$A$1494,A794)</f>
        <v>6.31666666666667</v>
      </c>
      <c r="L794" s="215" t="n">
        <v>40585</v>
      </c>
      <c r="M794" s="213" t="n">
        <v>47.7333333333333</v>
      </c>
      <c r="N794" s="213" t="n">
        <v>45.7833333333333</v>
      </c>
      <c r="O794" s="213" t="n">
        <v>6.63333333333333</v>
      </c>
      <c r="P794" s="213" t="n">
        <v>6.31666666666667</v>
      </c>
    </row>
    <row r="795" customFormat="false" ht="12.75" hidden="false" customHeight="false" outlineLevel="0" collapsed="false">
      <c r="A795" s="215" t="n">
        <v>40586</v>
      </c>
      <c r="B795" s="213" t="n">
        <v>47.6</v>
      </c>
      <c r="C795" s="213" t="n">
        <f aca="false">AVERAGEIFS($B$33:$B$1494,$A$33:$A$1494,A795)</f>
        <v>47.5166666666667</v>
      </c>
      <c r="D795" s="213" t="n">
        <v>45.7</v>
      </c>
      <c r="E795" s="213" t="n">
        <f aca="false">AVERAGEIFS($D$33:$D$1494,$A$33:$A$1494,A795)</f>
        <v>45.7</v>
      </c>
      <c r="F795" s="213" t="n">
        <v>7</v>
      </c>
      <c r="G795" s="213" t="n">
        <f aca="false">AVERAGEIFS($F$33:$F$1494,$A$33:$A$1494,A795)</f>
        <v>6.86666666666667</v>
      </c>
      <c r="H795" s="213" t="n">
        <v>6.6</v>
      </c>
      <c r="I795" s="213" t="n">
        <f aca="false">AVERAGEIFS($H$33:$H$1494,$A$33:$A$1494,A795)</f>
        <v>6.51666666666667</v>
      </c>
      <c r="L795" s="215" t="n">
        <v>40586</v>
      </c>
      <c r="M795" s="213" t="n">
        <v>47.5166666666667</v>
      </c>
      <c r="N795" s="213" t="n">
        <v>45.7</v>
      </c>
      <c r="O795" s="213" t="n">
        <v>6.86666666666667</v>
      </c>
      <c r="P795" s="213" t="n">
        <v>6.51666666666667</v>
      </c>
    </row>
    <row r="796" customFormat="false" ht="12.75" hidden="false" customHeight="false" outlineLevel="0" collapsed="false">
      <c r="A796" s="215" t="n">
        <v>40586</v>
      </c>
      <c r="B796" s="213" t="n">
        <v>47.6</v>
      </c>
      <c r="C796" s="213" t="n">
        <f aca="false">AVERAGEIFS($B$33:$B$1494,$A$33:$A$1494,A796)</f>
        <v>47.5166666666667</v>
      </c>
      <c r="D796" s="213" t="n">
        <v>45.7</v>
      </c>
      <c r="E796" s="213" t="n">
        <f aca="false">AVERAGEIFS($D$33:$D$1494,$A$33:$A$1494,A796)</f>
        <v>45.7</v>
      </c>
      <c r="F796" s="213" t="n">
        <v>6.5</v>
      </c>
      <c r="G796" s="213" t="n">
        <f aca="false">AVERAGEIFS($F$33:$F$1494,$A$33:$A$1494,A796)</f>
        <v>6.86666666666667</v>
      </c>
      <c r="H796" s="213" t="n">
        <v>6.6</v>
      </c>
      <c r="I796" s="213" t="n">
        <f aca="false">AVERAGEIFS($H$33:$H$1494,$A$33:$A$1494,A796)</f>
        <v>6.51666666666667</v>
      </c>
      <c r="L796" s="215" t="n">
        <v>40586</v>
      </c>
      <c r="M796" s="213" t="n">
        <v>47.5166666666667</v>
      </c>
      <c r="N796" s="213" t="n">
        <v>45.7</v>
      </c>
      <c r="O796" s="213" t="n">
        <v>6.86666666666667</v>
      </c>
      <c r="P796" s="213" t="n">
        <v>6.51666666666667</v>
      </c>
    </row>
    <row r="797" customFormat="false" ht="12.75" hidden="false" customHeight="false" outlineLevel="0" collapsed="false">
      <c r="A797" s="215" t="n">
        <v>40586</v>
      </c>
      <c r="B797" s="213" t="n">
        <v>47.6</v>
      </c>
      <c r="C797" s="213" t="n">
        <f aca="false">AVERAGEIFS($B$33:$B$1494,$A$33:$A$1494,A797)</f>
        <v>47.5166666666667</v>
      </c>
      <c r="D797" s="213" t="n">
        <v>45.7</v>
      </c>
      <c r="E797" s="213" t="n">
        <f aca="false">AVERAGEIFS($D$33:$D$1494,$A$33:$A$1494,A797)</f>
        <v>45.7</v>
      </c>
      <c r="F797" s="213" t="n">
        <v>6.2</v>
      </c>
      <c r="G797" s="213" t="n">
        <f aca="false">AVERAGEIFS($F$33:$F$1494,$A$33:$A$1494,A797)</f>
        <v>6.86666666666667</v>
      </c>
      <c r="H797" s="213" t="n">
        <v>6.5</v>
      </c>
      <c r="I797" s="213" t="n">
        <f aca="false">AVERAGEIFS($H$33:$H$1494,$A$33:$A$1494,A797)</f>
        <v>6.51666666666667</v>
      </c>
      <c r="L797" s="215" t="n">
        <v>40586</v>
      </c>
      <c r="M797" s="213" t="n">
        <v>47.5166666666667</v>
      </c>
      <c r="N797" s="213" t="n">
        <v>45.7</v>
      </c>
      <c r="O797" s="213" t="n">
        <v>6.86666666666667</v>
      </c>
      <c r="P797" s="213" t="n">
        <v>6.51666666666667</v>
      </c>
    </row>
    <row r="798" customFormat="false" ht="12.75" hidden="false" customHeight="false" outlineLevel="0" collapsed="false">
      <c r="A798" s="215" t="n">
        <v>40586</v>
      </c>
      <c r="B798" s="213" t="n">
        <v>47.6</v>
      </c>
      <c r="C798" s="213" t="n">
        <f aca="false">AVERAGEIFS($B$33:$B$1494,$A$33:$A$1494,A798)</f>
        <v>47.5166666666667</v>
      </c>
      <c r="D798" s="213" t="n">
        <v>45.7</v>
      </c>
      <c r="E798" s="213" t="n">
        <f aca="false">AVERAGEIFS($D$33:$D$1494,$A$33:$A$1494,A798)</f>
        <v>45.7</v>
      </c>
      <c r="F798" s="213" t="n">
        <v>6.2</v>
      </c>
      <c r="G798" s="213" t="n">
        <f aca="false">AVERAGEIFS($F$33:$F$1494,$A$33:$A$1494,A798)</f>
        <v>6.86666666666667</v>
      </c>
      <c r="H798" s="213" t="n">
        <v>6.4</v>
      </c>
      <c r="I798" s="213" t="n">
        <f aca="false">AVERAGEIFS($H$33:$H$1494,$A$33:$A$1494,A798)</f>
        <v>6.51666666666667</v>
      </c>
      <c r="L798" s="215" t="n">
        <v>40586</v>
      </c>
      <c r="M798" s="213" t="n">
        <v>47.5166666666667</v>
      </c>
      <c r="N798" s="213" t="n">
        <v>45.7</v>
      </c>
      <c r="O798" s="213" t="n">
        <v>6.86666666666667</v>
      </c>
      <c r="P798" s="213" t="n">
        <v>6.51666666666667</v>
      </c>
    </row>
    <row r="799" customFormat="false" ht="12.75" hidden="false" customHeight="false" outlineLevel="0" collapsed="false">
      <c r="A799" s="215" t="n">
        <v>40586</v>
      </c>
      <c r="B799" s="213" t="n">
        <v>47.4</v>
      </c>
      <c r="C799" s="213" t="n">
        <f aca="false">AVERAGEIFS($B$33:$B$1494,$A$33:$A$1494,A799)</f>
        <v>47.5166666666667</v>
      </c>
      <c r="D799" s="213" t="n">
        <v>45.7</v>
      </c>
      <c r="E799" s="213" t="n">
        <f aca="false">AVERAGEIFS($D$33:$D$1494,$A$33:$A$1494,A799)</f>
        <v>45.7</v>
      </c>
      <c r="F799" s="213" t="n">
        <v>7.4</v>
      </c>
      <c r="G799" s="213" t="n">
        <f aca="false">AVERAGEIFS($F$33:$F$1494,$A$33:$A$1494,A799)</f>
        <v>6.86666666666667</v>
      </c>
      <c r="H799" s="213" t="n">
        <v>6.4</v>
      </c>
      <c r="I799" s="213" t="n">
        <f aca="false">AVERAGEIFS($H$33:$H$1494,$A$33:$A$1494,A799)</f>
        <v>6.51666666666667</v>
      </c>
      <c r="L799" s="215" t="n">
        <v>40586</v>
      </c>
      <c r="M799" s="213" t="n">
        <v>47.5166666666667</v>
      </c>
      <c r="N799" s="213" t="n">
        <v>45.7</v>
      </c>
      <c r="O799" s="213" t="n">
        <v>6.86666666666667</v>
      </c>
      <c r="P799" s="213" t="n">
        <v>6.51666666666667</v>
      </c>
    </row>
    <row r="800" customFormat="false" ht="12.75" hidden="false" customHeight="false" outlineLevel="0" collapsed="false">
      <c r="A800" s="215" t="n">
        <v>40586</v>
      </c>
      <c r="B800" s="213" t="n">
        <v>47.3</v>
      </c>
      <c r="C800" s="213" t="n">
        <f aca="false">AVERAGEIFS($B$33:$B$1494,$A$33:$A$1494,A800)</f>
        <v>47.5166666666667</v>
      </c>
      <c r="D800" s="213" t="n">
        <v>45.7</v>
      </c>
      <c r="E800" s="213" t="n">
        <f aca="false">AVERAGEIFS($D$33:$D$1494,$A$33:$A$1494,A800)</f>
        <v>45.7</v>
      </c>
      <c r="F800" s="213" t="n">
        <v>7.9</v>
      </c>
      <c r="G800" s="213" t="n">
        <f aca="false">AVERAGEIFS($F$33:$F$1494,$A$33:$A$1494,A800)</f>
        <v>6.86666666666667</v>
      </c>
      <c r="H800" s="213" t="n">
        <v>6.6</v>
      </c>
      <c r="I800" s="213" t="n">
        <f aca="false">AVERAGEIFS($H$33:$H$1494,$A$33:$A$1494,A800)</f>
        <v>6.51666666666667</v>
      </c>
      <c r="L800" s="215" t="n">
        <v>40586</v>
      </c>
      <c r="M800" s="213" t="n">
        <v>47.5166666666667</v>
      </c>
      <c r="N800" s="213" t="n">
        <v>45.7</v>
      </c>
      <c r="O800" s="213" t="n">
        <v>6.86666666666667</v>
      </c>
      <c r="P800" s="213" t="n">
        <v>6.51666666666667</v>
      </c>
    </row>
    <row r="801" customFormat="false" ht="12.75" hidden="false" customHeight="false" outlineLevel="0" collapsed="false">
      <c r="A801" s="215" t="n">
        <v>40587</v>
      </c>
      <c r="B801" s="213" t="n">
        <v>47.3</v>
      </c>
      <c r="C801" s="213" t="n">
        <f aca="false">AVERAGEIFS($B$33:$B$1494,$A$33:$A$1494,A801)</f>
        <v>47.2666666666667</v>
      </c>
      <c r="D801" s="213" t="n">
        <v>45.7</v>
      </c>
      <c r="E801" s="213" t="n">
        <f aca="false">AVERAGEIFS($D$33:$D$1494,$A$33:$A$1494,A801)</f>
        <v>45.6666666666667</v>
      </c>
      <c r="F801" s="213" t="n">
        <v>7.6</v>
      </c>
      <c r="G801" s="213" t="n">
        <f aca="false">AVERAGEIFS($F$33:$F$1494,$A$33:$A$1494,A801)</f>
        <v>7.11666666666667</v>
      </c>
      <c r="H801" s="213" t="n">
        <v>6.9</v>
      </c>
      <c r="I801" s="213" t="n">
        <f aca="false">AVERAGEIFS($H$33:$H$1494,$A$33:$A$1494,A801)</f>
        <v>6.78333333333333</v>
      </c>
      <c r="L801" s="215" t="n">
        <v>40587</v>
      </c>
      <c r="M801" s="213" t="n">
        <v>47.2666666666667</v>
      </c>
      <c r="N801" s="213" t="n">
        <v>45.6666666666667</v>
      </c>
      <c r="O801" s="213" t="n">
        <v>7.11666666666667</v>
      </c>
      <c r="P801" s="213" t="n">
        <v>6.78333333333333</v>
      </c>
    </row>
    <row r="802" customFormat="false" ht="12.75" hidden="false" customHeight="false" outlineLevel="0" collapsed="false">
      <c r="A802" s="215" t="n">
        <v>40587</v>
      </c>
      <c r="B802" s="213" t="n">
        <v>47.3</v>
      </c>
      <c r="C802" s="213" t="n">
        <f aca="false">AVERAGEIFS($B$33:$B$1494,$A$33:$A$1494,A802)</f>
        <v>47.2666666666667</v>
      </c>
      <c r="D802" s="213" t="n">
        <v>45.7</v>
      </c>
      <c r="E802" s="213" t="n">
        <f aca="false">AVERAGEIFS($D$33:$D$1494,$A$33:$A$1494,A802)</f>
        <v>45.6666666666667</v>
      </c>
      <c r="F802" s="213" t="n">
        <v>6.9</v>
      </c>
      <c r="G802" s="213" t="n">
        <f aca="false">AVERAGEIFS($F$33:$F$1494,$A$33:$A$1494,A802)</f>
        <v>7.11666666666667</v>
      </c>
      <c r="H802" s="213" t="n">
        <v>6.9</v>
      </c>
      <c r="I802" s="213" t="n">
        <f aca="false">AVERAGEIFS($H$33:$H$1494,$A$33:$A$1494,A802)</f>
        <v>6.78333333333333</v>
      </c>
      <c r="L802" s="215" t="n">
        <v>40587</v>
      </c>
      <c r="M802" s="213" t="n">
        <v>47.2666666666667</v>
      </c>
      <c r="N802" s="213" t="n">
        <v>45.6666666666667</v>
      </c>
      <c r="O802" s="213" t="n">
        <v>7.11666666666667</v>
      </c>
      <c r="P802" s="213" t="n">
        <v>6.78333333333333</v>
      </c>
    </row>
    <row r="803" customFormat="false" ht="12.75" hidden="false" customHeight="false" outlineLevel="0" collapsed="false">
      <c r="A803" s="215" t="n">
        <v>40587</v>
      </c>
      <c r="B803" s="213" t="n">
        <v>47.3</v>
      </c>
      <c r="C803" s="213" t="n">
        <f aca="false">AVERAGEIFS($B$33:$B$1494,$A$33:$A$1494,A803)</f>
        <v>47.2666666666667</v>
      </c>
      <c r="D803" s="213" t="n">
        <v>45.7</v>
      </c>
      <c r="E803" s="213" t="n">
        <f aca="false">AVERAGEIFS($D$33:$D$1494,$A$33:$A$1494,A803)</f>
        <v>45.6666666666667</v>
      </c>
      <c r="F803" s="213" t="n">
        <v>6.5</v>
      </c>
      <c r="G803" s="213" t="n">
        <f aca="false">AVERAGEIFS($F$33:$F$1494,$A$33:$A$1494,A803)</f>
        <v>7.11666666666667</v>
      </c>
      <c r="H803" s="213" t="n">
        <v>6.8</v>
      </c>
      <c r="I803" s="213" t="n">
        <f aca="false">AVERAGEIFS($H$33:$H$1494,$A$33:$A$1494,A803)</f>
        <v>6.78333333333333</v>
      </c>
      <c r="L803" s="215" t="n">
        <v>40587</v>
      </c>
      <c r="M803" s="213" t="n">
        <v>47.2666666666667</v>
      </c>
      <c r="N803" s="213" t="n">
        <v>45.6666666666667</v>
      </c>
      <c r="O803" s="213" t="n">
        <v>7.11666666666667</v>
      </c>
      <c r="P803" s="213" t="n">
        <v>6.78333333333333</v>
      </c>
    </row>
    <row r="804" customFormat="false" ht="12.75" hidden="false" customHeight="false" outlineLevel="0" collapsed="false">
      <c r="A804" s="215" t="n">
        <v>40587</v>
      </c>
      <c r="B804" s="213" t="n">
        <v>47.3</v>
      </c>
      <c r="C804" s="213" t="n">
        <f aca="false">AVERAGEIFS($B$33:$B$1494,$A$33:$A$1494,A804)</f>
        <v>47.2666666666667</v>
      </c>
      <c r="D804" s="213" t="n">
        <v>45.7</v>
      </c>
      <c r="E804" s="213" t="n">
        <f aca="false">AVERAGEIFS($D$33:$D$1494,$A$33:$A$1494,A804)</f>
        <v>45.6666666666667</v>
      </c>
      <c r="F804" s="213" t="n">
        <v>6.5</v>
      </c>
      <c r="G804" s="213" t="n">
        <f aca="false">AVERAGEIFS($F$33:$F$1494,$A$33:$A$1494,A804)</f>
        <v>7.11666666666667</v>
      </c>
      <c r="H804" s="213" t="n">
        <v>6.7</v>
      </c>
      <c r="I804" s="213" t="n">
        <f aca="false">AVERAGEIFS($H$33:$H$1494,$A$33:$A$1494,A804)</f>
        <v>6.78333333333333</v>
      </c>
      <c r="L804" s="215" t="n">
        <v>40587</v>
      </c>
      <c r="M804" s="213" t="n">
        <v>47.2666666666667</v>
      </c>
      <c r="N804" s="213" t="n">
        <v>45.6666666666667</v>
      </c>
      <c r="O804" s="213" t="n">
        <v>7.11666666666667</v>
      </c>
      <c r="P804" s="213" t="n">
        <v>6.78333333333333</v>
      </c>
    </row>
    <row r="805" customFormat="false" ht="12.75" hidden="false" customHeight="false" outlineLevel="0" collapsed="false">
      <c r="A805" s="215" t="n">
        <v>40587</v>
      </c>
      <c r="B805" s="213" t="n">
        <v>47.2</v>
      </c>
      <c r="C805" s="213" t="n">
        <f aca="false">AVERAGEIFS($B$33:$B$1494,$A$33:$A$1494,A805)</f>
        <v>47.2666666666667</v>
      </c>
      <c r="D805" s="213" t="n">
        <v>45.6</v>
      </c>
      <c r="E805" s="213" t="n">
        <f aca="false">AVERAGEIFS($D$33:$D$1494,$A$33:$A$1494,A805)</f>
        <v>45.6666666666667</v>
      </c>
      <c r="F805" s="213" t="n">
        <v>7.5</v>
      </c>
      <c r="G805" s="213" t="n">
        <f aca="false">AVERAGEIFS($F$33:$F$1494,$A$33:$A$1494,A805)</f>
        <v>7.11666666666667</v>
      </c>
      <c r="H805" s="213" t="n">
        <v>6.6</v>
      </c>
      <c r="I805" s="213" t="n">
        <f aca="false">AVERAGEIFS($H$33:$H$1494,$A$33:$A$1494,A805)</f>
        <v>6.78333333333333</v>
      </c>
      <c r="L805" s="215" t="n">
        <v>40587</v>
      </c>
      <c r="M805" s="213" t="n">
        <v>47.2666666666667</v>
      </c>
      <c r="N805" s="213" t="n">
        <v>45.6666666666667</v>
      </c>
      <c r="O805" s="213" t="n">
        <v>7.11666666666667</v>
      </c>
      <c r="P805" s="213" t="n">
        <v>6.78333333333333</v>
      </c>
    </row>
    <row r="806" customFormat="false" ht="12.75" hidden="false" customHeight="false" outlineLevel="0" collapsed="false">
      <c r="A806" s="215" t="n">
        <v>40587</v>
      </c>
      <c r="B806" s="213" t="n">
        <v>47.2</v>
      </c>
      <c r="C806" s="213" t="n">
        <f aca="false">AVERAGEIFS($B$33:$B$1494,$A$33:$A$1494,A806)</f>
        <v>47.2666666666667</v>
      </c>
      <c r="D806" s="213" t="n">
        <v>45.6</v>
      </c>
      <c r="E806" s="213" t="n">
        <f aca="false">AVERAGEIFS($D$33:$D$1494,$A$33:$A$1494,A806)</f>
        <v>45.6666666666667</v>
      </c>
      <c r="F806" s="213" t="n">
        <v>7.7</v>
      </c>
      <c r="G806" s="213" t="n">
        <f aca="false">AVERAGEIFS($F$33:$F$1494,$A$33:$A$1494,A806)</f>
        <v>7.11666666666667</v>
      </c>
      <c r="H806" s="213" t="n">
        <v>6.8</v>
      </c>
      <c r="I806" s="213" t="n">
        <f aca="false">AVERAGEIFS($H$33:$H$1494,$A$33:$A$1494,A806)</f>
        <v>6.78333333333333</v>
      </c>
      <c r="L806" s="215" t="n">
        <v>40587</v>
      </c>
      <c r="M806" s="213" t="n">
        <v>47.2666666666667</v>
      </c>
      <c r="N806" s="213" t="n">
        <v>45.6666666666667</v>
      </c>
      <c r="O806" s="213" t="n">
        <v>7.11666666666667</v>
      </c>
      <c r="P806" s="213" t="n">
        <v>6.78333333333333</v>
      </c>
    </row>
    <row r="807" customFormat="false" ht="12.75" hidden="false" customHeight="false" outlineLevel="0" collapsed="false">
      <c r="A807" s="215" t="n">
        <v>40588</v>
      </c>
      <c r="B807" s="213" t="n">
        <v>47.1</v>
      </c>
      <c r="C807" s="213" t="n">
        <f aca="false">AVERAGEIFS($B$33:$B$1494,$A$33:$A$1494,A807)</f>
        <v>47.2333333333333</v>
      </c>
      <c r="D807" s="213" t="n">
        <v>45.6</v>
      </c>
      <c r="E807" s="213" t="n">
        <f aca="false">AVERAGEIFS($D$33:$D$1494,$A$33:$A$1494,A807)</f>
        <v>45.6</v>
      </c>
      <c r="F807" s="213" t="n">
        <v>7.3</v>
      </c>
      <c r="G807" s="213" t="n">
        <f aca="false">AVERAGEIFS($F$33:$F$1494,$A$33:$A$1494,A807)</f>
        <v>7.3</v>
      </c>
      <c r="H807" s="213" t="n">
        <v>6.9</v>
      </c>
      <c r="I807" s="213" t="n">
        <f aca="false">AVERAGEIFS($H$33:$H$1494,$A$33:$A$1494,A807)</f>
        <v>6.91666666666667</v>
      </c>
      <c r="L807" s="215" t="n">
        <v>40588</v>
      </c>
      <c r="M807" s="213" t="n">
        <v>47.2333333333333</v>
      </c>
      <c r="N807" s="213" t="n">
        <v>45.6</v>
      </c>
      <c r="O807" s="213" t="n">
        <v>7.3</v>
      </c>
      <c r="P807" s="213" t="n">
        <v>6.91666666666667</v>
      </c>
    </row>
    <row r="808" customFormat="false" ht="12.75" hidden="false" customHeight="false" outlineLevel="0" collapsed="false">
      <c r="A808" s="215" t="n">
        <v>40588</v>
      </c>
      <c r="B808" s="213" t="n">
        <v>47.1</v>
      </c>
      <c r="C808" s="213" t="n">
        <f aca="false">AVERAGEIFS($B$33:$B$1494,$A$33:$A$1494,A808)</f>
        <v>47.2333333333333</v>
      </c>
      <c r="D808" s="213" t="n">
        <v>45.6</v>
      </c>
      <c r="E808" s="213" t="n">
        <f aca="false">AVERAGEIFS($D$33:$D$1494,$A$33:$A$1494,A808)</f>
        <v>45.6</v>
      </c>
      <c r="F808" s="213" t="n">
        <v>7.1</v>
      </c>
      <c r="G808" s="213" t="n">
        <f aca="false">AVERAGEIFS($F$33:$F$1494,$A$33:$A$1494,A808)</f>
        <v>7.3</v>
      </c>
      <c r="H808" s="213" t="n">
        <v>6.9</v>
      </c>
      <c r="I808" s="213" t="n">
        <f aca="false">AVERAGEIFS($H$33:$H$1494,$A$33:$A$1494,A808)</f>
        <v>6.91666666666667</v>
      </c>
      <c r="L808" s="215" t="n">
        <v>40588</v>
      </c>
      <c r="M808" s="213" t="n">
        <v>47.2333333333333</v>
      </c>
      <c r="N808" s="213" t="n">
        <v>45.6</v>
      </c>
      <c r="O808" s="213" t="n">
        <v>7.3</v>
      </c>
      <c r="P808" s="213" t="n">
        <v>6.91666666666667</v>
      </c>
    </row>
    <row r="809" customFormat="false" ht="12.75" hidden="false" customHeight="false" outlineLevel="0" collapsed="false">
      <c r="A809" s="215" t="n">
        <v>40588</v>
      </c>
      <c r="B809" s="213" t="n">
        <v>47.1</v>
      </c>
      <c r="C809" s="213" t="n">
        <f aca="false">AVERAGEIFS($B$33:$B$1494,$A$33:$A$1494,A809)</f>
        <v>47.2333333333333</v>
      </c>
      <c r="D809" s="213" t="n">
        <v>45.6</v>
      </c>
      <c r="E809" s="213" t="n">
        <f aca="false">AVERAGEIFS($D$33:$D$1494,$A$33:$A$1494,A809)</f>
        <v>45.6</v>
      </c>
      <c r="F809" s="213" t="n">
        <v>7.2</v>
      </c>
      <c r="G809" s="213" t="n">
        <f aca="false">AVERAGEIFS($F$33:$F$1494,$A$33:$A$1494,A809)</f>
        <v>7.3</v>
      </c>
      <c r="H809" s="213" t="n">
        <v>6.9</v>
      </c>
      <c r="I809" s="213" t="n">
        <f aca="false">AVERAGEIFS($H$33:$H$1494,$A$33:$A$1494,A809)</f>
        <v>6.91666666666667</v>
      </c>
      <c r="L809" s="215" t="n">
        <v>40588</v>
      </c>
      <c r="M809" s="213" t="n">
        <v>47.2333333333333</v>
      </c>
      <c r="N809" s="213" t="n">
        <v>45.6</v>
      </c>
      <c r="O809" s="213" t="n">
        <v>7.3</v>
      </c>
      <c r="P809" s="213" t="n">
        <v>6.91666666666667</v>
      </c>
    </row>
    <row r="810" customFormat="false" ht="12.75" hidden="false" customHeight="false" outlineLevel="0" collapsed="false">
      <c r="A810" s="215" t="n">
        <v>40588</v>
      </c>
      <c r="B810" s="213" t="n">
        <v>47.6</v>
      </c>
      <c r="C810" s="213" t="n">
        <f aca="false">AVERAGEIFS($B$33:$B$1494,$A$33:$A$1494,A810)</f>
        <v>47.2333333333333</v>
      </c>
      <c r="D810" s="213" t="n">
        <v>45.6</v>
      </c>
      <c r="E810" s="213" t="n">
        <f aca="false">AVERAGEIFS($D$33:$D$1494,$A$33:$A$1494,A810)</f>
        <v>45.6</v>
      </c>
      <c r="F810" s="213" t="n">
        <v>7.1</v>
      </c>
      <c r="G810" s="213" t="n">
        <f aca="false">AVERAGEIFS($F$33:$F$1494,$A$33:$A$1494,A810)</f>
        <v>7.3</v>
      </c>
      <c r="H810" s="213" t="n">
        <v>6.9</v>
      </c>
      <c r="I810" s="213" t="n">
        <f aca="false">AVERAGEIFS($H$33:$H$1494,$A$33:$A$1494,A810)</f>
        <v>6.91666666666667</v>
      </c>
      <c r="L810" s="215" t="n">
        <v>40588</v>
      </c>
      <c r="M810" s="213" t="n">
        <v>47.2333333333333</v>
      </c>
      <c r="N810" s="213" t="n">
        <v>45.6</v>
      </c>
      <c r="O810" s="213" t="n">
        <v>7.3</v>
      </c>
      <c r="P810" s="213" t="n">
        <v>6.91666666666667</v>
      </c>
    </row>
    <row r="811" customFormat="false" ht="12.75" hidden="false" customHeight="false" outlineLevel="0" collapsed="false">
      <c r="A811" s="215" t="n">
        <v>40588</v>
      </c>
      <c r="B811" s="213" t="n">
        <v>47.3</v>
      </c>
      <c r="C811" s="213" t="n">
        <f aca="false">AVERAGEIFS($B$33:$B$1494,$A$33:$A$1494,A811)</f>
        <v>47.2333333333333</v>
      </c>
      <c r="D811" s="213" t="n">
        <v>45.6</v>
      </c>
      <c r="E811" s="213" t="n">
        <f aca="false">AVERAGEIFS($D$33:$D$1494,$A$33:$A$1494,A811)</f>
        <v>45.6</v>
      </c>
      <c r="F811" s="213" t="n">
        <v>7.5</v>
      </c>
      <c r="G811" s="213" t="n">
        <f aca="false">AVERAGEIFS($F$33:$F$1494,$A$33:$A$1494,A811)</f>
        <v>7.3</v>
      </c>
      <c r="H811" s="213" t="n">
        <v>6.9</v>
      </c>
      <c r="I811" s="213" t="n">
        <f aca="false">AVERAGEIFS($H$33:$H$1494,$A$33:$A$1494,A811)</f>
        <v>6.91666666666667</v>
      </c>
      <c r="L811" s="215" t="n">
        <v>40588</v>
      </c>
      <c r="M811" s="213" t="n">
        <v>47.2333333333333</v>
      </c>
      <c r="N811" s="213" t="n">
        <v>45.6</v>
      </c>
      <c r="O811" s="213" t="n">
        <v>7.3</v>
      </c>
      <c r="P811" s="213" t="n">
        <v>6.91666666666667</v>
      </c>
    </row>
    <row r="812" customFormat="false" ht="12.75" hidden="false" customHeight="false" outlineLevel="0" collapsed="false">
      <c r="A812" s="215" t="n">
        <v>40588</v>
      </c>
      <c r="B812" s="213" t="n">
        <v>47.2</v>
      </c>
      <c r="C812" s="213" t="n">
        <f aca="false">AVERAGEIFS($B$33:$B$1494,$A$33:$A$1494,A812)</f>
        <v>47.2333333333333</v>
      </c>
      <c r="D812" s="213" t="n">
        <v>45.6</v>
      </c>
      <c r="E812" s="213" t="n">
        <f aca="false">AVERAGEIFS($D$33:$D$1494,$A$33:$A$1494,A812)</f>
        <v>45.6</v>
      </c>
      <c r="F812" s="213" t="n">
        <v>7.6</v>
      </c>
      <c r="G812" s="213" t="n">
        <f aca="false">AVERAGEIFS($F$33:$F$1494,$A$33:$A$1494,A812)</f>
        <v>7.3</v>
      </c>
      <c r="H812" s="213" t="n">
        <v>7</v>
      </c>
      <c r="I812" s="213" t="n">
        <f aca="false">AVERAGEIFS($H$33:$H$1494,$A$33:$A$1494,A812)</f>
        <v>6.91666666666667</v>
      </c>
      <c r="L812" s="215" t="n">
        <v>40588</v>
      </c>
      <c r="M812" s="213" t="n">
        <v>47.2333333333333</v>
      </c>
      <c r="N812" s="213" t="n">
        <v>45.6</v>
      </c>
      <c r="O812" s="213" t="n">
        <v>7.3</v>
      </c>
      <c r="P812" s="213" t="n">
        <v>6.91666666666667</v>
      </c>
    </row>
    <row r="813" customFormat="false" ht="12.75" hidden="false" customHeight="false" outlineLevel="0" collapsed="false">
      <c r="A813" s="215" t="n">
        <v>40589</v>
      </c>
      <c r="B813" s="213" t="n">
        <v>47.1</v>
      </c>
      <c r="C813" s="213" t="n">
        <f aca="false">AVERAGEIFS($B$33:$B$1494,$A$33:$A$1494,A813)</f>
        <v>47.0333333333333</v>
      </c>
      <c r="D813" s="213" t="n">
        <v>45.6</v>
      </c>
      <c r="E813" s="213" t="n">
        <f aca="false">AVERAGEIFS($D$33:$D$1494,$A$33:$A$1494,A813)</f>
        <v>45.5666666666667</v>
      </c>
      <c r="F813" s="213" t="n">
        <v>6.9</v>
      </c>
      <c r="G813" s="213" t="n">
        <f aca="false">AVERAGEIFS($F$33:$F$1494,$A$33:$A$1494,A813)</f>
        <v>7.03333333333333</v>
      </c>
      <c r="H813" s="213" t="n">
        <v>7</v>
      </c>
      <c r="I813" s="213" t="n">
        <f aca="false">AVERAGEIFS($H$33:$H$1494,$A$33:$A$1494,A813)</f>
        <v>6.83333333333333</v>
      </c>
      <c r="L813" s="215" t="n">
        <v>40589</v>
      </c>
      <c r="M813" s="213" t="n">
        <v>47.0333333333333</v>
      </c>
      <c r="N813" s="213" t="n">
        <v>45.5666666666667</v>
      </c>
      <c r="O813" s="213" t="n">
        <v>7.03333333333333</v>
      </c>
      <c r="P813" s="213" t="n">
        <v>6.83333333333333</v>
      </c>
    </row>
    <row r="814" customFormat="false" ht="12.75" hidden="false" customHeight="false" outlineLevel="0" collapsed="false">
      <c r="A814" s="215" t="n">
        <v>40589</v>
      </c>
      <c r="B814" s="213" t="n">
        <v>47.1</v>
      </c>
      <c r="C814" s="213" t="n">
        <f aca="false">AVERAGEIFS($B$33:$B$1494,$A$33:$A$1494,A814)</f>
        <v>47.0333333333333</v>
      </c>
      <c r="D814" s="213" t="n">
        <v>45.6</v>
      </c>
      <c r="E814" s="213" t="n">
        <f aca="false">AVERAGEIFS($D$33:$D$1494,$A$33:$A$1494,A814)</f>
        <v>45.5666666666667</v>
      </c>
      <c r="F814" s="213" t="n">
        <v>6.6</v>
      </c>
      <c r="G814" s="213" t="n">
        <f aca="false">AVERAGEIFS($F$33:$F$1494,$A$33:$A$1494,A814)</f>
        <v>7.03333333333333</v>
      </c>
      <c r="H814" s="213" t="n">
        <v>6.9</v>
      </c>
      <c r="I814" s="213" t="n">
        <f aca="false">AVERAGEIFS($H$33:$H$1494,$A$33:$A$1494,A814)</f>
        <v>6.83333333333333</v>
      </c>
      <c r="L814" s="215" t="n">
        <v>40589</v>
      </c>
      <c r="M814" s="213" t="n">
        <v>47.0333333333333</v>
      </c>
      <c r="N814" s="213" t="n">
        <v>45.5666666666667</v>
      </c>
      <c r="O814" s="213" t="n">
        <v>7.03333333333333</v>
      </c>
      <c r="P814" s="213" t="n">
        <v>6.83333333333333</v>
      </c>
    </row>
    <row r="815" customFormat="false" ht="12.75" hidden="false" customHeight="false" outlineLevel="0" collapsed="false">
      <c r="A815" s="215" t="n">
        <v>40589</v>
      </c>
      <c r="B815" s="213" t="n">
        <v>47.1</v>
      </c>
      <c r="C815" s="213" t="n">
        <f aca="false">AVERAGEIFS($B$33:$B$1494,$A$33:$A$1494,A815)</f>
        <v>47.0333333333333</v>
      </c>
      <c r="D815" s="213" t="n">
        <v>45.6</v>
      </c>
      <c r="E815" s="213" t="n">
        <f aca="false">AVERAGEIFS($D$33:$D$1494,$A$33:$A$1494,A815)</f>
        <v>45.5666666666667</v>
      </c>
      <c r="F815" s="213" t="n">
        <v>6.4</v>
      </c>
      <c r="G815" s="213" t="n">
        <f aca="false">AVERAGEIFS($F$33:$F$1494,$A$33:$A$1494,A815)</f>
        <v>7.03333333333333</v>
      </c>
      <c r="H815" s="213" t="n">
        <v>6.8</v>
      </c>
      <c r="I815" s="213" t="n">
        <f aca="false">AVERAGEIFS($H$33:$H$1494,$A$33:$A$1494,A815)</f>
        <v>6.83333333333333</v>
      </c>
      <c r="L815" s="215" t="n">
        <v>40589</v>
      </c>
      <c r="M815" s="213" t="n">
        <v>47.0333333333333</v>
      </c>
      <c r="N815" s="213" t="n">
        <v>45.5666666666667</v>
      </c>
      <c r="O815" s="213" t="n">
        <v>7.03333333333333</v>
      </c>
      <c r="P815" s="213" t="n">
        <v>6.83333333333333</v>
      </c>
    </row>
    <row r="816" customFormat="false" ht="12.75" hidden="false" customHeight="false" outlineLevel="0" collapsed="false">
      <c r="A816" s="215" t="n">
        <v>40589</v>
      </c>
      <c r="B816" s="213" t="n">
        <v>47.1</v>
      </c>
      <c r="C816" s="213" t="n">
        <f aca="false">AVERAGEIFS($B$33:$B$1494,$A$33:$A$1494,A816)</f>
        <v>47.0333333333333</v>
      </c>
      <c r="D816" s="213" t="n">
        <v>45.6</v>
      </c>
      <c r="E816" s="213" t="n">
        <f aca="false">AVERAGEIFS($D$33:$D$1494,$A$33:$A$1494,A816)</f>
        <v>45.5666666666667</v>
      </c>
      <c r="F816" s="213" t="n">
        <v>6.5</v>
      </c>
      <c r="G816" s="213" t="n">
        <f aca="false">AVERAGEIFS($F$33:$F$1494,$A$33:$A$1494,A816)</f>
        <v>7.03333333333333</v>
      </c>
      <c r="H816" s="213" t="n">
        <v>6.7</v>
      </c>
      <c r="I816" s="213" t="n">
        <f aca="false">AVERAGEIFS($H$33:$H$1494,$A$33:$A$1494,A816)</f>
        <v>6.83333333333333</v>
      </c>
      <c r="L816" s="215" t="n">
        <v>40589</v>
      </c>
      <c r="M816" s="213" t="n">
        <v>47.0333333333333</v>
      </c>
      <c r="N816" s="213" t="n">
        <v>45.5666666666667</v>
      </c>
      <c r="O816" s="213" t="n">
        <v>7.03333333333333</v>
      </c>
      <c r="P816" s="213" t="n">
        <v>6.83333333333333</v>
      </c>
    </row>
    <row r="817" customFormat="false" ht="12.75" hidden="false" customHeight="false" outlineLevel="0" collapsed="false">
      <c r="A817" s="215" t="n">
        <v>40589</v>
      </c>
      <c r="B817" s="213" t="n">
        <v>46.9</v>
      </c>
      <c r="C817" s="213" t="n">
        <f aca="false">AVERAGEIFS($B$33:$B$1494,$A$33:$A$1494,A817)</f>
        <v>47.0333333333333</v>
      </c>
      <c r="D817" s="213" t="n">
        <v>45.5</v>
      </c>
      <c r="E817" s="213" t="n">
        <f aca="false">AVERAGEIFS($D$33:$D$1494,$A$33:$A$1494,A817)</f>
        <v>45.5666666666667</v>
      </c>
      <c r="F817" s="213" t="n">
        <v>7.8</v>
      </c>
      <c r="G817" s="213" t="n">
        <f aca="false">AVERAGEIFS($F$33:$F$1494,$A$33:$A$1494,A817)</f>
        <v>7.03333333333333</v>
      </c>
      <c r="H817" s="213" t="n">
        <v>6.7</v>
      </c>
      <c r="I817" s="213" t="n">
        <f aca="false">AVERAGEIFS($H$33:$H$1494,$A$33:$A$1494,A817)</f>
        <v>6.83333333333333</v>
      </c>
      <c r="L817" s="215" t="n">
        <v>40589</v>
      </c>
      <c r="M817" s="213" t="n">
        <v>47.0333333333333</v>
      </c>
      <c r="N817" s="213" t="n">
        <v>45.5666666666667</v>
      </c>
      <c r="O817" s="213" t="n">
        <v>7.03333333333333</v>
      </c>
      <c r="P817" s="213" t="n">
        <v>6.83333333333333</v>
      </c>
    </row>
    <row r="818" customFormat="false" ht="12.75" hidden="false" customHeight="false" outlineLevel="0" collapsed="false">
      <c r="A818" s="215" t="n">
        <v>40589</v>
      </c>
      <c r="B818" s="213" t="n">
        <v>46.9</v>
      </c>
      <c r="C818" s="213" t="n">
        <f aca="false">AVERAGEIFS($B$33:$B$1494,$A$33:$A$1494,A818)</f>
        <v>47.0333333333333</v>
      </c>
      <c r="D818" s="213" t="n">
        <v>45.5</v>
      </c>
      <c r="E818" s="213" t="n">
        <f aca="false">AVERAGEIFS($D$33:$D$1494,$A$33:$A$1494,A818)</f>
        <v>45.5666666666667</v>
      </c>
      <c r="F818" s="213" t="n">
        <v>8</v>
      </c>
      <c r="G818" s="213" t="n">
        <f aca="false">AVERAGEIFS($F$33:$F$1494,$A$33:$A$1494,A818)</f>
        <v>7.03333333333333</v>
      </c>
      <c r="H818" s="213" t="n">
        <v>6.9</v>
      </c>
      <c r="I818" s="213" t="n">
        <f aca="false">AVERAGEIFS($H$33:$H$1494,$A$33:$A$1494,A818)</f>
        <v>6.83333333333333</v>
      </c>
      <c r="L818" s="215" t="n">
        <v>40589</v>
      </c>
      <c r="M818" s="213" t="n">
        <v>47.0333333333333</v>
      </c>
      <c r="N818" s="213" t="n">
        <v>45.5666666666667</v>
      </c>
      <c r="O818" s="213" t="n">
        <v>7.03333333333333</v>
      </c>
      <c r="P818" s="213" t="n">
        <v>6.83333333333333</v>
      </c>
    </row>
    <row r="819" customFormat="false" ht="12.75" hidden="false" customHeight="false" outlineLevel="0" collapsed="false">
      <c r="A819" s="215" t="n">
        <v>40590</v>
      </c>
      <c r="B819" s="213" t="n">
        <v>46.9</v>
      </c>
      <c r="C819" s="213" t="n">
        <f aca="false">AVERAGEIFS($B$33:$B$1494,$A$33:$A$1494,A819)</f>
        <v>46.8666666666667</v>
      </c>
      <c r="D819" s="213" t="n">
        <v>45.5</v>
      </c>
      <c r="E819" s="213" t="n">
        <f aca="false">AVERAGEIFS($D$33:$D$1494,$A$33:$A$1494,A819)</f>
        <v>45.4666666666667</v>
      </c>
      <c r="F819" s="213" t="n">
        <v>7.7</v>
      </c>
      <c r="G819" s="213" t="n">
        <f aca="false">AVERAGEIFS($F$33:$F$1494,$A$33:$A$1494,A819)</f>
        <v>7.6</v>
      </c>
      <c r="H819" s="213" t="n">
        <v>7.1</v>
      </c>
      <c r="I819" s="213" t="n">
        <f aca="false">AVERAGEIFS($H$33:$H$1494,$A$33:$A$1494,A819)</f>
        <v>7.15</v>
      </c>
      <c r="L819" s="215" t="n">
        <v>40590</v>
      </c>
      <c r="M819" s="213" t="n">
        <v>46.8666666666667</v>
      </c>
      <c r="N819" s="213" t="n">
        <v>45.4666666666667</v>
      </c>
      <c r="O819" s="213" t="n">
        <v>7.6</v>
      </c>
      <c r="P819" s="213" t="n">
        <v>7.15</v>
      </c>
    </row>
    <row r="820" customFormat="false" ht="12.75" hidden="false" customHeight="false" outlineLevel="0" collapsed="false">
      <c r="A820" s="215" t="n">
        <v>40590</v>
      </c>
      <c r="B820" s="213" t="n">
        <v>46.9</v>
      </c>
      <c r="C820" s="213" t="n">
        <f aca="false">AVERAGEIFS($B$33:$B$1494,$A$33:$A$1494,A820)</f>
        <v>46.8666666666667</v>
      </c>
      <c r="D820" s="213" t="n">
        <v>45.5</v>
      </c>
      <c r="E820" s="213" t="n">
        <f aca="false">AVERAGEIFS($D$33:$D$1494,$A$33:$A$1494,A820)</f>
        <v>45.4666666666667</v>
      </c>
      <c r="F820" s="213" t="n">
        <v>7.5</v>
      </c>
      <c r="G820" s="213" t="n">
        <f aca="false">AVERAGEIFS($F$33:$F$1494,$A$33:$A$1494,A820)</f>
        <v>7.6</v>
      </c>
      <c r="H820" s="213" t="n">
        <v>7.2</v>
      </c>
      <c r="I820" s="213" t="n">
        <f aca="false">AVERAGEIFS($H$33:$H$1494,$A$33:$A$1494,A820)</f>
        <v>7.15</v>
      </c>
      <c r="L820" s="215" t="n">
        <v>40590</v>
      </c>
      <c r="M820" s="213" t="n">
        <v>46.8666666666667</v>
      </c>
      <c r="N820" s="213" t="n">
        <v>45.4666666666667</v>
      </c>
      <c r="O820" s="213" t="n">
        <v>7.6</v>
      </c>
      <c r="P820" s="213" t="n">
        <v>7.15</v>
      </c>
    </row>
    <row r="821" customFormat="false" ht="12.75" hidden="false" customHeight="false" outlineLevel="0" collapsed="false">
      <c r="A821" s="215" t="n">
        <v>40590</v>
      </c>
      <c r="B821" s="213" t="n">
        <v>46.9</v>
      </c>
      <c r="C821" s="213" t="n">
        <f aca="false">AVERAGEIFS($B$33:$B$1494,$A$33:$A$1494,A821)</f>
        <v>46.8666666666667</v>
      </c>
      <c r="D821" s="213" t="n">
        <v>45.5</v>
      </c>
      <c r="E821" s="213" t="n">
        <f aca="false">AVERAGEIFS($D$33:$D$1494,$A$33:$A$1494,A821)</f>
        <v>45.4666666666667</v>
      </c>
      <c r="F821" s="213" t="n">
        <v>7.2</v>
      </c>
      <c r="G821" s="213" t="n">
        <f aca="false">AVERAGEIFS($F$33:$F$1494,$A$33:$A$1494,A821)</f>
        <v>7.6</v>
      </c>
      <c r="H821" s="213" t="n">
        <v>7.2</v>
      </c>
      <c r="I821" s="213" t="n">
        <f aca="false">AVERAGEIFS($H$33:$H$1494,$A$33:$A$1494,A821)</f>
        <v>7.15</v>
      </c>
      <c r="L821" s="215" t="n">
        <v>40590</v>
      </c>
      <c r="M821" s="213" t="n">
        <v>46.8666666666667</v>
      </c>
      <c r="N821" s="213" t="n">
        <v>45.4666666666667</v>
      </c>
      <c r="O821" s="213" t="n">
        <v>7.6</v>
      </c>
      <c r="P821" s="213" t="n">
        <v>7.15</v>
      </c>
    </row>
    <row r="822" customFormat="false" ht="12.75" hidden="false" customHeight="false" outlineLevel="0" collapsed="false">
      <c r="A822" s="215" t="n">
        <v>40590</v>
      </c>
      <c r="B822" s="213" t="n">
        <v>46.9</v>
      </c>
      <c r="C822" s="213" t="n">
        <f aca="false">AVERAGEIFS($B$33:$B$1494,$A$33:$A$1494,A822)</f>
        <v>46.8666666666667</v>
      </c>
      <c r="D822" s="213" t="n">
        <v>45.5</v>
      </c>
      <c r="E822" s="213" t="n">
        <f aca="false">AVERAGEIFS($D$33:$D$1494,$A$33:$A$1494,A822)</f>
        <v>45.4666666666667</v>
      </c>
      <c r="F822" s="213" t="n">
        <v>7.1</v>
      </c>
      <c r="G822" s="213" t="n">
        <f aca="false">AVERAGEIFS($F$33:$F$1494,$A$33:$A$1494,A822)</f>
        <v>7.6</v>
      </c>
      <c r="H822" s="213" t="n">
        <v>7.1</v>
      </c>
      <c r="I822" s="213" t="n">
        <f aca="false">AVERAGEIFS($H$33:$H$1494,$A$33:$A$1494,A822)</f>
        <v>7.15</v>
      </c>
      <c r="L822" s="215" t="n">
        <v>40590</v>
      </c>
      <c r="M822" s="213" t="n">
        <v>46.8666666666667</v>
      </c>
      <c r="N822" s="213" t="n">
        <v>45.4666666666667</v>
      </c>
      <c r="O822" s="213" t="n">
        <v>7.6</v>
      </c>
      <c r="P822" s="213" t="n">
        <v>7.15</v>
      </c>
    </row>
    <row r="823" customFormat="false" ht="12.75" hidden="false" customHeight="false" outlineLevel="0" collapsed="false">
      <c r="A823" s="215" t="n">
        <v>40590</v>
      </c>
      <c r="B823" s="213" t="n">
        <v>46.8</v>
      </c>
      <c r="C823" s="213" t="n">
        <f aca="false">AVERAGEIFS($B$33:$B$1494,$A$33:$A$1494,A823)</f>
        <v>46.8666666666667</v>
      </c>
      <c r="D823" s="213" t="n">
        <v>45.4</v>
      </c>
      <c r="E823" s="213" t="n">
        <f aca="false">AVERAGEIFS($D$33:$D$1494,$A$33:$A$1494,A823)</f>
        <v>45.4666666666667</v>
      </c>
      <c r="F823" s="213" t="n">
        <v>8</v>
      </c>
      <c r="G823" s="213" t="n">
        <f aca="false">AVERAGEIFS($F$33:$F$1494,$A$33:$A$1494,A823)</f>
        <v>7.6</v>
      </c>
      <c r="H823" s="213" t="n">
        <v>7.1</v>
      </c>
      <c r="I823" s="213" t="n">
        <f aca="false">AVERAGEIFS($H$33:$H$1494,$A$33:$A$1494,A823)</f>
        <v>7.15</v>
      </c>
      <c r="L823" s="215" t="n">
        <v>40590</v>
      </c>
      <c r="M823" s="213" t="n">
        <v>46.8666666666667</v>
      </c>
      <c r="N823" s="213" t="n">
        <v>45.4666666666667</v>
      </c>
      <c r="O823" s="213" t="n">
        <v>7.6</v>
      </c>
      <c r="P823" s="213" t="n">
        <v>7.15</v>
      </c>
    </row>
    <row r="824" customFormat="false" ht="12.75" hidden="false" customHeight="false" outlineLevel="0" collapsed="false">
      <c r="A824" s="215" t="n">
        <v>40590</v>
      </c>
      <c r="B824" s="213" t="n">
        <v>46.8</v>
      </c>
      <c r="C824" s="213" t="n">
        <f aca="false">AVERAGEIFS($B$33:$B$1494,$A$33:$A$1494,A824)</f>
        <v>46.8666666666667</v>
      </c>
      <c r="D824" s="213" t="n">
        <v>45.4</v>
      </c>
      <c r="E824" s="213" t="n">
        <f aca="false">AVERAGEIFS($D$33:$D$1494,$A$33:$A$1494,A824)</f>
        <v>45.4666666666667</v>
      </c>
      <c r="F824" s="213" t="n">
        <v>8.1</v>
      </c>
      <c r="G824" s="213" t="n">
        <f aca="false">AVERAGEIFS($F$33:$F$1494,$A$33:$A$1494,A824)</f>
        <v>7.6</v>
      </c>
      <c r="H824" s="213" t="n">
        <v>7.2</v>
      </c>
      <c r="I824" s="213" t="n">
        <f aca="false">AVERAGEIFS($H$33:$H$1494,$A$33:$A$1494,A824)</f>
        <v>7.15</v>
      </c>
      <c r="L824" s="215" t="n">
        <v>40590</v>
      </c>
      <c r="M824" s="213" t="n">
        <v>46.8666666666667</v>
      </c>
      <c r="N824" s="213" t="n">
        <v>45.4666666666667</v>
      </c>
      <c r="O824" s="213" t="n">
        <v>7.6</v>
      </c>
      <c r="P824" s="213" t="n">
        <v>7.15</v>
      </c>
    </row>
    <row r="825" customFormat="false" ht="12.75" hidden="false" customHeight="false" outlineLevel="0" collapsed="false">
      <c r="A825" s="215" t="n">
        <v>40591</v>
      </c>
      <c r="B825" s="213" t="n">
        <v>46.8</v>
      </c>
      <c r="C825" s="213" t="n">
        <f aca="false">AVERAGEIFS($B$33:$B$1494,$A$33:$A$1494,A825)</f>
        <v>46.7666666666667</v>
      </c>
      <c r="D825" s="213" t="n">
        <v>45.4</v>
      </c>
      <c r="E825" s="213" t="n">
        <f aca="false">AVERAGEIFS($D$33:$D$1494,$A$33:$A$1494,A825)</f>
        <v>45.4</v>
      </c>
      <c r="F825" s="213" t="n">
        <v>7.8</v>
      </c>
      <c r="G825" s="213" t="n">
        <f aca="false">AVERAGEIFS($F$33:$F$1494,$A$33:$A$1494,A825)</f>
        <v>7.41666666666667</v>
      </c>
      <c r="H825" s="213" t="n">
        <v>7.3</v>
      </c>
      <c r="I825" s="213" t="n">
        <f aca="false">AVERAGEIFS($H$33:$H$1494,$A$33:$A$1494,A825)</f>
        <v>7.21666666666667</v>
      </c>
      <c r="L825" s="215" t="n">
        <v>40591</v>
      </c>
      <c r="M825" s="213" t="n">
        <v>46.7666666666667</v>
      </c>
      <c r="N825" s="213" t="n">
        <v>45.4</v>
      </c>
      <c r="O825" s="213" t="n">
        <v>7.41666666666667</v>
      </c>
      <c r="P825" s="213" t="n">
        <v>7.21666666666667</v>
      </c>
    </row>
    <row r="826" customFormat="false" ht="12.75" hidden="false" customHeight="false" outlineLevel="0" collapsed="false">
      <c r="A826" s="215" t="n">
        <v>40591</v>
      </c>
      <c r="B826" s="213" t="n">
        <v>46.8</v>
      </c>
      <c r="C826" s="213" t="n">
        <f aca="false">AVERAGEIFS($B$33:$B$1494,$A$33:$A$1494,A826)</f>
        <v>46.7666666666667</v>
      </c>
      <c r="D826" s="213" t="n">
        <v>45.4</v>
      </c>
      <c r="E826" s="213" t="n">
        <f aca="false">AVERAGEIFS($D$33:$D$1494,$A$33:$A$1494,A826)</f>
        <v>45.4</v>
      </c>
      <c r="F826" s="213" t="n">
        <v>7.4</v>
      </c>
      <c r="G826" s="213" t="n">
        <f aca="false">AVERAGEIFS($F$33:$F$1494,$A$33:$A$1494,A826)</f>
        <v>7.41666666666667</v>
      </c>
      <c r="H826" s="213" t="n">
        <v>7.3</v>
      </c>
      <c r="I826" s="213" t="n">
        <f aca="false">AVERAGEIFS($H$33:$H$1494,$A$33:$A$1494,A826)</f>
        <v>7.21666666666667</v>
      </c>
      <c r="L826" s="215" t="n">
        <v>40591</v>
      </c>
      <c r="M826" s="213" t="n">
        <v>46.7666666666667</v>
      </c>
      <c r="N826" s="213" t="n">
        <v>45.4</v>
      </c>
      <c r="O826" s="213" t="n">
        <v>7.41666666666667</v>
      </c>
      <c r="P826" s="213" t="n">
        <v>7.21666666666667</v>
      </c>
    </row>
    <row r="827" customFormat="false" ht="12.75" hidden="false" customHeight="false" outlineLevel="0" collapsed="false">
      <c r="A827" s="215" t="n">
        <v>40591</v>
      </c>
      <c r="B827" s="213" t="n">
        <v>46.8</v>
      </c>
      <c r="C827" s="213" t="n">
        <f aca="false">AVERAGEIFS($B$33:$B$1494,$A$33:$A$1494,A827)</f>
        <v>46.7666666666667</v>
      </c>
      <c r="D827" s="213" t="n">
        <v>45.4</v>
      </c>
      <c r="E827" s="213" t="n">
        <f aca="false">AVERAGEIFS($D$33:$D$1494,$A$33:$A$1494,A827)</f>
        <v>45.4</v>
      </c>
      <c r="F827" s="213" t="n">
        <v>6.9</v>
      </c>
      <c r="G827" s="213" t="n">
        <f aca="false">AVERAGEIFS($F$33:$F$1494,$A$33:$A$1494,A827)</f>
        <v>7.41666666666667</v>
      </c>
      <c r="H827" s="213" t="n">
        <v>7.3</v>
      </c>
      <c r="I827" s="213" t="n">
        <f aca="false">AVERAGEIFS($H$33:$H$1494,$A$33:$A$1494,A827)</f>
        <v>7.21666666666667</v>
      </c>
      <c r="L827" s="215" t="n">
        <v>40591</v>
      </c>
      <c r="M827" s="213" t="n">
        <v>46.7666666666667</v>
      </c>
      <c r="N827" s="213" t="n">
        <v>45.4</v>
      </c>
      <c r="O827" s="213" t="n">
        <v>7.41666666666667</v>
      </c>
      <c r="P827" s="213" t="n">
        <v>7.21666666666667</v>
      </c>
    </row>
    <row r="828" customFormat="false" ht="12.75" hidden="false" customHeight="false" outlineLevel="0" collapsed="false">
      <c r="A828" s="215" t="n">
        <v>40591</v>
      </c>
      <c r="B828" s="213" t="n">
        <v>46.8</v>
      </c>
      <c r="C828" s="213" t="n">
        <f aca="false">AVERAGEIFS($B$33:$B$1494,$A$33:$A$1494,A828)</f>
        <v>46.7666666666667</v>
      </c>
      <c r="D828" s="213" t="n">
        <v>45.4</v>
      </c>
      <c r="E828" s="213" t="n">
        <f aca="false">AVERAGEIFS($D$33:$D$1494,$A$33:$A$1494,A828)</f>
        <v>45.4</v>
      </c>
      <c r="F828" s="213" t="n">
        <v>7</v>
      </c>
      <c r="G828" s="213" t="n">
        <f aca="false">AVERAGEIFS($F$33:$F$1494,$A$33:$A$1494,A828)</f>
        <v>7.41666666666667</v>
      </c>
      <c r="H828" s="213" t="n">
        <v>7.1</v>
      </c>
      <c r="I828" s="213" t="n">
        <f aca="false">AVERAGEIFS($H$33:$H$1494,$A$33:$A$1494,A828)</f>
        <v>7.21666666666667</v>
      </c>
      <c r="L828" s="215" t="n">
        <v>40591</v>
      </c>
      <c r="M828" s="213" t="n">
        <v>46.7666666666667</v>
      </c>
      <c r="N828" s="213" t="n">
        <v>45.4</v>
      </c>
      <c r="O828" s="213" t="n">
        <v>7.41666666666667</v>
      </c>
      <c r="P828" s="213" t="n">
        <v>7.21666666666667</v>
      </c>
    </row>
    <row r="829" customFormat="false" ht="12.75" hidden="false" customHeight="false" outlineLevel="0" collapsed="false">
      <c r="A829" s="215" t="n">
        <v>40591</v>
      </c>
      <c r="B829" s="213" t="n">
        <v>46.7</v>
      </c>
      <c r="C829" s="213" t="n">
        <f aca="false">AVERAGEIFS($B$33:$B$1494,$A$33:$A$1494,A829)</f>
        <v>46.7666666666667</v>
      </c>
      <c r="D829" s="213" t="n">
        <v>45.4</v>
      </c>
      <c r="E829" s="213" t="n">
        <f aca="false">AVERAGEIFS($D$33:$D$1494,$A$33:$A$1494,A829)</f>
        <v>45.4</v>
      </c>
      <c r="F829" s="213" t="n">
        <v>7.6</v>
      </c>
      <c r="G829" s="213" t="n">
        <f aca="false">AVERAGEIFS($F$33:$F$1494,$A$33:$A$1494,A829)</f>
        <v>7.41666666666667</v>
      </c>
      <c r="H829" s="213" t="n">
        <v>7.1</v>
      </c>
      <c r="I829" s="213" t="n">
        <f aca="false">AVERAGEIFS($H$33:$H$1494,$A$33:$A$1494,A829)</f>
        <v>7.21666666666667</v>
      </c>
      <c r="L829" s="215" t="n">
        <v>40591</v>
      </c>
      <c r="M829" s="213" t="n">
        <v>46.7666666666667</v>
      </c>
      <c r="N829" s="213" t="n">
        <v>45.4</v>
      </c>
      <c r="O829" s="213" t="n">
        <v>7.41666666666667</v>
      </c>
      <c r="P829" s="213" t="n">
        <v>7.21666666666667</v>
      </c>
    </row>
    <row r="830" customFormat="false" ht="12.75" hidden="false" customHeight="false" outlineLevel="0" collapsed="false">
      <c r="A830" s="215" t="n">
        <v>40591</v>
      </c>
      <c r="B830" s="213" t="n">
        <v>46.7</v>
      </c>
      <c r="C830" s="213" t="n">
        <f aca="false">AVERAGEIFS($B$33:$B$1494,$A$33:$A$1494,A830)</f>
        <v>46.7666666666667</v>
      </c>
      <c r="D830" s="213" t="n">
        <v>45.4</v>
      </c>
      <c r="E830" s="213" t="n">
        <f aca="false">AVERAGEIFS($D$33:$D$1494,$A$33:$A$1494,A830)</f>
        <v>45.4</v>
      </c>
      <c r="F830" s="213" t="n">
        <v>7.8</v>
      </c>
      <c r="G830" s="213" t="n">
        <f aca="false">AVERAGEIFS($F$33:$F$1494,$A$33:$A$1494,A830)</f>
        <v>7.41666666666667</v>
      </c>
      <c r="H830" s="213" t="n">
        <v>7.2</v>
      </c>
      <c r="I830" s="213" t="n">
        <f aca="false">AVERAGEIFS($H$33:$H$1494,$A$33:$A$1494,A830)</f>
        <v>7.21666666666667</v>
      </c>
      <c r="L830" s="215" t="n">
        <v>40591</v>
      </c>
      <c r="M830" s="213" t="n">
        <v>46.7666666666667</v>
      </c>
      <c r="N830" s="213" t="n">
        <v>45.4</v>
      </c>
      <c r="O830" s="213" t="n">
        <v>7.41666666666667</v>
      </c>
      <c r="P830" s="213" t="n">
        <v>7.21666666666667</v>
      </c>
    </row>
    <row r="831" customFormat="false" ht="12.75" hidden="false" customHeight="false" outlineLevel="0" collapsed="false">
      <c r="A831" s="215" t="n">
        <v>40592</v>
      </c>
      <c r="B831" s="213" t="n">
        <v>46.7</v>
      </c>
      <c r="C831" s="213" t="n">
        <f aca="false">AVERAGEIFS($B$33:$B$1494,$A$33:$A$1494,A831)</f>
        <v>46.6166666666667</v>
      </c>
      <c r="D831" s="213" t="n">
        <v>45.4</v>
      </c>
      <c r="E831" s="213" t="n">
        <f aca="false">AVERAGEIFS($D$33:$D$1494,$A$33:$A$1494,A831)</f>
        <v>45.4166666666667</v>
      </c>
      <c r="F831" s="213" t="n">
        <v>7.7</v>
      </c>
      <c r="G831" s="213" t="n">
        <f aca="false">AVERAGEIFS($F$33:$F$1494,$A$33:$A$1494,A831)</f>
        <v>7.86666666666667</v>
      </c>
      <c r="H831" s="213" t="n">
        <v>7.3</v>
      </c>
      <c r="I831" s="213" t="n">
        <f aca="false">AVERAGEIFS($H$33:$H$1494,$A$33:$A$1494,A831)</f>
        <v>7.31666666666667</v>
      </c>
      <c r="L831" s="215" t="n">
        <v>40592</v>
      </c>
      <c r="M831" s="213" t="n">
        <v>46.6166666666667</v>
      </c>
      <c r="N831" s="213" t="n">
        <v>45.4166666666667</v>
      </c>
      <c r="O831" s="213" t="n">
        <v>7.86666666666667</v>
      </c>
      <c r="P831" s="213" t="n">
        <v>7.31666666666667</v>
      </c>
    </row>
    <row r="832" customFormat="false" ht="12.75" hidden="false" customHeight="false" outlineLevel="0" collapsed="false">
      <c r="A832" s="215" t="n">
        <v>40592</v>
      </c>
      <c r="B832" s="213" t="n">
        <v>46.7</v>
      </c>
      <c r="C832" s="213" t="n">
        <f aca="false">AVERAGEIFS($B$33:$B$1494,$A$33:$A$1494,A832)</f>
        <v>46.6166666666667</v>
      </c>
      <c r="D832" s="213" t="n">
        <v>45.4</v>
      </c>
      <c r="E832" s="213" t="n">
        <f aca="false">AVERAGEIFS($D$33:$D$1494,$A$33:$A$1494,A832)</f>
        <v>45.4166666666667</v>
      </c>
      <c r="F832" s="213" t="n">
        <v>7.5</v>
      </c>
      <c r="G832" s="213" t="n">
        <f aca="false">AVERAGEIFS($F$33:$F$1494,$A$33:$A$1494,A832)</f>
        <v>7.86666666666667</v>
      </c>
      <c r="H832" s="213" t="n">
        <v>7.3</v>
      </c>
      <c r="I832" s="213" t="n">
        <f aca="false">AVERAGEIFS($H$33:$H$1494,$A$33:$A$1494,A832)</f>
        <v>7.31666666666667</v>
      </c>
      <c r="L832" s="215" t="n">
        <v>40592</v>
      </c>
      <c r="M832" s="213" t="n">
        <v>46.6166666666667</v>
      </c>
      <c r="N832" s="213" t="n">
        <v>45.4166666666667</v>
      </c>
      <c r="O832" s="213" t="n">
        <v>7.86666666666667</v>
      </c>
      <c r="P832" s="213" t="n">
        <v>7.31666666666667</v>
      </c>
    </row>
    <row r="833" customFormat="false" ht="12.75" hidden="false" customHeight="false" outlineLevel="0" collapsed="false">
      <c r="A833" s="215" t="n">
        <v>40592</v>
      </c>
      <c r="B833" s="213" t="n">
        <v>46.7</v>
      </c>
      <c r="C833" s="213" t="n">
        <f aca="false">AVERAGEIFS($B$33:$B$1494,$A$33:$A$1494,A833)</f>
        <v>46.6166666666667</v>
      </c>
      <c r="D833" s="213" t="n">
        <v>45.4</v>
      </c>
      <c r="E833" s="213" t="n">
        <f aca="false">AVERAGEIFS($D$33:$D$1494,$A$33:$A$1494,A833)</f>
        <v>45.4166666666667</v>
      </c>
      <c r="F833" s="213" t="n">
        <v>7.4</v>
      </c>
      <c r="G833" s="213" t="n">
        <f aca="false">AVERAGEIFS($F$33:$F$1494,$A$33:$A$1494,A833)</f>
        <v>7.86666666666667</v>
      </c>
      <c r="H833" s="213" t="n">
        <v>7.3</v>
      </c>
      <c r="I833" s="213" t="n">
        <f aca="false">AVERAGEIFS($H$33:$H$1494,$A$33:$A$1494,A833)</f>
        <v>7.31666666666667</v>
      </c>
      <c r="L833" s="215" t="n">
        <v>40592</v>
      </c>
      <c r="M833" s="213" t="n">
        <v>46.6166666666667</v>
      </c>
      <c r="N833" s="213" t="n">
        <v>45.4166666666667</v>
      </c>
      <c r="O833" s="213" t="n">
        <v>7.86666666666667</v>
      </c>
      <c r="P833" s="213" t="n">
        <v>7.31666666666667</v>
      </c>
    </row>
    <row r="834" customFormat="false" ht="12.75" hidden="false" customHeight="false" outlineLevel="0" collapsed="false">
      <c r="A834" s="215" t="n">
        <v>40592</v>
      </c>
      <c r="B834" s="213" t="n">
        <v>46.6</v>
      </c>
      <c r="C834" s="213" t="n">
        <f aca="false">AVERAGEIFS($B$33:$B$1494,$A$33:$A$1494,A834)</f>
        <v>46.6166666666667</v>
      </c>
      <c r="D834" s="213" t="n">
        <v>45.9</v>
      </c>
      <c r="E834" s="213" t="n">
        <f aca="false">AVERAGEIFS($D$33:$D$1494,$A$33:$A$1494,A834)</f>
        <v>45.4166666666667</v>
      </c>
      <c r="F834" s="213" t="n">
        <v>7.5</v>
      </c>
      <c r="G834" s="213" t="n">
        <f aca="false">AVERAGEIFS($F$33:$F$1494,$A$33:$A$1494,A834)</f>
        <v>7.86666666666667</v>
      </c>
      <c r="H834" s="213" t="n">
        <v>7.2</v>
      </c>
      <c r="I834" s="213" t="n">
        <f aca="false">AVERAGEIFS($H$33:$H$1494,$A$33:$A$1494,A834)</f>
        <v>7.31666666666667</v>
      </c>
      <c r="L834" s="215" t="n">
        <v>40592</v>
      </c>
      <c r="M834" s="213" t="n">
        <v>46.6166666666667</v>
      </c>
      <c r="N834" s="213" t="n">
        <v>45.4166666666667</v>
      </c>
      <c r="O834" s="213" t="n">
        <v>7.86666666666667</v>
      </c>
      <c r="P834" s="213" t="n">
        <v>7.31666666666667</v>
      </c>
    </row>
    <row r="835" customFormat="false" ht="12.75" hidden="false" customHeight="false" outlineLevel="0" collapsed="false">
      <c r="A835" s="215" t="n">
        <v>40592</v>
      </c>
      <c r="B835" s="213" t="n">
        <v>46.5</v>
      </c>
      <c r="C835" s="213" t="n">
        <f aca="false">AVERAGEIFS($B$33:$B$1494,$A$33:$A$1494,A835)</f>
        <v>46.6166666666667</v>
      </c>
      <c r="D835" s="213" t="n">
        <v>45.2</v>
      </c>
      <c r="E835" s="213" t="n">
        <f aca="false">AVERAGEIFS($D$33:$D$1494,$A$33:$A$1494,A835)</f>
        <v>45.4166666666667</v>
      </c>
      <c r="F835" s="213" t="n">
        <v>8.5</v>
      </c>
      <c r="G835" s="213" t="n">
        <f aca="false">AVERAGEIFS($F$33:$F$1494,$A$33:$A$1494,A835)</f>
        <v>7.86666666666667</v>
      </c>
      <c r="H835" s="213" t="n">
        <v>7.3</v>
      </c>
      <c r="I835" s="213" t="n">
        <f aca="false">AVERAGEIFS($H$33:$H$1494,$A$33:$A$1494,A835)</f>
        <v>7.31666666666667</v>
      </c>
      <c r="L835" s="215" t="n">
        <v>40592</v>
      </c>
      <c r="M835" s="213" t="n">
        <v>46.6166666666667</v>
      </c>
      <c r="N835" s="213" t="n">
        <v>45.4166666666667</v>
      </c>
      <c r="O835" s="213" t="n">
        <v>7.86666666666667</v>
      </c>
      <c r="P835" s="213" t="n">
        <v>7.31666666666667</v>
      </c>
    </row>
    <row r="836" customFormat="false" ht="12.75" hidden="false" customHeight="false" outlineLevel="0" collapsed="false">
      <c r="A836" s="215" t="n">
        <v>40592</v>
      </c>
      <c r="B836" s="213" t="n">
        <v>46.5</v>
      </c>
      <c r="C836" s="213" t="n">
        <f aca="false">AVERAGEIFS($B$33:$B$1494,$A$33:$A$1494,A836)</f>
        <v>46.6166666666667</v>
      </c>
      <c r="D836" s="213" t="n">
        <v>45.2</v>
      </c>
      <c r="E836" s="213" t="n">
        <f aca="false">AVERAGEIFS($D$33:$D$1494,$A$33:$A$1494,A836)</f>
        <v>45.4166666666667</v>
      </c>
      <c r="F836" s="213" t="n">
        <v>8.6</v>
      </c>
      <c r="G836" s="213" t="n">
        <f aca="false">AVERAGEIFS($F$33:$F$1494,$A$33:$A$1494,A836)</f>
        <v>7.86666666666667</v>
      </c>
      <c r="H836" s="213" t="n">
        <v>7.5</v>
      </c>
      <c r="I836" s="213" t="n">
        <f aca="false">AVERAGEIFS($H$33:$H$1494,$A$33:$A$1494,A836)</f>
        <v>7.31666666666667</v>
      </c>
      <c r="L836" s="215" t="n">
        <v>40592</v>
      </c>
      <c r="M836" s="213" t="n">
        <v>46.6166666666667</v>
      </c>
      <c r="N836" s="213" t="n">
        <v>45.4166666666667</v>
      </c>
      <c r="O836" s="213" t="n">
        <v>7.86666666666667</v>
      </c>
      <c r="P836" s="213" t="n">
        <v>7.31666666666667</v>
      </c>
    </row>
    <row r="837" customFormat="false" ht="12.75" hidden="false" customHeight="false" outlineLevel="0" collapsed="false">
      <c r="A837" s="215" t="n">
        <v>40593</v>
      </c>
      <c r="B837" s="213" t="n">
        <v>46.5</v>
      </c>
      <c r="C837" s="213" t="n">
        <f aca="false">AVERAGEIFS($B$33:$B$1494,$A$33:$A$1494,A837)</f>
        <v>46.5333333333333</v>
      </c>
      <c r="D837" s="213" t="n">
        <v>45.2</v>
      </c>
      <c r="E837" s="213" t="n">
        <f aca="false">AVERAGEIFS($D$33:$D$1494,$A$33:$A$1494,A837)</f>
        <v>45.2</v>
      </c>
      <c r="F837" s="213" t="n">
        <v>7.5</v>
      </c>
      <c r="G837" s="213" t="n">
        <f aca="false">AVERAGEIFS($F$33:$F$1494,$A$33:$A$1494,A837)</f>
        <v>7.06666666666667</v>
      </c>
      <c r="H837" s="213" t="n">
        <v>7.6</v>
      </c>
      <c r="I837" s="213" t="n">
        <f aca="false">AVERAGEIFS($H$33:$H$1494,$A$33:$A$1494,A837)</f>
        <v>7.23333333333333</v>
      </c>
      <c r="L837" s="215" t="n">
        <v>40593</v>
      </c>
      <c r="M837" s="213" t="n">
        <v>46.5333333333333</v>
      </c>
      <c r="N837" s="213" t="n">
        <v>45.2</v>
      </c>
      <c r="O837" s="213" t="n">
        <v>7.06666666666667</v>
      </c>
      <c r="P837" s="213" t="n">
        <v>7.23333333333333</v>
      </c>
    </row>
    <row r="838" customFormat="false" ht="12.75" hidden="false" customHeight="false" outlineLevel="0" collapsed="false">
      <c r="A838" s="215" t="n">
        <v>40593</v>
      </c>
      <c r="B838" s="213" t="n">
        <v>46.5</v>
      </c>
      <c r="C838" s="213" t="n">
        <f aca="false">AVERAGEIFS($B$33:$B$1494,$A$33:$A$1494,A838)</f>
        <v>46.5333333333333</v>
      </c>
      <c r="D838" s="213" t="n">
        <v>45.2</v>
      </c>
      <c r="E838" s="213" t="n">
        <f aca="false">AVERAGEIFS($D$33:$D$1494,$A$33:$A$1494,A838)</f>
        <v>45.2</v>
      </c>
      <c r="F838" s="213" t="n">
        <v>6.6</v>
      </c>
      <c r="G838" s="213" t="n">
        <f aca="false">AVERAGEIFS($F$33:$F$1494,$A$33:$A$1494,A838)</f>
        <v>7.06666666666667</v>
      </c>
      <c r="H838" s="213" t="n">
        <v>7.5</v>
      </c>
      <c r="I838" s="213" t="n">
        <f aca="false">AVERAGEIFS($H$33:$H$1494,$A$33:$A$1494,A838)</f>
        <v>7.23333333333333</v>
      </c>
      <c r="L838" s="215" t="n">
        <v>40593</v>
      </c>
      <c r="M838" s="213" t="n">
        <v>46.5333333333333</v>
      </c>
      <c r="N838" s="213" t="n">
        <v>45.2</v>
      </c>
      <c r="O838" s="213" t="n">
        <v>7.06666666666667</v>
      </c>
      <c r="P838" s="213" t="n">
        <v>7.23333333333333</v>
      </c>
    </row>
    <row r="839" customFormat="false" ht="12.75" hidden="false" customHeight="false" outlineLevel="0" collapsed="false">
      <c r="A839" s="215" t="n">
        <v>40593</v>
      </c>
      <c r="B839" s="213" t="n">
        <v>46.4</v>
      </c>
      <c r="C839" s="213" t="n">
        <f aca="false">AVERAGEIFS($B$33:$B$1494,$A$33:$A$1494,A839)</f>
        <v>46.5333333333333</v>
      </c>
      <c r="D839" s="213" t="n">
        <v>45.2</v>
      </c>
      <c r="E839" s="213" t="n">
        <f aca="false">AVERAGEIFS($D$33:$D$1494,$A$33:$A$1494,A839)</f>
        <v>45.2</v>
      </c>
      <c r="F839" s="213" t="n">
        <v>6.3</v>
      </c>
      <c r="G839" s="213" t="n">
        <f aca="false">AVERAGEIFS($F$33:$F$1494,$A$33:$A$1494,A839)</f>
        <v>7.06666666666667</v>
      </c>
      <c r="H839" s="213" t="n">
        <v>7.2</v>
      </c>
      <c r="I839" s="213" t="n">
        <f aca="false">AVERAGEIFS($H$33:$H$1494,$A$33:$A$1494,A839)</f>
        <v>7.23333333333333</v>
      </c>
      <c r="L839" s="215" t="n">
        <v>40593</v>
      </c>
      <c r="M839" s="213" t="n">
        <v>46.5333333333333</v>
      </c>
      <c r="N839" s="213" t="n">
        <v>45.2</v>
      </c>
      <c r="O839" s="213" t="n">
        <v>7.06666666666667</v>
      </c>
      <c r="P839" s="213" t="n">
        <v>7.23333333333333</v>
      </c>
    </row>
    <row r="840" customFormat="false" ht="12.75" hidden="false" customHeight="false" outlineLevel="0" collapsed="false">
      <c r="A840" s="215" t="n">
        <v>40593</v>
      </c>
      <c r="B840" s="213" t="n">
        <v>46.4</v>
      </c>
      <c r="C840" s="213" t="n">
        <f aca="false">AVERAGEIFS($B$33:$B$1494,$A$33:$A$1494,A840)</f>
        <v>46.5333333333333</v>
      </c>
      <c r="D840" s="213" t="n">
        <v>45.2</v>
      </c>
      <c r="E840" s="213" t="n">
        <f aca="false">AVERAGEIFS($D$33:$D$1494,$A$33:$A$1494,A840)</f>
        <v>45.2</v>
      </c>
      <c r="F840" s="213" t="n">
        <v>6.5</v>
      </c>
      <c r="G840" s="213" t="n">
        <f aca="false">AVERAGEIFS($F$33:$F$1494,$A$33:$A$1494,A840)</f>
        <v>7.06666666666667</v>
      </c>
      <c r="H840" s="213" t="n">
        <v>7</v>
      </c>
      <c r="I840" s="213" t="n">
        <f aca="false">AVERAGEIFS($H$33:$H$1494,$A$33:$A$1494,A840)</f>
        <v>7.23333333333333</v>
      </c>
      <c r="L840" s="215" t="n">
        <v>40593</v>
      </c>
      <c r="M840" s="213" t="n">
        <v>46.5333333333333</v>
      </c>
      <c r="N840" s="213" t="n">
        <v>45.2</v>
      </c>
      <c r="O840" s="213" t="n">
        <v>7.06666666666667</v>
      </c>
      <c r="P840" s="213" t="n">
        <v>7.23333333333333</v>
      </c>
    </row>
    <row r="841" customFormat="false" ht="12.75" hidden="false" customHeight="false" outlineLevel="0" collapsed="false">
      <c r="A841" s="215" t="n">
        <v>40593</v>
      </c>
      <c r="B841" s="213" t="n">
        <v>46.3</v>
      </c>
      <c r="C841" s="213" t="n">
        <f aca="false">AVERAGEIFS($B$33:$B$1494,$A$33:$A$1494,A841)</f>
        <v>46.5333333333333</v>
      </c>
      <c r="D841" s="213" t="n">
        <v>45.2</v>
      </c>
      <c r="E841" s="213" t="n">
        <f aca="false">AVERAGEIFS($D$33:$D$1494,$A$33:$A$1494,A841)</f>
        <v>45.2</v>
      </c>
      <c r="F841" s="213" t="n">
        <v>7.6</v>
      </c>
      <c r="G841" s="213" t="n">
        <f aca="false">AVERAGEIFS($F$33:$F$1494,$A$33:$A$1494,A841)</f>
        <v>7.06666666666667</v>
      </c>
      <c r="H841" s="213" t="n">
        <v>7</v>
      </c>
      <c r="I841" s="213" t="n">
        <f aca="false">AVERAGEIFS($H$33:$H$1494,$A$33:$A$1494,A841)</f>
        <v>7.23333333333333</v>
      </c>
      <c r="L841" s="215" t="n">
        <v>40593</v>
      </c>
      <c r="M841" s="213" t="n">
        <v>46.5333333333333</v>
      </c>
      <c r="N841" s="213" t="n">
        <v>45.2</v>
      </c>
      <c r="O841" s="213" t="n">
        <v>7.06666666666667</v>
      </c>
      <c r="P841" s="213" t="n">
        <v>7.23333333333333</v>
      </c>
    </row>
    <row r="842" customFormat="false" ht="12.75" hidden="false" customHeight="false" outlineLevel="0" collapsed="false">
      <c r="A842" s="215" t="n">
        <v>40593</v>
      </c>
      <c r="B842" s="213" t="n">
        <v>47.1</v>
      </c>
      <c r="C842" s="213" t="n">
        <f aca="false">AVERAGEIFS($B$33:$B$1494,$A$33:$A$1494,A842)</f>
        <v>46.5333333333333</v>
      </c>
      <c r="D842" s="213" t="n">
        <v>45.2</v>
      </c>
      <c r="E842" s="213" t="n">
        <f aca="false">AVERAGEIFS($D$33:$D$1494,$A$33:$A$1494,A842)</f>
        <v>45.2</v>
      </c>
      <c r="F842" s="213" t="n">
        <v>7.9</v>
      </c>
      <c r="G842" s="213" t="n">
        <f aca="false">AVERAGEIFS($F$33:$F$1494,$A$33:$A$1494,A842)</f>
        <v>7.06666666666667</v>
      </c>
      <c r="H842" s="213" t="n">
        <v>7.1</v>
      </c>
      <c r="I842" s="213" t="n">
        <f aca="false">AVERAGEIFS($H$33:$H$1494,$A$33:$A$1494,A842)</f>
        <v>7.23333333333333</v>
      </c>
      <c r="L842" s="215" t="n">
        <v>40593</v>
      </c>
      <c r="M842" s="213" t="n">
        <v>46.5333333333333</v>
      </c>
      <c r="N842" s="213" t="n">
        <v>45.2</v>
      </c>
      <c r="O842" s="213" t="n">
        <v>7.06666666666667</v>
      </c>
      <c r="P842" s="213" t="n">
        <v>7.23333333333333</v>
      </c>
    </row>
    <row r="843" customFormat="false" ht="12.75" hidden="false" customHeight="false" outlineLevel="0" collapsed="false">
      <c r="A843" s="215" t="n">
        <v>40594</v>
      </c>
      <c r="B843" s="213" t="n">
        <v>46.6</v>
      </c>
      <c r="C843" s="213" t="n">
        <f aca="false">AVERAGEIFS($B$33:$B$1494,$A$33:$A$1494,A843)</f>
        <v>46.4333333333333</v>
      </c>
      <c r="D843" s="213" t="n">
        <v>45.2</v>
      </c>
      <c r="E843" s="213" t="n">
        <f aca="false">AVERAGEIFS($D$33:$D$1494,$A$33:$A$1494,A843)</f>
        <v>45.1333333333333</v>
      </c>
      <c r="F843" s="213" t="n">
        <v>7.9</v>
      </c>
      <c r="G843" s="213" t="n">
        <f aca="false">AVERAGEIFS($F$33:$F$1494,$A$33:$A$1494,A843)</f>
        <v>8.2</v>
      </c>
      <c r="H843" s="213" t="n">
        <v>7.3</v>
      </c>
      <c r="I843" s="213" t="n">
        <f aca="false">AVERAGEIFS($H$33:$H$1494,$A$33:$A$1494,A843)</f>
        <v>7.48333333333333</v>
      </c>
      <c r="L843" s="215" t="n">
        <v>40594</v>
      </c>
      <c r="M843" s="213" t="n">
        <v>46.4333333333333</v>
      </c>
      <c r="N843" s="213" t="n">
        <v>45.1333333333333</v>
      </c>
      <c r="O843" s="213" t="n">
        <v>8.2</v>
      </c>
      <c r="P843" s="213" t="n">
        <v>7.48333333333333</v>
      </c>
    </row>
    <row r="844" customFormat="false" ht="12.75" hidden="false" customHeight="false" outlineLevel="0" collapsed="false">
      <c r="A844" s="215" t="n">
        <v>40594</v>
      </c>
      <c r="B844" s="213" t="n">
        <v>46.5</v>
      </c>
      <c r="C844" s="213" t="n">
        <f aca="false">AVERAGEIFS($B$33:$B$1494,$A$33:$A$1494,A844)</f>
        <v>46.4333333333333</v>
      </c>
      <c r="D844" s="213" t="n">
        <v>45.2</v>
      </c>
      <c r="E844" s="213" t="n">
        <f aca="false">AVERAGEIFS($D$33:$D$1494,$A$33:$A$1494,A844)</f>
        <v>45.1333333333333</v>
      </c>
      <c r="F844" s="213" t="n">
        <v>7.9</v>
      </c>
      <c r="G844" s="213" t="n">
        <f aca="false">AVERAGEIFS($F$33:$F$1494,$A$33:$A$1494,A844)</f>
        <v>8.2</v>
      </c>
      <c r="H844" s="213" t="n">
        <v>7.4</v>
      </c>
      <c r="I844" s="213" t="n">
        <f aca="false">AVERAGEIFS($H$33:$H$1494,$A$33:$A$1494,A844)</f>
        <v>7.48333333333333</v>
      </c>
      <c r="L844" s="215" t="n">
        <v>40594</v>
      </c>
      <c r="M844" s="213" t="n">
        <v>46.4333333333333</v>
      </c>
      <c r="N844" s="213" t="n">
        <v>45.1333333333333</v>
      </c>
      <c r="O844" s="213" t="n">
        <v>8.2</v>
      </c>
      <c r="P844" s="213" t="n">
        <v>7.48333333333333</v>
      </c>
    </row>
    <row r="845" customFormat="false" ht="12.75" hidden="false" customHeight="false" outlineLevel="0" collapsed="false">
      <c r="A845" s="215" t="n">
        <v>40594</v>
      </c>
      <c r="B845" s="213" t="n">
        <v>46.5</v>
      </c>
      <c r="C845" s="213" t="n">
        <f aca="false">AVERAGEIFS($B$33:$B$1494,$A$33:$A$1494,A845)</f>
        <v>46.4333333333333</v>
      </c>
      <c r="D845" s="213" t="n">
        <v>45.1</v>
      </c>
      <c r="E845" s="213" t="n">
        <f aca="false">AVERAGEIFS($D$33:$D$1494,$A$33:$A$1494,A845)</f>
        <v>45.1333333333333</v>
      </c>
      <c r="F845" s="213" t="n">
        <v>7.9</v>
      </c>
      <c r="G845" s="213" t="n">
        <f aca="false">AVERAGEIFS($F$33:$F$1494,$A$33:$A$1494,A845)</f>
        <v>8.2</v>
      </c>
      <c r="H845" s="213" t="n">
        <v>7.4</v>
      </c>
      <c r="I845" s="213" t="n">
        <f aca="false">AVERAGEIFS($H$33:$H$1494,$A$33:$A$1494,A845)</f>
        <v>7.48333333333333</v>
      </c>
      <c r="L845" s="215" t="n">
        <v>40594</v>
      </c>
      <c r="M845" s="213" t="n">
        <v>46.4333333333333</v>
      </c>
      <c r="N845" s="213" t="n">
        <v>45.1333333333333</v>
      </c>
      <c r="O845" s="213" t="n">
        <v>8.2</v>
      </c>
      <c r="P845" s="213" t="n">
        <v>7.48333333333333</v>
      </c>
    </row>
    <row r="846" customFormat="false" ht="12.75" hidden="false" customHeight="false" outlineLevel="0" collapsed="false">
      <c r="A846" s="215" t="n">
        <v>40594</v>
      </c>
      <c r="B846" s="213" t="n">
        <v>46.4</v>
      </c>
      <c r="C846" s="213" t="n">
        <f aca="false">AVERAGEIFS($B$33:$B$1494,$A$33:$A$1494,A846)</f>
        <v>46.4333333333333</v>
      </c>
      <c r="D846" s="213" t="n">
        <v>45.1</v>
      </c>
      <c r="E846" s="213" t="n">
        <f aca="false">AVERAGEIFS($D$33:$D$1494,$A$33:$A$1494,A846)</f>
        <v>45.1333333333333</v>
      </c>
      <c r="F846" s="213" t="n">
        <v>8</v>
      </c>
      <c r="G846" s="213" t="n">
        <f aca="false">AVERAGEIFS($F$33:$F$1494,$A$33:$A$1494,A846)</f>
        <v>8.2</v>
      </c>
      <c r="H846" s="213" t="n">
        <v>7.5</v>
      </c>
      <c r="I846" s="213" t="n">
        <f aca="false">AVERAGEIFS($H$33:$H$1494,$A$33:$A$1494,A846)</f>
        <v>7.48333333333333</v>
      </c>
      <c r="L846" s="215" t="n">
        <v>40594</v>
      </c>
      <c r="M846" s="213" t="n">
        <v>46.4333333333333</v>
      </c>
      <c r="N846" s="213" t="n">
        <v>45.1333333333333</v>
      </c>
      <c r="O846" s="213" t="n">
        <v>8.2</v>
      </c>
      <c r="P846" s="213" t="n">
        <v>7.48333333333333</v>
      </c>
    </row>
    <row r="847" customFormat="false" ht="12.75" hidden="false" customHeight="false" outlineLevel="0" collapsed="false">
      <c r="A847" s="215" t="n">
        <v>40594</v>
      </c>
      <c r="B847" s="213" t="n">
        <v>46.3</v>
      </c>
      <c r="C847" s="213" t="n">
        <f aca="false">AVERAGEIFS($B$33:$B$1494,$A$33:$A$1494,A847)</f>
        <v>46.4333333333333</v>
      </c>
      <c r="D847" s="213" t="n">
        <v>45.1</v>
      </c>
      <c r="E847" s="213" t="n">
        <f aca="false">AVERAGEIFS($D$33:$D$1494,$A$33:$A$1494,A847)</f>
        <v>45.1333333333333</v>
      </c>
      <c r="F847" s="213" t="n">
        <v>8.7</v>
      </c>
      <c r="G847" s="213" t="n">
        <f aca="false">AVERAGEIFS($F$33:$F$1494,$A$33:$A$1494,A847)</f>
        <v>8.2</v>
      </c>
      <c r="H847" s="213" t="n">
        <v>7.6</v>
      </c>
      <c r="I847" s="213" t="n">
        <f aca="false">AVERAGEIFS($H$33:$H$1494,$A$33:$A$1494,A847)</f>
        <v>7.48333333333333</v>
      </c>
      <c r="L847" s="215" t="n">
        <v>40594</v>
      </c>
      <c r="M847" s="213" t="n">
        <v>46.4333333333333</v>
      </c>
      <c r="N847" s="213" t="n">
        <v>45.1333333333333</v>
      </c>
      <c r="O847" s="213" t="n">
        <v>8.2</v>
      </c>
      <c r="P847" s="213" t="n">
        <v>7.48333333333333</v>
      </c>
    </row>
    <row r="848" customFormat="false" ht="12.75" hidden="false" customHeight="false" outlineLevel="0" collapsed="false">
      <c r="A848" s="215" t="n">
        <v>40594</v>
      </c>
      <c r="B848" s="213" t="n">
        <v>46.3</v>
      </c>
      <c r="C848" s="213" t="n">
        <f aca="false">AVERAGEIFS($B$33:$B$1494,$A$33:$A$1494,A848)</f>
        <v>46.4333333333333</v>
      </c>
      <c r="D848" s="213" t="n">
        <v>45.1</v>
      </c>
      <c r="E848" s="213" t="n">
        <f aca="false">AVERAGEIFS($D$33:$D$1494,$A$33:$A$1494,A848)</f>
        <v>45.1333333333333</v>
      </c>
      <c r="F848" s="213" t="n">
        <v>8.8</v>
      </c>
      <c r="G848" s="213" t="n">
        <f aca="false">AVERAGEIFS($F$33:$F$1494,$A$33:$A$1494,A848)</f>
        <v>8.2</v>
      </c>
      <c r="H848" s="213" t="n">
        <v>7.7</v>
      </c>
      <c r="I848" s="213" t="n">
        <f aca="false">AVERAGEIFS($H$33:$H$1494,$A$33:$A$1494,A848)</f>
        <v>7.48333333333333</v>
      </c>
      <c r="L848" s="215" t="n">
        <v>40594</v>
      </c>
      <c r="M848" s="213" t="n">
        <v>46.4333333333333</v>
      </c>
      <c r="N848" s="213" t="n">
        <v>45.1333333333333</v>
      </c>
      <c r="O848" s="213" t="n">
        <v>8.2</v>
      </c>
      <c r="P848" s="213" t="n">
        <v>7.48333333333333</v>
      </c>
    </row>
    <row r="849" customFormat="false" ht="12.75" hidden="false" customHeight="false" outlineLevel="0" collapsed="false">
      <c r="A849" s="215" t="n">
        <v>40595</v>
      </c>
      <c r="B849" s="213" t="n">
        <v>46.3</v>
      </c>
      <c r="C849" s="213" t="n">
        <f aca="false">AVERAGEIFS($B$33:$B$1494,$A$33:$A$1494,A849)</f>
        <v>48.5833333333333</v>
      </c>
      <c r="D849" s="213" t="n">
        <v>45.1</v>
      </c>
      <c r="E849" s="213" t="n">
        <f aca="false">AVERAGEIFS($D$33:$D$1494,$A$33:$A$1494,A849)</f>
        <v>45.1</v>
      </c>
      <c r="F849" s="213" t="n">
        <v>7.9</v>
      </c>
      <c r="G849" s="213" t="n">
        <f aca="false">AVERAGEIFS($F$33:$F$1494,$A$33:$A$1494,A849)</f>
        <v>7.76666666666667</v>
      </c>
      <c r="H849" s="213" t="n">
        <v>7.8</v>
      </c>
      <c r="I849" s="213" t="n">
        <f aca="false">AVERAGEIFS($H$33:$H$1494,$A$33:$A$1494,A849)</f>
        <v>7.6</v>
      </c>
      <c r="L849" s="215" t="n">
        <v>40595</v>
      </c>
      <c r="M849" s="213" t="n">
        <v>48.5833333333333</v>
      </c>
      <c r="N849" s="213" t="n">
        <v>45.1</v>
      </c>
      <c r="O849" s="213" t="n">
        <v>7.76666666666667</v>
      </c>
      <c r="P849" s="213" t="n">
        <v>7.6</v>
      </c>
    </row>
    <row r="850" customFormat="false" ht="12.75" hidden="false" customHeight="false" outlineLevel="0" collapsed="false">
      <c r="A850" s="215" t="n">
        <v>40595</v>
      </c>
      <c r="B850" s="213" t="n">
        <v>46.3</v>
      </c>
      <c r="C850" s="213" t="n">
        <f aca="false">AVERAGEIFS($B$33:$B$1494,$A$33:$A$1494,A850)</f>
        <v>48.5833333333333</v>
      </c>
      <c r="D850" s="213" t="n">
        <v>45.1</v>
      </c>
      <c r="E850" s="213" t="n">
        <f aca="false">AVERAGEIFS($D$33:$D$1494,$A$33:$A$1494,A850)</f>
        <v>45.1</v>
      </c>
      <c r="F850" s="213" t="n">
        <v>7.3</v>
      </c>
      <c r="G850" s="213" t="n">
        <f aca="false">AVERAGEIFS($F$33:$F$1494,$A$33:$A$1494,A850)</f>
        <v>7.76666666666667</v>
      </c>
      <c r="H850" s="213" t="n">
        <v>7.7</v>
      </c>
      <c r="I850" s="213" t="n">
        <f aca="false">AVERAGEIFS($H$33:$H$1494,$A$33:$A$1494,A850)</f>
        <v>7.6</v>
      </c>
      <c r="L850" s="215" t="n">
        <v>40595</v>
      </c>
      <c r="M850" s="213" t="n">
        <v>48.5833333333333</v>
      </c>
      <c r="N850" s="213" t="n">
        <v>45.1</v>
      </c>
      <c r="O850" s="213" t="n">
        <v>7.76666666666667</v>
      </c>
      <c r="P850" s="213" t="n">
        <v>7.6</v>
      </c>
    </row>
    <row r="851" customFormat="false" ht="12.75" hidden="false" customHeight="false" outlineLevel="0" collapsed="false">
      <c r="A851" s="215" t="n">
        <v>40595</v>
      </c>
      <c r="B851" s="213" t="n">
        <v>46.3</v>
      </c>
      <c r="C851" s="213" t="n">
        <f aca="false">AVERAGEIFS($B$33:$B$1494,$A$33:$A$1494,A851)</f>
        <v>48.5833333333333</v>
      </c>
      <c r="D851" s="213" t="n">
        <v>45.1</v>
      </c>
      <c r="E851" s="213" t="n">
        <f aca="false">AVERAGEIFS($D$33:$D$1494,$A$33:$A$1494,A851)</f>
        <v>45.1</v>
      </c>
      <c r="F851" s="213" t="n">
        <v>7.3</v>
      </c>
      <c r="G851" s="213" t="n">
        <f aca="false">AVERAGEIFS($F$33:$F$1494,$A$33:$A$1494,A851)</f>
        <v>7.76666666666667</v>
      </c>
      <c r="H851" s="213" t="n">
        <v>7.5</v>
      </c>
      <c r="I851" s="213" t="n">
        <f aca="false">AVERAGEIFS($H$33:$H$1494,$A$33:$A$1494,A851)</f>
        <v>7.6</v>
      </c>
      <c r="L851" s="215" t="n">
        <v>40595</v>
      </c>
      <c r="M851" s="213" t="n">
        <v>48.5833333333333</v>
      </c>
      <c r="N851" s="213" t="n">
        <v>45.1</v>
      </c>
      <c r="O851" s="213" t="n">
        <v>7.76666666666667</v>
      </c>
      <c r="P851" s="213" t="n">
        <v>7.6</v>
      </c>
    </row>
    <row r="852" customFormat="false" ht="12.75" hidden="false" customHeight="false" outlineLevel="0" collapsed="false">
      <c r="A852" s="215" t="n">
        <v>40595</v>
      </c>
      <c r="B852" s="213" t="n">
        <v>46.3</v>
      </c>
      <c r="C852" s="213" t="n">
        <f aca="false">AVERAGEIFS($B$33:$B$1494,$A$33:$A$1494,A852)</f>
        <v>48.5833333333333</v>
      </c>
      <c r="D852" s="213" t="n">
        <v>45.1</v>
      </c>
      <c r="E852" s="213" t="n">
        <f aca="false">AVERAGEIFS($D$33:$D$1494,$A$33:$A$1494,A852)</f>
        <v>45.1</v>
      </c>
      <c r="F852" s="213" t="n">
        <v>7.6</v>
      </c>
      <c r="G852" s="213" t="n">
        <f aca="false">AVERAGEIFS($F$33:$F$1494,$A$33:$A$1494,A852)</f>
        <v>7.76666666666667</v>
      </c>
      <c r="H852" s="213" t="n">
        <v>7.5</v>
      </c>
      <c r="I852" s="213" t="n">
        <f aca="false">AVERAGEIFS($H$33:$H$1494,$A$33:$A$1494,A852)</f>
        <v>7.6</v>
      </c>
      <c r="L852" s="215" t="n">
        <v>40595</v>
      </c>
      <c r="M852" s="213" t="n">
        <v>48.5833333333333</v>
      </c>
      <c r="N852" s="213" t="n">
        <v>45.1</v>
      </c>
      <c r="O852" s="213" t="n">
        <v>7.76666666666667</v>
      </c>
      <c r="P852" s="213" t="n">
        <v>7.6</v>
      </c>
    </row>
    <row r="853" customFormat="false" ht="12.75" hidden="false" customHeight="false" outlineLevel="0" collapsed="false">
      <c r="A853" s="215" t="n">
        <v>40595</v>
      </c>
      <c r="B853" s="213" t="n">
        <v>46.2</v>
      </c>
      <c r="C853" s="213" t="n">
        <f aca="false">AVERAGEIFS($B$33:$B$1494,$A$33:$A$1494,A853)</f>
        <v>48.5833333333333</v>
      </c>
      <c r="D853" s="213" t="n">
        <v>45.1</v>
      </c>
      <c r="E853" s="213" t="n">
        <f aca="false">AVERAGEIFS($D$33:$D$1494,$A$33:$A$1494,A853)</f>
        <v>45.1</v>
      </c>
      <c r="F853" s="213" t="n">
        <v>8.2</v>
      </c>
      <c r="G853" s="213" t="n">
        <f aca="false">AVERAGEIFS($F$33:$F$1494,$A$33:$A$1494,A853)</f>
        <v>7.76666666666667</v>
      </c>
      <c r="H853" s="213" t="n">
        <v>7.5</v>
      </c>
      <c r="I853" s="213" t="n">
        <f aca="false">AVERAGEIFS($H$33:$H$1494,$A$33:$A$1494,A853)</f>
        <v>7.6</v>
      </c>
      <c r="L853" s="215" t="n">
        <v>40595</v>
      </c>
      <c r="M853" s="213" t="n">
        <v>48.5833333333333</v>
      </c>
      <c r="N853" s="213" t="n">
        <v>45.1</v>
      </c>
      <c r="O853" s="213" t="n">
        <v>7.76666666666667</v>
      </c>
      <c r="P853" s="213" t="n">
        <v>7.6</v>
      </c>
    </row>
    <row r="854" customFormat="false" ht="12.75" hidden="false" customHeight="false" outlineLevel="0" collapsed="false">
      <c r="A854" s="215" t="n">
        <v>40595</v>
      </c>
      <c r="B854" s="213" t="n">
        <v>60.1</v>
      </c>
      <c r="C854" s="213" t="n">
        <f aca="false">AVERAGEIFS($B$33:$B$1494,$A$33:$A$1494,A854)</f>
        <v>48.5833333333333</v>
      </c>
      <c r="D854" s="213" t="n">
        <v>45.1</v>
      </c>
      <c r="E854" s="213" t="n">
        <f aca="false">AVERAGEIFS($D$33:$D$1494,$A$33:$A$1494,A854)</f>
        <v>45.1</v>
      </c>
      <c r="F854" s="213" t="n">
        <v>8.3</v>
      </c>
      <c r="G854" s="213" t="n">
        <f aca="false">AVERAGEIFS($F$33:$F$1494,$A$33:$A$1494,A854)</f>
        <v>7.76666666666667</v>
      </c>
      <c r="H854" s="213" t="n">
        <v>7.6</v>
      </c>
      <c r="I854" s="213" t="n">
        <f aca="false">AVERAGEIFS($H$33:$H$1494,$A$33:$A$1494,A854)</f>
        <v>7.6</v>
      </c>
      <c r="L854" s="215" t="n">
        <v>40595</v>
      </c>
      <c r="M854" s="213" t="n">
        <v>48.5833333333333</v>
      </c>
      <c r="N854" s="213" t="n">
        <v>45.1</v>
      </c>
      <c r="O854" s="213" t="n">
        <v>7.76666666666667</v>
      </c>
      <c r="P854" s="213" t="n">
        <v>7.6</v>
      </c>
    </row>
    <row r="855" customFormat="false" ht="12.75" hidden="false" customHeight="false" outlineLevel="0" collapsed="false">
      <c r="A855" s="215" t="n">
        <v>40596</v>
      </c>
      <c r="B855" s="213" t="n">
        <v>66</v>
      </c>
      <c r="C855" s="213" t="n">
        <f aca="false">AVERAGEIFS($B$33:$B$1494,$A$33:$A$1494,A855)</f>
        <v>61.0833333333333</v>
      </c>
      <c r="D855" s="213" t="n">
        <v>45.4</v>
      </c>
      <c r="E855" s="213" t="n">
        <f aca="false">AVERAGEIFS($D$33:$D$1494,$A$33:$A$1494,A855)</f>
        <v>45.5666666666667</v>
      </c>
      <c r="F855" s="213" t="n">
        <v>8.5</v>
      </c>
      <c r="G855" s="213" t="n">
        <f aca="false">AVERAGEIFS($F$33:$F$1494,$A$33:$A$1494,A855)</f>
        <v>8.5</v>
      </c>
      <c r="H855" s="213" t="n">
        <v>7.7</v>
      </c>
      <c r="I855" s="213" t="n">
        <f aca="false">AVERAGEIFS($H$33:$H$1494,$A$33:$A$1494,A855)</f>
        <v>7.85</v>
      </c>
      <c r="L855" s="215" t="n">
        <v>40596</v>
      </c>
      <c r="M855" s="213" t="n">
        <v>61.0833333333333</v>
      </c>
      <c r="N855" s="213" t="n">
        <v>45.5666666666667</v>
      </c>
      <c r="O855" s="213" t="n">
        <v>8.5</v>
      </c>
      <c r="P855" s="213" t="n">
        <v>7.85</v>
      </c>
    </row>
    <row r="856" customFormat="false" ht="12.75" hidden="false" customHeight="false" outlineLevel="0" collapsed="false">
      <c r="A856" s="215" t="n">
        <v>40596</v>
      </c>
      <c r="B856" s="213" t="n">
        <v>59.4</v>
      </c>
      <c r="C856" s="213" t="n">
        <f aca="false">AVERAGEIFS($B$33:$B$1494,$A$33:$A$1494,A856)</f>
        <v>61.0833333333333</v>
      </c>
      <c r="D856" s="213" t="n">
        <v>45.2</v>
      </c>
      <c r="E856" s="213" t="n">
        <f aca="false">AVERAGEIFS($D$33:$D$1494,$A$33:$A$1494,A856)</f>
        <v>45.5666666666667</v>
      </c>
      <c r="F856" s="213" t="n">
        <v>8.7</v>
      </c>
      <c r="G856" s="213" t="n">
        <f aca="false">AVERAGEIFS($F$33:$F$1494,$A$33:$A$1494,A856)</f>
        <v>8.5</v>
      </c>
      <c r="H856" s="213" t="n">
        <v>7.8</v>
      </c>
      <c r="I856" s="213" t="n">
        <f aca="false">AVERAGEIFS($H$33:$H$1494,$A$33:$A$1494,A856)</f>
        <v>7.85</v>
      </c>
      <c r="L856" s="215" t="n">
        <v>40596</v>
      </c>
      <c r="M856" s="213" t="n">
        <v>61.0833333333333</v>
      </c>
      <c r="N856" s="213" t="n">
        <v>45.5666666666667</v>
      </c>
      <c r="O856" s="213" t="n">
        <v>8.5</v>
      </c>
      <c r="P856" s="213" t="n">
        <v>7.85</v>
      </c>
    </row>
    <row r="857" customFormat="false" ht="12.75" hidden="false" customHeight="false" outlineLevel="0" collapsed="false">
      <c r="A857" s="215" t="n">
        <v>40596</v>
      </c>
      <c r="B857" s="213" t="n">
        <v>64.9</v>
      </c>
      <c r="C857" s="213" t="n">
        <f aca="false">AVERAGEIFS($B$33:$B$1494,$A$33:$A$1494,A857)</f>
        <v>61.0833333333333</v>
      </c>
      <c r="D857" s="213" t="n">
        <v>45.3</v>
      </c>
      <c r="E857" s="213" t="n">
        <f aca="false">AVERAGEIFS($D$33:$D$1494,$A$33:$A$1494,A857)</f>
        <v>45.5666666666667</v>
      </c>
      <c r="F857" s="213" t="n">
        <v>8.8</v>
      </c>
      <c r="G857" s="213" t="n">
        <f aca="false">AVERAGEIFS($F$33:$F$1494,$A$33:$A$1494,A857)</f>
        <v>8.5</v>
      </c>
      <c r="H857" s="213" t="n">
        <v>7.9</v>
      </c>
      <c r="I857" s="213" t="n">
        <f aca="false">AVERAGEIFS($H$33:$H$1494,$A$33:$A$1494,A857)</f>
        <v>7.85</v>
      </c>
      <c r="L857" s="215" t="n">
        <v>40596</v>
      </c>
      <c r="M857" s="213" t="n">
        <v>61.0833333333333</v>
      </c>
      <c r="N857" s="213" t="n">
        <v>45.5666666666667</v>
      </c>
      <c r="O857" s="213" t="n">
        <v>8.5</v>
      </c>
      <c r="P857" s="213" t="n">
        <v>7.85</v>
      </c>
    </row>
    <row r="858" customFormat="false" ht="12.75" hidden="false" customHeight="false" outlineLevel="0" collapsed="false">
      <c r="A858" s="215" t="n">
        <v>40596</v>
      </c>
      <c r="B858" s="213" t="n">
        <v>60.2</v>
      </c>
      <c r="C858" s="213" t="n">
        <f aca="false">AVERAGEIFS($B$33:$B$1494,$A$33:$A$1494,A858)</f>
        <v>61.0833333333333</v>
      </c>
      <c r="D858" s="213" t="n">
        <v>46.2</v>
      </c>
      <c r="E858" s="213" t="n">
        <f aca="false">AVERAGEIFS($D$33:$D$1494,$A$33:$A$1494,A858)</f>
        <v>45.5666666666667</v>
      </c>
      <c r="F858" s="213" t="n">
        <v>8.5</v>
      </c>
      <c r="G858" s="213" t="n">
        <f aca="false">AVERAGEIFS($F$33:$F$1494,$A$33:$A$1494,A858)</f>
        <v>8.5</v>
      </c>
      <c r="H858" s="213" t="n">
        <v>7.9</v>
      </c>
      <c r="I858" s="213" t="n">
        <f aca="false">AVERAGEIFS($H$33:$H$1494,$A$33:$A$1494,A858)</f>
        <v>7.85</v>
      </c>
      <c r="L858" s="215" t="n">
        <v>40596</v>
      </c>
      <c r="M858" s="213" t="n">
        <v>61.0833333333333</v>
      </c>
      <c r="N858" s="213" t="n">
        <v>45.5666666666667</v>
      </c>
      <c r="O858" s="213" t="n">
        <v>8.5</v>
      </c>
      <c r="P858" s="213" t="n">
        <v>7.85</v>
      </c>
    </row>
    <row r="859" customFormat="false" ht="12.75" hidden="false" customHeight="false" outlineLevel="0" collapsed="false">
      <c r="A859" s="215" t="n">
        <v>40596</v>
      </c>
      <c r="B859" s="213" t="n">
        <v>53.5</v>
      </c>
      <c r="C859" s="213" t="n">
        <f aca="false">AVERAGEIFS($B$33:$B$1494,$A$33:$A$1494,A859)</f>
        <v>61.0833333333333</v>
      </c>
      <c r="D859" s="213" t="n">
        <v>45.7</v>
      </c>
      <c r="E859" s="213" t="n">
        <f aca="false">AVERAGEIFS($D$33:$D$1494,$A$33:$A$1494,A859)</f>
        <v>45.5666666666667</v>
      </c>
      <c r="F859" s="213" t="n">
        <v>8.3</v>
      </c>
      <c r="G859" s="213" t="n">
        <f aca="false">AVERAGEIFS($F$33:$F$1494,$A$33:$A$1494,A859)</f>
        <v>8.5</v>
      </c>
      <c r="H859" s="213" t="n">
        <v>7.9</v>
      </c>
      <c r="I859" s="213" t="n">
        <f aca="false">AVERAGEIFS($H$33:$H$1494,$A$33:$A$1494,A859)</f>
        <v>7.85</v>
      </c>
      <c r="L859" s="215" t="n">
        <v>40596</v>
      </c>
      <c r="M859" s="213" t="n">
        <v>61.0833333333333</v>
      </c>
      <c r="N859" s="213" t="n">
        <v>45.5666666666667</v>
      </c>
      <c r="O859" s="213" t="n">
        <v>8.5</v>
      </c>
      <c r="P859" s="213" t="n">
        <v>7.85</v>
      </c>
    </row>
    <row r="860" customFormat="false" ht="12.75" hidden="false" customHeight="false" outlineLevel="0" collapsed="false">
      <c r="A860" s="215" t="n">
        <v>40596</v>
      </c>
      <c r="B860" s="213" t="n">
        <v>62.5</v>
      </c>
      <c r="C860" s="213" t="n">
        <f aca="false">AVERAGEIFS($B$33:$B$1494,$A$33:$A$1494,A860)</f>
        <v>61.0833333333333</v>
      </c>
      <c r="D860" s="213" t="n">
        <v>45.6</v>
      </c>
      <c r="E860" s="213" t="n">
        <f aca="false">AVERAGEIFS($D$33:$D$1494,$A$33:$A$1494,A860)</f>
        <v>45.5666666666667</v>
      </c>
      <c r="F860" s="213" t="n">
        <v>8.2</v>
      </c>
      <c r="G860" s="213" t="n">
        <f aca="false">AVERAGEIFS($F$33:$F$1494,$A$33:$A$1494,A860)</f>
        <v>8.5</v>
      </c>
      <c r="H860" s="213" t="n">
        <v>7.9</v>
      </c>
      <c r="I860" s="213" t="n">
        <f aca="false">AVERAGEIFS($H$33:$H$1494,$A$33:$A$1494,A860)</f>
        <v>7.85</v>
      </c>
      <c r="L860" s="215" t="n">
        <v>40596</v>
      </c>
      <c r="M860" s="213" t="n">
        <v>61.0833333333333</v>
      </c>
      <c r="N860" s="213" t="n">
        <v>45.5666666666667</v>
      </c>
      <c r="O860" s="213" t="n">
        <v>8.5</v>
      </c>
      <c r="P860" s="213" t="n">
        <v>7.85</v>
      </c>
    </row>
    <row r="861" customFormat="false" ht="12.75" hidden="false" customHeight="false" outlineLevel="0" collapsed="false">
      <c r="A861" s="215" t="n">
        <v>40597</v>
      </c>
      <c r="B861" s="213" t="n">
        <v>62</v>
      </c>
      <c r="C861" s="213" t="n">
        <f aca="false">AVERAGEIFS($B$33:$B$1494,$A$33:$A$1494,A861)</f>
        <v>54.3</v>
      </c>
      <c r="D861" s="213" t="n">
        <v>45.7</v>
      </c>
      <c r="E861" s="213" t="n">
        <f aca="false">AVERAGEIFS($D$33:$D$1494,$A$33:$A$1494,A861)</f>
        <v>45.95</v>
      </c>
      <c r="F861" s="213" t="n">
        <v>8</v>
      </c>
      <c r="G861" s="213" t="n">
        <f aca="false">AVERAGEIFS($F$33:$F$1494,$A$33:$A$1494,A861)</f>
        <v>8.1</v>
      </c>
      <c r="H861" s="213" t="n">
        <v>7.9</v>
      </c>
      <c r="I861" s="213" t="n">
        <f aca="false">AVERAGEIFS($H$33:$H$1494,$A$33:$A$1494,A861)</f>
        <v>7.78333333333333</v>
      </c>
      <c r="L861" s="215" t="n">
        <v>40597</v>
      </c>
      <c r="M861" s="213" t="n">
        <v>54.3</v>
      </c>
      <c r="N861" s="213" t="n">
        <v>45.95</v>
      </c>
      <c r="O861" s="213" t="n">
        <v>8.1</v>
      </c>
      <c r="P861" s="213" t="n">
        <v>7.78333333333333</v>
      </c>
    </row>
    <row r="862" customFormat="false" ht="12.75" hidden="false" customHeight="false" outlineLevel="0" collapsed="false">
      <c r="A862" s="215" t="n">
        <v>40597</v>
      </c>
      <c r="B862" s="213" t="n">
        <v>54.9</v>
      </c>
      <c r="C862" s="213" t="n">
        <f aca="false">AVERAGEIFS($B$33:$B$1494,$A$33:$A$1494,A862)</f>
        <v>54.3</v>
      </c>
      <c r="D862" s="213" t="n">
        <v>45.9</v>
      </c>
      <c r="E862" s="213" t="n">
        <f aca="false">AVERAGEIFS($D$33:$D$1494,$A$33:$A$1494,A862)</f>
        <v>45.95</v>
      </c>
      <c r="F862" s="213" t="n">
        <v>8</v>
      </c>
      <c r="G862" s="213" t="n">
        <f aca="false">AVERAGEIFS($F$33:$F$1494,$A$33:$A$1494,A862)</f>
        <v>8.1</v>
      </c>
      <c r="H862" s="213" t="n">
        <v>7.8</v>
      </c>
      <c r="I862" s="213" t="n">
        <f aca="false">AVERAGEIFS($H$33:$H$1494,$A$33:$A$1494,A862)</f>
        <v>7.78333333333333</v>
      </c>
      <c r="L862" s="215" t="n">
        <v>40597</v>
      </c>
      <c r="M862" s="213" t="n">
        <v>54.3</v>
      </c>
      <c r="N862" s="213" t="n">
        <v>45.95</v>
      </c>
      <c r="O862" s="213" t="n">
        <v>8.1</v>
      </c>
      <c r="P862" s="213" t="n">
        <v>7.78333333333333</v>
      </c>
    </row>
    <row r="863" customFormat="false" ht="12.75" hidden="false" customHeight="false" outlineLevel="0" collapsed="false">
      <c r="A863" s="215" t="n">
        <v>40597</v>
      </c>
      <c r="B863" s="213" t="n">
        <v>53.1</v>
      </c>
      <c r="C863" s="213" t="n">
        <f aca="false">AVERAGEIFS($B$33:$B$1494,$A$33:$A$1494,A863)</f>
        <v>54.3</v>
      </c>
      <c r="D863" s="213" t="n">
        <v>46</v>
      </c>
      <c r="E863" s="213" t="n">
        <f aca="false">AVERAGEIFS($D$33:$D$1494,$A$33:$A$1494,A863)</f>
        <v>45.95</v>
      </c>
      <c r="F863" s="213" t="n">
        <v>7.8</v>
      </c>
      <c r="G863" s="213" t="n">
        <f aca="false">AVERAGEIFS($F$33:$F$1494,$A$33:$A$1494,A863)</f>
        <v>8.1</v>
      </c>
      <c r="H863" s="213" t="n">
        <v>7.8</v>
      </c>
      <c r="I863" s="213" t="n">
        <f aca="false">AVERAGEIFS($H$33:$H$1494,$A$33:$A$1494,A863)</f>
        <v>7.78333333333333</v>
      </c>
      <c r="L863" s="215" t="n">
        <v>40597</v>
      </c>
      <c r="M863" s="213" t="n">
        <v>54.3</v>
      </c>
      <c r="N863" s="213" t="n">
        <v>45.95</v>
      </c>
      <c r="O863" s="213" t="n">
        <v>8.1</v>
      </c>
      <c r="P863" s="213" t="n">
        <v>7.78333333333333</v>
      </c>
    </row>
    <row r="864" customFormat="false" ht="12.75" hidden="false" customHeight="false" outlineLevel="0" collapsed="false">
      <c r="A864" s="215" t="n">
        <v>40597</v>
      </c>
      <c r="B864" s="213" t="n">
        <v>52.5</v>
      </c>
      <c r="C864" s="213" t="n">
        <f aca="false">AVERAGEIFS($B$33:$B$1494,$A$33:$A$1494,A864)</f>
        <v>54.3</v>
      </c>
      <c r="D864" s="213" t="n">
        <v>46.1</v>
      </c>
      <c r="E864" s="213" t="n">
        <f aca="false">AVERAGEIFS($D$33:$D$1494,$A$33:$A$1494,A864)</f>
        <v>45.95</v>
      </c>
      <c r="F864" s="213" t="n">
        <v>7.7</v>
      </c>
      <c r="G864" s="213" t="n">
        <f aca="false">AVERAGEIFS($F$33:$F$1494,$A$33:$A$1494,A864)</f>
        <v>8.1</v>
      </c>
      <c r="H864" s="213" t="n">
        <v>7.7</v>
      </c>
      <c r="I864" s="213" t="n">
        <f aca="false">AVERAGEIFS($H$33:$H$1494,$A$33:$A$1494,A864)</f>
        <v>7.78333333333333</v>
      </c>
      <c r="L864" s="215" t="n">
        <v>40597</v>
      </c>
      <c r="M864" s="213" t="n">
        <v>54.3</v>
      </c>
      <c r="N864" s="213" t="n">
        <v>45.95</v>
      </c>
      <c r="O864" s="213" t="n">
        <v>8.1</v>
      </c>
      <c r="P864" s="213" t="n">
        <v>7.78333333333333</v>
      </c>
    </row>
    <row r="865" customFormat="false" ht="12.75" hidden="false" customHeight="false" outlineLevel="0" collapsed="false">
      <c r="A865" s="215" t="n">
        <v>40597</v>
      </c>
      <c r="B865" s="213" t="n">
        <v>51.8</v>
      </c>
      <c r="C865" s="213" t="n">
        <f aca="false">AVERAGEIFS($B$33:$B$1494,$A$33:$A$1494,A865)</f>
        <v>54.3</v>
      </c>
      <c r="D865" s="213" t="n">
        <v>46</v>
      </c>
      <c r="E865" s="213" t="n">
        <f aca="false">AVERAGEIFS($D$33:$D$1494,$A$33:$A$1494,A865)</f>
        <v>45.95</v>
      </c>
      <c r="F865" s="213" t="n">
        <v>8.4</v>
      </c>
      <c r="G865" s="213" t="n">
        <f aca="false">AVERAGEIFS($F$33:$F$1494,$A$33:$A$1494,A865)</f>
        <v>8.1</v>
      </c>
      <c r="H865" s="213" t="n">
        <v>7.7</v>
      </c>
      <c r="I865" s="213" t="n">
        <f aca="false">AVERAGEIFS($H$33:$H$1494,$A$33:$A$1494,A865)</f>
        <v>7.78333333333333</v>
      </c>
      <c r="L865" s="215" t="n">
        <v>40597</v>
      </c>
      <c r="M865" s="213" t="n">
        <v>54.3</v>
      </c>
      <c r="N865" s="213" t="n">
        <v>45.95</v>
      </c>
      <c r="O865" s="213" t="n">
        <v>8.1</v>
      </c>
      <c r="P865" s="213" t="n">
        <v>7.78333333333333</v>
      </c>
    </row>
    <row r="866" customFormat="false" ht="12.75" hidden="false" customHeight="false" outlineLevel="0" collapsed="false">
      <c r="A866" s="215" t="n">
        <v>40597</v>
      </c>
      <c r="B866" s="213" t="n">
        <v>51.5</v>
      </c>
      <c r="C866" s="213" t="n">
        <f aca="false">AVERAGEIFS($B$33:$B$1494,$A$33:$A$1494,A866)</f>
        <v>54.3</v>
      </c>
      <c r="D866" s="213" t="n">
        <v>46</v>
      </c>
      <c r="E866" s="213" t="n">
        <f aca="false">AVERAGEIFS($D$33:$D$1494,$A$33:$A$1494,A866)</f>
        <v>45.95</v>
      </c>
      <c r="F866" s="213" t="n">
        <v>8.7</v>
      </c>
      <c r="G866" s="213" t="n">
        <f aca="false">AVERAGEIFS($F$33:$F$1494,$A$33:$A$1494,A866)</f>
        <v>8.1</v>
      </c>
      <c r="H866" s="213" t="n">
        <v>7.8</v>
      </c>
      <c r="I866" s="213" t="n">
        <f aca="false">AVERAGEIFS($H$33:$H$1494,$A$33:$A$1494,A866)</f>
        <v>7.78333333333333</v>
      </c>
      <c r="L866" s="215" t="n">
        <v>40597</v>
      </c>
      <c r="M866" s="213" t="n">
        <v>54.3</v>
      </c>
      <c r="N866" s="213" t="n">
        <v>45.95</v>
      </c>
      <c r="O866" s="213" t="n">
        <v>8.1</v>
      </c>
      <c r="P866" s="213" t="n">
        <v>7.78333333333333</v>
      </c>
    </row>
    <row r="867" customFormat="false" ht="12.75" hidden="false" customHeight="false" outlineLevel="0" collapsed="false">
      <c r="A867" s="215" t="n">
        <v>40598</v>
      </c>
      <c r="B867" s="213" t="n">
        <v>51.2</v>
      </c>
      <c r="C867" s="213" t="n">
        <f aca="false">AVERAGEIFS($B$33:$B$1494,$A$33:$A$1494,A867)</f>
        <v>59.7833333333333</v>
      </c>
      <c r="D867" s="213" t="n">
        <v>46.1</v>
      </c>
      <c r="E867" s="213" t="n">
        <f aca="false">AVERAGEIFS($D$33:$D$1494,$A$33:$A$1494,A867)</f>
        <v>46.1666666666667</v>
      </c>
      <c r="F867" s="213" t="n">
        <v>8.8</v>
      </c>
      <c r="G867" s="213" t="n">
        <f aca="false">AVERAGEIFS($F$33:$F$1494,$A$33:$A$1494,A867)</f>
        <v>9.15</v>
      </c>
      <c r="H867" s="213" t="n">
        <v>7.9</v>
      </c>
      <c r="I867" s="213" t="n">
        <f aca="false">AVERAGEIFS($H$33:$H$1494,$A$33:$A$1494,A867)</f>
        <v>8.16666666666667</v>
      </c>
      <c r="L867" s="215" t="n">
        <v>40598</v>
      </c>
      <c r="M867" s="213" t="n">
        <v>59.7833333333333</v>
      </c>
      <c r="N867" s="213" t="n">
        <v>46.1666666666667</v>
      </c>
      <c r="O867" s="213" t="n">
        <v>9.15</v>
      </c>
      <c r="P867" s="213" t="n">
        <v>8.16666666666667</v>
      </c>
    </row>
    <row r="868" customFormat="false" ht="12.75" hidden="false" customHeight="false" outlineLevel="0" collapsed="false">
      <c r="A868" s="215" t="n">
        <v>40598</v>
      </c>
      <c r="B868" s="213" t="n">
        <v>61.7</v>
      </c>
      <c r="C868" s="213" t="n">
        <f aca="false">AVERAGEIFS($B$33:$B$1494,$A$33:$A$1494,A868)</f>
        <v>59.7833333333333</v>
      </c>
      <c r="D868" s="213" t="n">
        <v>46.1</v>
      </c>
      <c r="E868" s="213" t="n">
        <f aca="false">AVERAGEIFS($D$33:$D$1494,$A$33:$A$1494,A868)</f>
        <v>46.1666666666667</v>
      </c>
      <c r="F868" s="213" t="n">
        <v>8.9</v>
      </c>
      <c r="G868" s="213" t="n">
        <f aca="false">AVERAGEIFS($F$33:$F$1494,$A$33:$A$1494,A868)</f>
        <v>9.15</v>
      </c>
      <c r="H868" s="213" t="n">
        <v>8</v>
      </c>
      <c r="I868" s="213" t="n">
        <f aca="false">AVERAGEIFS($H$33:$H$1494,$A$33:$A$1494,A868)</f>
        <v>8.16666666666667</v>
      </c>
      <c r="L868" s="215" t="n">
        <v>40598</v>
      </c>
      <c r="M868" s="213" t="n">
        <v>59.7833333333333</v>
      </c>
      <c r="N868" s="213" t="n">
        <v>46.1666666666667</v>
      </c>
      <c r="O868" s="213" t="n">
        <v>9.15</v>
      </c>
      <c r="P868" s="213" t="n">
        <v>8.16666666666667</v>
      </c>
    </row>
    <row r="869" customFormat="false" ht="12.75" hidden="false" customHeight="false" outlineLevel="0" collapsed="false">
      <c r="A869" s="215" t="n">
        <v>40598</v>
      </c>
      <c r="B869" s="213" t="n">
        <v>63.9</v>
      </c>
      <c r="C869" s="213" t="n">
        <f aca="false">AVERAGEIFS($B$33:$B$1494,$A$33:$A$1494,A869)</f>
        <v>59.7833333333333</v>
      </c>
      <c r="D869" s="213" t="n">
        <v>46.1</v>
      </c>
      <c r="E869" s="213" t="n">
        <f aca="false">AVERAGEIFS($D$33:$D$1494,$A$33:$A$1494,A869)</f>
        <v>46.1666666666667</v>
      </c>
      <c r="F869" s="213" t="n">
        <v>8.9</v>
      </c>
      <c r="G869" s="213" t="n">
        <f aca="false">AVERAGEIFS($F$33:$F$1494,$A$33:$A$1494,A869)</f>
        <v>9.15</v>
      </c>
      <c r="H869" s="213" t="n">
        <v>8.1</v>
      </c>
      <c r="I869" s="213" t="n">
        <f aca="false">AVERAGEIFS($H$33:$H$1494,$A$33:$A$1494,A869)</f>
        <v>8.16666666666667</v>
      </c>
      <c r="L869" s="215" t="n">
        <v>40598</v>
      </c>
      <c r="M869" s="213" t="n">
        <v>59.7833333333333</v>
      </c>
      <c r="N869" s="213" t="n">
        <v>46.1666666666667</v>
      </c>
      <c r="O869" s="213" t="n">
        <v>9.15</v>
      </c>
      <c r="P869" s="213" t="n">
        <v>8.16666666666667</v>
      </c>
    </row>
    <row r="870" customFormat="false" ht="12.75" hidden="false" customHeight="false" outlineLevel="0" collapsed="false">
      <c r="A870" s="215" t="n">
        <v>40598</v>
      </c>
      <c r="B870" s="213" t="n">
        <v>64.4</v>
      </c>
      <c r="C870" s="213" t="n">
        <f aca="false">AVERAGEIFS($B$33:$B$1494,$A$33:$A$1494,A870)</f>
        <v>59.7833333333333</v>
      </c>
      <c r="D870" s="213" t="n">
        <v>46.2</v>
      </c>
      <c r="E870" s="213" t="n">
        <f aca="false">AVERAGEIFS($D$33:$D$1494,$A$33:$A$1494,A870)</f>
        <v>46.1666666666667</v>
      </c>
      <c r="F870" s="213" t="n">
        <v>9</v>
      </c>
      <c r="G870" s="213" t="n">
        <f aca="false">AVERAGEIFS($F$33:$F$1494,$A$33:$A$1494,A870)</f>
        <v>9.15</v>
      </c>
      <c r="H870" s="213" t="n">
        <v>8.2</v>
      </c>
      <c r="I870" s="213" t="n">
        <f aca="false">AVERAGEIFS($H$33:$H$1494,$A$33:$A$1494,A870)</f>
        <v>8.16666666666667</v>
      </c>
      <c r="L870" s="215" t="n">
        <v>40598</v>
      </c>
      <c r="M870" s="213" t="n">
        <v>59.7833333333333</v>
      </c>
      <c r="N870" s="213" t="n">
        <v>46.1666666666667</v>
      </c>
      <c r="O870" s="213" t="n">
        <v>9.15</v>
      </c>
      <c r="P870" s="213" t="n">
        <v>8.16666666666667</v>
      </c>
    </row>
    <row r="871" customFormat="false" ht="12.75" hidden="false" customHeight="false" outlineLevel="0" collapsed="false">
      <c r="A871" s="215" t="n">
        <v>40598</v>
      </c>
      <c r="B871" s="213" t="n">
        <v>61.6</v>
      </c>
      <c r="C871" s="213" t="n">
        <f aca="false">AVERAGEIFS($B$33:$B$1494,$A$33:$A$1494,A871)</f>
        <v>59.7833333333333</v>
      </c>
      <c r="D871" s="213" t="n">
        <v>46.2</v>
      </c>
      <c r="E871" s="213" t="n">
        <f aca="false">AVERAGEIFS($D$33:$D$1494,$A$33:$A$1494,A871)</f>
        <v>46.1666666666667</v>
      </c>
      <c r="F871" s="213" t="n">
        <v>9.6</v>
      </c>
      <c r="G871" s="213" t="n">
        <f aca="false">AVERAGEIFS($F$33:$F$1494,$A$33:$A$1494,A871)</f>
        <v>9.15</v>
      </c>
      <c r="H871" s="213" t="n">
        <v>8.3</v>
      </c>
      <c r="I871" s="213" t="n">
        <f aca="false">AVERAGEIFS($H$33:$H$1494,$A$33:$A$1494,A871)</f>
        <v>8.16666666666667</v>
      </c>
      <c r="L871" s="215" t="n">
        <v>40598</v>
      </c>
      <c r="M871" s="213" t="n">
        <v>59.7833333333333</v>
      </c>
      <c r="N871" s="213" t="n">
        <v>46.1666666666667</v>
      </c>
      <c r="O871" s="213" t="n">
        <v>9.15</v>
      </c>
      <c r="P871" s="213" t="n">
        <v>8.16666666666667</v>
      </c>
    </row>
    <row r="872" customFormat="false" ht="12.75" hidden="false" customHeight="false" outlineLevel="0" collapsed="false">
      <c r="A872" s="215" t="n">
        <v>40598</v>
      </c>
      <c r="B872" s="213" t="n">
        <v>55.9</v>
      </c>
      <c r="C872" s="213" t="n">
        <f aca="false">AVERAGEIFS($B$33:$B$1494,$A$33:$A$1494,A872)</f>
        <v>59.7833333333333</v>
      </c>
      <c r="D872" s="213" t="n">
        <v>46.3</v>
      </c>
      <c r="E872" s="213" t="n">
        <f aca="false">AVERAGEIFS($D$33:$D$1494,$A$33:$A$1494,A872)</f>
        <v>46.1666666666667</v>
      </c>
      <c r="F872" s="213" t="n">
        <v>9.7</v>
      </c>
      <c r="G872" s="213" t="n">
        <f aca="false">AVERAGEIFS($F$33:$F$1494,$A$33:$A$1494,A872)</f>
        <v>9.15</v>
      </c>
      <c r="H872" s="213" t="n">
        <v>8.5</v>
      </c>
      <c r="I872" s="213" t="n">
        <f aca="false">AVERAGEIFS($H$33:$H$1494,$A$33:$A$1494,A872)</f>
        <v>8.16666666666667</v>
      </c>
      <c r="L872" s="215" t="n">
        <v>40598</v>
      </c>
      <c r="M872" s="213" t="n">
        <v>59.7833333333333</v>
      </c>
      <c r="N872" s="213" t="n">
        <v>46.1666666666667</v>
      </c>
      <c r="O872" s="213" t="n">
        <v>9.15</v>
      </c>
      <c r="P872" s="213" t="n">
        <v>8.16666666666667</v>
      </c>
    </row>
    <row r="873" customFormat="false" ht="12.75" hidden="false" customHeight="false" outlineLevel="0" collapsed="false">
      <c r="A873" s="215" t="n">
        <v>40599</v>
      </c>
      <c r="B873" s="213" t="n">
        <v>53.5</v>
      </c>
      <c r="C873" s="213" t="n">
        <f aca="false">AVERAGEIFS($B$33:$B$1494,$A$33:$A$1494,A873)</f>
        <v>51.7166666666667</v>
      </c>
      <c r="D873" s="213" t="n">
        <v>46.3</v>
      </c>
      <c r="E873" s="213" t="n">
        <f aca="false">AVERAGEIFS($D$33:$D$1494,$A$33:$A$1494,A873)</f>
        <v>46.2833333333333</v>
      </c>
      <c r="F873" s="213" t="n">
        <v>9.6</v>
      </c>
      <c r="G873" s="213" t="n">
        <f aca="false">AVERAGEIFS($F$33:$F$1494,$A$33:$A$1494,A873)</f>
        <v>9.75</v>
      </c>
      <c r="H873" s="213" t="n">
        <v>8.6</v>
      </c>
      <c r="I873" s="213" t="n">
        <f aca="false">AVERAGEIFS($H$33:$H$1494,$A$33:$A$1494,A873)</f>
        <v>8.73333333333333</v>
      </c>
      <c r="L873" s="215" t="n">
        <v>40599</v>
      </c>
      <c r="M873" s="213" t="n">
        <v>51.7166666666667</v>
      </c>
      <c r="N873" s="213" t="n">
        <v>46.2833333333333</v>
      </c>
      <c r="O873" s="213" t="n">
        <v>9.75</v>
      </c>
      <c r="P873" s="213" t="n">
        <v>8.73333333333333</v>
      </c>
    </row>
    <row r="874" customFormat="false" ht="12.75" hidden="false" customHeight="false" outlineLevel="0" collapsed="false">
      <c r="A874" s="215" t="n">
        <v>40599</v>
      </c>
      <c r="B874" s="213" t="n">
        <v>52.2</v>
      </c>
      <c r="C874" s="213" t="n">
        <f aca="false">AVERAGEIFS($B$33:$B$1494,$A$33:$A$1494,A874)</f>
        <v>51.7166666666667</v>
      </c>
      <c r="D874" s="213" t="n">
        <v>46.3</v>
      </c>
      <c r="E874" s="213" t="n">
        <f aca="false">AVERAGEIFS($D$33:$D$1494,$A$33:$A$1494,A874)</f>
        <v>46.2833333333333</v>
      </c>
      <c r="F874" s="213" t="n">
        <v>9.6</v>
      </c>
      <c r="G874" s="213" t="n">
        <f aca="false">AVERAGEIFS($F$33:$F$1494,$A$33:$A$1494,A874)</f>
        <v>9.75</v>
      </c>
      <c r="H874" s="213" t="n">
        <v>8.7</v>
      </c>
      <c r="I874" s="213" t="n">
        <f aca="false">AVERAGEIFS($H$33:$H$1494,$A$33:$A$1494,A874)</f>
        <v>8.73333333333333</v>
      </c>
      <c r="L874" s="215" t="n">
        <v>40599</v>
      </c>
      <c r="M874" s="213" t="n">
        <v>51.7166666666667</v>
      </c>
      <c r="N874" s="213" t="n">
        <v>46.2833333333333</v>
      </c>
      <c r="O874" s="213" t="n">
        <v>9.75</v>
      </c>
      <c r="P874" s="213" t="n">
        <v>8.73333333333333</v>
      </c>
    </row>
    <row r="875" customFormat="false" ht="12.75" hidden="false" customHeight="false" outlineLevel="0" collapsed="false">
      <c r="A875" s="215" t="n">
        <v>40599</v>
      </c>
      <c r="B875" s="213" t="n">
        <v>51.7</v>
      </c>
      <c r="C875" s="213" t="n">
        <f aca="false">AVERAGEIFS($B$33:$B$1494,$A$33:$A$1494,A875)</f>
        <v>51.7166666666667</v>
      </c>
      <c r="D875" s="213" t="n">
        <v>46.4</v>
      </c>
      <c r="E875" s="213" t="n">
        <f aca="false">AVERAGEIFS($D$33:$D$1494,$A$33:$A$1494,A875)</f>
        <v>46.2833333333333</v>
      </c>
      <c r="F875" s="213" t="n">
        <v>9.5</v>
      </c>
      <c r="G875" s="213" t="n">
        <f aca="false">AVERAGEIFS($F$33:$F$1494,$A$33:$A$1494,A875)</f>
        <v>9.75</v>
      </c>
      <c r="H875" s="213" t="n">
        <v>8.7</v>
      </c>
      <c r="I875" s="213" t="n">
        <f aca="false">AVERAGEIFS($H$33:$H$1494,$A$33:$A$1494,A875)</f>
        <v>8.73333333333333</v>
      </c>
      <c r="L875" s="215" t="n">
        <v>40599</v>
      </c>
      <c r="M875" s="213" t="n">
        <v>51.7166666666667</v>
      </c>
      <c r="N875" s="213" t="n">
        <v>46.2833333333333</v>
      </c>
      <c r="O875" s="213" t="n">
        <v>9.75</v>
      </c>
      <c r="P875" s="213" t="n">
        <v>8.73333333333333</v>
      </c>
    </row>
    <row r="876" customFormat="false" ht="12.75" hidden="false" customHeight="false" outlineLevel="0" collapsed="false">
      <c r="A876" s="215" t="n">
        <v>40599</v>
      </c>
      <c r="B876" s="213" t="n">
        <v>51.3</v>
      </c>
      <c r="C876" s="213" t="n">
        <f aca="false">AVERAGEIFS($B$33:$B$1494,$A$33:$A$1494,A876)</f>
        <v>51.7166666666667</v>
      </c>
      <c r="D876" s="213" t="n">
        <v>46.3</v>
      </c>
      <c r="E876" s="213" t="n">
        <f aca="false">AVERAGEIFS($D$33:$D$1494,$A$33:$A$1494,A876)</f>
        <v>46.2833333333333</v>
      </c>
      <c r="F876" s="213" t="n">
        <v>9.6</v>
      </c>
      <c r="G876" s="213" t="n">
        <f aca="false">AVERAGEIFS($F$33:$F$1494,$A$33:$A$1494,A876)</f>
        <v>9.75</v>
      </c>
      <c r="H876" s="213" t="n">
        <v>8.7</v>
      </c>
      <c r="I876" s="213" t="n">
        <f aca="false">AVERAGEIFS($H$33:$H$1494,$A$33:$A$1494,A876)</f>
        <v>8.73333333333333</v>
      </c>
      <c r="L876" s="215" t="n">
        <v>40599</v>
      </c>
      <c r="M876" s="213" t="n">
        <v>51.7166666666667</v>
      </c>
      <c r="N876" s="213" t="n">
        <v>46.2833333333333</v>
      </c>
      <c r="O876" s="213" t="n">
        <v>9.75</v>
      </c>
      <c r="P876" s="213" t="n">
        <v>8.73333333333333</v>
      </c>
    </row>
    <row r="877" customFormat="false" ht="12.75" hidden="false" customHeight="false" outlineLevel="0" collapsed="false">
      <c r="A877" s="215" t="n">
        <v>40599</v>
      </c>
      <c r="B877" s="213" t="n">
        <v>50.9</v>
      </c>
      <c r="C877" s="213" t="n">
        <f aca="false">AVERAGEIFS($B$33:$B$1494,$A$33:$A$1494,A877)</f>
        <v>51.7166666666667</v>
      </c>
      <c r="D877" s="213" t="n">
        <v>46.2</v>
      </c>
      <c r="E877" s="213" t="n">
        <f aca="false">AVERAGEIFS($D$33:$D$1494,$A$33:$A$1494,A877)</f>
        <v>46.2833333333333</v>
      </c>
      <c r="F877" s="213" t="n">
        <v>10.1</v>
      </c>
      <c r="G877" s="213" t="n">
        <f aca="false">AVERAGEIFS($F$33:$F$1494,$A$33:$A$1494,A877)</f>
        <v>9.75</v>
      </c>
      <c r="H877" s="213" t="n">
        <v>8.8</v>
      </c>
      <c r="I877" s="213" t="n">
        <f aca="false">AVERAGEIFS($H$33:$H$1494,$A$33:$A$1494,A877)</f>
        <v>8.73333333333333</v>
      </c>
      <c r="L877" s="215" t="n">
        <v>40599</v>
      </c>
      <c r="M877" s="213" t="n">
        <v>51.7166666666667</v>
      </c>
      <c r="N877" s="213" t="n">
        <v>46.2833333333333</v>
      </c>
      <c r="O877" s="213" t="n">
        <v>9.75</v>
      </c>
      <c r="P877" s="213" t="n">
        <v>8.73333333333333</v>
      </c>
    </row>
    <row r="878" customFormat="false" ht="12.75" hidden="false" customHeight="false" outlineLevel="0" collapsed="false">
      <c r="A878" s="215" t="n">
        <v>40599</v>
      </c>
      <c r="B878" s="213" t="n">
        <v>50.7</v>
      </c>
      <c r="C878" s="213" t="n">
        <f aca="false">AVERAGEIFS($B$33:$B$1494,$A$33:$A$1494,A878)</f>
        <v>51.7166666666667</v>
      </c>
      <c r="D878" s="213" t="n">
        <v>46.2</v>
      </c>
      <c r="E878" s="213" t="n">
        <f aca="false">AVERAGEIFS($D$33:$D$1494,$A$33:$A$1494,A878)</f>
        <v>46.2833333333333</v>
      </c>
      <c r="F878" s="213" t="n">
        <v>10.1</v>
      </c>
      <c r="G878" s="213" t="n">
        <f aca="false">AVERAGEIFS($F$33:$F$1494,$A$33:$A$1494,A878)</f>
        <v>9.75</v>
      </c>
      <c r="H878" s="213" t="n">
        <v>8.9</v>
      </c>
      <c r="I878" s="213" t="n">
        <f aca="false">AVERAGEIFS($H$33:$H$1494,$A$33:$A$1494,A878)</f>
        <v>8.73333333333333</v>
      </c>
      <c r="L878" s="215" t="n">
        <v>40599</v>
      </c>
      <c r="M878" s="213" t="n">
        <v>51.7166666666667</v>
      </c>
      <c r="N878" s="213" t="n">
        <v>46.2833333333333</v>
      </c>
      <c r="O878" s="213" t="n">
        <v>9.75</v>
      </c>
      <c r="P878" s="213" t="n">
        <v>8.73333333333333</v>
      </c>
    </row>
    <row r="879" customFormat="false" ht="12.75" hidden="false" customHeight="false" outlineLevel="0" collapsed="false">
      <c r="A879" s="215" t="n">
        <v>40600</v>
      </c>
      <c r="B879" s="213" t="n">
        <v>50.4</v>
      </c>
      <c r="C879" s="213" t="n">
        <f aca="false">AVERAGEIFS($B$33:$B$1494,$A$33:$A$1494,A879)</f>
        <v>50.0833333333333</v>
      </c>
      <c r="D879" s="213" t="n">
        <v>46.2</v>
      </c>
      <c r="E879" s="213" t="n">
        <f aca="false">AVERAGEIFS($D$33:$D$1494,$A$33:$A$1494,A879)</f>
        <v>46.2</v>
      </c>
      <c r="F879" s="213" t="n">
        <v>9.4</v>
      </c>
      <c r="G879" s="213" t="n">
        <f aca="false">AVERAGEIFS($F$33:$F$1494,$A$33:$A$1494,A879)</f>
        <v>8.78333333333333</v>
      </c>
      <c r="H879" s="213" t="n">
        <v>9</v>
      </c>
      <c r="I879" s="213" t="n">
        <f aca="false">AVERAGEIFS($H$33:$H$1494,$A$33:$A$1494,A879)</f>
        <v>8.66666666666667</v>
      </c>
      <c r="L879" s="215" t="n">
        <v>40600</v>
      </c>
      <c r="M879" s="213" t="n">
        <v>50.0833333333333</v>
      </c>
      <c r="N879" s="213" t="n">
        <v>46.2</v>
      </c>
      <c r="O879" s="213" t="n">
        <v>8.78333333333333</v>
      </c>
      <c r="P879" s="213" t="n">
        <v>8.66666666666667</v>
      </c>
    </row>
    <row r="880" customFormat="false" ht="12.75" hidden="false" customHeight="false" outlineLevel="0" collapsed="false">
      <c r="A880" s="215" t="n">
        <v>40600</v>
      </c>
      <c r="B880" s="213" t="n">
        <v>50.3</v>
      </c>
      <c r="C880" s="213" t="n">
        <f aca="false">AVERAGEIFS($B$33:$B$1494,$A$33:$A$1494,A880)</f>
        <v>50.0833333333333</v>
      </c>
      <c r="D880" s="213" t="n">
        <v>46.2</v>
      </c>
      <c r="E880" s="213" t="n">
        <f aca="false">AVERAGEIFS($D$33:$D$1494,$A$33:$A$1494,A880)</f>
        <v>46.2</v>
      </c>
      <c r="F880" s="213" t="n">
        <v>8.6</v>
      </c>
      <c r="G880" s="213" t="n">
        <f aca="false">AVERAGEIFS($F$33:$F$1494,$A$33:$A$1494,A880)</f>
        <v>8.78333333333333</v>
      </c>
      <c r="H880" s="213" t="n">
        <v>8.9</v>
      </c>
      <c r="I880" s="213" t="n">
        <f aca="false">AVERAGEIFS($H$33:$H$1494,$A$33:$A$1494,A880)</f>
        <v>8.66666666666667</v>
      </c>
      <c r="L880" s="215" t="n">
        <v>40600</v>
      </c>
      <c r="M880" s="213" t="n">
        <v>50.0833333333333</v>
      </c>
      <c r="N880" s="213" t="n">
        <v>46.2</v>
      </c>
      <c r="O880" s="213" t="n">
        <v>8.78333333333333</v>
      </c>
      <c r="P880" s="213" t="n">
        <v>8.66666666666667</v>
      </c>
    </row>
    <row r="881" customFormat="false" ht="12.75" hidden="false" customHeight="false" outlineLevel="0" collapsed="false">
      <c r="A881" s="215" t="n">
        <v>40600</v>
      </c>
      <c r="B881" s="213" t="n">
        <v>50.1</v>
      </c>
      <c r="C881" s="213" t="n">
        <f aca="false">AVERAGEIFS($B$33:$B$1494,$A$33:$A$1494,A881)</f>
        <v>50.0833333333333</v>
      </c>
      <c r="D881" s="213" t="n">
        <v>46.2</v>
      </c>
      <c r="E881" s="213" t="n">
        <f aca="false">AVERAGEIFS($D$33:$D$1494,$A$33:$A$1494,A881)</f>
        <v>46.2</v>
      </c>
      <c r="F881" s="213" t="n">
        <v>8.2</v>
      </c>
      <c r="G881" s="213" t="n">
        <f aca="false">AVERAGEIFS($F$33:$F$1494,$A$33:$A$1494,A881)</f>
        <v>8.78333333333333</v>
      </c>
      <c r="H881" s="213" t="n">
        <v>8.7</v>
      </c>
      <c r="I881" s="213" t="n">
        <f aca="false">AVERAGEIFS($H$33:$H$1494,$A$33:$A$1494,A881)</f>
        <v>8.66666666666667</v>
      </c>
      <c r="L881" s="215" t="n">
        <v>40600</v>
      </c>
      <c r="M881" s="213" t="n">
        <v>50.0833333333333</v>
      </c>
      <c r="N881" s="213" t="n">
        <v>46.2</v>
      </c>
      <c r="O881" s="213" t="n">
        <v>8.78333333333333</v>
      </c>
      <c r="P881" s="213" t="n">
        <v>8.66666666666667</v>
      </c>
    </row>
    <row r="882" customFormat="false" ht="12.75" hidden="false" customHeight="false" outlineLevel="0" collapsed="false">
      <c r="A882" s="215" t="n">
        <v>40600</v>
      </c>
      <c r="B882" s="213" t="n">
        <v>50</v>
      </c>
      <c r="C882" s="213" t="n">
        <f aca="false">AVERAGEIFS($B$33:$B$1494,$A$33:$A$1494,A882)</f>
        <v>50.0833333333333</v>
      </c>
      <c r="D882" s="213" t="n">
        <v>46.2</v>
      </c>
      <c r="E882" s="213" t="n">
        <f aca="false">AVERAGEIFS($D$33:$D$1494,$A$33:$A$1494,A882)</f>
        <v>46.2</v>
      </c>
      <c r="F882" s="213" t="n">
        <v>8.3</v>
      </c>
      <c r="G882" s="213" t="n">
        <f aca="false">AVERAGEIFS($F$33:$F$1494,$A$33:$A$1494,A882)</f>
        <v>8.78333333333333</v>
      </c>
      <c r="H882" s="213" t="n">
        <v>8.5</v>
      </c>
      <c r="I882" s="213" t="n">
        <f aca="false">AVERAGEIFS($H$33:$H$1494,$A$33:$A$1494,A882)</f>
        <v>8.66666666666667</v>
      </c>
      <c r="L882" s="215" t="n">
        <v>40600</v>
      </c>
      <c r="M882" s="213" t="n">
        <v>50.0833333333333</v>
      </c>
      <c r="N882" s="213" t="n">
        <v>46.2</v>
      </c>
      <c r="O882" s="213" t="n">
        <v>8.78333333333333</v>
      </c>
      <c r="P882" s="213" t="n">
        <v>8.66666666666667</v>
      </c>
    </row>
    <row r="883" customFormat="false" ht="12.75" hidden="false" customHeight="false" outlineLevel="0" collapsed="false">
      <c r="A883" s="215" t="n">
        <v>40600</v>
      </c>
      <c r="B883" s="213" t="n">
        <v>49.9</v>
      </c>
      <c r="C883" s="213" t="n">
        <f aca="false">AVERAGEIFS($B$33:$B$1494,$A$33:$A$1494,A883)</f>
        <v>50.0833333333333</v>
      </c>
      <c r="D883" s="213" t="n">
        <v>46.2</v>
      </c>
      <c r="E883" s="213" t="n">
        <f aca="false">AVERAGEIFS($D$33:$D$1494,$A$33:$A$1494,A883)</f>
        <v>46.2</v>
      </c>
      <c r="F883" s="213" t="n">
        <v>8.9</v>
      </c>
      <c r="G883" s="213" t="n">
        <f aca="false">AVERAGEIFS($F$33:$F$1494,$A$33:$A$1494,A883)</f>
        <v>8.78333333333333</v>
      </c>
      <c r="H883" s="213" t="n">
        <v>8.4</v>
      </c>
      <c r="I883" s="213" t="n">
        <f aca="false">AVERAGEIFS($H$33:$H$1494,$A$33:$A$1494,A883)</f>
        <v>8.66666666666667</v>
      </c>
      <c r="L883" s="215" t="n">
        <v>40600</v>
      </c>
      <c r="M883" s="213" t="n">
        <v>50.0833333333333</v>
      </c>
      <c r="N883" s="213" t="n">
        <v>46.2</v>
      </c>
      <c r="O883" s="213" t="n">
        <v>8.78333333333333</v>
      </c>
      <c r="P883" s="213" t="n">
        <v>8.66666666666667</v>
      </c>
    </row>
    <row r="884" customFormat="false" ht="12.75" hidden="false" customHeight="false" outlineLevel="0" collapsed="false">
      <c r="A884" s="215" t="n">
        <v>40600</v>
      </c>
      <c r="B884" s="213" t="n">
        <v>49.8</v>
      </c>
      <c r="C884" s="213" t="n">
        <f aca="false">AVERAGEIFS($B$33:$B$1494,$A$33:$A$1494,A884)</f>
        <v>50.0833333333333</v>
      </c>
      <c r="D884" s="213" t="n">
        <v>46.2</v>
      </c>
      <c r="E884" s="213" t="n">
        <f aca="false">AVERAGEIFS($D$33:$D$1494,$A$33:$A$1494,A884)</f>
        <v>46.2</v>
      </c>
      <c r="F884" s="213" t="n">
        <v>9.3</v>
      </c>
      <c r="G884" s="213" t="n">
        <f aca="false">AVERAGEIFS($F$33:$F$1494,$A$33:$A$1494,A884)</f>
        <v>8.78333333333333</v>
      </c>
      <c r="H884" s="213" t="n">
        <v>8.5</v>
      </c>
      <c r="I884" s="213" t="n">
        <f aca="false">AVERAGEIFS($H$33:$H$1494,$A$33:$A$1494,A884)</f>
        <v>8.66666666666667</v>
      </c>
      <c r="L884" s="215" t="n">
        <v>40600</v>
      </c>
      <c r="M884" s="213" t="n">
        <v>50.0833333333333</v>
      </c>
      <c r="N884" s="213" t="n">
        <v>46.2</v>
      </c>
      <c r="O884" s="213" t="n">
        <v>8.78333333333333</v>
      </c>
      <c r="P884" s="213" t="n">
        <v>8.66666666666667</v>
      </c>
    </row>
    <row r="885" customFormat="false" ht="12.75" hidden="false" customHeight="false" outlineLevel="0" collapsed="false">
      <c r="A885" s="215" t="n">
        <v>40601</v>
      </c>
      <c r="B885" s="213" t="n">
        <v>49.7</v>
      </c>
      <c r="C885" s="213" t="n">
        <f aca="false">AVERAGEIFS($B$33:$B$1494,$A$33:$A$1494,A885)</f>
        <v>53.75</v>
      </c>
      <c r="D885" s="213" t="n">
        <v>46.2</v>
      </c>
      <c r="E885" s="213" t="n">
        <f aca="false">AVERAGEIFS($D$33:$D$1494,$A$33:$A$1494,A885)</f>
        <v>46.0833333333333</v>
      </c>
      <c r="F885" s="213" t="n">
        <v>9.2</v>
      </c>
      <c r="G885" s="213" t="n">
        <f aca="false">AVERAGEIFS($F$33:$F$1494,$A$33:$A$1494,A885)</f>
        <v>8.48333333333333</v>
      </c>
      <c r="H885" s="213" t="n">
        <v>8.6</v>
      </c>
      <c r="I885" s="213" t="n">
        <f aca="false">AVERAGEIFS($H$33:$H$1494,$A$33:$A$1494,A885)</f>
        <v>8.43333333333333</v>
      </c>
      <c r="L885" s="215" t="n">
        <v>40601</v>
      </c>
      <c r="M885" s="213" t="n">
        <v>53.75</v>
      </c>
      <c r="N885" s="213" t="n">
        <v>46.0833333333333</v>
      </c>
      <c r="O885" s="213" t="n">
        <v>8.48333333333333</v>
      </c>
      <c r="P885" s="213" t="n">
        <v>8.43333333333334</v>
      </c>
    </row>
    <row r="886" customFormat="false" ht="12.75" hidden="false" customHeight="false" outlineLevel="0" collapsed="false">
      <c r="A886" s="215" t="n">
        <v>40601</v>
      </c>
      <c r="B886" s="213" t="n">
        <v>60.8</v>
      </c>
      <c r="C886" s="213" t="n">
        <f aca="false">AVERAGEIFS($B$33:$B$1494,$A$33:$A$1494,A886)</f>
        <v>53.75</v>
      </c>
      <c r="D886" s="213" t="n">
        <v>46.1</v>
      </c>
      <c r="E886" s="213" t="n">
        <f aca="false">AVERAGEIFS($D$33:$D$1494,$A$33:$A$1494,A886)</f>
        <v>46.0833333333333</v>
      </c>
      <c r="F886" s="213" t="n">
        <v>8.9</v>
      </c>
      <c r="G886" s="213" t="n">
        <f aca="false">AVERAGEIFS($F$33:$F$1494,$A$33:$A$1494,A886)</f>
        <v>8.48333333333333</v>
      </c>
      <c r="H886" s="213" t="n">
        <v>8.6</v>
      </c>
      <c r="I886" s="213" t="n">
        <f aca="false">AVERAGEIFS($H$33:$H$1494,$A$33:$A$1494,A886)</f>
        <v>8.43333333333333</v>
      </c>
      <c r="L886" s="215" t="n">
        <v>40601</v>
      </c>
      <c r="M886" s="213" t="n">
        <v>53.75</v>
      </c>
      <c r="N886" s="213" t="n">
        <v>46.0833333333333</v>
      </c>
      <c r="O886" s="213" t="n">
        <v>8.48333333333333</v>
      </c>
      <c r="P886" s="213" t="n">
        <v>8.43333333333334</v>
      </c>
    </row>
    <row r="887" customFormat="false" ht="12.75" hidden="false" customHeight="false" outlineLevel="0" collapsed="false">
      <c r="A887" s="215" t="n">
        <v>40601</v>
      </c>
      <c r="B887" s="213" t="n">
        <v>55.8</v>
      </c>
      <c r="C887" s="213" t="n">
        <f aca="false">AVERAGEIFS($B$33:$B$1494,$A$33:$A$1494,A887)</f>
        <v>53.75</v>
      </c>
      <c r="D887" s="213" t="n">
        <v>46.1</v>
      </c>
      <c r="E887" s="213" t="n">
        <f aca="false">AVERAGEIFS($D$33:$D$1494,$A$33:$A$1494,A887)</f>
        <v>46.0833333333333</v>
      </c>
      <c r="F887" s="213" t="n">
        <v>8.4</v>
      </c>
      <c r="G887" s="213" t="n">
        <f aca="false">AVERAGEIFS($F$33:$F$1494,$A$33:$A$1494,A887)</f>
        <v>8.48333333333333</v>
      </c>
      <c r="H887" s="213" t="n">
        <v>8.5</v>
      </c>
      <c r="I887" s="213" t="n">
        <f aca="false">AVERAGEIFS($H$33:$H$1494,$A$33:$A$1494,A887)</f>
        <v>8.43333333333333</v>
      </c>
      <c r="L887" s="215" t="n">
        <v>40601</v>
      </c>
      <c r="M887" s="213" t="n">
        <v>53.75</v>
      </c>
      <c r="N887" s="213" t="n">
        <v>46.0833333333333</v>
      </c>
      <c r="O887" s="213" t="n">
        <v>8.48333333333333</v>
      </c>
      <c r="P887" s="213" t="n">
        <v>8.43333333333334</v>
      </c>
    </row>
    <row r="888" customFormat="false" ht="12.75" hidden="false" customHeight="false" outlineLevel="0" collapsed="false">
      <c r="A888" s="215" t="n">
        <v>40601</v>
      </c>
      <c r="B888" s="213" t="n">
        <v>53.5</v>
      </c>
      <c r="C888" s="213" t="n">
        <f aca="false">AVERAGEIFS($B$33:$B$1494,$A$33:$A$1494,A888)</f>
        <v>53.75</v>
      </c>
      <c r="D888" s="213" t="n">
        <v>46.1</v>
      </c>
      <c r="E888" s="213" t="n">
        <f aca="false">AVERAGEIFS($D$33:$D$1494,$A$33:$A$1494,A888)</f>
        <v>46.0833333333333</v>
      </c>
      <c r="F888" s="213" t="n">
        <v>8.1</v>
      </c>
      <c r="G888" s="213" t="n">
        <f aca="false">AVERAGEIFS($F$33:$F$1494,$A$33:$A$1494,A888)</f>
        <v>8.48333333333333</v>
      </c>
      <c r="H888" s="213" t="n">
        <v>8.4</v>
      </c>
      <c r="I888" s="213" t="n">
        <f aca="false">AVERAGEIFS($H$33:$H$1494,$A$33:$A$1494,A888)</f>
        <v>8.43333333333333</v>
      </c>
      <c r="L888" s="215" t="n">
        <v>40601</v>
      </c>
      <c r="M888" s="213" t="n">
        <v>53.75</v>
      </c>
      <c r="N888" s="213" t="n">
        <v>46.0833333333333</v>
      </c>
      <c r="O888" s="213" t="n">
        <v>8.48333333333333</v>
      </c>
      <c r="P888" s="213" t="n">
        <v>8.43333333333334</v>
      </c>
    </row>
    <row r="889" customFormat="false" ht="12.75" hidden="false" customHeight="false" outlineLevel="0" collapsed="false">
      <c r="A889" s="215" t="n">
        <v>40601</v>
      </c>
      <c r="B889" s="213" t="n">
        <v>51.7</v>
      </c>
      <c r="C889" s="213" t="n">
        <f aca="false">AVERAGEIFS($B$33:$B$1494,$A$33:$A$1494,A889)</f>
        <v>53.75</v>
      </c>
      <c r="D889" s="213" t="n">
        <v>46</v>
      </c>
      <c r="E889" s="213" t="n">
        <f aca="false">AVERAGEIFS($D$33:$D$1494,$A$33:$A$1494,A889)</f>
        <v>46.0833333333333</v>
      </c>
      <c r="F889" s="213" t="n">
        <v>8.2</v>
      </c>
      <c r="G889" s="213" t="n">
        <f aca="false">AVERAGEIFS($F$33:$F$1494,$A$33:$A$1494,A889)</f>
        <v>8.48333333333333</v>
      </c>
      <c r="H889" s="213" t="n">
        <v>8.3</v>
      </c>
      <c r="I889" s="213" t="n">
        <f aca="false">AVERAGEIFS($H$33:$H$1494,$A$33:$A$1494,A889)</f>
        <v>8.43333333333333</v>
      </c>
      <c r="L889" s="215" t="n">
        <v>40601</v>
      </c>
      <c r="M889" s="213" t="n">
        <v>53.75</v>
      </c>
      <c r="N889" s="213" t="n">
        <v>46.0833333333333</v>
      </c>
      <c r="O889" s="213" t="n">
        <v>8.48333333333333</v>
      </c>
      <c r="P889" s="213" t="n">
        <v>8.43333333333334</v>
      </c>
    </row>
    <row r="890" customFormat="false" ht="12.75" hidden="false" customHeight="false" outlineLevel="0" collapsed="false">
      <c r="A890" s="215" t="n">
        <v>40601</v>
      </c>
      <c r="B890" s="213" t="n">
        <v>51</v>
      </c>
      <c r="C890" s="213" t="n">
        <f aca="false">AVERAGEIFS($B$33:$B$1494,$A$33:$A$1494,A890)</f>
        <v>53.75</v>
      </c>
      <c r="D890" s="213" t="n">
        <v>46</v>
      </c>
      <c r="E890" s="213" t="n">
        <f aca="false">AVERAGEIFS($D$33:$D$1494,$A$33:$A$1494,A890)</f>
        <v>46.0833333333333</v>
      </c>
      <c r="F890" s="213" t="n">
        <v>8.1</v>
      </c>
      <c r="G890" s="213" t="n">
        <f aca="false">AVERAGEIFS($F$33:$F$1494,$A$33:$A$1494,A890)</f>
        <v>8.48333333333333</v>
      </c>
      <c r="H890" s="213" t="n">
        <v>8.2</v>
      </c>
      <c r="I890" s="213" t="n">
        <f aca="false">AVERAGEIFS($H$33:$H$1494,$A$33:$A$1494,A890)</f>
        <v>8.43333333333333</v>
      </c>
      <c r="L890" s="215" t="n">
        <v>40601</v>
      </c>
      <c r="M890" s="213" t="n">
        <v>53.75</v>
      </c>
      <c r="N890" s="213" t="n">
        <v>46.0833333333333</v>
      </c>
      <c r="O890" s="213" t="n">
        <v>8.48333333333333</v>
      </c>
      <c r="P890" s="213" t="n">
        <v>8.43333333333334</v>
      </c>
    </row>
    <row r="891" customFormat="false" ht="12.75" hidden="false" customHeight="false" outlineLevel="0" collapsed="false">
      <c r="A891" s="215" t="n">
        <v>40602</v>
      </c>
      <c r="B891" s="213" t="n">
        <v>60.4</v>
      </c>
      <c r="C891" s="213" t="n">
        <f aca="false">AVERAGEIFS($B$33:$B$1494,$A$33:$A$1494,A891)</f>
        <v>61.6666666666667</v>
      </c>
      <c r="D891" s="213" t="n">
        <v>46</v>
      </c>
      <c r="E891" s="213" t="n">
        <f aca="false">AVERAGEIFS($D$33:$D$1494,$A$33:$A$1494,A891)</f>
        <v>46.15</v>
      </c>
      <c r="F891" s="213" t="n">
        <v>7.7</v>
      </c>
      <c r="G891" s="213" t="n">
        <f aca="false">AVERAGEIFS($F$33:$F$1494,$A$33:$A$1494,A891)</f>
        <v>7.28333333333333</v>
      </c>
      <c r="H891" s="213" t="n">
        <v>8.1</v>
      </c>
      <c r="I891" s="213" t="n">
        <f aca="false">AVERAGEIFS($H$33:$H$1494,$A$33:$A$1494,A891)</f>
        <v>7.75</v>
      </c>
      <c r="L891" s="215" t="n">
        <v>40602</v>
      </c>
      <c r="M891" s="213" t="n">
        <v>61.6666666666667</v>
      </c>
      <c r="N891" s="213" t="n">
        <v>46.15</v>
      </c>
      <c r="O891" s="213" t="n">
        <v>7.28333333333333</v>
      </c>
      <c r="P891" s="213" t="n">
        <v>7.75</v>
      </c>
    </row>
    <row r="892" customFormat="false" ht="12.75" hidden="false" customHeight="false" outlineLevel="0" collapsed="false">
      <c r="A892" s="215" t="n">
        <v>40602</v>
      </c>
      <c r="B892" s="213" t="n">
        <v>59.1</v>
      </c>
      <c r="C892" s="213" t="n">
        <f aca="false">AVERAGEIFS($B$33:$B$1494,$A$33:$A$1494,A892)</f>
        <v>61.6666666666667</v>
      </c>
      <c r="D892" s="213" t="n">
        <v>46</v>
      </c>
      <c r="E892" s="213" t="n">
        <f aca="false">AVERAGEIFS($D$33:$D$1494,$A$33:$A$1494,A892)</f>
        <v>46.15</v>
      </c>
      <c r="F892" s="213" t="n">
        <v>7.3</v>
      </c>
      <c r="G892" s="213" t="n">
        <f aca="false">AVERAGEIFS($F$33:$F$1494,$A$33:$A$1494,A892)</f>
        <v>7.28333333333333</v>
      </c>
      <c r="H892" s="213" t="n">
        <v>8</v>
      </c>
      <c r="I892" s="213" t="n">
        <f aca="false">AVERAGEIFS($H$33:$H$1494,$A$33:$A$1494,A892)</f>
        <v>7.75</v>
      </c>
      <c r="L892" s="215" t="n">
        <v>40602</v>
      </c>
      <c r="M892" s="213" t="n">
        <v>61.6666666666667</v>
      </c>
      <c r="N892" s="213" t="n">
        <v>46.15</v>
      </c>
      <c r="O892" s="213" t="n">
        <v>7.28333333333333</v>
      </c>
      <c r="P892" s="213" t="n">
        <v>7.75</v>
      </c>
    </row>
    <row r="893" customFormat="false" ht="12.75" hidden="false" customHeight="false" outlineLevel="0" collapsed="false">
      <c r="A893" s="215" t="n">
        <v>40602</v>
      </c>
      <c r="B893" s="213" t="n">
        <v>65</v>
      </c>
      <c r="C893" s="213" t="n">
        <f aca="false">AVERAGEIFS($B$33:$B$1494,$A$33:$A$1494,A893)</f>
        <v>61.6666666666667</v>
      </c>
      <c r="D893" s="213" t="n">
        <v>46.1</v>
      </c>
      <c r="E893" s="213" t="n">
        <f aca="false">AVERAGEIFS($D$33:$D$1494,$A$33:$A$1494,A893)</f>
        <v>46.15</v>
      </c>
      <c r="F893" s="213" t="n">
        <v>7.1</v>
      </c>
      <c r="G893" s="213" t="n">
        <f aca="false">AVERAGEIFS($F$33:$F$1494,$A$33:$A$1494,A893)</f>
        <v>7.28333333333333</v>
      </c>
      <c r="H893" s="213" t="n">
        <v>7.8</v>
      </c>
      <c r="I893" s="213" t="n">
        <f aca="false">AVERAGEIFS($H$33:$H$1494,$A$33:$A$1494,A893)</f>
        <v>7.75</v>
      </c>
      <c r="L893" s="215" t="n">
        <v>40602</v>
      </c>
      <c r="M893" s="213" t="n">
        <v>61.6666666666667</v>
      </c>
      <c r="N893" s="213" t="n">
        <v>46.15</v>
      </c>
      <c r="O893" s="213" t="n">
        <v>7.28333333333333</v>
      </c>
      <c r="P893" s="213" t="n">
        <v>7.75</v>
      </c>
    </row>
    <row r="894" customFormat="false" ht="12.75" hidden="false" customHeight="false" outlineLevel="0" collapsed="false">
      <c r="A894" s="215" t="n">
        <v>40602</v>
      </c>
      <c r="B894" s="213" t="n">
        <v>65.4</v>
      </c>
      <c r="C894" s="213" t="n">
        <f aca="false">AVERAGEIFS($B$33:$B$1494,$A$33:$A$1494,A894)</f>
        <v>61.6666666666667</v>
      </c>
      <c r="D894" s="213" t="n">
        <v>46.1</v>
      </c>
      <c r="E894" s="213" t="n">
        <f aca="false">AVERAGEIFS($D$33:$D$1494,$A$33:$A$1494,A894)</f>
        <v>46.15</v>
      </c>
      <c r="F894" s="213" t="n">
        <v>6.9</v>
      </c>
      <c r="G894" s="213" t="n">
        <f aca="false">AVERAGEIFS($F$33:$F$1494,$A$33:$A$1494,A894)</f>
        <v>7.28333333333333</v>
      </c>
      <c r="H894" s="213" t="n">
        <v>7.6</v>
      </c>
      <c r="I894" s="213" t="n">
        <f aca="false">AVERAGEIFS($H$33:$H$1494,$A$33:$A$1494,A894)</f>
        <v>7.75</v>
      </c>
      <c r="L894" s="215" t="n">
        <v>40602</v>
      </c>
      <c r="M894" s="213" t="n">
        <v>61.6666666666667</v>
      </c>
      <c r="N894" s="213" t="n">
        <v>46.15</v>
      </c>
      <c r="O894" s="213" t="n">
        <v>7.28333333333333</v>
      </c>
      <c r="P894" s="213" t="n">
        <v>7.75</v>
      </c>
    </row>
    <row r="895" customFormat="false" ht="12.75" hidden="false" customHeight="false" outlineLevel="0" collapsed="false">
      <c r="A895" s="215" t="n">
        <v>40602</v>
      </c>
      <c r="B895" s="213" t="n">
        <v>63.5</v>
      </c>
      <c r="C895" s="213" t="n">
        <f aca="false">AVERAGEIFS($B$33:$B$1494,$A$33:$A$1494,A895)</f>
        <v>61.6666666666667</v>
      </c>
      <c r="D895" s="213" t="n">
        <v>46.3</v>
      </c>
      <c r="E895" s="213" t="n">
        <f aca="false">AVERAGEIFS($D$33:$D$1494,$A$33:$A$1494,A895)</f>
        <v>46.15</v>
      </c>
      <c r="F895" s="213" t="n">
        <v>7.4</v>
      </c>
      <c r="G895" s="213" t="n">
        <f aca="false">AVERAGEIFS($F$33:$F$1494,$A$33:$A$1494,A895)</f>
        <v>7.28333333333333</v>
      </c>
      <c r="H895" s="213" t="n">
        <v>7.5</v>
      </c>
      <c r="I895" s="213" t="n">
        <f aca="false">AVERAGEIFS($H$33:$H$1494,$A$33:$A$1494,A895)</f>
        <v>7.75</v>
      </c>
      <c r="L895" s="215" t="n">
        <v>40602</v>
      </c>
      <c r="M895" s="213" t="n">
        <v>61.6666666666667</v>
      </c>
      <c r="N895" s="213" t="n">
        <v>46.15</v>
      </c>
      <c r="O895" s="213" t="n">
        <v>7.28333333333333</v>
      </c>
      <c r="P895" s="213" t="n">
        <v>7.75</v>
      </c>
    </row>
    <row r="896" customFormat="false" ht="12.75" hidden="false" customHeight="false" outlineLevel="0" collapsed="false">
      <c r="A896" s="215" t="n">
        <v>40602</v>
      </c>
      <c r="B896" s="213" t="n">
        <v>56.6</v>
      </c>
      <c r="C896" s="213" t="n">
        <f aca="false">AVERAGEIFS($B$33:$B$1494,$A$33:$A$1494,A896)</f>
        <v>61.6666666666667</v>
      </c>
      <c r="D896" s="213" t="n">
        <v>46.4</v>
      </c>
      <c r="E896" s="213" t="n">
        <f aca="false">AVERAGEIFS($D$33:$D$1494,$A$33:$A$1494,A896)</f>
        <v>46.15</v>
      </c>
      <c r="F896" s="213" t="n">
        <v>7.3</v>
      </c>
      <c r="G896" s="213" t="n">
        <f aca="false">AVERAGEIFS($F$33:$F$1494,$A$33:$A$1494,A896)</f>
        <v>7.28333333333333</v>
      </c>
      <c r="H896" s="213" t="n">
        <v>7.5</v>
      </c>
      <c r="I896" s="213" t="n">
        <f aca="false">AVERAGEIFS($H$33:$H$1494,$A$33:$A$1494,A896)</f>
        <v>7.75</v>
      </c>
      <c r="L896" s="215" t="n">
        <v>40602</v>
      </c>
      <c r="M896" s="213" t="n">
        <v>61.6666666666667</v>
      </c>
      <c r="N896" s="213" t="n">
        <v>46.15</v>
      </c>
      <c r="O896" s="213" t="n">
        <v>7.28333333333333</v>
      </c>
      <c r="P896" s="213" t="n">
        <v>7.75</v>
      </c>
    </row>
    <row r="897" customFormat="false" ht="12.75" hidden="false" customHeight="false" outlineLevel="0" collapsed="false">
      <c r="A897" s="215" t="n">
        <v>40603</v>
      </c>
      <c r="B897" s="213" t="n">
        <v>54.2</v>
      </c>
      <c r="C897" s="213" t="n">
        <f aca="false">AVERAGEIFS($B$33:$B$1494,$A$33:$A$1494,A897)</f>
        <v>52.4333333333333</v>
      </c>
      <c r="D897" s="213" t="n">
        <v>46.5</v>
      </c>
      <c r="E897" s="213" t="n">
        <f aca="false">AVERAGEIFS($D$33:$D$1494,$A$33:$A$1494,A897)</f>
        <v>46.4166666666667</v>
      </c>
      <c r="F897" s="213" t="n">
        <v>7</v>
      </c>
      <c r="G897" s="213" t="n">
        <f aca="false">AVERAGEIFS($F$33:$F$1494,$A$33:$A$1494,A897)</f>
        <v>6.46666666666667</v>
      </c>
      <c r="H897" s="213" t="n">
        <v>7.5</v>
      </c>
      <c r="I897" s="213" t="n">
        <f aca="false">AVERAGEIFS($H$33:$H$1494,$A$33:$A$1494,A897)</f>
        <v>7.21666666666667</v>
      </c>
      <c r="L897" s="215" t="n">
        <v>40603</v>
      </c>
      <c r="M897" s="213" t="n">
        <v>52.4333333333333</v>
      </c>
      <c r="N897" s="213" t="n">
        <v>46.4166666666667</v>
      </c>
      <c r="O897" s="213" t="n">
        <v>6.46666666666667</v>
      </c>
      <c r="P897" s="213" t="n">
        <v>7.21666666666667</v>
      </c>
    </row>
    <row r="898" customFormat="false" ht="12.75" hidden="false" customHeight="false" outlineLevel="0" collapsed="false">
      <c r="A898" s="215" t="n">
        <v>40603</v>
      </c>
      <c r="B898" s="213" t="n">
        <v>53.1</v>
      </c>
      <c r="C898" s="213" t="n">
        <f aca="false">AVERAGEIFS($B$33:$B$1494,$A$33:$A$1494,A898)</f>
        <v>52.4333333333333</v>
      </c>
      <c r="D898" s="213" t="n">
        <v>46.4</v>
      </c>
      <c r="E898" s="213" t="n">
        <f aca="false">AVERAGEIFS($D$33:$D$1494,$A$33:$A$1494,A898)</f>
        <v>46.4166666666667</v>
      </c>
      <c r="F898" s="213" t="n">
        <v>6.6</v>
      </c>
      <c r="G898" s="213" t="n">
        <f aca="false">AVERAGEIFS($F$33:$F$1494,$A$33:$A$1494,A898)</f>
        <v>6.46666666666667</v>
      </c>
      <c r="H898" s="213" t="n">
        <v>7.4</v>
      </c>
      <c r="I898" s="213" t="n">
        <f aca="false">AVERAGEIFS($H$33:$H$1494,$A$33:$A$1494,A898)</f>
        <v>7.21666666666667</v>
      </c>
      <c r="L898" s="215" t="n">
        <v>40603</v>
      </c>
      <c r="M898" s="213" t="n">
        <v>52.4333333333333</v>
      </c>
      <c r="N898" s="213" t="n">
        <v>46.4166666666667</v>
      </c>
      <c r="O898" s="213" t="n">
        <v>6.46666666666667</v>
      </c>
      <c r="P898" s="213" t="n">
        <v>7.21666666666667</v>
      </c>
    </row>
    <row r="899" customFormat="false" ht="12.75" hidden="false" customHeight="false" outlineLevel="0" collapsed="false">
      <c r="A899" s="215" t="n">
        <v>40603</v>
      </c>
      <c r="B899" s="213" t="n">
        <v>52.4</v>
      </c>
      <c r="C899" s="213" t="n">
        <f aca="false">AVERAGEIFS($B$33:$B$1494,$A$33:$A$1494,A899)</f>
        <v>52.4333333333333</v>
      </c>
      <c r="D899" s="213" t="n">
        <v>46.4</v>
      </c>
      <c r="E899" s="213" t="n">
        <f aca="false">AVERAGEIFS($D$33:$D$1494,$A$33:$A$1494,A899)</f>
        <v>46.4166666666667</v>
      </c>
      <c r="F899" s="213" t="n">
        <v>6.3</v>
      </c>
      <c r="G899" s="213" t="n">
        <f aca="false">AVERAGEIFS($F$33:$F$1494,$A$33:$A$1494,A899)</f>
        <v>6.46666666666667</v>
      </c>
      <c r="H899" s="213" t="n">
        <v>7.3</v>
      </c>
      <c r="I899" s="213" t="n">
        <f aca="false">AVERAGEIFS($H$33:$H$1494,$A$33:$A$1494,A899)</f>
        <v>7.21666666666667</v>
      </c>
      <c r="L899" s="215" t="n">
        <v>40603</v>
      </c>
      <c r="M899" s="213" t="n">
        <v>52.4333333333333</v>
      </c>
      <c r="N899" s="213" t="n">
        <v>46.4166666666667</v>
      </c>
      <c r="O899" s="213" t="n">
        <v>6.46666666666667</v>
      </c>
      <c r="P899" s="213" t="n">
        <v>7.21666666666667</v>
      </c>
    </row>
    <row r="900" customFormat="false" ht="12.75" hidden="false" customHeight="false" outlineLevel="0" collapsed="false">
      <c r="A900" s="215" t="n">
        <v>40603</v>
      </c>
      <c r="B900" s="213" t="n">
        <v>51.9</v>
      </c>
      <c r="C900" s="213" t="n">
        <f aca="false">AVERAGEIFS($B$33:$B$1494,$A$33:$A$1494,A900)</f>
        <v>52.4333333333333</v>
      </c>
      <c r="D900" s="213" t="n">
        <v>46.4</v>
      </c>
      <c r="E900" s="213" t="n">
        <f aca="false">AVERAGEIFS($D$33:$D$1494,$A$33:$A$1494,A900)</f>
        <v>46.4166666666667</v>
      </c>
      <c r="F900" s="213" t="n">
        <v>6.2</v>
      </c>
      <c r="G900" s="213" t="n">
        <f aca="false">AVERAGEIFS($F$33:$F$1494,$A$33:$A$1494,A900)</f>
        <v>6.46666666666667</v>
      </c>
      <c r="H900" s="213" t="n">
        <v>7.1</v>
      </c>
      <c r="I900" s="213" t="n">
        <f aca="false">AVERAGEIFS($H$33:$H$1494,$A$33:$A$1494,A900)</f>
        <v>7.21666666666667</v>
      </c>
      <c r="L900" s="215" t="n">
        <v>40603</v>
      </c>
      <c r="M900" s="213" t="n">
        <v>52.4333333333333</v>
      </c>
      <c r="N900" s="213" t="n">
        <v>46.4166666666667</v>
      </c>
      <c r="O900" s="213" t="n">
        <v>6.46666666666667</v>
      </c>
      <c r="P900" s="213" t="n">
        <v>7.21666666666667</v>
      </c>
    </row>
    <row r="901" customFormat="false" ht="12.75" hidden="false" customHeight="false" outlineLevel="0" collapsed="false">
      <c r="A901" s="215" t="n">
        <v>40603</v>
      </c>
      <c r="B901" s="213" t="n">
        <v>51.6</v>
      </c>
      <c r="C901" s="213" t="n">
        <f aca="false">AVERAGEIFS($B$33:$B$1494,$A$33:$A$1494,A901)</f>
        <v>52.4333333333333</v>
      </c>
      <c r="D901" s="213" t="n">
        <v>46.4</v>
      </c>
      <c r="E901" s="213" t="n">
        <f aca="false">AVERAGEIFS($D$33:$D$1494,$A$33:$A$1494,A901)</f>
        <v>46.4166666666667</v>
      </c>
      <c r="F901" s="213" t="n">
        <v>6.4</v>
      </c>
      <c r="G901" s="213" t="n">
        <f aca="false">AVERAGEIFS($F$33:$F$1494,$A$33:$A$1494,A901)</f>
        <v>6.46666666666667</v>
      </c>
      <c r="H901" s="213" t="n">
        <v>7</v>
      </c>
      <c r="I901" s="213" t="n">
        <f aca="false">AVERAGEIFS($H$33:$H$1494,$A$33:$A$1494,A901)</f>
        <v>7.21666666666667</v>
      </c>
      <c r="L901" s="215" t="n">
        <v>40603</v>
      </c>
      <c r="M901" s="213" t="n">
        <v>52.4333333333333</v>
      </c>
      <c r="N901" s="213" t="n">
        <v>46.4166666666667</v>
      </c>
      <c r="O901" s="213" t="n">
        <v>6.46666666666667</v>
      </c>
      <c r="P901" s="213" t="n">
        <v>7.21666666666667</v>
      </c>
    </row>
    <row r="902" customFormat="false" ht="12.75" hidden="false" customHeight="false" outlineLevel="0" collapsed="false">
      <c r="A902" s="215" t="n">
        <v>40603</v>
      </c>
      <c r="B902" s="213" t="n">
        <v>51.4</v>
      </c>
      <c r="C902" s="213" t="n">
        <f aca="false">AVERAGEIFS($B$33:$B$1494,$A$33:$A$1494,A902)</f>
        <v>52.4333333333333</v>
      </c>
      <c r="D902" s="213" t="n">
        <v>46.4</v>
      </c>
      <c r="E902" s="213" t="n">
        <f aca="false">AVERAGEIFS($D$33:$D$1494,$A$33:$A$1494,A902)</f>
        <v>46.4166666666667</v>
      </c>
      <c r="F902" s="213" t="n">
        <v>6.3</v>
      </c>
      <c r="G902" s="213" t="n">
        <f aca="false">AVERAGEIFS($F$33:$F$1494,$A$33:$A$1494,A902)</f>
        <v>6.46666666666667</v>
      </c>
      <c r="H902" s="213" t="n">
        <v>7</v>
      </c>
      <c r="I902" s="213" t="n">
        <f aca="false">AVERAGEIFS($H$33:$H$1494,$A$33:$A$1494,A902)</f>
        <v>7.21666666666667</v>
      </c>
      <c r="L902" s="215" t="n">
        <v>40603</v>
      </c>
      <c r="M902" s="213" t="n">
        <v>52.4333333333333</v>
      </c>
      <c r="N902" s="213" t="n">
        <v>46.4166666666667</v>
      </c>
      <c r="O902" s="213" t="n">
        <v>6.46666666666667</v>
      </c>
      <c r="P902" s="213" t="n">
        <v>7.21666666666667</v>
      </c>
    </row>
    <row r="903" customFormat="false" ht="12.75" hidden="false" customHeight="false" outlineLevel="0" collapsed="false">
      <c r="A903" s="215" t="n">
        <v>40604</v>
      </c>
      <c r="B903" s="213" t="n">
        <v>51.3</v>
      </c>
      <c r="C903" s="213" t="n">
        <f aca="false">AVERAGEIFS($B$33:$B$1494,$A$33:$A$1494,A903)</f>
        <v>50.8333333333333</v>
      </c>
      <c r="D903" s="213" t="n">
        <v>46.3</v>
      </c>
      <c r="E903" s="213" t="n">
        <f aca="false">AVERAGEIFS($D$33:$D$1494,$A$33:$A$1494,A903)</f>
        <v>46.3</v>
      </c>
      <c r="F903" s="213" t="n">
        <v>6.2</v>
      </c>
      <c r="G903" s="213" t="n">
        <f aca="false">AVERAGEIFS($F$33:$F$1494,$A$33:$A$1494,A903)</f>
        <v>6.11666666666667</v>
      </c>
      <c r="H903" s="213" t="n">
        <v>6.9</v>
      </c>
      <c r="I903" s="213" t="n">
        <f aca="false">AVERAGEIFS($H$33:$H$1494,$A$33:$A$1494,A903)</f>
        <v>6.75</v>
      </c>
      <c r="L903" s="215" t="n">
        <v>40604</v>
      </c>
      <c r="M903" s="213" t="n">
        <v>50.8333333333333</v>
      </c>
      <c r="N903" s="213" t="n">
        <v>46.3</v>
      </c>
      <c r="O903" s="213" t="n">
        <v>6.11666666666667</v>
      </c>
      <c r="P903" s="213" t="n">
        <v>6.75</v>
      </c>
    </row>
    <row r="904" customFormat="false" ht="12.75" hidden="false" customHeight="false" outlineLevel="0" collapsed="false">
      <c r="A904" s="215" t="n">
        <v>40604</v>
      </c>
      <c r="B904" s="213" t="n">
        <v>51</v>
      </c>
      <c r="C904" s="213" t="n">
        <f aca="false">AVERAGEIFS($B$33:$B$1494,$A$33:$A$1494,A904)</f>
        <v>50.8333333333333</v>
      </c>
      <c r="D904" s="213" t="n">
        <v>46.3</v>
      </c>
      <c r="E904" s="213" t="n">
        <f aca="false">AVERAGEIFS($D$33:$D$1494,$A$33:$A$1494,A904)</f>
        <v>46.3</v>
      </c>
      <c r="F904" s="213" t="n">
        <v>6.1</v>
      </c>
      <c r="G904" s="213" t="n">
        <f aca="false">AVERAGEIFS($F$33:$F$1494,$A$33:$A$1494,A904)</f>
        <v>6.11666666666667</v>
      </c>
      <c r="H904" s="213" t="n">
        <v>6.8</v>
      </c>
      <c r="I904" s="213" t="n">
        <f aca="false">AVERAGEIFS($H$33:$H$1494,$A$33:$A$1494,A904)</f>
        <v>6.75</v>
      </c>
      <c r="L904" s="215" t="n">
        <v>40604</v>
      </c>
      <c r="M904" s="213" t="n">
        <v>50.8333333333333</v>
      </c>
      <c r="N904" s="213" t="n">
        <v>46.3</v>
      </c>
      <c r="O904" s="213" t="n">
        <v>6.11666666666667</v>
      </c>
      <c r="P904" s="213" t="n">
        <v>6.75</v>
      </c>
    </row>
    <row r="905" customFormat="false" ht="12.75" hidden="false" customHeight="false" outlineLevel="0" collapsed="false">
      <c r="A905" s="215" t="n">
        <v>40604</v>
      </c>
      <c r="B905" s="213" t="n">
        <v>50.9</v>
      </c>
      <c r="C905" s="213" t="n">
        <f aca="false">AVERAGEIFS($B$33:$B$1494,$A$33:$A$1494,A905)</f>
        <v>50.8333333333333</v>
      </c>
      <c r="D905" s="213" t="n">
        <v>46.3</v>
      </c>
      <c r="E905" s="213" t="n">
        <f aca="false">AVERAGEIFS($D$33:$D$1494,$A$33:$A$1494,A905)</f>
        <v>46.3</v>
      </c>
      <c r="F905" s="213" t="n">
        <v>6.1</v>
      </c>
      <c r="G905" s="213" t="n">
        <f aca="false">AVERAGEIFS($F$33:$F$1494,$A$33:$A$1494,A905)</f>
        <v>6.11666666666667</v>
      </c>
      <c r="H905" s="213" t="n">
        <v>6.8</v>
      </c>
      <c r="I905" s="213" t="n">
        <f aca="false">AVERAGEIFS($H$33:$H$1494,$A$33:$A$1494,A905)</f>
        <v>6.75</v>
      </c>
      <c r="L905" s="215" t="n">
        <v>40604</v>
      </c>
      <c r="M905" s="213" t="n">
        <v>50.8333333333333</v>
      </c>
      <c r="N905" s="213" t="n">
        <v>46.3</v>
      </c>
      <c r="O905" s="213" t="n">
        <v>6.11666666666667</v>
      </c>
      <c r="P905" s="213" t="n">
        <v>6.75</v>
      </c>
    </row>
    <row r="906" customFormat="false" ht="12.75" hidden="false" customHeight="false" outlineLevel="0" collapsed="false">
      <c r="A906" s="215" t="n">
        <v>40604</v>
      </c>
      <c r="B906" s="213" t="n">
        <v>50.7</v>
      </c>
      <c r="C906" s="213" t="n">
        <f aca="false">AVERAGEIFS($B$33:$B$1494,$A$33:$A$1494,A906)</f>
        <v>50.8333333333333</v>
      </c>
      <c r="D906" s="213" t="n">
        <v>46.3</v>
      </c>
      <c r="E906" s="213" t="n">
        <f aca="false">AVERAGEIFS($D$33:$D$1494,$A$33:$A$1494,A906)</f>
        <v>46.3</v>
      </c>
      <c r="F906" s="213" t="n">
        <v>6.1</v>
      </c>
      <c r="G906" s="213" t="n">
        <f aca="false">AVERAGEIFS($F$33:$F$1494,$A$33:$A$1494,A906)</f>
        <v>6.11666666666667</v>
      </c>
      <c r="H906" s="213" t="n">
        <v>6.7</v>
      </c>
      <c r="I906" s="213" t="n">
        <f aca="false">AVERAGEIFS($H$33:$H$1494,$A$33:$A$1494,A906)</f>
        <v>6.75</v>
      </c>
      <c r="L906" s="215" t="n">
        <v>40604</v>
      </c>
      <c r="M906" s="213" t="n">
        <v>50.8333333333333</v>
      </c>
      <c r="N906" s="213" t="n">
        <v>46.3</v>
      </c>
      <c r="O906" s="213" t="n">
        <v>6.11666666666667</v>
      </c>
      <c r="P906" s="213" t="n">
        <v>6.75</v>
      </c>
    </row>
    <row r="907" customFormat="false" ht="12.75" hidden="false" customHeight="false" outlineLevel="0" collapsed="false">
      <c r="A907" s="215" t="n">
        <v>40604</v>
      </c>
      <c r="B907" s="213" t="n">
        <v>50.6</v>
      </c>
      <c r="C907" s="213" t="n">
        <f aca="false">AVERAGEIFS($B$33:$B$1494,$A$33:$A$1494,A907)</f>
        <v>50.8333333333333</v>
      </c>
      <c r="D907" s="213" t="n">
        <v>46.3</v>
      </c>
      <c r="E907" s="213" t="n">
        <f aca="false">AVERAGEIFS($D$33:$D$1494,$A$33:$A$1494,A907)</f>
        <v>46.3</v>
      </c>
      <c r="F907" s="213" t="n">
        <v>6.2</v>
      </c>
      <c r="G907" s="213" t="n">
        <f aca="false">AVERAGEIFS($F$33:$F$1494,$A$33:$A$1494,A907)</f>
        <v>6.11666666666667</v>
      </c>
      <c r="H907" s="213" t="n">
        <v>6.7</v>
      </c>
      <c r="I907" s="213" t="n">
        <f aca="false">AVERAGEIFS($H$33:$H$1494,$A$33:$A$1494,A907)</f>
        <v>6.75</v>
      </c>
      <c r="L907" s="215" t="n">
        <v>40604</v>
      </c>
      <c r="M907" s="213" t="n">
        <v>50.8333333333333</v>
      </c>
      <c r="N907" s="213" t="n">
        <v>46.3</v>
      </c>
      <c r="O907" s="213" t="n">
        <v>6.11666666666667</v>
      </c>
      <c r="P907" s="213" t="n">
        <v>6.75</v>
      </c>
    </row>
    <row r="908" customFormat="false" ht="12.75" hidden="false" customHeight="false" outlineLevel="0" collapsed="false">
      <c r="A908" s="215" t="n">
        <v>40604</v>
      </c>
      <c r="B908" s="213" t="n">
        <v>50.5</v>
      </c>
      <c r="C908" s="213" t="n">
        <f aca="false">AVERAGEIFS($B$33:$B$1494,$A$33:$A$1494,A908)</f>
        <v>50.8333333333333</v>
      </c>
      <c r="D908" s="213" t="n">
        <v>46.3</v>
      </c>
      <c r="E908" s="213" t="n">
        <f aca="false">AVERAGEIFS($D$33:$D$1494,$A$33:$A$1494,A908)</f>
        <v>46.3</v>
      </c>
      <c r="F908" s="213" t="n">
        <v>6</v>
      </c>
      <c r="G908" s="213" t="n">
        <f aca="false">AVERAGEIFS($F$33:$F$1494,$A$33:$A$1494,A908)</f>
        <v>6.11666666666667</v>
      </c>
      <c r="H908" s="213" t="n">
        <v>6.6</v>
      </c>
      <c r="I908" s="213" t="n">
        <f aca="false">AVERAGEIFS($H$33:$H$1494,$A$33:$A$1494,A908)</f>
        <v>6.75</v>
      </c>
      <c r="L908" s="215" t="n">
        <v>40604</v>
      </c>
      <c r="M908" s="213" t="n">
        <v>50.8333333333333</v>
      </c>
      <c r="N908" s="213" t="n">
        <v>46.3</v>
      </c>
      <c r="O908" s="213" t="n">
        <v>6.11666666666667</v>
      </c>
      <c r="P908" s="213" t="n">
        <v>6.75</v>
      </c>
    </row>
    <row r="909" customFormat="false" ht="12.75" hidden="false" customHeight="false" outlineLevel="0" collapsed="false">
      <c r="A909" s="215" t="n">
        <v>40605</v>
      </c>
      <c r="B909" s="213" t="n">
        <v>50.4</v>
      </c>
      <c r="C909" s="213" t="n">
        <f aca="false">AVERAGEIFS($B$33:$B$1494,$A$33:$A$1494,A909)</f>
        <v>50.2166666666667</v>
      </c>
      <c r="D909" s="213" t="n">
        <v>46.2</v>
      </c>
      <c r="E909" s="213" t="n">
        <f aca="false">AVERAGEIFS($D$33:$D$1494,$A$33:$A$1494,A909)</f>
        <v>46.2166666666667</v>
      </c>
      <c r="F909" s="213" t="n">
        <v>5.8</v>
      </c>
      <c r="G909" s="213" t="n">
        <f aca="false">AVERAGEIFS($F$33:$F$1494,$A$33:$A$1494,A909)</f>
        <v>5.68333333333333</v>
      </c>
      <c r="H909" s="213" t="n">
        <v>6.6</v>
      </c>
      <c r="I909" s="213" t="n">
        <f aca="false">AVERAGEIFS($H$33:$H$1494,$A$33:$A$1494,A909)</f>
        <v>6.38333333333333</v>
      </c>
      <c r="L909" s="215" t="n">
        <v>40605</v>
      </c>
      <c r="M909" s="213" t="n">
        <v>50.2166666666667</v>
      </c>
      <c r="N909" s="213" t="n">
        <v>46.2166666666667</v>
      </c>
      <c r="O909" s="213" t="n">
        <v>5.68333333333333</v>
      </c>
      <c r="P909" s="213" t="n">
        <v>6.38333333333333</v>
      </c>
    </row>
    <row r="910" customFormat="false" ht="12.75" hidden="false" customHeight="false" outlineLevel="0" collapsed="false">
      <c r="A910" s="215" t="n">
        <v>40605</v>
      </c>
      <c r="B910" s="213" t="n">
        <v>50.5</v>
      </c>
      <c r="C910" s="213" t="n">
        <f aca="false">AVERAGEIFS($B$33:$B$1494,$A$33:$A$1494,A910)</f>
        <v>50.2166666666667</v>
      </c>
      <c r="D910" s="213" t="n">
        <v>46.3</v>
      </c>
      <c r="E910" s="213" t="n">
        <f aca="false">AVERAGEIFS($D$33:$D$1494,$A$33:$A$1494,A910)</f>
        <v>46.2166666666667</v>
      </c>
      <c r="F910" s="213" t="n">
        <v>5.6</v>
      </c>
      <c r="G910" s="213" t="n">
        <f aca="false">AVERAGEIFS($F$33:$F$1494,$A$33:$A$1494,A910)</f>
        <v>5.68333333333333</v>
      </c>
      <c r="H910" s="213" t="n">
        <v>6.5</v>
      </c>
      <c r="I910" s="213" t="n">
        <f aca="false">AVERAGEIFS($H$33:$H$1494,$A$33:$A$1494,A910)</f>
        <v>6.38333333333333</v>
      </c>
      <c r="L910" s="215" t="n">
        <v>40605</v>
      </c>
      <c r="M910" s="213" t="n">
        <v>50.2166666666667</v>
      </c>
      <c r="N910" s="213" t="n">
        <v>46.2166666666667</v>
      </c>
      <c r="O910" s="213" t="n">
        <v>5.68333333333333</v>
      </c>
      <c r="P910" s="213" t="n">
        <v>6.38333333333333</v>
      </c>
    </row>
    <row r="911" customFormat="false" ht="12.75" hidden="false" customHeight="false" outlineLevel="0" collapsed="false">
      <c r="A911" s="215" t="n">
        <v>40605</v>
      </c>
      <c r="B911" s="213" t="n">
        <v>50.3</v>
      </c>
      <c r="C911" s="213" t="n">
        <f aca="false">AVERAGEIFS($B$33:$B$1494,$A$33:$A$1494,A911)</f>
        <v>50.2166666666667</v>
      </c>
      <c r="D911" s="213" t="n">
        <v>46.2</v>
      </c>
      <c r="E911" s="213" t="n">
        <f aca="false">AVERAGEIFS($D$33:$D$1494,$A$33:$A$1494,A911)</f>
        <v>46.2166666666667</v>
      </c>
      <c r="F911" s="213" t="n">
        <v>5.4</v>
      </c>
      <c r="G911" s="213" t="n">
        <f aca="false">AVERAGEIFS($F$33:$F$1494,$A$33:$A$1494,A911)</f>
        <v>5.68333333333333</v>
      </c>
      <c r="H911" s="213" t="n">
        <v>6.4</v>
      </c>
      <c r="I911" s="213" t="n">
        <f aca="false">AVERAGEIFS($H$33:$H$1494,$A$33:$A$1494,A911)</f>
        <v>6.38333333333333</v>
      </c>
      <c r="L911" s="215" t="n">
        <v>40605</v>
      </c>
      <c r="M911" s="213" t="n">
        <v>50.2166666666667</v>
      </c>
      <c r="N911" s="213" t="n">
        <v>46.2166666666667</v>
      </c>
      <c r="O911" s="213" t="n">
        <v>5.68333333333333</v>
      </c>
      <c r="P911" s="213" t="n">
        <v>6.38333333333333</v>
      </c>
    </row>
    <row r="912" customFormat="false" ht="12.75" hidden="false" customHeight="false" outlineLevel="0" collapsed="false">
      <c r="A912" s="215" t="n">
        <v>40605</v>
      </c>
      <c r="B912" s="213" t="n">
        <v>50.1</v>
      </c>
      <c r="C912" s="213" t="n">
        <f aca="false">AVERAGEIFS($B$33:$B$1494,$A$33:$A$1494,A912)</f>
        <v>50.2166666666667</v>
      </c>
      <c r="D912" s="213" t="n">
        <v>46.2</v>
      </c>
      <c r="E912" s="213" t="n">
        <f aca="false">AVERAGEIFS($D$33:$D$1494,$A$33:$A$1494,A912)</f>
        <v>46.2166666666667</v>
      </c>
      <c r="F912" s="213" t="n">
        <v>5.3</v>
      </c>
      <c r="G912" s="213" t="n">
        <f aca="false">AVERAGEIFS($F$33:$F$1494,$A$33:$A$1494,A912)</f>
        <v>5.68333333333333</v>
      </c>
      <c r="H912" s="213" t="n">
        <v>6.3</v>
      </c>
      <c r="I912" s="213" t="n">
        <f aca="false">AVERAGEIFS($H$33:$H$1494,$A$33:$A$1494,A912)</f>
        <v>6.38333333333333</v>
      </c>
      <c r="L912" s="215" t="n">
        <v>40605</v>
      </c>
      <c r="M912" s="213" t="n">
        <v>50.2166666666667</v>
      </c>
      <c r="N912" s="213" t="n">
        <v>46.2166666666667</v>
      </c>
      <c r="O912" s="213" t="n">
        <v>5.68333333333333</v>
      </c>
      <c r="P912" s="213" t="n">
        <v>6.38333333333333</v>
      </c>
    </row>
    <row r="913" customFormat="false" ht="12.75" hidden="false" customHeight="false" outlineLevel="0" collapsed="false">
      <c r="A913" s="215" t="n">
        <v>40605</v>
      </c>
      <c r="B913" s="213" t="n">
        <v>50.1</v>
      </c>
      <c r="C913" s="213" t="n">
        <f aca="false">AVERAGEIFS($B$33:$B$1494,$A$33:$A$1494,A913)</f>
        <v>50.2166666666667</v>
      </c>
      <c r="D913" s="213" t="n">
        <v>46.2</v>
      </c>
      <c r="E913" s="213" t="n">
        <f aca="false">AVERAGEIFS($D$33:$D$1494,$A$33:$A$1494,A913)</f>
        <v>46.2166666666667</v>
      </c>
      <c r="F913" s="213" t="n">
        <v>5.9</v>
      </c>
      <c r="G913" s="213" t="n">
        <f aca="false">AVERAGEIFS($F$33:$F$1494,$A$33:$A$1494,A913)</f>
        <v>5.68333333333333</v>
      </c>
      <c r="H913" s="213" t="n">
        <v>6.2</v>
      </c>
      <c r="I913" s="213" t="n">
        <f aca="false">AVERAGEIFS($H$33:$H$1494,$A$33:$A$1494,A913)</f>
        <v>6.38333333333333</v>
      </c>
      <c r="L913" s="215" t="n">
        <v>40605</v>
      </c>
      <c r="M913" s="213" t="n">
        <v>50.2166666666667</v>
      </c>
      <c r="N913" s="213" t="n">
        <v>46.2166666666667</v>
      </c>
      <c r="O913" s="213" t="n">
        <v>5.68333333333333</v>
      </c>
      <c r="P913" s="213" t="n">
        <v>6.38333333333333</v>
      </c>
    </row>
    <row r="914" customFormat="false" ht="12.75" hidden="false" customHeight="false" outlineLevel="0" collapsed="false">
      <c r="A914" s="215" t="n">
        <v>40605</v>
      </c>
      <c r="B914" s="213" t="n">
        <v>49.9</v>
      </c>
      <c r="C914" s="213" t="n">
        <f aca="false">AVERAGEIFS($B$33:$B$1494,$A$33:$A$1494,A914)</f>
        <v>50.2166666666667</v>
      </c>
      <c r="D914" s="213" t="n">
        <v>46.2</v>
      </c>
      <c r="E914" s="213" t="n">
        <f aca="false">AVERAGEIFS($D$33:$D$1494,$A$33:$A$1494,A914)</f>
        <v>46.2166666666667</v>
      </c>
      <c r="F914" s="213" t="n">
        <v>6.1</v>
      </c>
      <c r="G914" s="213" t="n">
        <f aca="false">AVERAGEIFS($F$33:$F$1494,$A$33:$A$1494,A914)</f>
        <v>5.68333333333333</v>
      </c>
      <c r="H914" s="213" t="n">
        <v>6.3</v>
      </c>
      <c r="I914" s="213" t="n">
        <f aca="false">AVERAGEIFS($H$33:$H$1494,$A$33:$A$1494,A914)</f>
        <v>6.38333333333333</v>
      </c>
      <c r="L914" s="215" t="n">
        <v>40605</v>
      </c>
      <c r="M914" s="213" t="n">
        <v>50.2166666666667</v>
      </c>
      <c r="N914" s="213" t="n">
        <v>46.2166666666667</v>
      </c>
      <c r="O914" s="213" t="n">
        <v>5.68333333333333</v>
      </c>
      <c r="P914" s="213" t="n">
        <v>6.38333333333333</v>
      </c>
    </row>
    <row r="915" customFormat="false" ht="12.75" hidden="false" customHeight="false" outlineLevel="0" collapsed="false">
      <c r="A915" s="215" t="n">
        <v>40606</v>
      </c>
      <c r="B915" s="213" t="n">
        <v>49.9</v>
      </c>
      <c r="C915" s="213" t="n">
        <f aca="false">AVERAGEIFS($B$33:$B$1494,$A$33:$A$1494,A915)</f>
        <v>49.7333333333333</v>
      </c>
      <c r="D915" s="213" t="n">
        <v>46.2</v>
      </c>
      <c r="E915" s="213" t="n">
        <f aca="false">AVERAGEIFS($D$33:$D$1494,$A$33:$A$1494,A915)</f>
        <v>46.1166666666667</v>
      </c>
      <c r="F915" s="213" t="n">
        <v>5.4</v>
      </c>
      <c r="G915" s="213" t="n">
        <f aca="false">AVERAGEIFS($F$33:$F$1494,$A$33:$A$1494,A915)</f>
        <v>5.45</v>
      </c>
      <c r="H915" s="213" t="n">
        <v>6.3</v>
      </c>
      <c r="I915" s="213" t="n">
        <f aca="false">AVERAGEIFS($H$33:$H$1494,$A$33:$A$1494,A915)</f>
        <v>6.03333333333333</v>
      </c>
      <c r="L915" s="215" t="n">
        <v>40606</v>
      </c>
      <c r="M915" s="213" t="n">
        <v>49.7333333333333</v>
      </c>
      <c r="N915" s="213" t="n">
        <v>46.1166666666667</v>
      </c>
      <c r="O915" s="213" t="n">
        <v>5.45</v>
      </c>
      <c r="P915" s="213" t="n">
        <v>6.03333333333333</v>
      </c>
    </row>
    <row r="916" customFormat="false" ht="12.75" hidden="false" customHeight="false" outlineLevel="0" collapsed="false">
      <c r="A916" s="215" t="n">
        <v>40606</v>
      </c>
      <c r="B916" s="213" t="n">
        <v>49.8</v>
      </c>
      <c r="C916" s="213" t="n">
        <f aca="false">AVERAGEIFS($B$33:$B$1494,$A$33:$A$1494,A916)</f>
        <v>49.7333333333333</v>
      </c>
      <c r="D916" s="213" t="n">
        <v>46.2</v>
      </c>
      <c r="E916" s="213" t="n">
        <f aca="false">AVERAGEIFS($D$33:$D$1494,$A$33:$A$1494,A916)</f>
        <v>46.1166666666667</v>
      </c>
      <c r="F916" s="213" t="n">
        <v>4.9</v>
      </c>
      <c r="G916" s="213" t="n">
        <f aca="false">AVERAGEIFS($F$33:$F$1494,$A$33:$A$1494,A916)</f>
        <v>5.45</v>
      </c>
      <c r="H916" s="213" t="n">
        <v>6.2</v>
      </c>
      <c r="I916" s="213" t="n">
        <f aca="false">AVERAGEIFS($H$33:$H$1494,$A$33:$A$1494,A916)</f>
        <v>6.03333333333333</v>
      </c>
      <c r="L916" s="215" t="n">
        <v>40606</v>
      </c>
      <c r="M916" s="213" t="n">
        <v>49.7333333333333</v>
      </c>
      <c r="N916" s="213" t="n">
        <v>46.1166666666667</v>
      </c>
      <c r="O916" s="213" t="n">
        <v>5.45</v>
      </c>
      <c r="P916" s="213" t="n">
        <v>6.03333333333333</v>
      </c>
    </row>
    <row r="917" customFormat="false" ht="12.75" hidden="false" customHeight="false" outlineLevel="0" collapsed="false">
      <c r="A917" s="215" t="n">
        <v>40606</v>
      </c>
      <c r="B917" s="213" t="n">
        <v>49.8</v>
      </c>
      <c r="C917" s="213" t="n">
        <f aca="false">AVERAGEIFS($B$33:$B$1494,$A$33:$A$1494,A917)</f>
        <v>49.7333333333333</v>
      </c>
      <c r="D917" s="213" t="n">
        <v>46.2</v>
      </c>
      <c r="E917" s="213" t="n">
        <f aca="false">AVERAGEIFS($D$33:$D$1494,$A$33:$A$1494,A917)</f>
        <v>46.1166666666667</v>
      </c>
      <c r="F917" s="213" t="n">
        <v>4.5</v>
      </c>
      <c r="G917" s="213" t="n">
        <f aca="false">AVERAGEIFS($F$33:$F$1494,$A$33:$A$1494,A917)</f>
        <v>5.45</v>
      </c>
      <c r="H917" s="213" t="n">
        <v>6</v>
      </c>
      <c r="I917" s="213" t="n">
        <f aca="false">AVERAGEIFS($H$33:$H$1494,$A$33:$A$1494,A917)</f>
        <v>6.03333333333333</v>
      </c>
      <c r="L917" s="215" t="n">
        <v>40606</v>
      </c>
      <c r="M917" s="213" t="n">
        <v>49.7333333333333</v>
      </c>
      <c r="N917" s="213" t="n">
        <v>46.1166666666667</v>
      </c>
      <c r="O917" s="213" t="n">
        <v>5.45</v>
      </c>
      <c r="P917" s="213" t="n">
        <v>6.03333333333333</v>
      </c>
    </row>
    <row r="918" customFormat="false" ht="12.75" hidden="false" customHeight="false" outlineLevel="0" collapsed="false">
      <c r="A918" s="215" t="n">
        <v>40606</v>
      </c>
      <c r="B918" s="213" t="n">
        <v>49.8</v>
      </c>
      <c r="C918" s="213" t="n">
        <f aca="false">AVERAGEIFS($B$33:$B$1494,$A$33:$A$1494,A918)</f>
        <v>49.7333333333333</v>
      </c>
      <c r="D918" s="213" t="n">
        <v>46.2</v>
      </c>
      <c r="E918" s="213" t="n">
        <f aca="false">AVERAGEIFS($D$33:$D$1494,$A$33:$A$1494,A918)</f>
        <v>46.1166666666667</v>
      </c>
      <c r="F918" s="213" t="n">
        <v>4.8</v>
      </c>
      <c r="G918" s="213" t="n">
        <f aca="false">AVERAGEIFS($F$33:$F$1494,$A$33:$A$1494,A918)</f>
        <v>5.45</v>
      </c>
      <c r="H918" s="213" t="n">
        <v>5.8</v>
      </c>
      <c r="I918" s="213" t="n">
        <f aca="false">AVERAGEIFS($H$33:$H$1494,$A$33:$A$1494,A918)</f>
        <v>6.03333333333333</v>
      </c>
      <c r="L918" s="215" t="n">
        <v>40606</v>
      </c>
      <c r="M918" s="213" t="n">
        <v>49.7333333333333</v>
      </c>
      <c r="N918" s="213" t="n">
        <v>46.1166666666667</v>
      </c>
      <c r="O918" s="213" t="n">
        <v>5.45</v>
      </c>
      <c r="P918" s="213" t="n">
        <v>6.03333333333333</v>
      </c>
    </row>
    <row r="919" customFormat="false" ht="12.75" hidden="false" customHeight="false" outlineLevel="0" collapsed="false">
      <c r="A919" s="215" t="n">
        <v>40606</v>
      </c>
      <c r="B919" s="213" t="n">
        <v>49.6</v>
      </c>
      <c r="C919" s="213" t="n">
        <f aca="false">AVERAGEIFS($B$33:$B$1494,$A$33:$A$1494,A919)</f>
        <v>49.7333333333333</v>
      </c>
      <c r="D919" s="213" t="n">
        <v>46</v>
      </c>
      <c r="E919" s="213" t="n">
        <f aca="false">AVERAGEIFS($D$33:$D$1494,$A$33:$A$1494,A919)</f>
        <v>46.1166666666667</v>
      </c>
      <c r="F919" s="213" t="n">
        <v>6.3</v>
      </c>
      <c r="G919" s="213" t="n">
        <f aca="false">AVERAGEIFS($F$33:$F$1494,$A$33:$A$1494,A919)</f>
        <v>5.45</v>
      </c>
      <c r="H919" s="213" t="n">
        <v>5.8</v>
      </c>
      <c r="I919" s="213" t="n">
        <f aca="false">AVERAGEIFS($H$33:$H$1494,$A$33:$A$1494,A919)</f>
        <v>6.03333333333333</v>
      </c>
      <c r="L919" s="215" t="n">
        <v>40606</v>
      </c>
      <c r="M919" s="213" t="n">
        <v>49.7333333333333</v>
      </c>
      <c r="N919" s="213" t="n">
        <v>46.1166666666667</v>
      </c>
      <c r="O919" s="213" t="n">
        <v>5.45</v>
      </c>
      <c r="P919" s="213" t="n">
        <v>6.03333333333333</v>
      </c>
    </row>
    <row r="920" customFormat="false" ht="12.75" hidden="false" customHeight="false" outlineLevel="0" collapsed="false">
      <c r="A920" s="215" t="n">
        <v>40606</v>
      </c>
      <c r="B920" s="213" t="n">
        <v>49.5</v>
      </c>
      <c r="C920" s="213" t="n">
        <f aca="false">AVERAGEIFS($B$33:$B$1494,$A$33:$A$1494,A920)</f>
        <v>49.7333333333333</v>
      </c>
      <c r="D920" s="213" t="n">
        <v>45.9</v>
      </c>
      <c r="E920" s="213" t="n">
        <f aca="false">AVERAGEIFS($D$33:$D$1494,$A$33:$A$1494,A920)</f>
        <v>46.1166666666667</v>
      </c>
      <c r="F920" s="213" t="n">
        <v>6.8</v>
      </c>
      <c r="G920" s="213" t="n">
        <f aca="false">AVERAGEIFS($F$33:$F$1494,$A$33:$A$1494,A920)</f>
        <v>5.45</v>
      </c>
      <c r="H920" s="213" t="n">
        <v>6.1</v>
      </c>
      <c r="I920" s="213" t="n">
        <f aca="false">AVERAGEIFS($H$33:$H$1494,$A$33:$A$1494,A920)</f>
        <v>6.03333333333333</v>
      </c>
      <c r="L920" s="215" t="n">
        <v>40606</v>
      </c>
      <c r="M920" s="213" t="n">
        <v>49.7333333333333</v>
      </c>
      <c r="N920" s="213" t="n">
        <v>46.1166666666667</v>
      </c>
      <c r="O920" s="213" t="n">
        <v>5.45</v>
      </c>
      <c r="P920" s="213" t="n">
        <v>6.03333333333333</v>
      </c>
    </row>
    <row r="921" customFormat="false" ht="12.75" hidden="false" customHeight="false" outlineLevel="0" collapsed="false">
      <c r="A921" s="215" t="n">
        <v>40607</v>
      </c>
      <c r="B921" s="213" t="n">
        <v>49.5</v>
      </c>
      <c r="C921" s="213" t="n">
        <f aca="false">AVERAGEIFS($B$33:$B$1494,$A$33:$A$1494,A921)</f>
        <v>49.3833333333333</v>
      </c>
      <c r="D921" s="213" t="n">
        <v>45.9</v>
      </c>
      <c r="E921" s="213" t="n">
        <f aca="false">AVERAGEIFS($D$33:$D$1494,$A$33:$A$1494,A921)</f>
        <v>45.8666666666667</v>
      </c>
      <c r="F921" s="213" t="n">
        <v>6.4</v>
      </c>
      <c r="G921" s="213" t="n">
        <f aca="false">AVERAGEIFS($F$33:$F$1494,$A$33:$A$1494,A921)</f>
        <v>6.06666666666667</v>
      </c>
      <c r="H921" s="213" t="n">
        <v>6.3</v>
      </c>
      <c r="I921" s="213" t="n">
        <f aca="false">AVERAGEIFS($H$33:$H$1494,$A$33:$A$1494,A921)</f>
        <v>6.23333333333333</v>
      </c>
      <c r="L921" s="215" t="n">
        <v>40607</v>
      </c>
      <c r="M921" s="213" t="n">
        <v>49.3833333333333</v>
      </c>
      <c r="N921" s="213" t="n">
        <v>45.8666666666667</v>
      </c>
      <c r="O921" s="213" t="n">
        <v>6.06666666666667</v>
      </c>
      <c r="P921" s="213" t="n">
        <v>6.23333333333333</v>
      </c>
    </row>
    <row r="922" customFormat="false" ht="12.75" hidden="false" customHeight="false" outlineLevel="0" collapsed="false">
      <c r="A922" s="215" t="n">
        <v>40607</v>
      </c>
      <c r="B922" s="213" t="n">
        <v>49.5</v>
      </c>
      <c r="C922" s="213" t="n">
        <f aca="false">AVERAGEIFS($B$33:$B$1494,$A$33:$A$1494,A922)</f>
        <v>49.3833333333333</v>
      </c>
      <c r="D922" s="213" t="n">
        <v>45.9</v>
      </c>
      <c r="E922" s="213" t="n">
        <f aca="false">AVERAGEIFS($D$33:$D$1494,$A$33:$A$1494,A922)</f>
        <v>45.8666666666667</v>
      </c>
      <c r="F922" s="213" t="n">
        <v>5.7</v>
      </c>
      <c r="G922" s="213" t="n">
        <f aca="false">AVERAGEIFS($F$33:$F$1494,$A$33:$A$1494,A922)</f>
        <v>6.06666666666667</v>
      </c>
      <c r="H922" s="213" t="n">
        <v>6.4</v>
      </c>
      <c r="I922" s="213" t="n">
        <f aca="false">AVERAGEIFS($H$33:$H$1494,$A$33:$A$1494,A922)</f>
        <v>6.23333333333333</v>
      </c>
      <c r="L922" s="215" t="n">
        <v>40607</v>
      </c>
      <c r="M922" s="213" t="n">
        <v>49.3833333333333</v>
      </c>
      <c r="N922" s="213" t="n">
        <v>45.8666666666667</v>
      </c>
      <c r="O922" s="213" t="n">
        <v>6.06666666666667</v>
      </c>
      <c r="P922" s="213" t="n">
        <v>6.23333333333333</v>
      </c>
    </row>
    <row r="923" customFormat="false" ht="12.75" hidden="false" customHeight="false" outlineLevel="0" collapsed="false">
      <c r="A923" s="215" t="n">
        <v>40607</v>
      </c>
      <c r="B923" s="213" t="n">
        <v>49.4</v>
      </c>
      <c r="C923" s="213" t="n">
        <f aca="false">AVERAGEIFS($B$33:$B$1494,$A$33:$A$1494,A923)</f>
        <v>49.3833333333333</v>
      </c>
      <c r="D923" s="213" t="n">
        <v>45.9</v>
      </c>
      <c r="E923" s="213" t="n">
        <f aca="false">AVERAGEIFS($D$33:$D$1494,$A$33:$A$1494,A923)</f>
        <v>45.8666666666667</v>
      </c>
      <c r="F923" s="213" t="n">
        <v>5.1</v>
      </c>
      <c r="G923" s="213" t="n">
        <f aca="false">AVERAGEIFS($F$33:$F$1494,$A$33:$A$1494,A923)</f>
        <v>6.06666666666667</v>
      </c>
      <c r="H923" s="213" t="n">
        <v>6.2</v>
      </c>
      <c r="I923" s="213" t="n">
        <f aca="false">AVERAGEIFS($H$33:$H$1494,$A$33:$A$1494,A923)</f>
        <v>6.23333333333333</v>
      </c>
      <c r="L923" s="215" t="n">
        <v>40607</v>
      </c>
      <c r="M923" s="213" t="n">
        <v>49.3833333333333</v>
      </c>
      <c r="N923" s="213" t="n">
        <v>45.8666666666667</v>
      </c>
      <c r="O923" s="213" t="n">
        <v>6.06666666666667</v>
      </c>
      <c r="P923" s="213" t="n">
        <v>6.23333333333333</v>
      </c>
    </row>
    <row r="924" customFormat="false" ht="12.75" hidden="false" customHeight="false" outlineLevel="0" collapsed="false">
      <c r="A924" s="215" t="n">
        <v>40607</v>
      </c>
      <c r="B924" s="213" t="n">
        <v>49.4</v>
      </c>
      <c r="C924" s="213" t="n">
        <f aca="false">AVERAGEIFS($B$33:$B$1494,$A$33:$A$1494,A924)</f>
        <v>49.3833333333333</v>
      </c>
      <c r="D924" s="213" t="n">
        <v>45.9</v>
      </c>
      <c r="E924" s="213" t="n">
        <f aca="false">AVERAGEIFS($D$33:$D$1494,$A$33:$A$1494,A924)</f>
        <v>45.8666666666667</v>
      </c>
      <c r="F924" s="213" t="n">
        <v>5.2</v>
      </c>
      <c r="G924" s="213" t="n">
        <f aca="false">AVERAGEIFS($F$33:$F$1494,$A$33:$A$1494,A924)</f>
        <v>6.06666666666667</v>
      </c>
      <c r="H924" s="213" t="n">
        <v>6.1</v>
      </c>
      <c r="I924" s="213" t="n">
        <f aca="false">AVERAGEIFS($H$33:$H$1494,$A$33:$A$1494,A924)</f>
        <v>6.23333333333333</v>
      </c>
      <c r="L924" s="215" t="n">
        <v>40607</v>
      </c>
      <c r="M924" s="213" t="n">
        <v>49.3833333333333</v>
      </c>
      <c r="N924" s="213" t="n">
        <v>45.8666666666667</v>
      </c>
      <c r="O924" s="213" t="n">
        <v>6.06666666666667</v>
      </c>
      <c r="P924" s="213" t="n">
        <v>6.23333333333333</v>
      </c>
    </row>
    <row r="925" customFormat="false" ht="12.75" hidden="false" customHeight="false" outlineLevel="0" collapsed="false">
      <c r="A925" s="215" t="n">
        <v>40607</v>
      </c>
      <c r="B925" s="213" t="n">
        <v>49.3</v>
      </c>
      <c r="C925" s="213" t="n">
        <f aca="false">AVERAGEIFS($B$33:$B$1494,$A$33:$A$1494,A925)</f>
        <v>49.3833333333333</v>
      </c>
      <c r="D925" s="213" t="n">
        <v>45.8</v>
      </c>
      <c r="E925" s="213" t="n">
        <f aca="false">AVERAGEIFS($D$33:$D$1494,$A$33:$A$1494,A925)</f>
        <v>45.8666666666667</v>
      </c>
      <c r="F925" s="213" t="n">
        <v>6.7</v>
      </c>
      <c r="G925" s="213" t="n">
        <f aca="false">AVERAGEIFS($F$33:$F$1494,$A$33:$A$1494,A925)</f>
        <v>6.06666666666667</v>
      </c>
      <c r="H925" s="213" t="n">
        <v>6.1</v>
      </c>
      <c r="I925" s="213" t="n">
        <f aca="false">AVERAGEIFS($H$33:$H$1494,$A$33:$A$1494,A925)</f>
        <v>6.23333333333333</v>
      </c>
      <c r="L925" s="215" t="n">
        <v>40607</v>
      </c>
      <c r="M925" s="213" t="n">
        <v>49.3833333333333</v>
      </c>
      <c r="N925" s="213" t="n">
        <v>45.8666666666667</v>
      </c>
      <c r="O925" s="213" t="n">
        <v>6.06666666666667</v>
      </c>
      <c r="P925" s="213" t="n">
        <v>6.23333333333333</v>
      </c>
    </row>
    <row r="926" customFormat="false" ht="12.75" hidden="false" customHeight="false" outlineLevel="0" collapsed="false">
      <c r="A926" s="215" t="n">
        <v>40607</v>
      </c>
      <c r="B926" s="213" t="n">
        <v>49.2</v>
      </c>
      <c r="C926" s="213" t="n">
        <f aca="false">AVERAGEIFS($B$33:$B$1494,$A$33:$A$1494,A926)</f>
        <v>49.3833333333333</v>
      </c>
      <c r="D926" s="213" t="n">
        <v>45.8</v>
      </c>
      <c r="E926" s="213" t="n">
        <f aca="false">AVERAGEIFS($D$33:$D$1494,$A$33:$A$1494,A926)</f>
        <v>45.8666666666667</v>
      </c>
      <c r="F926" s="213" t="n">
        <v>7.3</v>
      </c>
      <c r="G926" s="213" t="n">
        <f aca="false">AVERAGEIFS($F$33:$F$1494,$A$33:$A$1494,A926)</f>
        <v>6.06666666666667</v>
      </c>
      <c r="H926" s="213" t="n">
        <v>6.3</v>
      </c>
      <c r="I926" s="213" t="n">
        <f aca="false">AVERAGEIFS($H$33:$H$1494,$A$33:$A$1494,A926)</f>
        <v>6.23333333333333</v>
      </c>
      <c r="L926" s="215" t="n">
        <v>40607</v>
      </c>
      <c r="M926" s="213" t="n">
        <v>49.3833333333333</v>
      </c>
      <c r="N926" s="213" t="n">
        <v>45.8666666666667</v>
      </c>
      <c r="O926" s="213" t="n">
        <v>6.06666666666667</v>
      </c>
      <c r="P926" s="213" t="n">
        <v>6.23333333333333</v>
      </c>
    </row>
    <row r="927" customFormat="false" ht="12.75" hidden="false" customHeight="false" outlineLevel="0" collapsed="false">
      <c r="A927" s="215" t="n">
        <v>40608</v>
      </c>
      <c r="B927" s="213" t="n">
        <v>49.1</v>
      </c>
      <c r="C927" s="213" t="n">
        <f aca="false">AVERAGEIFS($B$33:$B$1494,$A$33:$A$1494,A927)</f>
        <v>49.0666666666667</v>
      </c>
      <c r="D927" s="213" t="n">
        <v>45.8</v>
      </c>
      <c r="E927" s="213" t="n">
        <f aca="false">AVERAGEIFS($D$33:$D$1494,$A$33:$A$1494,A927)</f>
        <v>45.7666666666667</v>
      </c>
      <c r="F927" s="213" t="n">
        <v>6.7</v>
      </c>
      <c r="G927" s="213" t="n">
        <f aca="false">AVERAGEIFS($F$33:$F$1494,$A$33:$A$1494,A927)</f>
        <v>6.53333333333333</v>
      </c>
      <c r="H927" s="213" t="n">
        <v>6.6</v>
      </c>
      <c r="I927" s="213" t="n">
        <f aca="false">AVERAGEIFS($H$33:$H$1494,$A$33:$A$1494,A927)</f>
        <v>6.48333333333333</v>
      </c>
      <c r="L927" s="215" t="n">
        <v>40608</v>
      </c>
      <c r="M927" s="213" t="n">
        <v>49.0666666666667</v>
      </c>
      <c r="N927" s="213" t="n">
        <v>45.7666666666667</v>
      </c>
      <c r="O927" s="213" t="n">
        <v>6.53333333333333</v>
      </c>
      <c r="P927" s="213" t="n">
        <v>6.48333333333333</v>
      </c>
    </row>
    <row r="928" customFormat="false" ht="12.75" hidden="false" customHeight="false" outlineLevel="0" collapsed="false">
      <c r="A928" s="215" t="n">
        <v>40608</v>
      </c>
      <c r="B928" s="213" t="n">
        <v>49.1</v>
      </c>
      <c r="C928" s="213" t="n">
        <f aca="false">AVERAGEIFS($B$33:$B$1494,$A$33:$A$1494,A928)</f>
        <v>49.0666666666667</v>
      </c>
      <c r="D928" s="213" t="n">
        <v>45.8</v>
      </c>
      <c r="E928" s="213" t="n">
        <f aca="false">AVERAGEIFS($D$33:$D$1494,$A$33:$A$1494,A928)</f>
        <v>45.7666666666667</v>
      </c>
      <c r="F928" s="213" t="n">
        <v>6.2</v>
      </c>
      <c r="G928" s="213" t="n">
        <f aca="false">AVERAGEIFS($F$33:$F$1494,$A$33:$A$1494,A928)</f>
        <v>6.53333333333333</v>
      </c>
      <c r="H928" s="213" t="n">
        <v>6.6</v>
      </c>
      <c r="I928" s="213" t="n">
        <f aca="false">AVERAGEIFS($H$33:$H$1494,$A$33:$A$1494,A928)</f>
        <v>6.48333333333333</v>
      </c>
      <c r="L928" s="215" t="n">
        <v>40608</v>
      </c>
      <c r="M928" s="213" t="n">
        <v>49.0666666666667</v>
      </c>
      <c r="N928" s="213" t="n">
        <v>45.7666666666667</v>
      </c>
      <c r="O928" s="213" t="n">
        <v>6.53333333333333</v>
      </c>
      <c r="P928" s="213" t="n">
        <v>6.48333333333333</v>
      </c>
    </row>
    <row r="929" customFormat="false" ht="12.75" hidden="false" customHeight="false" outlineLevel="0" collapsed="false">
      <c r="A929" s="215" t="n">
        <v>40608</v>
      </c>
      <c r="B929" s="213" t="n">
        <v>49.1</v>
      </c>
      <c r="C929" s="213" t="n">
        <f aca="false">AVERAGEIFS($B$33:$B$1494,$A$33:$A$1494,A929)</f>
        <v>49.0666666666667</v>
      </c>
      <c r="D929" s="213" t="n">
        <v>45.8</v>
      </c>
      <c r="E929" s="213" t="n">
        <f aca="false">AVERAGEIFS($D$33:$D$1494,$A$33:$A$1494,A929)</f>
        <v>45.7666666666667</v>
      </c>
      <c r="F929" s="213" t="n">
        <v>5.8</v>
      </c>
      <c r="G929" s="213" t="n">
        <f aca="false">AVERAGEIFS($F$33:$F$1494,$A$33:$A$1494,A929)</f>
        <v>6.53333333333333</v>
      </c>
      <c r="H929" s="213" t="n">
        <v>6.5</v>
      </c>
      <c r="I929" s="213" t="n">
        <f aca="false">AVERAGEIFS($H$33:$H$1494,$A$33:$A$1494,A929)</f>
        <v>6.48333333333333</v>
      </c>
      <c r="L929" s="215" t="n">
        <v>40608</v>
      </c>
      <c r="M929" s="213" t="n">
        <v>49.0666666666667</v>
      </c>
      <c r="N929" s="213" t="n">
        <v>45.7666666666667</v>
      </c>
      <c r="O929" s="213" t="n">
        <v>6.53333333333333</v>
      </c>
      <c r="P929" s="213" t="n">
        <v>6.48333333333333</v>
      </c>
    </row>
    <row r="930" customFormat="false" ht="12.75" hidden="false" customHeight="false" outlineLevel="0" collapsed="false">
      <c r="A930" s="215" t="n">
        <v>40608</v>
      </c>
      <c r="B930" s="213" t="n">
        <v>49.1</v>
      </c>
      <c r="C930" s="213" t="n">
        <f aca="false">AVERAGEIFS($B$33:$B$1494,$A$33:$A$1494,A930)</f>
        <v>49.0666666666667</v>
      </c>
      <c r="D930" s="213" t="n">
        <v>45.8</v>
      </c>
      <c r="E930" s="213" t="n">
        <f aca="false">AVERAGEIFS($D$33:$D$1494,$A$33:$A$1494,A930)</f>
        <v>45.7666666666667</v>
      </c>
      <c r="F930" s="213" t="n">
        <v>5.8</v>
      </c>
      <c r="G930" s="213" t="n">
        <f aca="false">AVERAGEIFS($F$33:$F$1494,$A$33:$A$1494,A930)</f>
        <v>6.53333333333333</v>
      </c>
      <c r="H930" s="213" t="n">
        <v>6.3</v>
      </c>
      <c r="I930" s="213" t="n">
        <f aca="false">AVERAGEIFS($H$33:$H$1494,$A$33:$A$1494,A930)</f>
        <v>6.48333333333333</v>
      </c>
      <c r="L930" s="215" t="n">
        <v>40608</v>
      </c>
      <c r="M930" s="213" t="n">
        <v>49.0666666666667</v>
      </c>
      <c r="N930" s="213" t="n">
        <v>45.7666666666667</v>
      </c>
      <c r="O930" s="213" t="n">
        <v>6.53333333333333</v>
      </c>
      <c r="P930" s="213" t="n">
        <v>6.48333333333333</v>
      </c>
    </row>
    <row r="931" customFormat="false" ht="12.75" hidden="false" customHeight="false" outlineLevel="0" collapsed="false">
      <c r="A931" s="215" t="n">
        <v>40608</v>
      </c>
      <c r="B931" s="213" t="n">
        <v>49</v>
      </c>
      <c r="C931" s="213" t="n">
        <f aca="false">AVERAGEIFS($B$33:$B$1494,$A$33:$A$1494,A931)</f>
        <v>49.0666666666667</v>
      </c>
      <c r="D931" s="213" t="n">
        <v>45.7</v>
      </c>
      <c r="E931" s="213" t="n">
        <f aca="false">AVERAGEIFS($D$33:$D$1494,$A$33:$A$1494,A931)</f>
        <v>45.7666666666667</v>
      </c>
      <c r="F931" s="213" t="n">
        <v>7.1</v>
      </c>
      <c r="G931" s="213" t="n">
        <f aca="false">AVERAGEIFS($F$33:$F$1494,$A$33:$A$1494,A931)</f>
        <v>6.53333333333333</v>
      </c>
      <c r="H931" s="213" t="n">
        <v>6.3</v>
      </c>
      <c r="I931" s="213" t="n">
        <f aca="false">AVERAGEIFS($H$33:$H$1494,$A$33:$A$1494,A931)</f>
        <v>6.48333333333333</v>
      </c>
      <c r="L931" s="215" t="n">
        <v>40608</v>
      </c>
      <c r="M931" s="213" t="n">
        <v>49.0666666666667</v>
      </c>
      <c r="N931" s="213" t="n">
        <v>45.7666666666667</v>
      </c>
      <c r="O931" s="213" t="n">
        <v>6.53333333333333</v>
      </c>
      <c r="P931" s="213" t="n">
        <v>6.48333333333333</v>
      </c>
    </row>
    <row r="932" customFormat="false" ht="12.75" hidden="false" customHeight="false" outlineLevel="0" collapsed="false">
      <c r="A932" s="215" t="n">
        <v>40608</v>
      </c>
      <c r="B932" s="213" t="n">
        <v>49</v>
      </c>
      <c r="C932" s="213" t="n">
        <f aca="false">AVERAGEIFS($B$33:$B$1494,$A$33:$A$1494,A932)</f>
        <v>49.0666666666667</v>
      </c>
      <c r="D932" s="213" t="n">
        <v>45.7</v>
      </c>
      <c r="E932" s="213" t="n">
        <f aca="false">AVERAGEIFS($D$33:$D$1494,$A$33:$A$1494,A932)</f>
        <v>45.7666666666667</v>
      </c>
      <c r="F932" s="213" t="n">
        <v>7.6</v>
      </c>
      <c r="G932" s="213" t="n">
        <f aca="false">AVERAGEIFS($F$33:$F$1494,$A$33:$A$1494,A932)</f>
        <v>6.53333333333333</v>
      </c>
      <c r="H932" s="213" t="n">
        <v>6.6</v>
      </c>
      <c r="I932" s="213" t="n">
        <f aca="false">AVERAGEIFS($H$33:$H$1494,$A$33:$A$1494,A932)</f>
        <v>6.48333333333333</v>
      </c>
      <c r="L932" s="215" t="n">
        <v>40608</v>
      </c>
      <c r="M932" s="213" t="n">
        <v>49.0666666666667</v>
      </c>
      <c r="N932" s="213" t="n">
        <v>45.7666666666667</v>
      </c>
      <c r="O932" s="213" t="n">
        <v>6.53333333333333</v>
      </c>
      <c r="P932" s="213" t="n">
        <v>6.48333333333333</v>
      </c>
    </row>
    <row r="933" customFormat="false" ht="12.75" hidden="false" customHeight="false" outlineLevel="0" collapsed="false">
      <c r="A933" s="215" t="n">
        <v>40609</v>
      </c>
      <c r="B933" s="213" t="n">
        <v>49.2</v>
      </c>
      <c r="C933" s="213" t="n">
        <f aca="false">AVERAGEIFS($B$33:$B$1494,$A$33:$A$1494,A933)</f>
        <v>49.1166666666667</v>
      </c>
      <c r="D933" s="213" t="n">
        <v>45.7</v>
      </c>
      <c r="E933" s="213" t="n">
        <f aca="false">AVERAGEIFS($D$33:$D$1494,$A$33:$A$1494,A933)</f>
        <v>45.6666666666667</v>
      </c>
      <c r="F933" s="213" t="n">
        <v>6.8</v>
      </c>
      <c r="G933" s="213" t="n">
        <f aca="false">AVERAGEIFS($F$33:$F$1494,$A$33:$A$1494,A933)</f>
        <v>6.28333333333333</v>
      </c>
      <c r="H933" s="213" t="n">
        <v>6.8</v>
      </c>
      <c r="I933" s="213" t="n">
        <f aca="false">AVERAGEIFS($H$33:$H$1494,$A$33:$A$1494,A933)</f>
        <v>6.5</v>
      </c>
      <c r="L933" s="215" t="n">
        <v>40609</v>
      </c>
      <c r="M933" s="213" t="n">
        <v>49.1166666666667</v>
      </c>
      <c r="N933" s="213" t="n">
        <v>45.6666666666667</v>
      </c>
      <c r="O933" s="213" t="n">
        <v>6.28333333333333</v>
      </c>
      <c r="P933" s="213" t="n">
        <v>6.5</v>
      </c>
    </row>
    <row r="934" customFormat="false" ht="12.75" hidden="false" customHeight="false" outlineLevel="0" collapsed="false">
      <c r="A934" s="215" t="n">
        <v>40609</v>
      </c>
      <c r="B934" s="213" t="n">
        <v>49.2</v>
      </c>
      <c r="C934" s="213" t="n">
        <f aca="false">AVERAGEIFS($B$33:$B$1494,$A$33:$A$1494,A934)</f>
        <v>49.1166666666667</v>
      </c>
      <c r="D934" s="213" t="n">
        <v>45.7</v>
      </c>
      <c r="E934" s="213" t="n">
        <f aca="false">AVERAGEIFS($D$33:$D$1494,$A$33:$A$1494,A934)</f>
        <v>45.6666666666667</v>
      </c>
      <c r="F934" s="213" t="n">
        <v>5.9</v>
      </c>
      <c r="G934" s="213" t="n">
        <f aca="false">AVERAGEIFS($F$33:$F$1494,$A$33:$A$1494,A934)</f>
        <v>6.28333333333333</v>
      </c>
      <c r="H934" s="213" t="n">
        <v>6.7</v>
      </c>
      <c r="I934" s="213" t="n">
        <f aca="false">AVERAGEIFS($H$33:$H$1494,$A$33:$A$1494,A934)</f>
        <v>6.5</v>
      </c>
      <c r="L934" s="215" t="n">
        <v>40609</v>
      </c>
      <c r="M934" s="213" t="n">
        <v>49.1166666666667</v>
      </c>
      <c r="N934" s="213" t="n">
        <v>45.6666666666667</v>
      </c>
      <c r="O934" s="213" t="n">
        <v>6.28333333333333</v>
      </c>
      <c r="P934" s="213" t="n">
        <v>6.5</v>
      </c>
    </row>
    <row r="935" customFormat="false" ht="12.75" hidden="false" customHeight="false" outlineLevel="0" collapsed="false">
      <c r="A935" s="215" t="n">
        <v>40609</v>
      </c>
      <c r="B935" s="213" t="n">
        <v>49.2</v>
      </c>
      <c r="C935" s="213" t="n">
        <f aca="false">AVERAGEIFS($B$33:$B$1494,$A$33:$A$1494,A935)</f>
        <v>49.1166666666667</v>
      </c>
      <c r="D935" s="213" t="n">
        <v>45.7</v>
      </c>
      <c r="E935" s="213" t="n">
        <f aca="false">AVERAGEIFS($D$33:$D$1494,$A$33:$A$1494,A935)</f>
        <v>45.6666666666667</v>
      </c>
      <c r="F935" s="213" t="n">
        <v>5.2</v>
      </c>
      <c r="G935" s="213" t="n">
        <f aca="false">AVERAGEIFS($F$33:$F$1494,$A$33:$A$1494,A935)</f>
        <v>6.28333333333333</v>
      </c>
      <c r="H935" s="213" t="n">
        <v>6.5</v>
      </c>
      <c r="I935" s="213" t="n">
        <f aca="false">AVERAGEIFS($H$33:$H$1494,$A$33:$A$1494,A935)</f>
        <v>6.5</v>
      </c>
      <c r="L935" s="215" t="n">
        <v>40609</v>
      </c>
      <c r="M935" s="213" t="n">
        <v>49.1166666666667</v>
      </c>
      <c r="N935" s="213" t="n">
        <v>45.6666666666667</v>
      </c>
      <c r="O935" s="213" t="n">
        <v>6.28333333333333</v>
      </c>
      <c r="P935" s="213" t="n">
        <v>6.5</v>
      </c>
    </row>
    <row r="936" customFormat="false" ht="12.75" hidden="false" customHeight="false" outlineLevel="0" collapsed="false">
      <c r="A936" s="215" t="n">
        <v>40609</v>
      </c>
      <c r="B936" s="213" t="n">
        <v>49.2</v>
      </c>
      <c r="C936" s="213" t="n">
        <f aca="false">AVERAGEIFS($B$33:$B$1494,$A$33:$A$1494,A936)</f>
        <v>49.1166666666667</v>
      </c>
      <c r="D936" s="213" t="n">
        <v>45.7</v>
      </c>
      <c r="E936" s="213" t="n">
        <f aca="false">AVERAGEIFS($D$33:$D$1494,$A$33:$A$1494,A936)</f>
        <v>45.6666666666667</v>
      </c>
      <c r="F936" s="213" t="n">
        <v>5.3</v>
      </c>
      <c r="G936" s="213" t="n">
        <f aca="false">AVERAGEIFS($F$33:$F$1494,$A$33:$A$1494,A936)</f>
        <v>6.28333333333333</v>
      </c>
      <c r="H936" s="213" t="n">
        <v>6.3</v>
      </c>
      <c r="I936" s="213" t="n">
        <f aca="false">AVERAGEIFS($H$33:$H$1494,$A$33:$A$1494,A936)</f>
        <v>6.5</v>
      </c>
      <c r="L936" s="215" t="n">
        <v>40609</v>
      </c>
      <c r="M936" s="213" t="n">
        <v>49.1166666666667</v>
      </c>
      <c r="N936" s="213" t="n">
        <v>45.6666666666667</v>
      </c>
      <c r="O936" s="213" t="n">
        <v>6.28333333333333</v>
      </c>
      <c r="P936" s="213" t="n">
        <v>6.5</v>
      </c>
    </row>
    <row r="937" customFormat="false" ht="12.75" hidden="false" customHeight="false" outlineLevel="0" collapsed="false">
      <c r="A937" s="215" t="n">
        <v>40609</v>
      </c>
      <c r="B937" s="213" t="n">
        <v>49</v>
      </c>
      <c r="C937" s="213" t="n">
        <f aca="false">AVERAGEIFS($B$33:$B$1494,$A$33:$A$1494,A937)</f>
        <v>49.1166666666667</v>
      </c>
      <c r="D937" s="213" t="n">
        <v>45.6</v>
      </c>
      <c r="E937" s="213" t="n">
        <f aca="false">AVERAGEIFS($D$33:$D$1494,$A$33:$A$1494,A937)</f>
        <v>45.6666666666667</v>
      </c>
      <c r="F937" s="213" t="n">
        <v>6.9</v>
      </c>
      <c r="G937" s="213" t="n">
        <f aca="false">AVERAGEIFS($F$33:$F$1494,$A$33:$A$1494,A937)</f>
        <v>6.28333333333333</v>
      </c>
      <c r="H937" s="213" t="n">
        <v>6.2</v>
      </c>
      <c r="I937" s="213" t="n">
        <f aca="false">AVERAGEIFS($H$33:$H$1494,$A$33:$A$1494,A937)</f>
        <v>6.5</v>
      </c>
      <c r="L937" s="215" t="n">
        <v>40609</v>
      </c>
      <c r="M937" s="213" t="n">
        <v>49.1166666666667</v>
      </c>
      <c r="N937" s="213" t="n">
        <v>45.6666666666667</v>
      </c>
      <c r="O937" s="213" t="n">
        <v>6.28333333333333</v>
      </c>
      <c r="P937" s="213" t="n">
        <v>6.5</v>
      </c>
    </row>
    <row r="938" customFormat="false" ht="12.75" hidden="false" customHeight="false" outlineLevel="0" collapsed="false">
      <c r="A938" s="215" t="n">
        <v>40609</v>
      </c>
      <c r="B938" s="213" t="n">
        <v>48.9</v>
      </c>
      <c r="C938" s="213" t="n">
        <f aca="false">AVERAGEIFS($B$33:$B$1494,$A$33:$A$1494,A938)</f>
        <v>49.1166666666667</v>
      </c>
      <c r="D938" s="213" t="n">
        <v>45.6</v>
      </c>
      <c r="E938" s="213" t="n">
        <f aca="false">AVERAGEIFS($D$33:$D$1494,$A$33:$A$1494,A938)</f>
        <v>45.6666666666667</v>
      </c>
      <c r="F938" s="213" t="n">
        <v>7.6</v>
      </c>
      <c r="G938" s="213" t="n">
        <f aca="false">AVERAGEIFS($F$33:$F$1494,$A$33:$A$1494,A938)</f>
        <v>6.28333333333333</v>
      </c>
      <c r="H938" s="213" t="n">
        <v>6.5</v>
      </c>
      <c r="I938" s="213" t="n">
        <f aca="false">AVERAGEIFS($H$33:$H$1494,$A$33:$A$1494,A938)</f>
        <v>6.5</v>
      </c>
      <c r="L938" s="215" t="n">
        <v>40609</v>
      </c>
      <c r="M938" s="213" t="n">
        <v>49.1166666666667</v>
      </c>
      <c r="N938" s="213" t="n">
        <v>45.6666666666667</v>
      </c>
      <c r="O938" s="213" t="n">
        <v>6.28333333333333</v>
      </c>
      <c r="P938" s="213" t="n">
        <v>6.5</v>
      </c>
    </row>
    <row r="939" customFormat="false" ht="12.75" hidden="false" customHeight="false" outlineLevel="0" collapsed="false">
      <c r="A939" s="215" t="n">
        <v>40610</v>
      </c>
      <c r="B939" s="213" t="n">
        <v>48.9</v>
      </c>
      <c r="C939" s="213" t="n">
        <f aca="false">AVERAGEIFS($B$33:$B$1494,$A$33:$A$1494,A939)</f>
        <v>48.6833333333333</v>
      </c>
      <c r="D939" s="213" t="n">
        <v>45.6</v>
      </c>
      <c r="E939" s="213" t="n">
        <f aca="false">AVERAGEIFS($D$33:$D$1494,$A$33:$A$1494,A939)</f>
        <v>45.5333333333333</v>
      </c>
      <c r="F939" s="213" t="n">
        <v>7.5</v>
      </c>
      <c r="G939" s="213" t="n">
        <f aca="false">AVERAGEIFS($F$33:$F$1494,$A$33:$A$1494,A939)</f>
        <v>7.76666666666667</v>
      </c>
      <c r="H939" s="213" t="n">
        <v>6.8</v>
      </c>
      <c r="I939" s="213" t="n">
        <f aca="false">AVERAGEIFS($H$33:$H$1494,$A$33:$A$1494,A939)</f>
        <v>7.01666666666667</v>
      </c>
      <c r="L939" s="215" t="n">
        <v>40610</v>
      </c>
      <c r="M939" s="213" t="n">
        <v>48.6833333333333</v>
      </c>
      <c r="N939" s="213" t="n">
        <v>45.5333333333333</v>
      </c>
      <c r="O939" s="213" t="n">
        <v>7.76666666666667</v>
      </c>
      <c r="P939" s="213" t="n">
        <v>7.01666666666667</v>
      </c>
    </row>
    <row r="940" customFormat="false" ht="12.75" hidden="false" customHeight="false" outlineLevel="0" collapsed="false">
      <c r="A940" s="215" t="n">
        <v>40610</v>
      </c>
      <c r="B940" s="213" t="n">
        <v>48.8</v>
      </c>
      <c r="C940" s="213" t="n">
        <f aca="false">AVERAGEIFS($B$33:$B$1494,$A$33:$A$1494,A940)</f>
        <v>48.6833333333333</v>
      </c>
      <c r="D940" s="213" t="n">
        <v>45.6</v>
      </c>
      <c r="E940" s="213" t="n">
        <f aca="false">AVERAGEIFS($D$33:$D$1494,$A$33:$A$1494,A940)</f>
        <v>45.5333333333333</v>
      </c>
      <c r="F940" s="213" t="n">
        <v>7.5</v>
      </c>
      <c r="G940" s="213" t="n">
        <f aca="false">AVERAGEIFS($F$33:$F$1494,$A$33:$A$1494,A940)</f>
        <v>7.76666666666667</v>
      </c>
      <c r="H940" s="213" t="n">
        <v>6.9</v>
      </c>
      <c r="I940" s="213" t="n">
        <f aca="false">AVERAGEIFS($H$33:$H$1494,$A$33:$A$1494,A940)</f>
        <v>7.01666666666667</v>
      </c>
      <c r="L940" s="215" t="n">
        <v>40610</v>
      </c>
      <c r="M940" s="213" t="n">
        <v>48.6833333333333</v>
      </c>
      <c r="N940" s="213" t="n">
        <v>45.5333333333333</v>
      </c>
      <c r="O940" s="213" t="n">
        <v>7.76666666666667</v>
      </c>
      <c r="P940" s="213" t="n">
        <v>7.01666666666667</v>
      </c>
    </row>
    <row r="941" customFormat="false" ht="12.75" hidden="false" customHeight="false" outlineLevel="0" collapsed="false">
      <c r="A941" s="215" t="n">
        <v>40610</v>
      </c>
      <c r="B941" s="213" t="n">
        <v>48.8</v>
      </c>
      <c r="C941" s="213" t="n">
        <f aca="false">AVERAGEIFS($B$33:$B$1494,$A$33:$A$1494,A941)</f>
        <v>48.6833333333333</v>
      </c>
      <c r="D941" s="213" t="n">
        <v>45.6</v>
      </c>
      <c r="E941" s="213" t="n">
        <f aca="false">AVERAGEIFS($D$33:$D$1494,$A$33:$A$1494,A941)</f>
        <v>45.5333333333333</v>
      </c>
      <c r="F941" s="213" t="n">
        <v>7.4</v>
      </c>
      <c r="G941" s="213" t="n">
        <f aca="false">AVERAGEIFS($F$33:$F$1494,$A$33:$A$1494,A941)</f>
        <v>7.76666666666667</v>
      </c>
      <c r="H941" s="213" t="n">
        <v>7</v>
      </c>
      <c r="I941" s="213" t="n">
        <f aca="false">AVERAGEIFS($H$33:$H$1494,$A$33:$A$1494,A941)</f>
        <v>7.01666666666667</v>
      </c>
      <c r="L941" s="215" t="n">
        <v>40610</v>
      </c>
      <c r="M941" s="213" t="n">
        <v>48.6833333333333</v>
      </c>
      <c r="N941" s="213" t="n">
        <v>45.5333333333333</v>
      </c>
      <c r="O941" s="213" t="n">
        <v>7.76666666666667</v>
      </c>
      <c r="P941" s="213" t="n">
        <v>7.01666666666667</v>
      </c>
    </row>
    <row r="942" customFormat="false" ht="12.75" hidden="false" customHeight="false" outlineLevel="0" collapsed="false">
      <c r="A942" s="215" t="n">
        <v>40610</v>
      </c>
      <c r="B942" s="213" t="n">
        <v>48.7</v>
      </c>
      <c r="C942" s="213" t="n">
        <f aca="false">AVERAGEIFS($B$33:$B$1494,$A$33:$A$1494,A942)</f>
        <v>48.6833333333333</v>
      </c>
      <c r="D942" s="213" t="n">
        <v>45.5</v>
      </c>
      <c r="E942" s="213" t="n">
        <f aca="false">AVERAGEIFS($D$33:$D$1494,$A$33:$A$1494,A942)</f>
        <v>45.5333333333333</v>
      </c>
      <c r="F942" s="213" t="n">
        <v>7.5</v>
      </c>
      <c r="G942" s="213" t="n">
        <f aca="false">AVERAGEIFS($F$33:$F$1494,$A$33:$A$1494,A942)</f>
        <v>7.76666666666667</v>
      </c>
      <c r="H942" s="213" t="n">
        <v>7</v>
      </c>
      <c r="I942" s="213" t="n">
        <f aca="false">AVERAGEIFS($H$33:$H$1494,$A$33:$A$1494,A942)</f>
        <v>7.01666666666667</v>
      </c>
      <c r="L942" s="215" t="n">
        <v>40610</v>
      </c>
      <c r="M942" s="213" t="n">
        <v>48.6833333333333</v>
      </c>
      <c r="N942" s="213" t="n">
        <v>45.5333333333333</v>
      </c>
      <c r="O942" s="213" t="n">
        <v>7.76666666666667</v>
      </c>
      <c r="P942" s="213" t="n">
        <v>7.01666666666667</v>
      </c>
    </row>
    <row r="943" customFormat="false" ht="12.75" hidden="false" customHeight="false" outlineLevel="0" collapsed="false">
      <c r="A943" s="215" t="n">
        <v>40610</v>
      </c>
      <c r="B943" s="213" t="n">
        <v>48.5</v>
      </c>
      <c r="C943" s="213" t="n">
        <f aca="false">AVERAGEIFS($B$33:$B$1494,$A$33:$A$1494,A943)</f>
        <v>48.6833333333333</v>
      </c>
      <c r="D943" s="213" t="n">
        <v>45.5</v>
      </c>
      <c r="E943" s="213" t="n">
        <f aca="false">AVERAGEIFS($D$33:$D$1494,$A$33:$A$1494,A943)</f>
        <v>45.5333333333333</v>
      </c>
      <c r="F943" s="213" t="n">
        <v>8.4</v>
      </c>
      <c r="G943" s="213" t="n">
        <f aca="false">AVERAGEIFS($F$33:$F$1494,$A$33:$A$1494,A943)</f>
        <v>7.76666666666667</v>
      </c>
      <c r="H943" s="213" t="n">
        <v>7.1</v>
      </c>
      <c r="I943" s="213" t="n">
        <f aca="false">AVERAGEIFS($H$33:$H$1494,$A$33:$A$1494,A943)</f>
        <v>7.01666666666667</v>
      </c>
      <c r="L943" s="215" t="n">
        <v>40610</v>
      </c>
      <c r="M943" s="213" t="n">
        <v>48.6833333333333</v>
      </c>
      <c r="N943" s="213" t="n">
        <v>45.5333333333333</v>
      </c>
      <c r="O943" s="213" t="n">
        <v>7.76666666666667</v>
      </c>
      <c r="P943" s="213" t="n">
        <v>7.01666666666667</v>
      </c>
    </row>
    <row r="944" customFormat="false" ht="12.75" hidden="false" customHeight="false" outlineLevel="0" collapsed="false">
      <c r="A944" s="215" t="n">
        <v>40610</v>
      </c>
      <c r="B944" s="213" t="n">
        <v>48.4</v>
      </c>
      <c r="C944" s="213" t="n">
        <f aca="false">AVERAGEIFS($B$33:$B$1494,$A$33:$A$1494,A944)</f>
        <v>48.6833333333333</v>
      </c>
      <c r="D944" s="213" t="n">
        <v>45.4</v>
      </c>
      <c r="E944" s="213" t="n">
        <f aca="false">AVERAGEIFS($D$33:$D$1494,$A$33:$A$1494,A944)</f>
        <v>45.5333333333333</v>
      </c>
      <c r="F944" s="213" t="n">
        <v>8.3</v>
      </c>
      <c r="G944" s="213" t="n">
        <f aca="false">AVERAGEIFS($F$33:$F$1494,$A$33:$A$1494,A944)</f>
        <v>7.76666666666667</v>
      </c>
      <c r="H944" s="213" t="n">
        <v>7.3</v>
      </c>
      <c r="I944" s="213" t="n">
        <f aca="false">AVERAGEIFS($H$33:$H$1494,$A$33:$A$1494,A944)</f>
        <v>7.01666666666667</v>
      </c>
      <c r="L944" s="215" t="n">
        <v>40610</v>
      </c>
      <c r="M944" s="213" t="n">
        <v>48.6833333333333</v>
      </c>
      <c r="N944" s="213" t="n">
        <v>45.5333333333333</v>
      </c>
      <c r="O944" s="213" t="n">
        <v>7.76666666666667</v>
      </c>
      <c r="P944" s="213" t="n">
        <v>7.01666666666667</v>
      </c>
    </row>
    <row r="945" customFormat="false" ht="12.75" hidden="false" customHeight="false" outlineLevel="0" collapsed="false">
      <c r="A945" s="215" t="n">
        <v>40611</v>
      </c>
      <c r="B945" s="213" t="n">
        <v>48.4</v>
      </c>
      <c r="C945" s="213" t="n">
        <f aca="false">AVERAGEIFS($B$33:$B$1494,$A$33:$A$1494,A945)</f>
        <v>48.1166666666667</v>
      </c>
      <c r="D945" s="213" t="n">
        <v>45.4</v>
      </c>
      <c r="E945" s="213" t="n">
        <f aca="false">AVERAGEIFS($D$33:$D$1494,$A$33:$A$1494,A945)</f>
        <v>45.3666666666667</v>
      </c>
      <c r="F945" s="213" t="n">
        <v>7.8</v>
      </c>
      <c r="G945" s="213" t="n">
        <f aca="false">AVERAGEIFS($F$33:$F$1494,$A$33:$A$1494,A945)</f>
        <v>8.08333333333333</v>
      </c>
      <c r="H945" s="213" t="n">
        <v>7.5</v>
      </c>
      <c r="I945" s="213" t="n">
        <f aca="false">AVERAGEIFS($H$33:$H$1494,$A$33:$A$1494,A945)</f>
        <v>7.45</v>
      </c>
      <c r="L945" s="215" t="n">
        <v>40611</v>
      </c>
      <c r="M945" s="213" t="n">
        <v>48.1166666666667</v>
      </c>
      <c r="N945" s="213" t="n">
        <v>45.3666666666667</v>
      </c>
      <c r="O945" s="213" t="n">
        <v>8.08333333333333</v>
      </c>
      <c r="P945" s="213" t="n">
        <v>7.45</v>
      </c>
    </row>
    <row r="946" customFormat="false" ht="12.75" hidden="false" customHeight="false" outlineLevel="0" collapsed="false">
      <c r="A946" s="215" t="n">
        <v>40611</v>
      </c>
      <c r="B946" s="213" t="n">
        <v>48.3</v>
      </c>
      <c r="C946" s="213" t="n">
        <f aca="false">AVERAGEIFS($B$33:$B$1494,$A$33:$A$1494,A946)</f>
        <v>48.1166666666667</v>
      </c>
      <c r="D946" s="213" t="n">
        <v>45.4</v>
      </c>
      <c r="E946" s="213" t="n">
        <f aca="false">AVERAGEIFS($D$33:$D$1494,$A$33:$A$1494,A946)</f>
        <v>45.3666666666667</v>
      </c>
      <c r="F946" s="213" t="n">
        <v>7.7</v>
      </c>
      <c r="G946" s="213" t="n">
        <f aca="false">AVERAGEIFS($F$33:$F$1494,$A$33:$A$1494,A946)</f>
        <v>8.08333333333333</v>
      </c>
      <c r="H946" s="213" t="n">
        <v>7.4</v>
      </c>
      <c r="I946" s="213" t="n">
        <f aca="false">AVERAGEIFS($H$33:$H$1494,$A$33:$A$1494,A946)</f>
        <v>7.45</v>
      </c>
      <c r="L946" s="215" t="n">
        <v>40611</v>
      </c>
      <c r="M946" s="213" t="n">
        <v>48.1166666666667</v>
      </c>
      <c r="N946" s="213" t="n">
        <v>45.3666666666667</v>
      </c>
      <c r="O946" s="213" t="n">
        <v>8.08333333333333</v>
      </c>
      <c r="P946" s="213" t="n">
        <v>7.45</v>
      </c>
    </row>
    <row r="947" customFormat="false" ht="12.75" hidden="false" customHeight="false" outlineLevel="0" collapsed="false">
      <c r="A947" s="215" t="n">
        <v>40611</v>
      </c>
      <c r="B947" s="213" t="n">
        <v>48.2</v>
      </c>
      <c r="C947" s="213" t="n">
        <f aca="false">AVERAGEIFS($B$33:$B$1494,$A$33:$A$1494,A947)</f>
        <v>48.1166666666667</v>
      </c>
      <c r="D947" s="213" t="n">
        <v>45.4</v>
      </c>
      <c r="E947" s="213" t="n">
        <f aca="false">AVERAGEIFS($D$33:$D$1494,$A$33:$A$1494,A947)</f>
        <v>45.3666666666667</v>
      </c>
      <c r="F947" s="213" t="n">
        <v>7.5</v>
      </c>
      <c r="G947" s="213" t="n">
        <f aca="false">AVERAGEIFS($F$33:$F$1494,$A$33:$A$1494,A947)</f>
        <v>8.08333333333333</v>
      </c>
      <c r="H947" s="213" t="n">
        <v>7.4</v>
      </c>
      <c r="I947" s="213" t="n">
        <f aca="false">AVERAGEIFS($H$33:$H$1494,$A$33:$A$1494,A947)</f>
        <v>7.45</v>
      </c>
      <c r="L947" s="215" t="n">
        <v>40611</v>
      </c>
      <c r="M947" s="213" t="n">
        <v>48.1166666666667</v>
      </c>
      <c r="N947" s="213" t="n">
        <v>45.3666666666667</v>
      </c>
      <c r="O947" s="213" t="n">
        <v>8.08333333333333</v>
      </c>
      <c r="P947" s="213" t="n">
        <v>7.45</v>
      </c>
    </row>
    <row r="948" customFormat="false" ht="12.75" hidden="false" customHeight="false" outlineLevel="0" collapsed="false">
      <c r="A948" s="215" t="n">
        <v>40611</v>
      </c>
      <c r="B948" s="213" t="n">
        <v>48.1</v>
      </c>
      <c r="C948" s="213" t="n">
        <f aca="false">AVERAGEIFS($B$33:$B$1494,$A$33:$A$1494,A948)</f>
        <v>48.1166666666667</v>
      </c>
      <c r="D948" s="213" t="n">
        <v>45.4</v>
      </c>
      <c r="E948" s="213" t="n">
        <f aca="false">AVERAGEIFS($D$33:$D$1494,$A$33:$A$1494,A948)</f>
        <v>45.3666666666667</v>
      </c>
      <c r="F948" s="213" t="n">
        <v>7.6</v>
      </c>
      <c r="G948" s="213" t="n">
        <f aca="false">AVERAGEIFS($F$33:$F$1494,$A$33:$A$1494,A948)</f>
        <v>8.08333333333333</v>
      </c>
      <c r="H948" s="213" t="n">
        <v>7.4</v>
      </c>
      <c r="I948" s="213" t="n">
        <f aca="false">AVERAGEIFS($H$33:$H$1494,$A$33:$A$1494,A948)</f>
        <v>7.45</v>
      </c>
      <c r="L948" s="215" t="n">
        <v>40611</v>
      </c>
      <c r="M948" s="213" t="n">
        <v>48.1166666666667</v>
      </c>
      <c r="N948" s="213" t="n">
        <v>45.3666666666667</v>
      </c>
      <c r="O948" s="213" t="n">
        <v>8.08333333333333</v>
      </c>
      <c r="P948" s="213" t="n">
        <v>7.45</v>
      </c>
    </row>
    <row r="949" customFormat="false" ht="12.75" hidden="false" customHeight="false" outlineLevel="0" collapsed="false">
      <c r="A949" s="215" t="n">
        <v>40611</v>
      </c>
      <c r="B949" s="213" t="n">
        <v>48</v>
      </c>
      <c r="C949" s="213" t="n">
        <f aca="false">AVERAGEIFS($B$33:$B$1494,$A$33:$A$1494,A949)</f>
        <v>48.1166666666667</v>
      </c>
      <c r="D949" s="213" t="n">
        <v>45.3</v>
      </c>
      <c r="E949" s="213" t="n">
        <f aca="false">AVERAGEIFS($D$33:$D$1494,$A$33:$A$1494,A949)</f>
        <v>45.3666666666667</v>
      </c>
      <c r="F949" s="213" t="n">
        <v>8.8</v>
      </c>
      <c r="G949" s="213" t="n">
        <f aca="false">AVERAGEIFS($F$33:$F$1494,$A$33:$A$1494,A949)</f>
        <v>8.08333333333333</v>
      </c>
      <c r="H949" s="213" t="n">
        <v>7.4</v>
      </c>
      <c r="I949" s="213" t="n">
        <f aca="false">AVERAGEIFS($H$33:$H$1494,$A$33:$A$1494,A949)</f>
        <v>7.45</v>
      </c>
      <c r="L949" s="215" t="n">
        <v>40611</v>
      </c>
      <c r="M949" s="213" t="n">
        <v>48.1166666666667</v>
      </c>
      <c r="N949" s="213" t="n">
        <v>45.3666666666667</v>
      </c>
      <c r="O949" s="213" t="n">
        <v>8.08333333333333</v>
      </c>
      <c r="P949" s="213" t="n">
        <v>7.45</v>
      </c>
    </row>
    <row r="950" customFormat="false" ht="12.75" hidden="false" customHeight="false" outlineLevel="0" collapsed="false">
      <c r="A950" s="215" t="n">
        <v>40611</v>
      </c>
      <c r="B950" s="213" t="n">
        <v>47.7</v>
      </c>
      <c r="C950" s="213" t="n">
        <f aca="false">AVERAGEIFS($B$33:$B$1494,$A$33:$A$1494,A950)</f>
        <v>48.1166666666667</v>
      </c>
      <c r="D950" s="213" t="n">
        <v>45.3</v>
      </c>
      <c r="E950" s="213" t="n">
        <f aca="false">AVERAGEIFS($D$33:$D$1494,$A$33:$A$1494,A950)</f>
        <v>45.3666666666667</v>
      </c>
      <c r="F950" s="213" t="n">
        <v>9.1</v>
      </c>
      <c r="G950" s="213" t="n">
        <f aca="false">AVERAGEIFS($F$33:$F$1494,$A$33:$A$1494,A950)</f>
        <v>8.08333333333333</v>
      </c>
      <c r="H950" s="213" t="n">
        <v>7.6</v>
      </c>
      <c r="I950" s="213" t="n">
        <f aca="false">AVERAGEIFS($H$33:$H$1494,$A$33:$A$1494,A950)</f>
        <v>7.45</v>
      </c>
      <c r="L950" s="215" t="n">
        <v>40611</v>
      </c>
      <c r="M950" s="213" t="n">
        <v>48.1166666666667</v>
      </c>
      <c r="N950" s="213" t="n">
        <v>45.3666666666667</v>
      </c>
      <c r="O950" s="213" t="n">
        <v>8.08333333333333</v>
      </c>
      <c r="P950" s="213" t="n">
        <v>7.45</v>
      </c>
    </row>
    <row r="951" customFormat="false" ht="12.75" hidden="false" customHeight="false" outlineLevel="0" collapsed="false">
      <c r="A951" s="215" t="n">
        <v>40612</v>
      </c>
      <c r="B951" s="213" t="n">
        <v>47.7</v>
      </c>
      <c r="C951" s="213" t="n">
        <f aca="false">AVERAGEIFS($B$33:$B$1494,$A$33:$A$1494,A951)</f>
        <v>47.5666666666667</v>
      </c>
      <c r="D951" s="213" t="n">
        <v>45.3</v>
      </c>
      <c r="E951" s="213" t="n">
        <f aca="false">AVERAGEIFS($D$33:$D$1494,$A$33:$A$1494,A951)</f>
        <v>45.4166666666667</v>
      </c>
      <c r="F951" s="213" t="n">
        <v>8.1</v>
      </c>
      <c r="G951" s="213" t="n">
        <f aca="false">AVERAGEIFS($F$33:$F$1494,$A$33:$A$1494,A951)</f>
        <v>7.63333333333333</v>
      </c>
      <c r="H951" s="213" t="n">
        <v>7.8</v>
      </c>
      <c r="I951" s="213" t="n">
        <f aca="false">AVERAGEIFS($H$33:$H$1494,$A$33:$A$1494,A951)</f>
        <v>7.51666666666667</v>
      </c>
      <c r="L951" s="215" t="n">
        <v>40612</v>
      </c>
      <c r="M951" s="213" t="n">
        <v>47.5666666666667</v>
      </c>
      <c r="N951" s="213" t="n">
        <v>45.4166666666667</v>
      </c>
      <c r="O951" s="213" t="n">
        <v>7.63333333333333</v>
      </c>
      <c r="P951" s="213" t="n">
        <v>7.51666666666667</v>
      </c>
    </row>
    <row r="952" customFormat="false" ht="12.75" hidden="false" customHeight="false" outlineLevel="0" collapsed="false">
      <c r="A952" s="215" t="n">
        <v>40612</v>
      </c>
      <c r="B952" s="213" t="n">
        <v>47.7</v>
      </c>
      <c r="C952" s="213" t="n">
        <f aca="false">AVERAGEIFS($B$33:$B$1494,$A$33:$A$1494,A952)</f>
        <v>47.5666666666667</v>
      </c>
      <c r="D952" s="213" t="n">
        <v>45.3</v>
      </c>
      <c r="E952" s="213" t="n">
        <f aca="false">AVERAGEIFS($D$33:$D$1494,$A$33:$A$1494,A952)</f>
        <v>45.4166666666667</v>
      </c>
      <c r="F952" s="213" t="n">
        <v>7.3</v>
      </c>
      <c r="G952" s="213" t="n">
        <f aca="false">AVERAGEIFS($F$33:$F$1494,$A$33:$A$1494,A952)</f>
        <v>7.63333333333333</v>
      </c>
      <c r="H952" s="213" t="n">
        <v>7.7</v>
      </c>
      <c r="I952" s="213" t="n">
        <f aca="false">AVERAGEIFS($H$33:$H$1494,$A$33:$A$1494,A952)</f>
        <v>7.51666666666667</v>
      </c>
      <c r="L952" s="215" t="n">
        <v>40612</v>
      </c>
      <c r="M952" s="213" t="n">
        <v>47.5666666666667</v>
      </c>
      <c r="N952" s="213" t="n">
        <v>45.4166666666667</v>
      </c>
      <c r="O952" s="213" t="n">
        <v>7.63333333333333</v>
      </c>
      <c r="P952" s="213" t="n">
        <v>7.51666666666667</v>
      </c>
    </row>
    <row r="953" customFormat="false" ht="12.75" hidden="false" customHeight="false" outlineLevel="0" collapsed="false">
      <c r="A953" s="215" t="n">
        <v>40612</v>
      </c>
      <c r="B953" s="213" t="n">
        <v>47.6</v>
      </c>
      <c r="C953" s="213" t="n">
        <f aca="false">AVERAGEIFS($B$33:$B$1494,$A$33:$A$1494,A953)</f>
        <v>47.5666666666667</v>
      </c>
      <c r="D953" s="213" t="n">
        <v>45.3</v>
      </c>
      <c r="E953" s="213" t="n">
        <f aca="false">AVERAGEIFS($D$33:$D$1494,$A$33:$A$1494,A953)</f>
        <v>45.4166666666667</v>
      </c>
      <c r="F953" s="213" t="n">
        <v>6.8</v>
      </c>
      <c r="G953" s="213" t="n">
        <f aca="false">AVERAGEIFS($F$33:$F$1494,$A$33:$A$1494,A953)</f>
        <v>7.63333333333333</v>
      </c>
      <c r="H953" s="213" t="n">
        <v>7.5</v>
      </c>
      <c r="I953" s="213" t="n">
        <f aca="false">AVERAGEIFS($H$33:$H$1494,$A$33:$A$1494,A953)</f>
        <v>7.51666666666667</v>
      </c>
      <c r="L953" s="215" t="n">
        <v>40612</v>
      </c>
      <c r="M953" s="213" t="n">
        <v>47.5666666666667</v>
      </c>
      <c r="N953" s="213" t="n">
        <v>45.4166666666667</v>
      </c>
      <c r="O953" s="213" t="n">
        <v>7.63333333333333</v>
      </c>
      <c r="P953" s="213" t="n">
        <v>7.51666666666667</v>
      </c>
    </row>
    <row r="954" customFormat="false" ht="12.75" hidden="false" customHeight="false" outlineLevel="0" collapsed="false">
      <c r="A954" s="215" t="n">
        <v>40612</v>
      </c>
      <c r="B954" s="213" t="n">
        <v>47.6</v>
      </c>
      <c r="C954" s="213" t="n">
        <f aca="false">AVERAGEIFS($B$33:$B$1494,$A$33:$A$1494,A954)</f>
        <v>47.5666666666667</v>
      </c>
      <c r="D954" s="213" t="n">
        <v>45.3</v>
      </c>
      <c r="E954" s="213" t="n">
        <f aca="false">AVERAGEIFS($D$33:$D$1494,$A$33:$A$1494,A954)</f>
        <v>45.4166666666667</v>
      </c>
      <c r="F954" s="213" t="n">
        <v>7.1</v>
      </c>
      <c r="G954" s="213" t="n">
        <f aca="false">AVERAGEIFS($F$33:$F$1494,$A$33:$A$1494,A954)</f>
        <v>7.63333333333333</v>
      </c>
      <c r="H954" s="213" t="n">
        <v>7.3</v>
      </c>
      <c r="I954" s="213" t="n">
        <f aca="false">AVERAGEIFS($H$33:$H$1494,$A$33:$A$1494,A954)</f>
        <v>7.51666666666667</v>
      </c>
      <c r="L954" s="215" t="n">
        <v>40612</v>
      </c>
      <c r="M954" s="213" t="n">
        <v>47.5666666666667</v>
      </c>
      <c r="N954" s="213" t="n">
        <v>45.4166666666667</v>
      </c>
      <c r="O954" s="213" t="n">
        <v>7.63333333333333</v>
      </c>
      <c r="P954" s="213" t="n">
        <v>7.51666666666667</v>
      </c>
    </row>
    <row r="955" customFormat="false" ht="12.75" hidden="false" customHeight="false" outlineLevel="0" collapsed="false">
      <c r="A955" s="215" t="n">
        <v>40612</v>
      </c>
      <c r="B955" s="213" t="n">
        <v>47.5</v>
      </c>
      <c r="C955" s="213" t="n">
        <f aca="false">AVERAGEIFS($B$33:$B$1494,$A$33:$A$1494,A955)</f>
        <v>47.5666666666667</v>
      </c>
      <c r="D955" s="213" t="n">
        <v>45.4</v>
      </c>
      <c r="E955" s="213" t="n">
        <f aca="false">AVERAGEIFS($D$33:$D$1494,$A$33:$A$1494,A955)</f>
        <v>45.4166666666667</v>
      </c>
      <c r="F955" s="213" t="n">
        <v>8</v>
      </c>
      <c r="G955" s="213" t="n">
        <f aca="false">AVERAGEIFS($F$33:$F$1494,$A$33:$A$1494,A955)</f>
        <v>7.63333333333333</v>
      </c>
      <c r="H955" s="213" t="n">
        <v>7.3</v>
      </c>
      <c r="I955" s="213" t="n">
        <f aca="false">AVERAGEIFS($H$33:$H$1494,$A$33:$A$1494,A955)</f>
        <v>7.51666666666667</v>
      </c>
      <c r="L955" s="215" t="n">
        <v>40612</v>
      </c>
      <c r="M955" s="213" t="n">
        <v>47.5666666666667</v>
      </c>
      <c r="N955" s="213" t="n">
        <v>45.4166666666667</v>
      </c>
      <c r="O955" s="213" t="n">
        <v>7.63333333333333</v>
      </c>
      <c r="P955" s="213" t="n">
        <v>7.51666666666667</v>
      </c>
    </row>
    <row r="956" customFormat="false" ht="12.75" hidden="false" customHeight="false" outlineLevel="0" collapsed="false">
      <c r="A956" s="215" t="n">
        <v>40612</v>
      </c>
      <c r="B956" s="213" t="n">
        <v>47.3</v>
      </c>
      <c r="C956" s="213" t="n">
        <f aca="false">AVERAGEIFS($B$33:$B$1494,$A$33:$A$1494,A956)</f>
        <v>47.5666666666667</v>
      </c>
      <c r="D956" s="213" t="n">
        <v>45.9</v>
      </c>
      <c r="E956" s="213" t="n">
        <f aca="false">AVERAGEIFS($D$33:$D$1494,$A$33:$A$1494,A956)</f>
        <v>45.4166666666667</v>
      </c>
      <c r="F956" s="213" t="n">
        <v>8.5</v>
      </c>
      <c r="G956" s="213" t="n">
        <f aca="false">AVERAGEIFS($F$33:$F$1494,$A$33:$A$1494,A956)</f>
        <v>7.63333333333333</v>
      </c>
      <c r="H956" s="213" t="n">
        <v>7.5</v>
      </c>
      <c r="I956" s="213" t="n">
        <f aca="false">AVERAGEIFS($H$33:$H$1494,$A$33:$A$1494,A956)</f>
        <v>7.51666666666667</v>
      </c>
      <c r="L956" s="215" t="n">
        <v>40612</v>
      </c>
      <c r="M956" s="213" t="n">
        <v>47.5666666666667</v>
      </c>
      <c r="N956" s="213" t="n">
        <v>45.4166666666667</v>
      </c>
      <c r="O956" s="213" t="n">
        <v>7.63333333333333</v>
      </c>
      <c r="P956" s="213" t="n">
        <v>7.51666666666667</v>
      </c>
    </row>
    <row r="957" customFormat="false" ht="12.75" hidden="false" customHeight="false" outlineLevel="0" collapsed="false">
      <c r="A957" s="215" t="n">
        <v>40613</v>
      </c>
      <c r="B957" s="213" t="n">
        <v>47.2</v>
      </c>
      <c r="C957" s="213" t="n">
        <f aca="false">AVERAGEIFS($B$33:$B$1494,$A$33:$A$1494,A957)</f>
        <v>47.0333333333333</v>
      </c>
      <c r="D957" s="213" t="n">
        <v>45.2</v>
      </c>
      <c r="E957" s="213" t="n">
        <f aca="false">AVERAGEIFS($D$33:$D$1494,$A$33:$A$1494,A957)</f>
        <v>45.2333333333333</v>
      </c>
      <c r="F957" s="213" t="n">
        <v>7.6</v>
      </c>
      <c r="G957" s="213" t="n">
        <f aca="false">AVERAGEIFS($F$33:$F$1494,$A$33:$A$1494,A957)</f>
        <v>7.28333333333333</v>
      </c>
      <c r="H957" s="213" t="n">
        <v>7.6</v>
      </c>
      <c r="I957" s="213" t="n">
        <f aca="false">AVERAGEIFS($H$33:$H$1494,$A$33:$A$1494,A957)</f>
        <v>7.26666666666667</v>
      </c>
      <c r="L957" s="215" t="n">
        <v>40613</v>
      </c>
      <c r="M957" s="213" t="n">
        <v>47.0333333333333</v>
      </c>
      <c r="N957" s="213" t="n">
        <v>45.2333333333333</v>
      </c>
      <c r="O957" s="213" t="n">
        <v>7.28333333333333</v>
      </c>
      <c r="P957" s="213" t="n">
        <v>7.26666666666667</v>
      </c>
    </row>
    <row r="958" customFormat="false" ht="12.75" hidden="false" customHeight="false" outlineLevel="0" collapsed="false">
      <c r="A958" s="215" t="n">
        <v>40613</v>
      </c>
      <c r="B958" s="213" t="n">
        <v>47.2</v>
      </c>
      <c r="C958" s="213" t="n">
        <f aca="false">AVERAGEIFS($B$33:$B$1494,$A$33:$A$1494,A958)</f>
        <v>47.0333333333333</v>
      </c>
      <c r="D958" s="213" t="n">
        <v>45.3</v>
      </c>
      <c r="E958" s="213" t="n">
        <f aca="false">AVERAGEIFS($D$33:$D$1494,$A$33:$A$1494,A958)</f>
        <v>45.2333333333333</v>
      </c>
      <c r="F958" s="213" t="n">
        <v>6.8</v>
      </c>
      <c r="G958" s="213" t="n">
        <f aca="false">AVERAGEIFS($F$33:$F$1494,$A$33:$A$1494,A958)</f>
        <v>7.28333333333333</v>
      </c>
      <c r="H958" s="213" t="n">
        <v>7.5</v>
      </c>
      <c r="I958" s="213" t="n">
        <f aca="false">AVERAGEIFS($H$33:$H$1494,$A$33:$A$1494,A958)</f>
        <v>7.26666666666667</v>
      </c>
      <c r="L958" s="215" t="n">
        <v>40613</v>
      </c>
      <c r="M958" s="213" t="n">
        <v>47.0333333333333</v>
      </c>
      <c r="N958" s="213" t="n">
        <v>45.2333333333333</v>
      </c>
      <c r="O958" s="213" t="n">
        <v>7.28333333333333</v>
      </c>
      <c r="P958" s="213" t="n">
        <v>7.26666666666667</v>
      </c>
    </row>
    <row r="959" customFormat="false" ht="12.75" hidden="false" customHeight="false" outlineLevel="0" collapsed="false">
      <c r="A959" s="215" t="n">
        <v>40613</v>
      </c>
      <c r="B959" s="213" t="n">
        <v>47.1</v>
      </c>
      <c r="C959" s="213" t="n">
        <f aca="false">AVERAGEIFS($B$33:$B$1494,$A$33:$A$1494,A959)</f>
        <v>47.0333333333333</v>
      </c>
      <c r="D959" s="213" t="n">
        <v>45.3</v>
      </c>
      <c r="E959" s="213" t="n">
        <f aca="false">AVERAGEIFS($D$33:$D$1494,$A$33:$A$1494,A959)</f>
        <v>45.2333333333333</v>
      </c>
      <c r="F959" s="213" t="n">
        <v>6.1</v>
      </c>
      <c r="G959" s="213" t="n">
        <f aca="false">AVERAGEIFS($F$33:$F$1494,$A$33:$A$1494,A959)</f>
        <v>7.28333333333333</v>
      </c>
      <c r="H959" s="213" t="n">
        <v>7.2</v>
      </c>
      <c r="I959" s="213" t="n">
        <f aca="false">AVERAGEIFS($H$33:$H$1494,$A$33:$A$1494,A959)</f>
        <v>7.26666666666667</v>
      </c>
      <c r="L959" s="215" t="n">
        <v>40613</v>
      </c>
      <c r="M959" s="213" t="n">
        <v>47.0333333333333</v>
      </c>
      <c r="N959" s="213" t="n">
        <v>45.2333333333333</v>
      </c>
      <c r="O959" s="213" t="n">
        <v>7.28333333333333</v>
      </c>
      <c r="P959" s="213" t="n">
        <v>7.26666666666667</v>
      </c>
    </row>
    <row r="960" customFormat="false" ht="12.75" hidden="false" customHeight="false" outlineLevel="0" collapsed="false">
      <c r="A960" s="215" t="n">
        <v>40613</v>
      </c>
      <c r="B960" s="213" t="n">
        <v>47.1</v>
      </c>
      <c r="C960" s="213" t="n">
        <f aca="false">AVERAGEIFS($B$33:$B$1494,$A$33:$A$1494,A960)</f>
        <v>47.0333333333333</v>
      </c>
      <c r="D960" s="213" t="n">
        <v>45.2</v>
      </c>
      <c r="E960" s="213" t="n">
        <f aca="false">AVERAGEIFS($D$33:$D$1494,$A$33:$A$1494,A960)</f>
        <v>45.2333333333333</v>
      </c>
      <c r="F960" s="213" t="n">
        <v>6.5</v>
      </c>
      <c r="G960" s="213" t="n">
        <f aca="false">AVERAGEIFS($F$33:$F$1494,$A$33:$A$1494,A960)</f>
        <v>7.28333333333333</v>
      </c>
      <c r="H960" s="213" t="n">
        <v>7</v>
      </c>
      <c r="I960" s="213" t="n">
        <f aca="false">AVERAGEIFS($H$33:$H$1494,$A$33:$A$1494,A960)</f>
        <v>7.26666666666667</v>
      </c>
      <c r="L960" s="215" t="n">
        <v>40613</v>
      </c>
      <c r="M960" s="213" t="n">
        <v>47.0333333333333</v>
      </c>
      <c r="N960" s="213" t="n">
        <v>45.2333333333333</v>
      </c>
      <c r="O960" s="213" t="n">
        <v>7.28333333333333</v>
      </c>
      <c r="P960" s="213" t="n">
        <v>7.26666666666667</v>
      </c>
    </row>
    <row r="961" customFormat="false" ht="12.75" hidden="false" customHeight="false" outlineLevel="0" collapsed="false">
      <c r="A961" s="215" t="n">
        <v>40613</v>
      </c>
      <c r="B961" s="213" t="n">
        <v>46.9</v>
      </c>
      <c r="C961" s="213" t="n">
        <f aca="false">AVERAGEIFS($B$33:$B$1494,$A$33:$A$1494,A961)</f>
        <v>47.0333333333333</v>
      </c>
      <c r="D961" s="213" t="n">
        <v>45.2</v>
      </c>
      <c r="E961" s="213" t="n">
        <f aca="false">AVERAGEIFS($D$33:$D$1494,$A$33:$A$1494,A961)</f>
        <v>45.2333333333333</v>
      </c>
      <c r="F961" s="213" t="n">
        <v>8</v>
      </c>
      <c r="G961" s="213" t="n">
        <f aca="false">AVERAGEIFS($F$33:$F$1494,$A$33:$A$1494,A961)</f>
        <v>7.28333333333333</v>
      </c>
      <c r="H961" s="213" t="n">
        <v>7</v>
      </c>
      <c r="I961" s="213" t="n">
        <f aca="false">AVERAGEIFS($H$33:$H$1494,$A$33:$A$1494,A961)</f>
        <v>7.26666666666667</v>
      </c>
      <c r="L961" s="215" t="n">
        <v>40613</v>
      </c>
      <c r="M961" s="213" t="n">
        <v>47.0333333333333</v>
      </c>
      <c r="N961" s="213" t="n">
        <v>45.2333333333333</v>
      </c>
      <c r="O961" s="213" t="n">
        <v>7.28333333333333</v>
      </c>
      <c r="P961" s="213" t="n">
        <v>7.26666666666667</v>
      </c>
    </row>
    <row r="962" customFormat="false" ht="12.75" hidden="false" customHeight="false" outlineLevel="0" collapsed="false">
      <c r="A962" s="215" t="n">
        <v>40613</v>
      </c>
      <c r="B962" s="213" t="n">
        <v>46.7</v>
      </c>
      <c r="C962" s="213" t="n">
        <f aca="false">AVERAGEIFS($B$33:$B$1494,$A$33:$A$1494,A962)</f>
        <v>47.0333333333333</v>
      </c>
      <c r="D962" s="213" t="n">
        <v>45.2</v>
      </c>
      <c r="E962" s="213" t="n">
        <f aca="false">AVERAGEIFS($D$33:$D$1494,$A$33:$A$1494,A962)</f>
        <v>45.2333333333333</v>
      </c>
      <c r="F962" s="213" t="n">
        <v>8.7</v>
      </c>
      <c r="G962" s="213" t="n">
        <f aca="false">AVERAGEIFS($F$33:$F$1494,$A$33:$A$1494,A962)</f>
        <v>7.28333333333333</v>
      </c>
      <c r="H962" s="213" t="n">
        <v>7.3</v>
      </c>
      <c r="I962" s="213" t="n">
        <f aca="false">AVERAGEIFS($H$33:$H$1494,$A$33:$A$1494,A962)</f>
        <v>7.26666666666667</v>
      </c>
      <c r="L962" s="215" t="n">
        <v>40613</v>
      </c>
      <c r="M962" s="213" t="n">
        <v>47.0333333333333</v>
      </c>
      <c r="N962" s="213" t="n">
        <v>45.2333333333333</v>
      </c>
      <c r="O962" s="213" t="n">
        <v>7.28333333333333</v>
      </c>
      <c r="P962" s="213" t="n">
        <v>7.26666666666667</v>
      </c>
    </row>
    <row r="963" customFormat="false" ht="12.75" hidden="false" customHeight="false" outlineLevel="0" collapsed="false">
      <c r="A963" s="215" t="n">
        <v>40614</v>
      </c>
      <c r="B963" s="213" t="n">
        <v>46.6</v>
      </c>
      <c r="C963" s="213" t="n">
        <f aca="false">AVERAGEIFS($B$33:$B$1494,$A$33:$A$1494,A963)</f>
        <v>46.9666666666667</v>
      </c>
      <c r="D963" s="213" t="n">
        <v>45.1</v>
      </c>
      <c r="E963" s="213" t="n">
        <f aca="false">AVERAGEIFS($D$33:$D$1494,$A$33:$A$1494,A963)</f>
        <v>45.1</v>
      </c>
      <c r="F963" s="213" t="n">
        <v>8.4</v>
      </c>
      <c r="G963" s="213" t="n">
        <f aca="false">AVERAGEIFS($F$33:$F$1494,$A$33:$A$1494,A963)</f>
        <v>8.4</v>
      </c>
      <c r="H963" s="213" t="n">
        <v>7.6</v>
      </c>
      <c r="I963" s="213" t="n">
        <f aca="false">AVERAGEIFS($H$33:$H$1494,$A$33:$A$1494,A963)</f>
        <v>7.73333333333333</v>
      </c>
      <c r="L963" s="215" t="n">
        <v>40614</v>
      </c>
      <c r="M963" s="213" t="n">
        <v>46.9666666666667</v>
      </c>
      <c r="N963" s="213" t="n">
        <v>45.1</v>
      </c>
      <c r="O963" s="213" t="n">
        <v>8.4</v>
      </c>
      <c r="P963" s="213" t="n">
        <v>7.73333333333333</v>
      </c>
    </row>
    <row r="964" customFormat="false" ht="12.75" hidden="false" customHeight="false" outlineLevel="0" collapsed="false">
      <c r="A964" s="215" t="n">
        <v>40614</v>
      </c>
      <c r="B964" s="213" t="n">
        <v>46.6</v>
      </c>
      <c r="C964" s="213" t="n">
        <f aca="false">AVERAGEIFS($B$33:$B$1494,$A$33:$A$1494,A964)</f>
        <v>46.9666666666667</v>
      </c>
      <c r="D964" s="213" t="n">
        <v>45.1</v>
      </c>
      <c r="E964" s="213" t="n">
        <f aca="false">AVERAGEIFS($D$33:$D$1494,$A$33:$A$1494,A964)</f>
        <v>45.1</v>
      </c>
      <c r="F964" s="213" t="n">
        <v>8.1</v>
      </c>
      <c r="G964" s="213" t="n">
        <f aca="false">AVERAGEIFS($F$33:$F$1494,$A$33:$A$1494,A964)</f>
        <v>8.4</v>
      </c>
      <c r="H964" s="213" t="n">
        <v>7.7</v>
      </c>
      <c r="I964" s="213" t="n">
        <f aca="false">AVERAGEIFS($H$33:$H$1494,$A$33:$A$1494,A964)</f>
        <v>7.73333333333333</v>
      </c>
      <c r="L964" s="215" t="n">
        <v>40614</v>
      </c>
      <c r="M964" s="213" t="n">
        <v>46.9666666666667</v>
      </c>
      <c r="N964" s="213" t="n">
        <v>45.1</v>
      </c>
      <c r="O964" s="213" t="n">
        <v>8.4</v>
      </c>
      <c r="P964" s="213" t="n">
        <v>7.73333333333333</v>
      </c>
    </row>
    <row r="965" customFormat="false" ht="12.75" hidden="false" customHeight="false" outlineLevel="0" collapsed="false">
      <c r="A965" s="215" t="n">
        <v>40614</v>
      </c>
      <c r="B965" s="213" t="n">
        <v>46.4</v>
      </c>
      <c r="C965" s="213" t="n">
        <f aca="false">AVERAGEIFS($B$33:$B$1494,$A$33:$A$1494,A965)</f>
        <v>46.9666666666667</v>
      </c>
      <c r="D965" s="213" t="n">
        <v>45.1</v>
      </c>
      <c r="E965" s="213" t="n">
        <f aca="false">AVERAGEIFS($D$33:$D$1494,$A$33:$A$1494,A965)</f>
        <v>45.1</v>
      </c>
      <c r="F965" s="213" t="n">
        <v>8.1</v>
      </c>
      <c r="G965" s="213" t="n">
        <f aca="false">AVERAGEIFS($F$33:$F$1494,$A$33:$A$1494,A965)</f>
        <v>8.4</v>
      </c>
      <c r="H965" s="213" t="n">
        <v>7.7</v>
      </c>
      <c r="I965" s="213" t="n">
        <f aca="false">AVERAGEIFS($H$33:$H$1494,$A$33:$A$1494,A965)</f>
        <v>7.73333333333333</v>
      </c>
      <c r="L965" s="215" t="n">
        <v>40614</v>
      </c>
      <c r="M965" s="213" t="n">
        <v>46.9666666666667</v>
      </c>
      <c r="N965" s="213" t="n">
        <v>45.1</v>
      </c>
      <c r="O965" s="213" t="n">
        <v>8.4</v>
      </c>
      <c r="P965" s="213" t="n">
        <v>7.73333333333333</v>
      </c>
    </row>
    <row r="966" customFormat="false" ht="12.75" hidden="false" customHeight="false" outlineLevel="0" collapsed="false">
      <c r="A966" s="215" t="n">
        <v>40614</v>
      </c>
      <c r="B966" s="213" t="n">
        <v>46.3</v>
      </c>
      <c r="C966" s="213" t="n">
        <f aca="false">AVERAGEIFS($B$33:$B$1494,$A$33:$A$1494,A966)</f>
        <v>46.9666666666667</v>
      </c>
      <c r="D966" s="213" t="n">
        <v>45.1</v>
      </c>
      <c r="E966" s="213" t="n">
        <f aca="false">AVERAGEIFS($D$33:$D$1494,$A$33:$A$1494,A966)</f>
        <v>45.1</v>
      </c>
      <c r="F966" s="213" t="n">
        <v>8.3</v>
      </c>
      <c r="G966" s="213" t="n">
        <f aca="false">AVERAGEIFS($F$33:$F$1494,$A$33:$A$1494,A966)</f>
        <v>8.4</v>
      </c>
      <c r="H966" s="213" t="n">
        <v>7.7</v>
      </c>
      <c r="I966" s="213" t="n">
        <f aca="false">AVERAGEIFS($H$33:$H$1494,$A$33:$A$1494,A966)</f>
        <v>7.73333333333333</v>
      </c>
      <c r="L966" s="215" t="n">
        <v>40614</v>
      </c>
      <c r="M966" s="213" t="n">
        <v>46.9666666666667</v>
      </c>
      <c r="N966" s="213" t="n">
        <v>45.1</v>
      </c>
      <c r="O966" s="213" t="n">
        <v>8.4</v>
      </c>
      <c r="P966" s="213" t="n">
        <v>7.73333333333333</v>
      </c>
    </row>
    <row r="967" customFormat="false" ht="12.75" hidden="false" customHeight="false" outlineLevel="0" collapsed="false">
      <c r="A967" s="215" t="n">
        <v>40614</v>
      </c>
      <c r="B967" s="213" t="n">
        <v>46.3</v>
      </c>
      <c r="C967" s="213" t="n">
        <f aca="false">AVERAGEIFS($B$33:$B$1494,$A$33:$A$1494,A967)</f>
        <v>46.9666666666667</v>
      </c>
      <c r="D967" s="213" t="n">
        <v>45.1</v>
      </c>
      <c r="E967" s="213" t="n">
        <f aca="false">AVERAGEIFS($D$33:$D$1494,$A$33:$A$1494,A967)</f>
        <v>45.1</v>
      </c>
      <c r="F967" s="213" t="n">
        <v>8.7</v>
      </c>
      <c r="G967" s="213" t="n">
        <f aca="false">AVERAGEIFS($F$33:$F$1494,$A$33:$A$1494,A967)</f>
        <v>8.4</v>
      </c>
      <c r="H967" s="213" t="n">
        <v>7.8</v>
      </c>
      <c r="I967" s="213" t="n">
        <f aca="false">AVERAGEIFS($H$33:$H$1494,$A$33:$A$1494,A967)</f>
        <v>7.73333333333333</v>
      </c>
      <c r="L967" s="215" t="n">
        <v>40614</v>
      </c>
      <c r="M967" s="213" t="n">
        <v>46.9666666666667</v>
      </c>
      <c r="N967" s="213" t="n">
        <v>45.1</v>
      </c>
      <c r="O967" s="213" t="n">
        <v>8.4</v>
      </c>
      <c r="P967" s="213" t="n">
        <v>7.73333333333333</v>
      </c>
    </row>
    <row r="968" customFormat="false" ht="12.75" hidden="false" customHeight="false" outlineLevel="0" collapsed="false">
      <c r="A968" s="215" t="n">
        <v>40614</v>
      </c>
      <c r="B968" s="213" t="n">
        <v>49.6</v>
      </c>
      <c r="C968" s="213" t="n">
        <f aca="false">AVERAGEIFS($B$33:$B$1494,$A$33:$A$1494,A968)</f>
        <v>46.9666666666667</v>
      </c>
      <c r="D968" s="213" t="n">
        <v>45.1</v>
      </c>
      <c r="E968" s="213" t="n">
        <f aca="false">AVERAGEIFS($D$33:$D$1494,$A$33:$A$1494,A968)</f>
        <v>45.1</v>
      </c>
      <c r="F968" s="213" t="n">
        <v>8.8</v>
      </c>
      <c r="G968" s="213" t="n">
        <f aca="false">AVERAGEIFS($F$33:$F$1494,$A$33:$A$1494,A968)</f>
        <v>8.4</v>
      </c>
      <c r="H968" s="213" t="n">
        <v>7.9</v>
      </c>
      <c r="I968" s="213" t="n">
        <f aca="false">AVERAGEIFS($H$33:$H$1494,$A$33:$A$1494,A968)</f>
        <v>7.73333333333333</v>
      </c>
      <c r="L968" s="215" t="n">
        <v>40614</v>
      </c>
      <c r="M968" s="213" t="n">
        <v>46.9666666666667</v>
      </c>
      <c r="N968" s="213" t="n">
        <v>45.1</v>
      </c>
      <c r="O968" s="213" t="n">
        <v>8.4</v>
      </c>
      <c r="P968" s="213" t="n">
        <v>7.73333333333333</v>
      </c>
    </row>
    <row r="969" customFormat="false" ht="12.75" hidden="false" customHeight="false" outlineLevel="0" collapsed="false">
      <c r="A969" s="215" t="n">
        <v>40615</v>
      </c>
      <c r="B969" s="213" t="n">
        <v>50.1</v>
      </c>
      <c r="C969" s="213" t="n">
        <f aca="false">AVERAGEIFS($B$33:$B$1494,$A$33:$A$1494,A969)</f>
        <v>48.9333333333333</v>
      </c>
      <c r="D969" s="213" t="n">
        <v>45.1</v>
      </c>
      <c r="E969" s="213" t="n">
        <f aca="false">AVERAGEIFS($D$33:$D$1494,$A$33:$A$1494,A969)</f>
        <v>45.0666666666667</v>
      </c>
      <c r="F969" s="213" t="n">
        <v>8.9</v>
      </c>
      <c r="G969" s="213" t="n">
        <f aca="false">AVERAGEIFS($F$33:$F$1494,$A$33:$A$1494,A969)</f>
        <v>9.31666666666667</v>
      </c>
      <c r="H969" s="213" t="n">
        <v>8</v>
      </c>
      <c r="I969" s="213" t="n">
        <f aca="false">AVERAGEIFS($H$33:$H$1494,$A$33:$A$1494,A969)</f>
        <v>8.23333333333333</v>
      </c>
      <c r="L969" s="215" t="n">
        <v>40615</v>
      </c>
      <c r="M969" s="213" t="n">
        <v>48.9333333333333</v>
      </c>
      <c r="N969" s="213" t="n">
        <v>45.0666666666667</v>
      </c>
      <c r="O969" s="213" t="n">
        <v>9.31666666666667</v>
      </c>
      <c r="P969" s="213" t="n">
        <v>8.23333333333333</v>
      </c>
    </row>
    <row r="970" customFormat="false" ht="12.75" hidden="false" customHeight="false" outlineLevel="0" collapsed="false">
      <c r="A970" s="215" t="n">
        <v>40615</v>
      </c>
      <c r="B970" s="213" t="n">
        <v>49.8</v>
      </c>
      <c r="C970" s="213" t="n">
        <f aca="false">AVERAGEIFS($B$33:$B$1494,$A$33:$A$1494,A970)</f>
        <v>48.9333333333333</v>
      </c>
      <c r="D970" s="213" t="n">
        <v>45.1</v>
      </c>
      <c r="E970" s="213" t="n">
        <f aca="false">AVERAGEIFS($D$33:$D$1494,$A$33:$A$1494,A970)</f>
        <v>45.0666666666667</v>
      </c>
      <c r="F970" s="213" t="n">
        <v>9</v>
      </c>
      <c r="G970" s="213" t="n">
        <f aca="false">AVERAGEIFS($F$33:$F$1494,$A$33:$A$1494,A970)</f>
        <v>9.31666666666667</v>
      </c>
      <c r="H970" s="213" t="n">
        <v>8.1</v>
      </c>
      <c r="I970" s="213" t="n">
        <f aca="false">AVERAGEIFS($H$33:$H$1494,$A$33:$A$1494,A970)</f>
        <v>8.23333333333333</v>
      </c>
      <c r="L970" s="215" t="n">
        <v>40615</v>
      </c>
      <c r="M970" s="213" t="n">
        <v>48.9333333333333</v>
      </c>
      <c r="N970" s="213" t="n">
        <v>45.0666666666667</v>
      </c>
      <c r="O970" s="213" t="n">
        <v>9.31666666666667</v>
      </c>
      <c r="P970" s="213" t="n">
        <v>8.23333333333333</v>
      </c>
    </row>
    <row r="971" customFormat="false" ht="12.75" hidden="false" customHeight="false" outlineLevel="0" collapsed="false">
      <c r="A971" s="215" t="n">
        <v>40615</v>
      </c>
      <c r="B971" s="213" t="n">
        <v>49.5</v>
      </c>
      <c r="C971" s="213" t="n">
        <f aca="false">AVERAGEIFS($B$33:$B$1494,$A$33:$A$1494,A971)</f>
        <v>48.9333333333333</v>
      </c>
      <c r="D971" s="213" t="n">
        <v>45.1</v>
      </c>
      <c r="E971" s="213" t="n">
        <f aca="false">AVERAGEIFS($D$33:$D$1494,$A$33:$A$1494,A971)</f>
        <v>45.0666666666667</v>
      </c>
      <c r="F971" s="213" t="n">
        <v>8.8</v>
      </c>
      <c r="G971" s="213" t="n">
        <f aca="false">AVERAGEIFS($F$33:$F$1494,$A$33:$A$1494,A971)</f>
        <v>9.31666666666667</v>
      </c>
      <c r="H971" s="213" t="n">
        <v>8.2</v>
      </c>
      <c r="I971" s="213" t="n">
        <f aca="false">AVERAGEIFS($H$33:$H$1494,$A$33:$A$1494,A971)</f>
        <v>8.23333333333333</v>
      </c>
      <c r="L971" s="215" t="n">
        <v>40615</v>
      </c>
      <c r="M971" s="213" t="n">
        <v>48.9333333333333</v>
      </c>
      <c r="N971" s="213" t="n">
        <v>45.0666666666667</v>
      </c>
      <c r="O971" s="213" t="n">
        <v>9.31666666666667</v>
      </c>
      <c r="P971" s="213" t="n">
        <v>8.23333333333333</v>
      </c>
    </row>
    <row r="972" customFormat="false" ht="12.75" hidden="false" customHeight="false" outlineLevel="0" collapsed="false">
      <c r="A972" s="215" t="n">
        <v>40615</v>
      </c>
      <c r="B972" s="213" t="n">
        <v>48.8</v>
      </c>
      <c r="C972" s="213" t="n">
        <f aca="false">AVERAGEIFS($B$33:$B$1494,$A$33:$A$1494,A972)</f>
        <v>48.9333333333333</v>
      </c>
      <c r="D972" s="213" t="n">
        <v>45.1</v>
      </c>
      <c r="E972" s="213" t="n">
        <f aca="false">AVERAGEIFS($D$33:$D$1494,$A$33:$A$1494,A972)</f>
        <v>45.0666666666667</v>
      </c>
      <c r="F972" s="213" t="n">
        <v>9</v>
      </c>
      <c r="G972" s="213" t="n">
        <f aca="false">AVERAGEIFS($F$33:$F$1494,$A$33:$A$1494,A972)</f>
        <v>9.31666666666667</v>
      </c>
      <c r="H972" s="213" t="n">
        <v>8.2</v>
      </c>
      <c r="I972" s="213" t="n">
        <f aca="false">AVERAGEIFS($H$33:$H$1494,$A$33:$A$1494,A972)</f>
        <v>8.23333333333333</v>
      </c>
      <c r="L972" s="215" t="n">
        <v>40615</v>
      </c>
      <c r="M972" s="213" t="n">
        <v>48.9333333333333</v>
      </c>
      <c r="N972" s="213" t="n">
        <v>45.0666666666667</v>
      </c>
      <c r="O972" s="213" t="n">
        <v>9.31666666666667</v>
      </c>
      <c r="P972" s="213" t="n">
        <v>8.23333333333333</v>
      </c>
    </row>
    <row r="973" customFormat="false" ht="12.75" hidden="false" customHeight="false" outlineLevel="0" collapsed="false">
      <c r="A973" s="215" t="n">
        <v>40615</v>
      </c>
      <c r="B973" s="213" t="n">
        <v>48</v>
      </c>
      <c r="C973" s="213" t="n">
        <f aca="false">AVERAGEIFS($B$33:$B$1494,$A$33:$A$1494,A973)</f>
        <v>48.9333333333333</v>
      </c>
      <c r="D973" s="213" t="n">
        <v>45</v>
      </c>
      <c r="E973" s="213" t="n">
        <f aca="false">AVERAGEIFS($D$33:$D$1494,$A$33:$A$1494,A973)</f>
        <v>45.0666666666667</v>
      </c>
      <c r="F973" s="213" t="n">
        <v>9.9</v>
      </c>
      <c r="G973" s="213" t="n">
        <f aca="false">AVERAGEIFS($F$33:$F$1494,$A$33:$A$1494,A973)</f>
        <v>9.31666666666667</v>
      </c>
      <c r="H973" s="213" t="n">
        <v>8.3</v>
      </c>
      <c r="I973" s="213" t="n">
        <f aca="false">AVERAGEIFS($H$33:$H$1494,$A$33:$A$1494,A973)</f>
        <v>8.23333333333333</v>
      </c>
      <c r="L973" s="215" t="n">
        <v>40615</v>
      </c>
      <c r="M973" s="213" t="n">
        <v>48.9333333333333</v>
      </c>
      <c r="N973" s="213" t="n">
        <v>45.0666666666667</v>
      </c>
      <c r="O973" s="213" t="n">
        <v>9.31666666666667</v>
      </c>
      <c r="P973" s="213" t="n">
        <v>8.23333333333333</v>
      </c>
    </row>
    <row r="974" customFormat="false" ht="12.75" hidden="false" customHeight="false" outlineLevel="0" collapsed="false">
      <c r="A974" s="215" t="n">
        <v>40615</v>
      </c>
      <c r="B974" s="213" t="n">
        <v>47.4</v>
      </c>
      <c r="C974" s="213" t="n">
        <f aca="false">AVERAGEIFS($B$33:$B$1494,$A$33:$A$1494,A974)</f>
        <v>48.9333333333333</v>
      </c>
      <c r="D974" s="213" t="n">
        <v>45</v>
      </c>
      <c r="E974" s="213" t="n">
        <f aca="false">AVERAGEIFS($D$33:$D$1494,$A$33:$A$1494,A974)</f>
        <v>45.0666666666667</v>
      </c>
      <c r="F974" s="213" t="n">
        <v>10.3</v>
      </c>
      <c r="G974" s="213" t="n">
        <f aca="false">AVERAGEIFS($F$33:$F$1494,$A$33:$A$1494,A974)</f>
        <v>9.31666666666667</v>
      </c>
      <c r="H974" s="213" t="n">
        <v>8.6</v>
      </c>
      <c r="I974" s="213" t="n">
        <f aca="false">AVERAGEIFS($H$33:$H$1494,$A$33:$A$1494,A974)</f>
        <v>8.23333333333333</v>
      </c>
      <c r="L974" s="215" t="n">
        <v>40615</v>
      </c>
      <c r="M974" s="213" t="n">
        <v>48.9333333333333</v>
      </c>
      <c r="N974" s="213" t="n">
        <v>45.0666666666667</v>
      </c>
      <c r="O974" s="213" t="n">
        <v>9.31666666666667</v>
      </c>
      <c r="P974" s="213" t="n">
        <v>8.23333333333333</v>
      </c>
    </row>
    <row r="975" customFormat="false" ht="12.75" hidden="false" customHeight="false" outlineLevel="0" collapsed="false">
      <c r="A975" s="215" t="n">
        <v>40616</v>
      </c>
      <c r="B975" s="213" t="n">
        <v>47.2</v>
      </c>
      <c r="C975" s="213" t="n">
        <f aca="false">AVERAGEIFS($B$33:$B$1494,$A$33:$A$1494,A975)</f>
        <v>46.8166666666667</v>
      </c>
      <c r="D975" s="213" t="n">
        <v>45</v>
      </c>
      <c r="E975" s="213" t="n">
        <f aca="false">AVERAGEIFS($D$33:$D$1494,$A$33:$A$1494,A975)</f>
        <v>44.9333333333333</v>
      </c>
      <c r="F975" s="213" t="n">
        <v>9.8</v>
      </c>
      <c r="G975" s="213" t="n">
        <f aca="false">AVERAGEIFS($F$33:$F$1494,$A$33:$A$1494,A975)</f>
        <v>9.96666666666667</v>
      </c>
      <c r="H975" s="213" t="n">
        <v>8.8</v>
      </c>
      <c r="I975" s="213" t="n">
        <f aca="false">AVERAGEIFS($H$33:$H$1494,$A$33:$A$1494,A975)</f>
        <v>8.86666666666667</v>
      </c>
      <c r="L975" s="215" t="n">
        <v>40616</v>
      </c>
      <c r="M975" s="213" t="n">
        <v>46.8166666666667</v>
      </c>
      <c r="N975" s="213" t="n">
        <v>44.9333333333333</v>
      </c>
      <c r="O975" s="213" t="n">
        <v>9.96666666666667</v>
      </c>
      <c r="P975" s="213" t="n">
        <v>8.86666666666667</v>
      </c>
    </row>
    <row r="976" customFormat="false" ht="12.75" hidden="false" customHeight="false" outlineLevel="0" collapsed="false">
      <c r="A976" s="215" t="n">
        <v>40616</v>
      </c>
      <c r="B976" s="213" t="n">
        <v>47.1</v>
      </c>
      <c r="C976" s="213" t="n">
        <f aca="false">AVERAGEIFS($B$33:$B$1494,$A$33:$A$1494,A976)</f>
        <v>46.8166666666667</v>
      </c>
      <c r="D976" s="213" t="n">
        <v>45</v>
      </c>
      <c r="E976" s="213" t="n">
        <f aca="false">AVERAGEIFS($D$33:$D$1494,$A$33:$A$1494,A976)</f>
        <v>44.9333333333333</v>
      </c>
      <c r="F976" s="213" t="n">
        <v>9.3</v>
      </c>
      <c r="G976" s="213" t="n">
        <f aca="false">AVERAGEIFS($F$33:$F$1494,$A$33:$A$1494,A976)</f>
        <v>9.96666666666667</v>
      </c>
      <c r="H976" s="213" t="n">
        <v>8.8</v>
      </c>
      <c r="I976" s="213" t="n">
        <f aca="false">AVERAGEIFS($H$33:$H$1494,$A$33:$A$1494,A976)</f>
        <v>8.86666666666667</v>
      </c>
      <c r="L976" s="215" t="n">
        <v>40616</v>
      </c>
      <c r="M976" s="213" t="n">
        <v>46.8166666666667</v>
      </c>
      <c r="N976" s="213" t="n">
        <v>44.9333333333333</v>
      </c>
      <c r="O976" s="213" t="n">
        <v>9.96666666666667</v>
      </c>
      <c r="P976" s="213" t="n">
        <v>8.86666666666667</v>
      </c>
    </row>
    <row r="977" customFormat="false" ht="12.75" hidden="false" customHeight="false" outlineLevel="0" collapsed="false">
      <c r="A977" s="215" t="n">
        <v>40616</v>
      </c>
      <c r="B977" s="213" t="n">
        <v>46.9</v>
      </c>
      <c r="C977" s="213" t="n">
        <f aca="false">AVERAGEIFS($B$33:$B$1494,$A$33:$A$1494,A977)</f>
        <v>46.8166666666667</v>
      </c>
      <c r="D977" s="213" t="n">
        <v>45</v>
      </c>
      <c r="E977" s="213" t="n">
        <f aca="false">AVERAGEIFS($D$33:$D$1494,$A$33:$A$1494,A977)</f>
        <v>44.9333333333333</v>
      </c>
      <c r="F977" s="213" t="n">
        <v>9.4</v>
      </c>
      <c r="G977" s="213" t="n">
        <f aca="false">AVERAGEIFS($F$33:$F$1494,$A$33:$A$1494,A977)</f>
        <v>9.96666666666667</v>
      </c>
      <c r="H977" s="213" t="n">
        <v>8.8</v>
      </c>
      <c r="I977" s="213" t="n">
        <f aca="false">AVERAGEIFS($H$33:$H$1494,$A$33:$A$1494,A977)</f>
        <v>8.86666666666667</v>
      </c>
      <c r="L977" s="215" t="n">
        <v>40616</v>
      </c>
      <c r="M977" s="213" t="n">
        <v>46.8166666666667</v>
      </c>
      <c r="N977" s="213" t="n">
        <v>44.9333333333333</v>
      </c>
      <c r="O977" s="213" t="n">
        <v>9.96666666666667</v>
      </c>
      <c r="P977" s="213" t="n">
        <v>8.86666666666667</v>
      </c>
    </row>
    <row r="978" customFormat="false" ht="12.75" hidden="false" customHeight="false" outlineLevel="0" collapsed="false">
      <c r="A978" s="215" t="n">
        <v>40616</v>
      </c>
      <c r="B978" s="213" t="n">
        <v>46.8</v>
      </c>
      <c r="C978" s="213" t="n">
        <f aca="false">AVERAGEIFS($B$33:$B$1494,$A$33:$A$1494,A978)</f>
        <v>46.8166666666667</v>
      </c>
      <c r="D978" s="213" t="n">
        <v>44.9</v>
      </c>
      <c r="E978" s="213" t="n">
        <f aca="false">AVERAGEIFS($D$33:$D$1494,$A$33:$A$1494,A978)</f>
        <v>44.9333333333333</v>
      </c>
      <c r="F978" s="213" t="n">
        <v>9.8</v>
      </c>
      <c r="G978" s="213" t="n">
        <f aca="false">AVERAGEIFS($F$33:$F$1494,$A$33:$A$1494,A978)</f>
        <v>9.96666666666667</v>
      </c>
      <c r="H978" s="213" t="n">
        <v>8.8</v>
      </c>
      <c r="I978" s="213" t="n">
        <f aca="false">AVERAGEIFS($H$33:$H$1494,$A$33:$A$1494,A978)</f>
        <v>8.86666666666667</v>
      </c>
      <c r="L978" s="215" t="n">
        <v>40616</v>
      </c>
      <c r="M978" s="213" t="n">
        <v>46.8166666666667</v>
      </c>
      <c r="N978" s="213" t="n">
        <v>44.9333333333333</v>
      </c>
      <c r="O978" s="213" t="n">
        <v>9.96666666666667</v>
      </c>
      <c r="P978" s="213" t="n">
        <v>8.86666666666667</v>
      </c>
    </row>
    <row r="979" customFormat="false" ht="12.75" hidden="false" customHeight="false" outlineLevel="0" collapsed="false">
      <c r="A979" s="215" t="n">
        <v>40616</v>
      </c>
      <c r="B979" s="213" t="n">
        <v>46.5</v>
      </c>
      <c r="C979" s="213" t="n">
        <f aca="false">AVERAGEIFS($B$33:$B$1494,$A$33:$A$1494,A979)</f>
        <v>46.8166666666667</v>
      </c>
      <c r="D979" s="213" t="n">
        <v>44.9</v>
      </c>
      <c r="E979" s="213" t="n">
        <f aca="false">AVERAGEIFS($D$33:$D$1494,$A$33:$A$1494,A979)</f>
        <v>44.9333333333333</v>
      </c>
      <c r="F979" s="213" t="n">
        <v>10.6</v>
      </c>
      <c r="G979" s="213" t="n">
        <f aca="false">AVERAGEIFS($F$33:$F$1494,$A$33:$A$1494,A979)</f>
        <v>9.96666666666667</v>
      </c>
      <c r="H979" s="213" t="n">
        <v>8.9</v>
      </c>
      <c r="I979" s="213" t="n">
        <f aca="false">AVERAGEIFS($H$33:$H$1494,$A$33:$A$1494,A979)</f>
        <v>8.86666666666667</v>
      </c>
      <c r="L979" s="215" t="n">
        <v>40616</v>
      </c>
      <c r="M979" s="213" t="n">
        <v>46.8166666666667</v>
      </c>
      <c r="N979" s="213" t="n">
        <v>44.9333333333333</v>
      </c>
      <c r="O979" s="213" t="n">
        <v>9.96666666666667</v>
      </c>
      <c r="P979" s="213" t="n">
        <v>8.86666666666667</v>
      </c>
    </row>
    <row r="980" customFormat="false" ht="12.75" hidden="false" customHeight="false" outlineLevel="0" collapsed="false">
      <c r="A980" s="215" t="n">
        <v>40616</v>
      </c>
      <c r="B980" s="213" t="n">
        <v>46.4</v>
      </c>
      <c r="C980" s="213" t="n">
        <f aca="false">AVERAGEIFS($B$33:$B$1494,$A$33:$A$1494,A980)</f>
        <v>46.8166666666667</v>
      </c>
      <c r="D980" s="213" t="n">
        <v>44.8</v>
      </c>
      <c r="E980" s="213" t="n">
        <f aca="false">AVERAGEIFS($D$33:$D$1494,$A$33:$A$1494,A980)</f>
        <v>44.9333333333333</v>
      </c>
      <c r="F980" s="213" t="n">
        <v>10.9</v>
      </c>
      <c r="G980" s="213" t="n">
        <f aca="false">AVERAGEIFS($F$33:$F$1494,$A$33:$A$1494,A980)</f>
        <v>9.96666666666667</v>
      </c>
      <c r="H980" s="213" t="n">
        <v>9.1</v>
      </c>
      <c r="I980" s="213" t="n">
        <f aca="false">AVERAGEIFS($H$33:$H$1494,$A$33:$A$1494,A980)</f>
        <v>8.86666666666667</v>
      </c>
      <c r="L980" s="215" t="n">
        <v>40616</v>
      </c>
      <c r="M980" s="213" t="n">
        <v>46.8166666666667</v>
      </c>
      <c r="N980" s="213" t="n">
        <v>44.9333333333333</v>
      </c>
      <c r="O980" s="213" t="n">
        <v>9.96666666666667</v>
      </c>
      <c r="P980" s="213" t="n">
        <v>8.86666666666667</v>
      </c>
    </row>
    <row r="981" customFormat="false" ht="12.75" hidden="false" customHeight="false" outlineLevel="0" collapsed="false">
      <c r="A981" s="215" t="n">
        <v>40617</v>
      </c>
      <c r="B981" s="213" t="n">
        <v>46.3</v>
      </c>
      <c r="C981" s="213" t="n">
        <f aca="false">AVERAGEIFS($B$33:$B$1494,$A$33:$A$1494,A981)</f>
        <v>46.0166666666667</v>
      </c>
      <c r="D981" s="213" t="n">
        <v>44.8</v>
      </c>
      <c r="E981" s="213" t="n">
        <f aca="false">AVERAGEIFS($D$33:$D$1494,$A$33:$A$1494,A981)</f>
        <v>44.8</v>
      </c>
      <c r="F981" s="213" t="n">
        <v>10.5</v>
      </c>
      <c r="G981" s="213" t="n">
        <f aca="false">AVERAGEIFS($F$33:$F$1494,$A$33:$A$1494,A981)</f>
        <v>10.6166666666667</v>
      </c>
      <c r="H981" s="213" t="n">
        <v>9.3</v>
      </c>
      <c r="I981" s="213" t="n">
        <f aca="false">AVERAGEIFS($H$33:$H$1494,$A$33:$A$1494,A981)</f>
        <v>9.43333333333333</v>
      </c>
      <c r="L981" s="215" t="n">
        <v>40617</v>
      </c>
      <c r="M981" s="213" t="n">
        <v>46.0166666666667</v>
      </c>
      <c r="N981" s="213" t="n">
        <v>44.8</v>
      </c>
      <c r="O981" s="213" t="n">
        <v>10.6166666666667</v>
      </c>
      <c r="P981" s="213" t="n">
        <v>9.43333333333333</v>
      </c>
    </row>
    <row r="982" customFormat="false" ht="12.75" hidden="false" customHeight="false" outlineLevel="0" collapsed="false">
      <c r="A982" s="215" t="n">
        <v>40617</v>
      </c>
      <c r="B982" s="213" t="n">
        <v>46.2</v>
      </c>
      <c r="C982" s="213" t="n">
        <f aca="false">AVERAGEIFS($B$33:$B$1494,$A$33:$A$1494,A982)</f>
        <v>46.0166666666667</v>
      </c>
      <c r="D982" s="213" t="n">
        <v>44.8</v>
      </c>
      <c r="E982" s="213" t="n">
        <f aca="false">AVERAGEIFS($D$33:$D$1494,$A$33:$A$1494,A982)</f>
        <v>44.8</v>
      </c>
      <c r="F982" s="213" t="n">
        <v>10.4</v>
      </c>
      <c r="G982" s="213" t="n">
        <f aca="false">AVERAGEIFS($F$33:$F$1494,$A$33:$A$1494,A982)</f>
        <v>10.6166666666667</v>
      </c>
      <c r="H982" s="213" t="n">
        <v>9.4</v>
      </c>
      <c r="I982" s="213" t="n">
        <f aca="false">AVERAGEIFS($H$33:$H$1494,$A$33:$A$1494,A982)</f>
        <v>9.43333333333333</v>
      </c>
      <c r="L982" s="215" t="n">
        <v>40617</v>
      </c>
      <c r="M982" s="213" t="n">
        <v>46.0166666666667</v>
      </c>
      <c r="N982" s="213" t="n">
        <v>44.8</v>
      </c>
      <c r="O982" s="213" t="n">
        <v>10.6166666666667</v>
      </c>
      <c r="P982" s="213" t="n">
        <v>9.43333333333333</v>
      </c>
    </row>
    <row r="983" customFormat="false" ht="12.75" hidden="false" customHeight="false" outlineLevel="0" collapsed="false">
      <c r="A983" s="215" t="n">
        <v>40617</v>
      </c>
      <c r="B983" s="213" t="n">
        <v>46.1</v>
      </c>
      <c r="C983" s="213" t="n">
        <f aca="false">AVERAGEIFS($B$33:$B$1494,$A$33:$A$1494,A983)</f>
        <v>46.0166666666667</v>
      </c>
      <c r="D983" s="213" t="n">
        <v>44.8</v>
      </c>
      <c r="E983" s="213" t="n">
        <f aca="false">AVERAGEIFS($D$33:$D$1494,$A$33:$A$1494,A983)</f>
        <v>44.8</v>
      </c>
      <c r="F983" s="213" t="n">
        <v>10.4</v>
      </c>
      <c r="G983" s="213" t="n">
        <f aca="false">AVERAGEIFS($F$33:$F$1494,$A$33:$A$1494,A983)</f>
        <v>10.6166666666667</v>
      </c>
      <c r="H983" s="213" t="n">
        <v>9.4</v>
      </c>
      <c r="I983" s="213" t="n">
        <f aca="false">AVERAGEIFS($H$33:$H$1494,$A$33:$A$1494,A983)</f>
        <v>9.43333333333333</v>
      </c>
      <c r="L983" s="215" t="n">
        <v>40617</v>
      </c>
      <c r="M983" s="213" t="n">
        <v>46.0166666666667</v>
      </c>
      <c r="N983" s="213" t="n">
        <v>44.8</v>
      </c>
      <c r="O983" s="213" t="n">
        <v>10.6166666666667</v>
      </c>
      <c r="P983" s="213" t="n">
        <v>9.43333333333333</v>
      </c>
    </row>
    <row r="984" customFormat="false" ht="12.75" hidden="false" customHeight="false" outlineLevel="0" collapsed="false">
      <c r="A984" s="215" t="n">
        <v>40617</v>
      </c>
      <c r="B984" s="213" t="n">
        <v>46</v>
      </c>
      <c r="C984" s="213" t="n">
        <f aca="false">AVERAGEIFS($B$33:$B$1494,$A$33:$A$1494,A984)</f>
        <v>46.0166666666667</v>
      </c>
      <c r="D984" s="213" t="n">
        <v>44.8</v>
      </c>
      <c r="E984" s="213" t="n">
        <f aca="false">AVERAGEIFS($D$33:$D$1494,$A$33:$A$1494,A984)</f>
        <v>44.8</v>
      </c>
      <c r="F984" s="213" t="n">
        <v>10.6</v>
      </c>
      <c r="G984" s="213" t="n">
        <f aca="false">AVERAGEIFS($F$33:$F$1494,$A$33:$A$1494,A984)</f>
        <v>10.6166666666667</v>
      </c>
      <c r="H984" s="213" t="n">
        <v>9.4</v>
      </c>
      <c r="I984" s="213" t="n">
        <f aca="false">AVERAGEIFS($H$33:$H$1494,$A$33:$A$1494,A984)</f>
        <v>9.43333333333333</v>
      </c>
      <c r="L984" s="215" t="n">
        <v>40617</v>
      </c>
      <c r="M984" s="213" t="n">
        <v>46.0166666666667</v>
      </c>
      <c r="N984" s="213" t="n">
        <v>44.8</v>
      </c>
      <c r="O984" s="213" t="n">
        <v>10.6166666666667</v>
      </c>
      <c r="P984" s="213" t="n">
        <v>9.43333333333333</v>
      </c>
    </row>
    <row r="985" customFormat="false" ht="12.75" hidden="false" customHeight="false" outlineLevel="0" collapsed="false">
      <c r="A985" s="215" t="n">
        <v>40617</v>
      </c>
      <c r="B985" s="213" t="n">
        <v>45.8</v>
      </c>
      <c r="C985" s="213" t="n">
        <f aca="false">AVERAGEIFS($B$33:$B$1494,$A$33:$A$1494,A985)</f>
        <v>46.0166666666667</v>
      </c>
      <c r="D985" s="213" t="n">
        <v>44.8</v>
      </c>
      <c r="E985" s="213" t="n">
        <f aca="false">AVERAGEIFS($D$33:$D$1494,$A$33:$A$1494,A985)</f>
        <v>44.8</v>
      </c>
      <c r="F985" s="213" t="n">
        <v>10.9</v>
      </c>
      <c r="G985" s="213" t="n">
        <f aca="false">AVERAGEIFS($F$33:$F$1494,$A$33:$A$1494,A985)</f>
        <v>10.6166666666667</v>
      </c>
      <c r="H985" s="213" t="n">
        <v>9.5</v>
      </c>
      <c r="I985" s="213" t="n">
        <f aca="false">AVERAGEIFS($H$33:$H$1494,$A$33:$A$1494,A985)</f>
        <v>9.43333333333333</v>
      </c>
      <c r="L985" s="215" t="n">
        <v>40617</v>
      </c>
      <c r="M985" s="213" t="n">
        <v>46.0166666666667</v>
      </c>
      <c r="N985" s="213" t="n">
        <v>44.8</v>
      </c>
      <c r="O985" s="213" t="n">
        <v>10.6166666666667</v>
      </c>
      <c r="P985" s="213" t="n">
        <v>9.43333333333333</v>
      </c>
    </row>
    <row r="986" customFormat="false" ht="12.75" hidden="false" customHeight="false" outlineLevel="0" collapsed="false">
      <c r="A986" s="215" t="n">
        <v>40617</v>
      </c>
      <c r="B986" s="213" t="n">
        <v>45.7</v>
      </c>
      <c r="C986" s="213" t="n">
        <f aca="false">AVERAGEIFS($B$33:$B$1494,$A$33:$A$1494,A986)</f>
        <v>46.0166666666667</v>
      </c>
      <c r="D986" s="213" t="n">
        <v>44.8</v>
      </c>
      <c r="E986" s="213" t="n">
        <f aca="false">AVERAGEIFS($D$33:$D$1494,$A$33:$A$1494,A986)</f>
        <v>44.8</v>
      </c>
      <c r="F986" s="213" t="n">
        <v>10.9</v>
      </c>
      <c r="G986" s="213" t="n">
        <f aca="false">AVERAGEIFS($F$33:$F$1494,$A$33:$A$1494,A986)</f>
        <v>10.6166666666667</v>
      </c>
      <c r="H986" s="213" t="n">
        <v>9.6</v>
      </c>
      <c r="I986" s="213" t="n">
        <f aca="false">AVERAGEIFS($H$33:$H$1494,$A$33:$A$1494,A986)</f>
        <v>9.43333333333333</v>
      </c>
      <c r="L986" s="215" t="n">
        <v>40617</v>
      </c>
      <c r="M986" s="213" t="n">
        <v>46.0166666666667</v>
      </c>
      <c r="N986" s="213" t="n">
        <v>44.8</v>
      </c>
      <c r="O986" s="213" t="n">
        <v>10.6166666666667</v>
      </c>
      <c r="P986" s="213" t="n">
        <v>9.43333333333333</v>
      </c>
    </row>
    <row r="987" customFormat="false" ht="12.75" hidden="false" customHeight="false" outlineLevel="0" collapsed="false">
      <c r="A987" s="215" t="n">
        <v>40618</v>
      </c>
      <c r="B987" s="213" t="n">
        <v>45.7</v>
      </c>
      <c r="C987" s="213" t="n">
        <f aca="false">AVERAGEIFS($B$33:$B$1494,$A$33:$A$1494,A987)</f>
        <v>48.9333333333333</v>
      </c>
      <c r="D987" s="213" t="n">
        <v>44.8</v>
      </c>
      <c r="E987" s="213" t="n">
        <f aca="false">AVERAGEIFS($D$33:$D$1494,$A$33:$A$1494,A987)</f>
        <v>44.7166666666667</v>
      </c>
      <c r="F987" s="213" t="n">
        <v>10.8</v>
      </c>
      <c r="G987" s="213" t="n">
        <f aca="false">AVERAGEIFS($F$33:$F$1494,$A$33:$A$1494,A987)</f>
        <v>10.65</v>
      </c>
      <c r="H987" s="213" t="n">
        <v>9.7</v>
      </c>
      <c r="I987" s="213" t="n">
        <f aca="false">AVERAGEIFS($H$33:$H$1494,$A$33:$A$1494,A987)</f>
        <v>9.71666666666667</v>
      </c>
      <c r="L987" s="215" t="n">
        <v>40618</v>
      </c>
      <c r="M987" s="213" t="n">
        <v>48.9333333333333</v>
      </c>
      <c r="N987" s="213" t="n">
        <v>44.7166666666667</v>
      </c>
      <c r="O987" s="213" t="n">
        <v>10.65</v>
      </c>
      <c r="P987" s="213" t="n">
        <v>9.71666666666667</v>
      </c>
    </row>
    <row r="988" customFormat="false" ht="12.75" hidden="false" customHeight="false" outlineLevel="0" collapsed="false">
      <c r="A988" s="215" t="n">
        <v>40618</v>
      </c>
      <c r="B988" s="213" t="n">
        <v>51</v>
      </c>
      <c r="C988" s="213" t="n">
        <f aca="false">AVERAGEIFS($B$33:$B$1494,$A$33:$A$1494,A988)</f>
        <v>48.9333333333333</v>
      </c>
      <c r="D988" s="213" t="n">
        <v>44.7</v>
      </c>
      <c r="E988" s="213" t="n">
        <f aca="false">AVERAGEIFS($D$33:$D$1494,$A$33:$A$1494,A988)</f>
        <v>44.7166666666667</v>
      </c>
      <c r="F988" s="213" t="n">
        <v>10.6</v>
      </c>
      <c r="G988" s="213" t="n">
        <f aca="false">AVERAGEIFS($F$33:$F$1494,$A$33:$A$1494,A988)</f>
        <v>10.65</v>
      </c>
      <c r="H988" s="213" t="n">
        <v>9.7</v>
      </c>
      <c r="I988" s="213" t="n">
        <f aca="false">AVERAGEIFS($H$33:$H$1494,$A$33:$A$1494,A988)</f>
        <v>9.71666666666667</v>
      </c>
      <c r="L988" s="215" t="n">
        <v>40618</v>
      </c>
      <c r="M988" s="213" t="n">
        <v>48.9333333333333</v>
      </c>
      <c r="N988" s="213" t="n">
        <v>44.7166666666667</v>
      </c>
      <c r="O988" s="213" t="n">
        <v>10.65</v>
      </c>
      <c r="P988" s="213" t="n">
        <v>9.71666666666667</v>
      </c>
    </row>
    <row r="989" customFormat="false" ht="12.75" hidden="false" customHeight="false" outlineLevel="0" collapsed="false">
      <c r="A989" s="215" t="n">
        <v>40618</v>
      </c>
      <c r="B989" s="213" t="n">
        <v>50</v>
      </c>
      <c r="C989" s="213" t="n">
        <f aca="false">AVERAGEIFS($B$33:$B$1494,$A$33:$A$1494,A989)</f>
        <v>48.9333333333333</v>
      </c>
      <c r="D989" s="213" t="n">
        <v>44.7</v>
      </c>
      <c r="E989" s="213" t="n">
        <f aca="false">AVERAGEIFS($D$33:$D$1494,$A$33:$A$1494,A989)</f>
        <v>44.7166666666667</v>
      </c>
      <c r="F989" s="213" t="n">
        <v>10.4</v>
      </c>
      <c r="G989" s="213" t="n">
        <f aca="false">AVERAGEIFS($F$33:$F$1494,$A$33:$A$1494,A989)</f>
        <v>10.65</v>
      </c>
      <c r="H989" s="213" t="n">
        <v>9.7</v>
      </c>
      <c r="I989" s="213" t="n">
        <f aca="false">AVERAGEIFS($H$33:$H$1494,$A$33:$A$1494,A989)</f>
        <v>9.71666666666667</v>
      </c>
      <c r="L989" s="215" t="n">
        <v>40618</v>
      </c>
      <c r="M989" s="213" t="n">
        <v>48.9333333333333</v>
      </c>
      <c r="N989" s="213" t="n">
        <v>44.7166666666667</v>
      </c>
      <c r="O989" s="213" t="n">
        <v>10.65</v>
      </c>
      <c r="P989" s="213" t="n">
        <v>9.71666666666667</v>
      </c>
    </row>
    <row r="990" customFormat="false" ht="12.75" hidden="false" customHeight="false" outlineLevel="0" collapsed="false">
      <c r="A990" s="215" t="n">
        <v>40618</v>
      </c>
      <c r="B990" s="213" t="n">
        <v>49.3</v>
      </c>
      <c r="C990" s="213" t="n">
        <f aca="false">AVERAGEIFS($B$33:$B$1494,$A$33:$A$1494,A990)</f>
        <v>48.9333333333333</v>
      </c>
      <c r="D990" s="213" t="n">
        <v>44.7</v>
      </c>
      <c r="E990" s="213" t="n">
        <f aca="false">AVERAGEIFS($D$33:$D$1494,$A$33:$A$1494,A990)</f>
        <v>44.7166666666667</v>
      </c>
      <c r="F990" s="213" t="n">
        <v>10.4</v>
      </c>
      <c r="G990" s="213" t="n">
        <f aca="false">AVERAGEIFS($F$33:$F$1494,$A$33:$A$1494,A990)</f>
        <v>10.65</v>
      </c>
      <c r="H990" s="213" t="n">
        <v>9.7</v>
      </c>
      <c r="I990" s="213" t="n">
        <f aca="false">AVERAGEIFS($H$33:$H$1494,$A$33:$A$1494,A990)</f>
        <v>9.71666666666667</v>
      </c>
      <c r="L990" s="215" t="n">
        <v>40618</v>
      </c>
      <c r="M990" s="213" t="n">
        <v>48.9333333333333</v>
      </c>
      <c r="N990" s="213" t="n">
        <v>44.7166666666667</v>
      </c>
      <c r="O990" s="213" t="n">
        <v>10.65</v>
      </c>
      <c r="P990" s="213" t="n">
        <v>9.71666666666667</v>
      </c>
    </row>
    <row r="991" customFormat="false" ht="12.75" hidden="false" customHeight="false" outlineLevel="0" collapsed="false">
      <c r="A991" s="215" t="n">
        <v>40618</v>
      </c>
      <c r="B991" s="213" t="n">
        <v>49</v>
      </c>
      <c r="C991" s="213" t="n">
        <f aca="false">AVERAGEIFS($B$33:$B$1494,$A$33:$A$1494,A991)</f>
        <v>48.9333333333333</v>
      </c>
      <c r="D991" s="213" t="n">
        <v>44.7</v>
      </c>
      <c r="E991" s="213" t="n">
        <f aca="false">AVERAGEIFS($D$33:$D$1494,$A$33:$A$1494,A991)</f>
        <v>44.7166666666667</v>
      </c>
      <c r="F991" s="213" t="n">
        <v>10.7</v>
      </c>
      <c r="G991" s="213" t="n">
        <f aca="false">AVERAGEIFS($F$33:$F$1494,$A$33:$A$1494,A991)</f>
        <v>10.65</v>
      </c>
      <c r="H991" s="213" t="n">
        <v>9.7</v>
      </c>
      <c r="I991" s="213" t="n">
        <f aca="false">AVERAGEIFS($H$33:$H$1494,$A$33:$A$1494,A991)</f>
        <v>9.71666666666667</v>
      </c>
      <c r="L991" s="215" t="n">
        <v>40618</v>
      </c>
      <c r="M991" s="213" t="n">
        <v>48.9333333333333</v>
      </c>
      <c r="N991" s="213" t="n">
        <v>44.7166666666667</v>
      </c>
      <c r="O991" s="213" t="n">
        <v>10.65</v>
      </c>
      <c r="P991" s="213" t="n">
        <v>9.71666666666667</v>
      </c>
    </row>
    <row r="992" customFormat="false" ht="12.75" hidden="false" customHeight="false" outlineLevel="0" collapsed="false">
      <c r="A992" s="215" t="n">
        <v>40618</v>
      </c>
      <c r="B992" s="213" t="n">
        <v>48.6</v>
      </c>
      <c r="C992" s="213" t="n">
        <f aca="false">AVERAGEIFS($B$33:$B$1494,$A$33:$A$1494,A992)</f>
        <v>48.9333333333333</v>
      </c>
      <c r="D992" s="213" t="n">
        <v>44.7</v>
      </c>
      <c r="E992" s="213" t="n">
        <f aca="false">AVERAGEIFS($D$33:$D$1494,$A$33:$A$1494,A992)</f>
        <v>44.7166666666667</v>
      </c>
      <c r="F992" s="213" t="n">
        <v>11</v>
      </c>
      <c r="G992" s="213" t="n">
        <f aca="false">AVERAGEIFS($F$33:$F$1494,$A$33:$A$1494,A992)</f>
        <v>10.65</v>
      </c>
      <c r="H992" s="213" t="n">
        <v>9.8</v>
      </c>
      <c r="I992" s="213" t="n">
        <f aca="false">AVERAGEIFS($H$33:$H$1494,$A$33:$A$1494,A992)</f>
        <v>9.71666666666667</v>
      </c>
      <c r="L992" s="215" t="n">
        <v>40618</v>
      </c>
      <c r="M992" s="213" t="n">
        <v>48.9333333333333</v>
      </c>
      <c r="N992" s="213" t="n">
        <v>44.7166666666667</v>
      </c>
      <c r="O992" s="213" t="n">
        <v>10.65</v>
      </c>
      <c r="P992" s="213" t="n">
        <v>9.71666666666667</v>
      </c>
    </row>
    <row r="993" customFormat="false" ht="12.75" hidden="false" customHeight="false" outlineLevel="0" collapsed="false">
      <c r="A993" s="215" t="n">
        <v>40619</v>
      </c>
      <c r="B993" s="213" t="n">
        <v>48.2</v>
      </c>
      <c r="C993" s="213" t="n">
        <f aca="false">AVERAGEIFS($B$33:$B$1494,$A$33:$A$1494,A993)</f>
        <v>47.6166666666667</v>
      </c>
      <c r="D993" s="213" t="n">
        <v>44.7</v>
      </c>
      <c r="E993" s="213" t="n">
        <f aca="false">AVERAGEIFS($D$33:$D$1494,$A$33:$A$1494,A993)</f>
        <v>44.6666666666667</v>
      </c>
      <c r="F993" s="213" t="n">
        <v>10.8</v>
      </c>
      <c r="G993" s="213" t="n">
        <f aca="false">AVERAGEIFS($F$33:$F$1494,$A$33:$A$1494,A993)</f>
        <v>10.4833333333333</v>
      </c>
      <c r="H993" s="213" t="n">
        <v>9.8</v>
      </c>
      <c r="I993" s="213" t="n">
        <f aca="false">AVERAGEIFS($H$33:$H$1494,$A$33:$A$1494,A993)</f>
        <v>9.81666666666667</v>
      </c>
      <c r="L993" s="215" t="n">
        <v>40619</v>
      </c>
      <c r="M993" s="213" t="n">
        <v>47.6166666666667</v>
      </c>
      <c r="N993" s="213" t="n">
        <v>44.6666666666667</v>
      </c>
      <c r="O993" s="213" t="n">
        <v>10.4833333333333</v>
      </c>
      <c r="P993" s="213" t="n">
        <v>9.81666666666667</v>
      </c>
    </row>
    <row r="994" customFormat="false" ht="12.75" hidden="false" customHeight="false" outlineLevel="0" collapsed="false">
      <c r="A994" s="215" t="n">
        <v>40619</v>
      </c>
      <c r="B994" s="213" t="n">
        <v>47.9</v>
      </c>
      <c r="C994" s="213" t="n">
        <f aca="false">AVERAGEIFS($B$33:$B$1494,$A$33:$A$1494,A994)</f>
        <v>47.6166666666667</v>
      </c>
      <c r="D994" s="213" t="n">
        <v>44.7</v>
      </c>
      <c r="E994" s="213" t="n">
        <f aca="false">AVERAGEIFS($D$33:$D$1494,$A$33:$A$1494,A994)</f>
        <v>44.6666666666667</v>
      </c>
      <c r="F994" s="213" t="n">
        <v>10.6</v>
      </c>
      <c r="G994" s="213" t="n">
        <f aca="false">AVERAGEIFS($F$33:$F$1494,$A$33:$A$1494,A994)</f>
        <v>10.4833333333333</v>
      </c>
      <c r="H994" s="213" t="n">
        <v>9.9</v>
      </c>
      <c r="I994" s="213" t="n">
        <f aca="false">AVERAGEIFS($H$33:$H$1494,$A$33:$A$1494,A994)</f>
        <v>9.81666666666667</v>
      </c>
      <c r="L994" s="215" t="n">
        <v>40619</v>
      </c>
      <c r="M994" s="213" t="n">
        <v>47.6166666666667</v>
      </c>
      <c r="N994" s="213" t="n">
        <v>44.6666666666667</v>
      </c>
      <c r="O994" s="213" t="n">
        <v>10.4833333333333</v>
      </c>
      <c r="P994" s="213" t="n">
        <v>9.81666666666667</v>
      </c>
    </row>
    <row r="995" customFormat="false" ht="12.75" hidden="false" customHeight="false" outlineLevel="0" collapsed="false">
      <c r="A995" s="215" t="n">
        <v>40619</v>
      </c>
      <c r="B995" s="213" t="n">
        <v>47.7</v>
      </c>
      <c r="C995" s="213" t="n">
        <f aca="false">AVERAGEIFS($B$33:$B$1494,$A$33:$A$1494,A995)</f>
        <v>47.6166666666667</v>
      </c>
      <c r="D995" s="213" t="n">
        <v>44.7</v>
      </c>
      <c r="E995" s="213" t="n">
        <f aca="false">AVERAGEIFS($D$33:$D$1494,$A$33:$A$1494,A995)</f>
        <v>44.6666666666667</v>
      </c>
      <c r="F995" s="213" t="n">
        <v>10.5</v>
      </c>
      <c r="G995" s="213" t="n">
        <f aca="false">AVERAGEIFS($F$33:$F$1494,$A$33:$A$1494,A995)</f>
        <v>10.4833333333333</v>
      </c>
      <c r="H995" s="213" t="n">
        <v>9.8</v>
      </c>
      <c r="I995" s="213" t="n">
        <f aca="false">AVERAGEIFS($H$33:$H$1494,$A$33:$A$1494,A995)</f>
        <v>9.81666666666667</v>
      </c>
      <c r="L995" s="215" t="n">
        <v>40619</v>
      </c>
      <c r="M995" s="213" t="n">
        <v>47.6166666666667</v>
      </c>
      <c r="N995" s="213" t="n">
        <v>44.6666666666667</v>
      </c>
      <c r="O995" s="213" t="n">
        <v>10.4833333333333</v>
      </c>
      <c r="P995" s="213" t="n">
        <v>9.81666666666667</v>
      </c>
    </row>
    <row r="996" customFormat="false" ht="12.75" hidden="false" customHeight="false" outlineLevel="0" collapsed="false">
      <c r="A996" s="215" t="n">
        <v>40619</v>
      </c>
      <c r="B996" s="213" t="n">
        <v>47.5</v>
      </c>
      <c r="C996" s="213" t="n">
        <f aca="false">AVERAGEIFS($B$33:$B$1494,$A$33:$A$1494,A996)</f>
        <v>47.6166666666667</v>
      </c>
      <c r="D996" s="213" t="n">
        <v>44.7</v>
      </c>
      <c r="E996" s="213" t="n">
        <f aca="false">AVERAGEIFS($D$33:$D$1494,$A$33:$A$1494,A996)</f>
        <v>44.6666666666667</v>
      </c>
      <c r="F996" s="213" t="n">
        <v>10.2</v>
      </c>
      <c r="G996" s="213" t="n">
        <f aca="false">AVERAGEIFS($F$33:$F$1494,$A$33:$A$1494,A996)</f>
        <v>10.4833333333333</v>
      </c>
      <c r="H996" s="213" t="n">
        <v>9.8</v>
      </c>
      <c r="I996" s="213" t="n">
        <f aca="false">AVERAGEIFS($H$33:$H$1494,$A$33:$A$1494,A996)</f>
        <v>9.81666666666667</v>
      </c>
      <c r="L996" s="215" t="n">
        <v>40619</v>
      </c>
      <c r="M996" s="213" t="n">
        <v>47.6166666666667</v>
      </c>
      <c r="N996" s="213" t="n">
        <v>44.6666666666667</v>
      </c>
      <c r="O996" s="213" t="n">
        <v>10.4833333333333</v>
      </c>
      <c r="P996" s="213" t="n">
        <v>9.81666666666667</v>
      </c>
    </row>
    <row r="997" customFormat="false" ht="12.75" hidden="false" customHeight="false" outlineLevel="0" collapsed="false">
      <c r="A997" s="215" t="n">
        <v>40619</v>
      </c>
      <c r="B997" s="213" t="n">
        <v>47.3</v>
      </c>
      <c r="C997" s="213" t="n">
        <f aca="false">AVERAGEIFS($B$33:$B$1494,$A$33:$A$1494,A997)</f>
        <v>47.6166666666667</v>
      </c>
      <c r="D997" s="213" t="n">
        <v>44.6</v>
      </c>
      <c r="E997" s="213" t="n">
        <f aca="false">AVERAGEIFS($D$33:$D$1494,$A$33:$A$1494,A997)</f>
        <v>44.6666666666667</v>
      </c>
      <c r="F997" s="213" t="n">
        <v>10.5</v>
      </c>
      <c r="G997" s="213" t="n">
        <f aca="false">AVERAGEIFS($F$33:$F$1494,$A$33:$A$1494,A997)</f>
        <v>10.4833333333333</v>
      </c>
      <c r="H997" s="213" t="n">
        <v>9.8</v>
      </c>
      <c r="I997" s="213" t="n">
        <f aca="false">AVERAGEIFS($H$33:$H$1494,$A$33:$A$1494,A997)</f>
        <v>9.81666666666667</v>
      </c>
      <c r="L997" s="215" t="n">
        <v>40619</v>
      </c>
      <c r="M997" s="213" t="n">
        <v>47.6166666666667</v>
      </c>
      <c r="N997" s="213" t="n">
        <v>44.6666666666667</v>
      </c>
      <c r="O997" s="213" t="n">
        <v>10.4833333333333</v>
      </c>
      <c r="P997" s="213" t="n">
        <v>9.81666666666667</v>
      </c>
    </row>
    <row r="998" customFormat="false" ht="12.75" hidden="false" customHeight="false" outlineLevel="0" collapsed="false">
      <c r="A998" s="215" t="n">
        <v>40619</v>
      </c>
      <c r="B998" s="213" t="n">
        <v>47.1</v>
      </c>
      <c r="C998" s="213" t="n">
        <f aca="false">AVERAGEIFS($B$33:$B$1494,$A$33:$A$1494,A998)</f>
        <v>47.6166666666667</v>
      </c>
      <c r="D998" s="213" t="n">
        <v>44.6</v>
      </c>
      <c r="E998" s="213" t="n">
        <f aca="false">AVERAGEIFS($D$33:$D$1494,$A$33:$A$1494,A998)</f>
        <v>44.6666666666667</v>
      </c>
      <c r="F998" s="213" t="n">
        <v>10.3</v>
      </c>
      <c r="G998" s="213" t="n">
        <f aca="false">AVERAGEIFS($F$33:$F$1494,$A$33:$A$1494,A998)</f>
        <v>10.4833333333333</v>
      </c>
      <c r="H998" s="213" t="n">
        <v>9.8</v>
      </c>
      <c r="I998" s="213" t="n">
        <f aca="false">AVERAGEIFS($H$33:$H$1494,$A$33:$A$1494,A998)</f>
        <v>9.81666666666667</v>
      </c>
      <c r="L998" s="215" t="n">
        <v>40619</v>
      </c>
      <c r="M998" s="213" t="n">
        <v>47.6166666666667</v>
      </c>
      <c r="N998" s="213" t="n">
        <v>44.6666666666667</v>
      </c>
      <c r="O998" s="213" t="n">
        <v>10.4833333333333</v>
      </c>
      <c r="P998" s="213" t="n">
        <v>9.81666666666667</v>
      </c>
    </row>
    <row r="999" customFormat="false" ht="12.75" hidden="false" customHeight="false" outlineLevel="0" collapsed="false">
      <c r="A999" s="215" t="n">
        <v>40620</v>
      </c>
      <c r="B999" s="213" t="n">
        <v>47</v>
      </c>
      <c r="C999" s="213" t="n">
        <f aca="false">AVERAGEIFS($B$33:$B$1494,$A$33:$A$1494,A999)</f>
        <v>46.7666666666667</v>
      </c>
      <c r="D999" s="213" t="n">
        <v>44.6</v>
      </c>
      <c r="E999" s="213" t="n">
        <f aca="false">AVERAGEIFS($D$33:$D$1494,$A$33:$A$1494,A999)</f>
        <v>44.5166666666667</v>
      </c>
      <c r="F999" s="213" t="n">
        <v>10</v>
      </c>
      <c r="G999" s="213" t="n">
        <f aca="false">AVERAGEIFS($F$33:$F$1494,$A$33:$A$1494,A999)</f>
        <v>9.73333333333333</v>
      </c>
      <c r="H999" s="213" t="n">
        <v>9.7</v>
      </c>
      <c r="I999" s="213" t="n">
        <f aca="false">AVERAGEIFS($H$33:$H$1494,$A$33:$A$1494,A999)</f>
        <v>9.46666666666667</v>
      </c>
      <c r="L999" s="215" t="n">
        <v>40620</v>
      </c>
      <c r="M999" s="213" t="n">
        <v>46.7666666666667</v>
      </c>
      <c r="N999" s="213" t="n">
        <v>44.5166666666667</v>
      </c>
      <c r="O999" s="213" t="n">
        <v>9.73333333333333</v>
      </c>
      <c r="P999" s="213" t="n">
        <v>9.46666666666667</v>
      </c>
    </row>
    <row r="1000" customFormat="false" ht="12.75" hidden="false" customHeight="false" outlineLevel="0" collapsed="false">
      <c r="A1000" s="215" t="n">
        <v>40620</v>
      </c>
      <c r="B1000" s="213" t="n">
        <v>46.9</v>
      </c>
      <c r="C1000" s="213" t="n">
        <f aca="false">AVERAGEIFS($B$33:$B$1494,$A$33:$A$1494,A1000)</f>
        <v>46.7666666666667</v>
      </c>
      <c r="D1000" s="213" t="n">
        <v>44.6</v>
      </c>
      <c r="E1000" s="213" t="n">
        <f aca="false">AVERAGEIFS($D$33:$D$1494,$A$33:$A$1494,A1000)</f>
        <v>44.5166666666667</v>
      </c>
      <c r="F1000" s="213" t="n">
        <v>9.6</v>
      </c>
      <c r="G1000" s="213" t="n">
        <f aca="false">AVERAGEIFS($F$33:$F$1494,$A$33:$A$1494,A1000)</f>
        <v>9.73333333333333</v>
      </c>
      <c r="H1000" s="213" t="n">
        <v>9.6</v>
      </c>
      <c r="I1000" s="213" t="n">
        <f aca="false">AVERAGEIFS($H$33:$H$1494,$A$33:$A$1494,A1000)</f>
        <v>9.46666666666667</v>
      </c>
      <c r="L1000" s="215" t="n">
        <v>40620</v>
      </c>
      <c r="M1000" s="213" t="n">
        <v>46.7666666666667</v>
      </c>
      <c r="N1000" s="213" t="n">
        <v>44.5166666666667</v>
      </c>
      <c r="O1000" s="213" t="n">
        <v>9.73333333333333</v>
      </c>
      <c r="P1000" s="213" t="n">
        <v>9.46666666666667</v>
      </c>
    </row>
    <row r="1001" customFormat="false" ht="12.75" hidden="false" customHeight="false" outlineLevel="0" collapsed="false">
      <c r="A1001" s="215" t="n">
        <v>40620</v>
      </c>
      <c r="B1001" s="213" t="n">
        <v>46.9</v>
      </c>
      <c r="C1001" s="213" t="n">
        <f aca="false">AVERAGEIFS($B$33:$B$1494,$A$33:$A$1494,A1001)</f>
        <v>46.7666666666667</v>
      </c>
      <c r="D1001" s="213" t="n">
        <v>44.6</v>
      </c>
      <c r="E1001" s="213" t="n">
        <f aca="false">AVERAGEIFS($D$33:$D$1494,$A$33:$A$1494,A1001)</f>
        <v>44.5166666666667</v>
      </c>
      <c r="F1001" s="213" t="n">
        <v>9.2</v>
      </c>
      <c r="G1001" s="213" t="n">
        <f aca="false">AVERAGEIFS($F$33:$F$1494,$A$33:$A$1494,A1001)</f>
        <v>9.73333333333333</v>
      </c>
      <c r="H1001" s="213" t="n">
        <v>9.5</v>
      </c>
      <c r="I1001" s="213" t="n">
        <f aca="false">AVERAGEIFS($H$33:$H$1494,$A$33:$A$1494,A1001)</f>
        <v>9.46666666666667</v>
      </c>
      <c r="L1001" s="215" t="n">
        <v>40620</v>
      </c>
      <c r="M1001" s="213" t="n">
        <v>46.7666666666667</v>
      </c>
      <c r="N1001" s="213" t="n">
        <v>44.5166666666667</v>
      </c>
      <c r="O1001" s="213" t="n">
        <v>9.73333333333333</v>
      </c>
      <c r="P1001" s="213" t="n">
        <v>9.46666666666667</v>
      </c>
    </row>
    <row r="1002" customFormat="false" ht="12.75" hidden="false" customHeight="false" outlineLevel="0" collapsed="false">
      <c r="A1002" s="215" t="n">
        <v>40620</v>
      </c>
      <c r="B1002" s="213" t="n">
        <v>46.8</v>
      </c>
      <c r="C1002" s="213" t="n">
        <f aca="false">AVERAGEIFS($B$33:$B$1494,$A$33:$A$1494,A1002)</f>
        <v>46.7666666666667</v>
      </c>
      <c r="D1002" s="213" t="n">
        <v>44.5</v>
      </c>
      <c r="E1002" s="213" t="n">
        <f aca="false">AVERAGEIFS($D$33:$D$1494,$A$33:$A$1494,A1002)</f>
        <v>44.5166666666667</v>
      </c>
      <c r="F1002" s="213" t="n">
        <v>9.3</v>
      </c>
      <c r="G1002" s="213" t="n">
        <f aca="false">AVERAGEIFS($F$33:$F$1494,$A$33:$A$1494,A1002)</f>
        <v>9.73333333333333</v>
      </c>
      <c r="H1002" s="213" t="n">
        <v>9.3</v>
      </c>
      <c r="I1002" s="213" t="n">
        <f aca="false">AVERAGEIFS($H$33:$H$1494,$A$33:$A$1494,A1002)</f>
        <v>9.46666666666667</v>
      </c>
      <c r="L1002" s="215" t="n">
        <v>40620</v>
      </c>
      <c r="M1002" s="213" t="n">
        <v>46.7666666666667</v>
      </c>
      <c r="N1002" s="213" t="n">
        <v>44.5166666666667</v>
      </c>
      <c r="O1002" s="213" t="n">
        <v>9.73333333333333</v>
      </c>
      <c r="P1002" s="213" t="n">
        <v>9.46666666666667</v>
      </c>
    </row>
    <row r="1003" customFormat="false" ht="12.75" hidden="false" customHeight="false" outlineLevel="0" collapsed="false">
      <c r="A1003" s="215" t="n">
        <v>40620</v>
      </c>
      <c r="B1003" s="213" t="n">
        <v>46.6</v>
      </c>
      <c r="C1003" s="213" t="n">
        <f aca="false">AVERAGEIFS($B$33:$B$1494,$A$33:$A$1494,A1003)</f>
        <v>46.7666666666667</v>
      </c>
      <c r="D1003" s="213" t="n">
        <v>44.4</v>
      </c>
      <c r="E1003" s="213" t="n">
        <f aca="false">AVERAGEIFS($D$33:$D$1494,$A$33:$A$1494,A1003)</f>
        <v>44.5166666666667</v>
      </c>
      <c r="F1003" s="213" t="n">
        <v>10</v>
      </c>
      <c r="G1003" s="213" t="n">
        <f aca="false">AVERAGEIFS($F$33:$F$1494,$A$33:$A$1494,A1003)</f>
        <v>9.73333333333333</v>
      </c>
      <c r="H1003" s="213" t="n">
        <v>9.3</v>
      </c>
      <c r="I1003" s="213" t="n">
        <f aca="false">AVERAGEIFS($H$33:$H$1494,$A$33:$A$1494,A1003)</f>
        <v>9.46666666666667</v>
      </c>
      <c r="L1003" s="215" t="n">
        <v>40620</v>
      </c>
      <c r="M1003" s="213" t="n">
        <v>46.7666666666667</v>
      </c>
      <c r="N1003" s="213" t="n">
        <v>44.5166666666667</v>
      </c>
      <c r="O1003" s="213" t="n">
        <v>9.73333333333333</v>
      </c>
      <c r="P1003" s="213" t="n">
        <v>9.46666666666667</v>
      </c>
    </row>
    <row r="1004" customFormat="false" ht="12.75" hidden="false" customHeight="false" outlineLevel="0" collapsed="false">
      <c r="A1004" s="215" t="n">
        <v>40620</v>
      </c>
      <c r="B1004" s="213" t="n">
        <v>46.4</v>
      </c>
      <c r="C1004" s="213" t="n">
        <f aca="false">AVERAGEIFS($B$33:$B$1494,$A$33:$A$1494,A1004)</f>
        <v>46.7666666666667</v>
      </c>
      <c r="D1004" s="213" t="n">
        <v>44.4</v>
      </c>
      <c r="E1004" s="213" t="n">
        <f aca="false">AVERAGEIFS($D$33:$D$1494,$A$33:$A$1494,A1004)</f>
        <v>44.5166666666667</v>
      </c>
      <c r="F1004" s="213" t="n">
        <v>10.3</v>
      </c>
      <c r="G1004" s="213" t="n">
        <f aca="false">AVERAGEIFS($F$33:$F$1494,$A$33:$A$1494,A1004)</f>
        <v>9.73333333333333</v>
      </c>
      <c r="H1004" s="213" t="n">
        <v>9.4</v>
      </c>
      <c r="I1004" s="213" t="n">
        <f aca="false">AVERAGEIFS($H$33:$H$1494,$A$33:$A$1494,A1004)</f>
        <v>9.46666666666667</v>
      </c>
      <c r="L1004" s="215" t="n">
        <v>40620</v>
      </c>
      <c r="M1004" s="213" t="n">
        <v>46.7666666666667</v>
      </c>
      <c r="N1004" s="213" t="n">
        <v>44.5166666666667</v>
      </c>
      <c r="O1004" s="213" t="n">
        <v>9.73333333333333</v>
      </c>
      <c r="P1004" s="213" t="n">
        <v>9.46666666666667</v>
      </c>
    </row>
    <row r="1005" customFormat="false" ht="12.75" hidden="false" customHeight="false" outlineLevel="0" collapsed="false">
      <c r="A1005" s="215" t="n">
        <v>40621</v>
      </c>
      <c r="B1005" s="213" t="n">
        <v>46.3</v>
      </c>
      <c r="C1005" s="213" t="n">
        <f aca="false">AVERAGEIFS($B$33:$B$1494,$A$33:$A$1494,A1005)</f>
        <v>46.0666666666667</v>
      </c>
      <c r="D1005" s="213" t="n">
        <v>44.4</v>
      </c>
      <c r="E1005" s="213" t="n">
        <f aca="false">AVERAGEIFS($D$33:$D$1494,$A$33:$A$1494,A1005)</f>
        <v>44.35</v>
      </c>
      <c r="F1005" s="213" t="n">
        <v>10.2</v>
      </c>
      <c r="G1005" s="213" t="n">
        <f aca="false">AVERAGEIFS($F$33:$F$1494,$A$33:$A$1494,A1005)</f>
        <v>10.2333333333333</v>
      </c>
      <c r="H1005" s="213" t="n">
        <v>9.5</v>
      </c>
      <c r="I1005" s="213" t="n">
        <f aca="false">AVERAGEIFS($H$33:$H$1494,$A$33:$A$1494,A1005)</f>
        <v>9.51666666666667</v>
      </c>
      <c r="L1005" s="215" t="n">
        <v>40621</v>
      </c>
      <c r="M1005" s="213" t="n">
        <v>46.0666666666667</v>
      </c>
      <c r="N1005" s="213" t="n">
        <v>44.35</v>
      </c>
      <c r="O1005" s="213" t="n">
        <v>10.2333333333333</v>
      </c>
      <c r="P1005" s="213" t="n">
        <v>9.51666666666667</v>
      </c>
    </row>
    <row r="1006" customFormat="false" ht="12.75" hidden="false" customHeight="false" outlineLevel="0" collapsed="false">
      <c r="A1006" s="215" t="n">
        <v>40621</v>
      </c>
      <c r="B1006" s="213" t="n">
        <v>46.2</v>
      </c>
      <c r="C1006" s="213" t="n">
        <f aca="false">AVERAGEIFS($B$33:$B$1494,$A$33:$A$1494,A1006)</f>
        <v>46.0666666666667</v>
      </c>
      <c r="D1006" s="213" t="n">
        <v>44.4</v>
      </c>
      <c r="E1006" s="213" t="n">
        <f aca="false">AVERAGEIFS($D$33:$D$1494,$A$33:$A$1494,A1006)</f>
        <v>44.35</v>
      </c>
      <c r="F1006" s="213" t="n">
        <v>10</v>
      </c>
      <c r="G1006" s="213" t="n">
        <f aca="false">AVERAGEIFS($F$33:$F$1494,$A$33:$A$1494,A1006)</f>
        <v>10.2333333333333</v>
      </c>
      <c r="H1006" s="213" t="n">
        <v>9.5</v>
      </c>
      <c r="I1006" s="213" t="n">
        <f aca="false">AVERAGEIFS($H$33:$H$1494,$A$33:$A$1494,A1006)</f>
        <v>9.51666666666667</v>
      </c>
      <c r="L1006" s="215" t="n">
        <v>40621</v>
      </c>
      <c r="M1006" s="213" t="n">
        <v>46.0666666666667</v>
      </c>
      <c r="N1006" s="213" t="n">
        <v>44.35</v>
      </c>
      <c r="O1006" s="213" t="n">
        <v>10.2333333333333</v>
      </c>
      <c r="P1006" s="213" t="n">
        <v>9.51666666666667</v>
      </c>
    </row>
    <row r="1007" customFormat="false" ht="12.75" hidden="false" customHeight="false" outlineLevel="0" collapsed="false">
      <c r="A1007" s="215" t="n">
        <v>40621</v>
      </c>
      <c r="B1007" s="213" t="n">
        <v>46.2</v>
      </c>
      <c r="C1007" s="213" t="n">
        <f aca="false">AVERAGEIFS($B$33:$B$1494,$A$33:$A$1494,A1007)</f>
        <v>46.0666666666667</v>
      </c>
      <c r="D1007" s="213" t="n">
        <v>44.4</v>
      </c>
      <c r="E1007" s="213" t="n">
        <f aca="false">AVERAGEIFS($D$33:$D$1494,$A$33:$A$1494,A1007)</f>
        <v>44.35</v>
      </c>
      <c r="F1007" s="213" t="n">
        <v>9.9</v>
      </c>
      <c r="G1007" s="213" t="n">
        <f aca="false">AVERAGEIFS($F$33:$F$1494,$A$33:$A$1494,A1007)</f>
        <v>10.2333333333333</v>
      </c>
      <c r="H1007" s="213" t="n">
        <v>9.5</v>
      </c>
      <c r="I1007" s="213" t="n">
        <f aca="false">AVERAGEIFS($H$33:$H$1494,$A$33:$A$1494,A1007)</f>
        <v>9.51666666666667</v>
      </c>
      <c r="L1007" s="215" t="n">
        <v>40621</v>
      </c>
      <c r="M1007" s="213" t="n">
        <v>46.0666666666667</v>
      </c>
      <c r="N1007" s="213" t="n">
        <v>44.35</v>
      </c>
      <c r="O1007" s="213" t="n">
        <v>10.2333333333333</v>
      </c>
      <c r="P1007" s="213" t="n">
        <v>9.51666666666667</v>
      </c>
    </row>
    <row r="1008" customFormat="false" ht="12.75" hidden="false" customHeight="false" outlineLevel="0" collapsed="false">
      <c r="A1008" s="215" t="n">
        <v>40621</v>
      </c>
      <c r="B1008" s="213" t="n">
        <v>46.1</v>
      </c>
      <c r="C1008" s="213" t="n">
        <f aca="false">AVERAGEIFS($B$33:$B$1494,$A$33:$A$1494,A1008)</f>
        <v>46.0666666666667</v>
      </c>
      <c r="D1008" s="213" t="n">
        <v>44.3</v>
      </c>
      <c r="E1008" s="213" t="n">
        <f aca="false">AVERAGEIFS($D$33:$D$1494,$A$33:$A$1494,A1008)</f>
        <v>44.35</v>
      </c>
      <c r="F1008" s="213" t="n">
        <v>10</v>
      </c>
      <c r="G1008" s="213" t="n">
        <f aca="false">AVERAGEIFS($F$33:$F$1494,$A$33:$A$1494,A1008)</f>
        <v>10.2333333333333</v>
      </c>
      <c r="H1008" s="213" t="n">
        <v>9.5</v>
      </c>
      <c r="I1008" s="213" t="n">
        <f aca="false">AVERAGEIFS($H$33:$H$1494,$A$33:$A$1494,A1008)</f>
        <v>9.51666666666667</v>
      </c>
      <c r="L1008" s="215" t="n">
        <v>40621</v>
      </c>
      <c r="M1008" s="213" t="n">
        <v>46.0666666666667</v>
      </c>
      <c r="N1008" s="213" t="n">
        <v>44.35</v>
      </c>
      <c r="O1008" s="213" t="n">
        <v>10.2333333333333</v>
      </c>
      <c r="P1008" s="213" t="n">
        <v>9.51666666666667</v>
      </c>
    </row>
    <row r="1009" customFormat="false" ht="12.75" hidden="false" customHeight="false" outlineLevel="0" collapsed="false">
      <c r="A1009" s="215" t="n">
        <v>40621</v>
      </c>
      <c r="B1009" s="213" t="n">
        <v>45.9</v>
      </c>
      <c r="C1009" s="213" t="n">
        <f aca="false">AVERAGEIFS($B$33:$B$1494,$A$33:$A$1494,A1009)</f>
        <v>46.0666666666667</v>
      </c>
      <c r="D1009" s="213" t="n">
        <v>44.3</v>
      </c>
      <c r="E1009" s="213" t="n">
        <f aca="false">AVERAGEIFS($D$33:$D$1494,$A$33:$A$1494,A1009)</f>
        <v>44.35</v>
      </c>
      <c r="F1009" s="213" t="n">
        <v>10.6</v>
      </c>
      <c r="G1009" s="213" t="n">
        <f aca="false">AVERAGEIFS($F$33:$F$1494,$A$33:$A$1494,A1009)</f>
        <v>10.2333333333333</v>
      </c>
      <c r="H1009" s="213" t="n">
        <v>9.5</v>
      </c>
      <c r="I1009" s="213" t="n">
        <f aca="false">AVERAGEIFS($H$33:$H$1494,$A$33:$A$1494,A1009)</f>
        <v>9.51666666666667</v>
      </c>
      <c r="L1009" s="215" t="n">
        <v>40621</v>
      </c>
      <c r="M1009" s="213" t="n">
        <v>46.0666666666667</v>
      </c>
      <c r="N1009" s="213" t="n">
        <v>44.35</v>
      </c>
      <c r="O1009" s="213" t="n">
        <v>10.2333333333333</v>
      </c>
      <c r="P1009" s="213" t="n">
        <v>9.51666666666667</v>
      </c>
    </row>
    <row r="1010" customFormat="false" ht="12.75" hidden="false" customHeight="false" outlineLevel="0" collapsed="false">
      <c r="A1010" s="215" t="n">
        <v>40621</v>
      </c>
      <c r="B1010" s="213" t="n">
        <v>45.7</v>
      </c>
      <c r="C1010" s="213" t="n">
        <f aca="false">AVERAGEIFS($B$33:$B$1494,$A$33:$A$1494,A1010)</f>
        <v>46.0666666666667</v>
      </c>
      <c r="D1010" s="213" t="n">
        <v>44.3</v>
      </c>
      <c r="E1010" s="213" t="n">
        <f aca="false">AVERAGEIFS($D$33:$D$1494,$A$33:$A$1494,A1010)</f>
        <v>44.35</v>
      </c>
      <c r="F1010" s="213" t="n">
        <v>10.7</v>
      </c>
      <c r="G1010" s="213" t="n">
        <f aca="false">AVERAGEIFS($F$33:$F$1494,$A$33:$A$1494,A1010)</f>
        <v>10.2333333333333</v>
      </c>
      <c r="H1010" s="213" t="n">
        <v>9.6</v>
      </c>
      <c r="I1010" s="213" t="n">
        <f aca="false">AVERAGEIFS($H$33:$H$1494,$A$33:$A$1494,A1010)</f>
        <v>9.51666666666667</v>
      </c>
      <c r="L1010" s="215" t="n">
        <v>40621</v>
      </c>
      <c r="M1010" s="213" t="n">
        <v>46.0666666666667</v>
      </c>
      <c r="N1010" s="213" t="n">
        <v>44.35</v>
      </c>
      <c r="O1010" s="213" t="n">
        <v>10.2333333333333</v>
      </c>
      <c r="P1010" s="213" t="n">
        <v>9.51666666666667</v>
      </c>
    </row>
    <row r="1011" customFormat="false" ht="12.75" hidden="false" customHeight="false" outlineLevel="0" collapsed="false">
      <c r="A1011" s="215" t="n">
        <v>40622</v>
      </c>
      <c r="B1011" s="213" t="n">
        <v>45.7</v>
      </c>
      <c r="C1011" s="213" t="n">
        <f aca="false">AVERAGEIFS($B$33:$B$1494,$A$33:$A$1494,A1011)</f>
        <v>45.4</v>
      </c>
      <c r="D1011" s="213" t="n">
        <v>44.2</v>
      </c>
      <c r="E1011" s="213" t="n">
        <f aca="false">AVERAGEIFS($D$33:$D$1494,$A$33:$A$1494,A1011)</f>
        <v>44.1333333333333</v>
      </c>
      <c r="F1011" s="213" t="n">
        <v>10.3</v>
      </c>
      <c r="G1011" s="213" t="n">
        <f aca="false">AVERAGEIFS($F$33:$F$1494,$A$33:$A$1494,A1011)</f>
        <v>9.91666666666667</v>
      </c>
      <c r="H1011" s="213" t="n">
        <v>9.7</v>
      </c>
      <c r="I1011" s="213" t="n">
        <f aca="false">AVERAGEIFS($H$33:$H$1494,$A$33:$A$1494,A1011)</f>
        <v>9.55</v>
      </c>
      <c r="L1011" s="215" t="n">
        <v>40622</v>
      </c>
      <c r="M1011" s="213" t="n">
        <v>45.4</v>
      </c>
      <c r="N1011" s="213" t="n">
        <v>44.1333333333333</v>
      </c>
      <c r="O1011" s="213" t="n">
        <v>9.91666666666667</v>
      </c>
      <c r="P1011" s="213" t="n">
        <v>9.55</v>
      </c>
    </row>
    <row r="1012" customFormat="false" ht="12.75" hidden="false" customHeight="false" outlineLevel="0" collapsed="false">
      <c r="A1012" s="215" t="n">
        <v>40622</v>
      </c>
      <c r="B1012" s="213" t="n">
        <v>45.6</v>
      </c>
      <c r="C1012" s="213" t="n">
        <f aca="false">AVERAGEIFS($B$33:$B$1494,$A$33:$A$1494,A1012)</f>
        <v>45.4</v>
      </c>
      <c r="D1012" s="213" t="n">
        <v>44.2</v>
      </c>
      <c r="E1012" s="213" t="n">
        <f aca="false">AVERAGEIFS($D$33:$D$1494,$A$33:$A$1494,A1012)</f>
        <v>44.1333333333333</v>
      </c>
      <c r="F1012" s="213" t="n">
        <v>9.8</v>
      </c>
      <c r="G1012" s="213" t="n">
        <f aca="false">AVERAGEIFS($F$33:$F$1494,$A$33:$A$1494,A1012)</f>
        <v>9.91666666666667</v>
      </c>
      <c r="H1012" s="213" t="n">
        <v>9.7</v>
      </c>
      <c r="I1012" s="213" t="n">
        <f aca="false">AVERAGEIFS($H$33:$H$1494,$A$33:$A$1494,A1012)</f>
        <v>9.55</v>
      </c>
      <c r="L1012" s="215" t="n">
        <v>40622</v>
      </c>
      <c r="M1012" s="213" t="n">
        <v>45.4</v>
      </c>
      <c r="N1012" s="213" t="n">
        <v>44.1333333333333</v>
      </c>
      <c r="O1012" s="213" t="n">
        <v>9.91666666666667</v>
      </c>
      <c r="P1012" s="213" t="n">
        <v>9.55</v>
      </c>
    </row>
    <row r="1013" customFormat="false" ht="12.75" hidden="false" customHeight="false" outlineLevel="0" collapsed="false">
      <c r="A1013" s="215" t="n">
        <v>40622</v>
      </c>
      <c r="B1013" s="213" t="n">
        <v>45.6</v>
      </c>
      <c r="C1013" s="213" t="n">
        <f aca="false">AVERAGEIFS($B$33:$B$1494,$A$33:$A$1494,A1013)</f>
        <v>45.4</v>
      </c>
      <c r="D1013" s="213" t="n">
        <v>44.2</v>
      </c>
      <c r="E1013" s="213" t="n">
        <f aca="false">AVERAGEIFS($D$33:$D$1494,$A$33:$A$1494,A1013)</f>
        <v>44.1333333333333</v>
      </c>
      <c r="F1013" s="213" t="n">
        <v>9.4</v>
      </c>
      <c r="G1013" s="213" t="n">
        <f aca="false">AVERAGEIFS($F$33:$F$1494,$A$33:$A$1494,A1013)</f>
        <v>9.91666666666667</v>
      </c>
      <c r="H1013" s="213" t="n">
        <v>9.6</v>
      </c>
      <c r="I1013" s="213" t="n">
        <f aca="false">AVERAGEIFS($H$33:$H$1494,$A$33:$A$1494,A1013)</f>
        <v>9.55</v>
      </c>
      <c r="L1013" s="215" t="n">
        <v>40622</v>
      </c>
      <c r="M1013" s="213" t="n">
        <v>45.4</v>
      </c>
      <c r="N1013" s="213" t="n">
        <v>44.1333333333333</v>
      </c>
      <c r="O1013" s="213" t="n">
        <v>9.91666666666667</v>
      </c>
      <c r="P1013" s="213" t="n">
        <v>9.55</v>
      </c>
    </row>
    <row r="1014" customFormat="false" ht="12.75" hidden="false" customHeight="false" outlineLevel="0" collapsed="false">
      <c r="A1014" s="215" t="n">
        <v>40622</v>
      </c>
      <c r="B1014" s="213" t="n">
        <v>45.4</v>
      </c>
      <c r="C1014" s="213" t="n">
        <f aca="false">AVERAGEIFS($B$33:$B$1494,$A$33:$A$1494,A1014)</f>
        <v>45.4</v>
      </c>
      <c r="D1014" s="213" t="n">
        <v>44.2</v>
      </c>
      <c r="E1014" s="213" t="n">
        <f aca="false">AVERAGEIFS($D$33:$D$1494,$A$33:$A$1494,A1014)</f>
        <v>44.1333333333333</v>
      </c>
      <c r="F1014" s="213" t="n">
        <v>9.4</v>
      </c>
      <c r="G1014" s="213" t="n">
        <f aca="false">AVERAGEIFS($F$33:$F$1494,$A$33:$A$1494,A1014)</f>
        <v>9.91666666666667</v>
      </c>
      <c r="H1014" s="213" t="n">
        <v>9.4</v>
      </c>
      <c r="I1014" s="213" t="n">
        <f aca="false">AVERAGEIFS($H$33:$H$1494,$A$33:$A$1494,A1014)</f>
        <v>9.55</v>
      </c>
      <c r="L1014" s="215" t="n">
        <v>40622</v>
      </c>
      <c r="M1014" s="213" t="n">
        <v>45.4</v>
      </c>
      <c r="N1014" s="213" t="n">
        <v>44.1333333333333</v>
      </c>
      <c r="O1014" s="213" t="n">
        <v>9.91666666666667</v>
      </c>
      <c r="P1014" s="213" t="n">
        <v>9.55</v>
      </c>
    </row>
    <row r="1015" customFormat="false" ht="12.75" hidden="false" customHeight="false" outlineLevel="0" collapsed="false">
      <c r="A1015" s="215" t="n">
        <v>40622</v>
      </c>
      <c r="B1015" s="213" t="n">
        <v>45.2</v>
      </c>
      <c r="C1015" s="213" t="n">
        <f aca="false">AVERAGEIFS($B$33:$B$1494,$A$33:$A$1494,A1015)</f>
        <v>45.4</v>
      </c>
      <c r="D1015" s="213" t="n">
        <v>44</v>
      </c>
      <c r="E1015" s="213" t="n">
        <f aca="false">AVERAGEIFS($D$33:$D$1494,$A$33:$A$1494,A1015)</f>
        <v>44.1333333333333</v>
      </c>
      <c r="F1015" s="213" t="n">
        <v>10.2</v>
      </c>
      <c r="G1015" s="213" t="n">
        <f aca="false">AVERAGEIFS($F$33:$F$1494,$A$33:$A$1494,A1015)</f>
        <v>9.91666666666667</v>
      </c>
      <c r="H1015" s="213" t="n">
        <v>9.4</v>
      </c>
      <c r="I1015" s="213" t="n">
        <f aca="false">AVERAGEIFS($H$33:$H$1494,$A$33:$A$1494,A1015)</f>
        <v>9.55</v>
      </c>
      <c r="L1015" s="215" t="n">
        <v>40622</v>
      </c>
      <c r="M1015" s="213" t="n">
        <v>45.4</v>
      </c>
      <c r="N1015" s="213" t="n">
        <v>44.1333333333333</v>
      </c>
      <c r="O1015" s="213" t="n">
        <v>9.91666666666667</v>
      </c>
      <c r="P1015" s="213" t="n">
        <v>9.55</v>
      </c>
    </row>
    <row r="1016" customFormat="false" ht="12.75" hidden="false" customHeight="false" outlineLevel="0" collapsed="false">
      <c r="A1016" s="215" t="n">
        <v>40622</v>
      </c>
      <c r="B1016" s="213" t="n">
        <v>44.9</v>
      </c>
      <c r="C1016" s="213" t="n">
        <f aca="false">AVERAGEIFS($B$33:$B$1494,$A$33:$A$1494,A1016)</f>
        <v>45.4</v>
      </c>
      <c r="D1016" s="213" t="n">
        <v>44</v>
      </c>
      <c r="E1016" s="213" t="n">
        <f aca="false">AVERAGEIFS($D$33:$D$1494,$A$33:$A$1494,A1016)</f>
        <v>44.1333333333333</v>
      </c>
      <c r="F1016" s="213" t="n">
        <v>10.4</v>
      </c>
      <c r="G1016" s="213" t="n">
        <f aca="false">AVERAGEIFS($F$33:$F$1494,$A$33:$A$1494,A1016)</f>
        <v>9.91666666666667</v>
      </c>
      <c r="H1016" s="213" t="n">
        <v>9.5</v>
      </c>
      <c r="I1016" s="213" t="n">
        <f aca="false">AVERAGEIFS($H$33:$H$1494,$A$33:$A$1494,A1016)</f>
        <v>9.55</v>
      </c>
      <c r="L1016" s="215" t="n">
        <v>40622</v>
      </c>
      <c r="M1016" s="213" t="n">
        <v>45.4</v>
      </c>
      <c r="N1016" s="213" t="n">
        <v>44.1333333333333</v>
      </c>
      <c r="O1016" s="213" t="n">
        <v>9.91666666666667</v>
      </c>
      <c r="P1016" s="213" t="n">
        <v>9.55</v>
      </c>
    </row>
    <row r="1017" customFormat="false" ht="12.75" hidden="false" customHeight="false" outlineLevel="0" collapsed="false">
      <c r="A1017" s="215" t="n">
        <v>40623</v>
      </c>
      <c r="B1017" s="213" t="n">
        <v>44.8</v>
      </c>
      <c r="C1017" s="213" t="n">
        <f aca="false">AVERAGEIFS($B$33:$B$1494,$A$33:$A$1494,A1017)</f>
        <v>42.9833333333333</v>
      </c>
      <c r="D1017" s="213" t="n">
        <v>44</v>
      </c>
      <c r="E1017" s="213" t="n">
        <f aca="false">AVERAGEIFS($D$33:$D$1494,$A$33:$A$1494,A1017)</f>
        <v>43.9166666666667</v>
      </c>
      <c r="F1017" s="213" t="n">
        <v>9.5</v>
      </c>
      <c r="G1017" s="213" t="n">
        <f aca="false">AVERAGEIFS($F$33:$F$1494,$A$33:$A$1494,A1017)</f>
        <v>9.06666666666667</v>
      </c>
      <c r="H1017" s="213" t="n">
        <v>9.6</v>
      </c>
      <c r="I1017" s="213" t="n">
        <f aca="false">AVERAGEIFS($H$33:$H$1494,$A$33:$A$1494,A1017)</f>
        <v>9.18333333333333</v>
      </c>
      <c r="L1017" s="215" t="n">
        <v>40623</v>
      </c>
      <c r="M1017" s="213" t="n">
        <v>42.9833333333333</v>
      </c>
      <c r="N1017" s="213" t="n">
        <v>43.9166666666667</v>
      </c>
      <c r="O1017" s="213" t="n">
        <v>9.06666666666667</v>
      </c>
      <c r="P1017" s="213" t="n">
        <v>9.18333333333333</v>
      </c>
    </row>
    <row r="1018" customFormat="false" ht="12.75" hidden="false" customHeight="false" outlineLevel="0" collapsed="false">
      <c r="A1018" s="215" t="n">
        <v>40623</v>
      </c>
      <c r="B1018" s="213" t="n">
        <v>44.7</v>
      </c>
      <c r="C1018" s="213" t="n">
        <f aca="false">AVERAGEIFS($B$33:$B$1494,$A$33:$A$1494,A1018)</f>
        <v>42.9833333333333</v>
      </c>
      <c r="D1018" s="213" t="n">
        <v>44</v>
      </c>
      <c r="E1018" s="213" t="n">
        <f aca="false">AVERAGEIFS($D$33:$D$1494,$A$33:$A$1494,A1018)</f>
        <v>43.9166666666667</v>
      </c>
      <c r="F1018" s="213" t="n">
        <v>8.7</v>
      </c>
      <c r="G1018" s="213" t="n">
        <f aca="false">AVERAGEIFS($F$33:$F$1494,$A$33:$A$1494,A1018)</f>
        <v>9.06666666666667</v>
      </c>
      <c r="H1018" s="213" t="n">
        <v>9.4</v>
      </c>
      <c r="I1018" s="213" t="n">
        <f aca="false">AVERAGEIFS($H$33:$H$1494,$A$33:$A$1494,A1018)</f>
        <v>9.18333333333333</v>
      </c>
      <c r="L1018" s="215" t="n">
        <v>40623</v>
      </c>
      <c r="M1018" s="213" t="n">
        <v>42.9833333333333</v>
      </c>
      <c r="N1018" s="213" t="n">
        <v>43.9166666666667</v>
      </c>
      <c r="O1018" s="213" t="n">
        <v>9.06666666666667</v>
      </c>
      <c r="P1018" s="213" t="n">
        <v>9.18333333333333</v>
      </c>
    </row>
    <row r="1019" customFormat="false" ht="12.75" hidden="false" customHeight="false" outlineLevel="0" collapsed="false">
      <c r="A1019" s="215" t="n">
        <v>40623</v>
      </c>
      <c r="B1019" s="213" t="n">
        <v>44.7</v>
      </c>
      <c r="C1019" s="213" t="n">
        <f aca="false">AVERAGEIFS($B$33:$B$1494,$A$33:$A$1494,A1019)</f>
        <v>42.9833333333333</v>
      </c>
      <c r="D1019" s="213" t="n">
        <v>44</v>
      </c>
      <c r="E1019" s="213" t="n">
        <f aca="false">AVERAGEIFS($D$33:$D$1494,$A$33:$A$1494,A1019)</f>
        <v>43.9166666666667</v>
      </c>
      <c r="F1019" s="213" t="n">
        <v>8.1</v>
      </c>
      <c r="G1019" s="213" t="n">
        <f aca="false">AVERAGEIFS($F$33:$F$1494,$A$33:$A$1494,A1019)</f>
        <v>9.06666666666667</v>
      </c>
      <c r="H1019" s="213" t="n">
        <v>9.2</v>
      </c>
      <c r="I1019" s="213" t="n">
        <f aca="false">AVERAGEIFS($H$33:$H$1494,$A$33:$A$1494,A1019)</f>
        <v>9.18333333333333</v>
      </c>
      <c r="L1019" s="215" t="n">
        <v>40623</v>
      </c>
      <c r="M1019" s="213" t="n">
        <v>42.9833333333333</v>
      </c>
      <c r="N1019" s="213" t="n">
        <v>43.9166666666667</v>
      </c>
      <c r="O1019" s="213" t="n">
        <v>9.06666666666667</v>
      </c>
      <c r="P1019" s="213" t="n">
        <v>9.18333333333333</v>
      </c>
    </row>
    <row r="1020" customFormat="false" ht="12.75" hidden="false" customHeight="false" outlineLevel="0" collapsed="false">
      <c r="A1020" s="215" t="n">
        <v>40623</v>
      </c>
      <c r="B1020" s="213" t="n">
        <v>44.5</v>
      </c>
      <c r="C1020" s="213" t="n">
        <f aca="false">AVERAGEIFS($B$33:$B$1494,$A$33:$A$1494,A1020)</f>
        <v>42.9833333333333</v>
      </c>
      <c r="D1020" s="213" t="n">
        <v>44</v>
      </c>
      <c r="E1020" s="213" t="n">
        <f aca="false">AVERAGEIFS($D$33:$D$1494,$A$33:$A$1494,A1020)</f>
        <v>43.9166666666667</v>
      </c>
      <c r="F1020" s="213" t="n">
        <v>8.4</v>
      </c>
      <c r="G1020" s="213" t="n">
        <f aca="false">AVERAGEIFS($F$33:$F$1494,$A$33:$A$1494,A1020)</f>
        <v>9.06666666666667</v>
      </c>
      <c r="H1020" s="213" t="n">
        <v>8.9</v>
      </c>
      <c r="I1020" s="213" t="n">
        <f aca="false">AVERAGEIFS($H$33:$H$1494,$A$33:$A$1494,A1020)</f>
        <v>9.18333333333333</v>
      </c>
      <c r="L1020" s="215" t="n">
        <v>40623</v>
      </c>
      <c r="M1020" s="213" t="n">
        <v>42.9833333333333</v>
      </c>
      <c r="N1020" s="213" t="n">
        <v>43.9166666666667</v>
      </c>
      <c r="O1020" s="213" t="n">
        <v>9.06666666666667</v>
      </c>
      <c r="P1020" s="213" t="n">
        <v>9.18333333333333</v>
      </c>
    </row>
    <row r="1021" customFormat="false" ht="12.75" hidden="false" customHeight="false" outlineLevel="0" collapsed="false">
      <c r="A1021" s="215" t="n">
        <v>40623</v>
      </c>
      <c r="B1021" s="213" t="n">
        <v>44.2</v>
      </c>
      <c r="C1021" s="213" t="n">
        <f aca="false">AVERAGEIFS($B$33:$B$1494,$A$33:$A$1494,A1021)</f>
        <v>42.9833333333333</v>
      </c>
      <c r="D1021" s="213" t="n">
        <v>43.8</v>
      </c>
      <c r="E1021" s="213" t="n">
        <f aca="false">AVERAGEIFS($D$33:$D$1494,$A$33:$A$1494,A1021)</f>
        <v>43.9166666666667</v>
      </c>
      <c r="F1021" s="213" t="n">
        <v>9.7</v>
      </c>
      <c r="G1021" s="213" t="n">
        <f aca="false">AVERAGEIFS($F$33:$F$1494,$A$33:$A$1494,A1021)</f>
        <v>9.06666666666667</v>
      </c>
      <c r="H1021" s="213" t="n">
        <v>8.9</v>
      </c>
      <c r="I1021" s="213" t="n">
        <f aca="false">AVERAGEIFS($H$33:$H$1494,$A$33:$A$1494,A1021)</f>
        <v>9.18333333333333</v>
      </c>
      <c r="L1021" s="215" t="n">
        <v>40623</v>
      </c>
      <c r="M1021" s="213" t="n">
        <v>42.9833333333333</v>
      </c>
      <c r="N1021" s="213" t="n">
        <v>43.9166666666667</v>
      </c>
      <c r="O1021" s="213" t="n">
        <v>9.06666666666667</v>
      </c>
      <c r="P1021" s="213" t="n">
        <v>9.18333333333333</v>
      </c>
    </row>
    <row r="1022" customFormat="false" ht="12.75" hidden="false" customHeight="false" outlineLevel="0" collapsed="false">
      <c r="A1022" s="215" t="n">
        <v>40623</v>
      </c>
      <c r="B1022" s="213" t="n">
        <v>35</v>
      </c>
      <c r="C1022" s="213" t="n">
        <f aca="false">AVERAGEIFS($B$33:$B$1494,$A$33:$A$1494,A1022)</f>
        <v>42.9833333333333</v>
      </c>
      <c r="D1022" s="213" t="n">
        <v>43.7</v>
      </c>
      <c r="E1022" s="213" t="n">
        <f aca="false">AVERAGEIFS($D$33:$D$1494,$A$33:$A$1494,A1022)</f>
        <v>43.9166666666667</v>
      </c>
      <c r="F1022" s="213" t="n">
        <v>10</v>
      </c>
      <c r="G1022" s="213" t="n">
        <f aca="false">AVERAGEIFS($F$33:$F$1494,$A$33:$A$1494,A1022)</f>
        <v>9.06666666666667</v>
      </c>
      <c r="H1022" s="213" t="n">
        <v>9.1</v>
      </c>
      <c r="I1022" s="213" t="n">
        <f aca="false">AVERAGEIFS($H$33:$H$1494,$A$33:$A$1494,A1022)</f>
        <v>9.18333333333333</v>
      </c>
      <c r="L1022" s="215" t="n">
        <v>40623</v>
      </c>
      <c r="M1022" s="213" t="n">
        <v>42.9833333333333</v>
      </c>
      <c r="N1022" s="213" t="n">
        <v>43.9166666666667</v>
      </c>
      <c r="O1022" s="213" t="n">
        <v>9.06666666666667</v>
      </c>
      <c r="P1022" s="213" t="n">
        <v>9.18333333333333</v>
      </c>
    </row>
    <row r="1023" customFormat="false" ht="12.75" hidden="false" customHeight="false" outlineLevel="0" collapsed="false">
      <c r="A1023" s="215" t="n">
        <v>40624</v>
      </c>
      <c r="B1023" s="213" t="n">
        <v>34.7</v>
      </c>
      <c r="C1023" s="213" t="n">
        <f aca="false">AVERAGEIFS($B$33:$B$1494,$A$33:$A$1494,A1023)</f>
        <v>34.2833333333333</v>
      </c>
      <c r="D1023" s="213" t="n">
        <v>43.7</v>
      </c>
      <c r="E1023" s="213" t="n">
        <f aca="false">AVERAGEIFS($D$33:$D$1494,$A$33:$A$1494,A1023)</f>
        <v>43.5833333333333</v>
      </c>
      <c r="F1023" s="213" t="n">
        <v>9.2</v>
      </c>
      <c r="G1023" s="213" t="n">
        <f aca="false">AVERAGEIFS($F$33:$F$1494,$A$33:$A$1494,A1023)</f>
        <v>9.23333333333333</v>
      </c>
      <c r="H1023" s="213" t="n">
        <v>9.2</v>
      </c>
      <c r="I1023" s="213" t="n">
        <f aca="false">AVERAGEIFS($H$33:$H$1494,$A$33:$A$1494,A1023)</f>
        <v>9</v>
      </c>
      <c r="L1023" s="215" t="n">
        <v>40624</v>
      </c>
      <c r="M1023" s="213" t="n">
        <v>34.2833333333333</v>
      </c>
      <c r="N1023" s="213" t="n">
        <v>43.5833333333333</v>
      </c>
      <c r="O1023" s="213" t="n">
        <v>9.23333333333333</v>
      </c>
      <c r="P1023" s="213" t="n">
        <v>9</v>
      </c>
    </row>
    <row r="1024" customFormat="false" ht="12.75" hidden="false" customHeight="false" outlineLevel="0" collapsed="false">
      <c r="A1024" s="215" t="n">
        <v>40624</v>
      </c>
      <c r="B1024" s="213" t="n">
        <v>34.5</v>
      </c>
      <c r="C1024" s="213" t="n">
        <f aca="false">AVERAGEIFS($B$33:$B$1494,$A$33:$A$1494,A1024)</f>
        <v>34.2833333333333</v>
      </c>
      <c r="D1024" s="213" t="n">
        <v>43.7</v>
      </c>
      <c r="E1024" s="213" t="n">
        <f aca="false">AVERAGEIFS($D$33:$D$1494,$A$33:$A$1494,A1024)</f>
        <v>43.5833333333333</v>
      </c>
      <c r="F1024" s="213" t="n">
        <v>8.8</v>
      </c>
      <c r="G1024" s="213" t="n">
        <f aca="false">AVERAGEIFS($F$33:$F$1494,$A$33:$A$1494,A1024)</f>
        <v>9.23333333333333</v>
      </c>
      <c r="H1024" s="213" t="n">
        <v>9.1</v>
      </c>
      <c r="I1024" s="213" t="n">
        <f aca="false">AVERAGEIFS($H$33:$H$1494,$A$33:$A$1494,A1024)</f>
        <v>9</v>
      </c>
      <c r="L1024" s="215" t="n">
        <v>40624</v>
      </c>
      <c r="M1024" s="213" t="n">
        <v>34.2833333333333</v>
      </c>
      <c r="N1024" s="213" t="n">
        <v>43.5833333333333</v>
      </c>
      <c r="O1024" s="213" t="n">
        <v>9.23333333333333</v>
      </c>
      <c r="P1024" s="213" t="n">
        <v>9</v>
      </c>
    </row>
    <row r="1025" customFormat="false" ht="12.75" hidden="false" customHeight="false" outlineLevel="0" collapsed="false">
      <c r="A1025" s="215" t="n">
        <v>40624</v>
      </c>
      <c r="B1025" s="213" t="n">
        <v>34.4</v>
      </c>
      <c r="C1025" s="213" t="n">
        <f aca="false">AVERAGEIFS($B$33:$B$1494,$A$33:$A$1494,A1025)</f>
        <v>34.2833333333333</v>
      </c>
      <c r="D1025" s="213" t="n">
        <v>43.7</v>
      </c>
      <c r="E1025" s="213" t="n">
        <f aca="false">AVERAGEIFS($D$33:$D$1494,$A$33:$A$1494,A1025)</f>
        <v>43.5833333333333</v>
      </c>
      <c r="F1025" s="213" t="n">
        <v>8.6</v>
      </c>
      <c r="G1025" s="213" t="n">
        <f aca="false">AVERAGEIFS($F$33:$F$1494,$A$33:$A$1494,A1025)</f>
        <v>9.23333333333333</v>
      </c>
      <c r="H1025" s="213" t="n">
        <v>8.9</v>
      </c>
      <c r="I1025" s="213" t="n">
        <f aca="false">AVERAGEIFS($H$33:$H$1494,$A$33:$A$1494,A1025)</f>
        <v>9</v>
      </c>
      <c r="L1025" s="215" t="n">
        <v>40624</v>
      </c>
      <c r="M1025" s="213" t="n">
        <v>34.2833333333333</v>
      </c>
      <c r="N1025" s="213" t="n">
        <v>43.5833333333333</v>
      </c>
      <c r="O1025" s="213" t="n">
        <v>9.23333333333333</v>
      </c>
      <c r="P1025" s="213" t="n">
        <v>9</v>
      </c>
    </row>
    <row r="1026" customFormat="false" ht="12.75" hidden="false" customHeight="false" outlineLevel="0" collapsed="false">
      <c r="A1026" s="215" t="n">
        <v>40624</v>
      </c>
      <c r="B1026" s="213" t="n">
        <v>34.3</v>
      </c>
      <c r="C1026" s="213" t="n">
        <f aca="false">AVERAGEIFS($B$33:$B$1494,$A$33:$A$1494,A1026)</f>
        <v>34.2833333333333</v>
      </c>
      <c r="D1026" s="213" t="n">
        <v>43.6</v>
      </c>
      <c r="E1026" s="213" t="n">
        <f aca="false">AVERAGEIFS($D$33:$D$1494,$A$33:$A$1494,A1026)</f>
        <v>43.5833333333333</v>
      </c>
      <c r="F1026" s="213" t="n">
        <v>8.9</v>
      </c>
      <c r="G1026" s="213" t="n">
        <f aca="false">AVERAGEIFS($F$33:$F$1494,$A$33:$A$1494,A1026)</f>
        <v>9.23333333333333</v>
      </c>
      <c r="H1026" s="213" t="n">
        <v>8.8</v>
      </c>
      <c r="I1026" s="213" t="n">
        <f aca="false">AVERAGEIFS($H$33:$H$1494,$A$33:$A$1494,A1026)</f>
        <v>9</v>
      </c>
      <c r="L1026" s="215" t="n">
        <v>40624</v>
      </c>
      <c r="M1026" s="213" t="n">
        <v>34.2833333333333</v>
      </c>
      <c r="N1026" s="213" t="n">
        <v>43.5833333333333</v>
      </c>
      <c r="O1026" s="213" t="n">
        <v>9.23333333333333</v>
      </c>
      <c r="P1026" s="213" t="n">
        <v>9</v>
      </c>
    </row>
    <row r="1027" customFormat="false" ht="12.75" hidden="false" customHeight="false" outlineLevel="0" collapsed="false">
      <c r="A1027" s="215" t="n">
        <v>40624</v>
      </c>
      <c r="B1027" s="213" t="n">
        <v>34</v>
      </c>
      <c r="C1027" s="213" t="n">
        <f aca="false">AVERAGEIFS($B$33:$B$1494,$A$33:$A$1494,A1027)</f>
        <v>34.2833333333333</v>
      </c>
      <c r="D1027" s="213" t="n">
        <v>43.5</v>
      </c>
      <c r="E1027" s="213" t="n">
        <f aca="false">AVERAGEIFS($D$33:$D$1494,$A$33:$A$1494,A1027)</f>
        <v>43.5833333333333</v>
      </c>
      <c r="F1027" s="213" t="n">
        <v>9.9</v>
      </c>
      <c r="G1027" s="213" t="n">
        <f aca="false">AVERAGEIFS($F$33:$F$1494,$A$33:$A$1494,A1027)</f>
        <v>9.23333333333333</v>
      </c>
      <c r="H1027" s="213" t="n">
        <v>8.9</v>
      </c>
      <c r="I1027" s="213" t="n">
        <f aca="false">AVERAGEIFS($H$33:$H$1494,$A$33:$A$1494,A1027)</f>
        <v>9</v>
      </c>
      <c r="L1027" s="215" t="n">
        <v>40624</v>
      </c>
      <c r="M1027" s="213" t="n">
        <v>34.2833333333333</v>
      </c>
      <c r="N1027" s="213" t="n">
        <v>43.5833333333333</v>
      </c>
      <c r="O1027" s="213" t="n">
        <v>9.23333333333333</v>
      </c>
      <c r="P1027" s="213" t="n">
        <v>9</v>
      </c>
    </row>
    <row r="1028" customFormat="false" ht="12.75" hidden="false" customHeight="false" outlineLevel="0" collapsed="false">
      <c r="A1028" s="215" t="n">
        <v>40624</v>
      </c>
      <c r="B1028" s="213" t="n">
        <v>33.8</v>
      </c>
      <c r="C1028" s="213" t="n">
        <f aca="false">AVERAGEIFS($B$33:$B$1494,$A$33:$A$1494,A1028)</f>
        <v>34.2833333333333</v>
      </c>
      <c r="D1028" s="213" t="n">
        <v>43.3</v>
      </c>
      <c r="E1028" s="213" t="n">
        <f aca="false">AVERAGEIFS($D$33:$D$1494,$A$33:$A$1494,A1028)</f>
        <v>43.5833333333333</v>
      </c>
      <c r="F1028" s="213" t="n">
        <v>10</v>
      </c>
      <c r="G1028" s="213" t="n">
        <f aca="false">AVERAGEIFS($F$33:$F$1494,$A$33:$A$1494,A1028)</f>
        <v>9.23333333333333</v>
      </c>
      <c r="H1028" s="213" t="n">
        <v>9.1</v>
      </c>
      <c r="I1028" s="213" t="n">
        <f aca="false">AVERAGEIFS($H$33:$H$1494,$A$33:$A$1494,A1028)</f>
        <v>9</v>
      </c>
      <c r="L1028" s="215" t="n">
        <v>40624</v>
      </c>
      <c r="M1028" s="213" t="n">
        <v>34.2833333333333</v>
      </c>
      <c r="N1028" s="213" t="n">
        <v>43.5833333333333</v>
      </c>
      <c r="O1028" s="213" t="n">
        <v>9.23333333333333</v>
      </c>
      <c r="P1028" s="213" t="n">
        <v>9</v>
      </c>
    </row>
    <row r="1029" customFormat="false" ht="12.75" hidden="false" customHeight="false" outlineLevel="0" collapsed="false">
      <c r="A1029" s="215" t="n">
        <v>40625</v>
      </c>
      <c r="B1029" s="213" t="n">
        <v>33.7</v>
      </c>
      <c r="C1029" s="213" t="n">
        <f aca="false">AVERAGEIFS($B$33:$B$1494,$A$33:$A$1494,A1029)</f>
        <v>33.4833333333333</v>
      </c>
      <c r="D1029" s="213" t="n">
        <v>43.3</v>
      </c>
      <c r="E1029" s="213" t="n">
        <f aca="false">AVERAGEIFS($D$33:$D$1494,$A$33:$A$1494,A1029)</f>
        <v>43.1666666666667</v>
      </c>
      <c r="F1029" s="213" t="n">
        <v>9.5</v>
      </c>
      <c r="G1029" s="213" t="n">
        <f aca="false">AVERAGEIFS($F$33:$F$1494,$A$33:$A$1494,A1029)</f>
        <v>9.16666666666667</v>
      </c>
      <c r="H1029" s="213" t="n">
        <v>9.2</v>
      </c>
      <c r="I1029" s="213" t="n">
        <f aca="false">AVERAGEIFS($H$33:$H$1494,$A$33:$A$1494,A1029)</f>
        <v>8.93333333333333</v>
      </c>
      <c r="L1029" s="215" t="n">
        <v>40625</v>
      </c>
      <c r="M1029" s="213" t="n">
        <v>33.4833333333333</v>
      </c>
      <c r="N1029" s="213" t="n">
        <v>43.1666666666667</v>
      </c>
      <c r="O1029" s="213" t="n">
        <v>9.16666666666667</v>
      </c>
      <c r="P1029" s="213" t="n">
        <v>8.93333333333333</v>
      </c>
    </row>
    <row r="1030" customFormat="false" ht="12.75" hidden="false" customHeight="false" outlineLevel="0" collapsed="false">
      <c r="A1030" s="215" t="n">
        <v>40625</v>
      </c>
      <c r="B1030" s="213" t="n">
        <v>33.6</v>
      </c>
      <c r="C1030" s="213" t="n">
        <f aca="false">AVERAGEIFS($B$33:$B$1494,$A$33:$A$1494,A1030)</f>
        <v>33.4833333333333</v>
      </c>
      <c r="D1030" s="213" t="n">
        <v>43.3</v>
      </c>
      <c r="E1030" s="213" t="n">
        <f aca="false">AVERAGEIFS($D$33:$D$1494,$A$33:$A$1494,A1030)</f>
        <v>43.1666666666667</v>
      </c>
      <c r="F1030" s="213" t="n">
        <v>9.1</v>
      </c>
      <c r="G1030" s="213" t="n">
        <f aca="false">AVERAGEIFS($F$33:$F$1494,$A$33:$A$1494,A1030)</f>
        <v>9.16666666666667</v>
      </c>
      <c r="H1030" s="213" t="n">
        <v>9.1</v>
      </c>
      <c r="I1030" s="213" t="n">
        <f aca="false">AVERAGEIFS($H$33:$H$1494,$A$33:$A$1494,A1030)</f>
        <v>8.93333333333333</v>
      </c>
      <c r="L1030" s="215" t="n">
        <v>40625</v>
      </c>
      <c r="M1030" s="213" t="n">
        <v>33.4833333333333</v>
      </c>
      <c r="N1030" s="213" t="n">
        <v>43.1666666666667</v>
      </c>
      <c r="O1030" s="213" t="n">
        <v>9.16666666666667</v>
      </c>
      <c r="P1030" s="213" t="n">
        <v>8.93333333333333</v>
      </c>
    </row>
    <row r="1031" customFormat="false" ht="12.75" hidden="false" customHeight="false" outlineLevel="0" collapsed="false">
      <c r="A1031" s="215" t="n">
        <v>40625</v>
      </c>
      <c r="B1031" s="213" t="n">
        <v>33.6</v>
      </c>
      <c r="C1031" s="213" t="n">
        <f aca="false">AVERAGEIFS($B$33:$B$1494,$A$33:$A$1494,A1031)</f>
        <v>33.4833333333333</v>
      </c>
      <c r="D1031" s="213" t="n">
        <v>43.3</v>
      </c>
      <c r="E1031" s="213" t="n">
        <f aca="false">AVERAGEIFS($D$33:$D$1494,$A$33:$A$1494,A1031)</f>
        <v>43.1666666666667</v>
      </c>
      <c r="F1031" s="213" t="n">
        <v>8.4</v>
      </c>
      <c r="G1031" s="213" t="n">
        <f aca="false">AVERAGEIFS($F$33:$F$1494,$A$33:$A$1494,A1031)</f>
        <v>9.16666666666667</v>
      </c>
      <c r="H1031" s="213" t="n">
        <v>9</v>
      </c>
      <c r="I1031" s="213" t="n">
        <f aca="false">AVERAGEIFS($H$33:$H$1494,$A$33:$A$1494,A1031)</f>
        <v>8.93333333333333</v>
      </c>
      <c r="L1031" s="215" t="n">
        <v>40625</v>
      </c>
      <c r="M1031" s="213" t="n">
        <v>33.4833333333333</v>
      </c>
      <c r="N1031" s="213" t="n">
        <v>43.1666666666667</v>
      </c>
      <c r="O1031" s="213" t="n">
        <v>9.16666666666667</v>
      </c>
      <c r="P1031" s="213" t="n">
        <v>8.93333333333333</v>
      </c>
    </row>
    <row r="1032" customFormat="false" ht="12.75" hidden="false" customHeight="false" outlineLevel="0" collapsed="false">
      <c r="A1032" s="215" t="n">
        <v>40625</v>
      </c>
      <c r="B1032" s="213" t="n">
        <v>33.5</v>
      </c>
      <c r="C1032" s="213" t="n">
        <f aca="false">AVERAGEIFS($B$33:$B$1494,$A$33:$A$1494,A1032)</f>
        <v>33.4833333333333</v>
      </c>
      <c r="D1032" s="213" t="n">
        <v>43.3</v>
      </c>
      <c r="E1032" s="213" t="n">
        <f aca="false">AVERAGEIFS($D$33:$D$1494,$A$33:$A$1494,A1032)</f>
        <v>43.1666666666667</v>
      </c>
      <c r="F1032" s="213" t="n">
        <v>8.4</v>
      </c>
      <c r="G1032" s="213" t="n">
        <f aca="false">AVERAGEIFS($F$33:$F$1494,$A$33:$A$1494,A1032)</f>
        <v>9.16666666666667</v>
      </c>
      <c r="H1032" s="213" t="n">
        <v>8.7</v>
      </c>
      <c r="I1032" s="213" t="n">
        <f aca="false">AVERAGEIFS($H$33:$H$1494,$A$33:$A$1494,A1032)</f>
        <v>8.93333333333333</v>
      </c>
      <c r="L1032" s="215" t="n">
        <v>40625</v>
      </c>
      <c r="M1032" s="213" t="n">
        <v>33.4833333333333</v>
      </c>
      <c r="N1032" s="213" t="n">
        <v>43.1666666666667</v>
      </c>
      <c r="O1032" s="213" t="n">
        <v>9.16666666666667</v>
      </c>
      <c r="P1032" s="213" t="n">
        <v>8.93333333333333</v>
      </c>
    </row>
    <row r="1033" customFormat="false" ht="12.75" hidden="false" customHeight="false" outlineLevel="0" collapsed="false">
      <c r="A1033" s="215" t="n">
        <v>40625</v>
      </c>
      <c r="B1033" s="213" t="n">
        <v>33.3</v>
      </c>
      <c r="C1033" s="213" t="n">
        <f aca="false">AVERAGEIFS($B$33:$B$1494,$A$33:$A$1494,A1033)</f>
        <v>33.4833333333333</v>
      </c>
      <c r="D1033" s="213" t="n">
        <v>43</v>
      </c>
      <c r="E1033" s="213" t="n">
        <f aca="false">AVERAGEIFS($D$33:$D$1494,$A$33:$A$1494,A1033)</f>
        <v>43.1666666666667</v>
      </c>
      <c r="F1033" s="213" t="n">
        <v>9.7</v>
      </c>
      <c r="G1033" s="213" t="n">
        <f aca="false">AVERAGEIFS($F$33:$F$1494,$A$33:$A$1494,A1033)</f>
        <v>9.16666666666667</v>
      </c>
      <c r="H1033" s="213" t="n">
        <v>8.7</v>
      </c>
      <c r="I1033" s="213" t="n">
        <f aca="false">AVERAGEIFS($H$33:$H$1494,$A$33:$A$1494,A1033)</f>
        <v>8.93333333333333</v>
      </c>
      <c r="L1033" s="215" t="n">
        <v>40625</v>
      </c>
      <c r="M1033" s="213" t="n">
        <v>33.4833333333333</v>
      </c>
      <c r="N1033" s="213" t="n">
        <v>43.1666666666667</v>
      </c>
      <c r="O1033" s="213" t="n">
        <v>9.16666666666667</v>
      </c>
      <c r="P1033" s="213" t="n">
        <v>8.93333333333333</v>
      </c>
    </row>
    <row r="1034" customFormat="false" ht="12.75" hidden="false" customHeight="false" outlineLevel="0" collapsed="false">
      <c r="A1034" s="215" t="n">
        <v>40625</v>
      </c>
      <c r="B1034" s="213" t="n">
        <v>33.2</v>
      </c>
      <c r="C1034" s="213" t="n">
        <f aca="false">AVERAGEIFS($B$33:$B$1494,$A$33:$A$1494,A1034)</f>
        <v>33.4833333333333</v>
      </c>
      <c r="D1034" s="213" t="n">
        <v>42.8</v>
      </c>
      <c r="E1034" s="213" t="n">
        <f aca="false">AVERAGEIFS($D$33:$D$1494,$A$33:$A$1494,A1034)</f>
        <v>43.1666666666667</v>
      </c>
      <c r="F1034" s="213" t="n">
        <v>9.9</v>
      </c>
      <c r="G1034" s="213" t="n">
        <f aca="false">AVERAGEIFS($F$33:$F$1494,$A$33:$A$1494,A1034)</f>
        <v>9.16666666666667</v>
      </c>
      <c r="H1034" s="213" t="n">
        <v>8.9</v>
      </c>
      <c r="I1034" s="213" t="n">
        <f aca="false">AVERAGEIFS($H$33:$H$1494,$A$33:$A$1494,A1034)</f>
        <v>8.93333333333333</v>
      </c>
      <c r="L1034" s="215" t="n">
        <v>40625</v>
      </c>
      <c r="M1034" s="213" t="n">
        <v>33.4833333333333</v>
      </c>
      <c r="N1034" s="213" t="n">
        <v>43.1666666666667</v>
      </c>
      <c r="O1034" s="213" t="n">
        <v>9.16666666666667</v>
      </c>
      <c r="P1034" s="213" t="n">
        <v>8.93333333333333</v>
      </c>
    </row>
    <row r="1035" customFormat="false" ht="12.75" hidden="false" customHeight="false" outlineLevel="0" collapsed="false">
      <c r="A1035" s="215" t="n">
        <v>40626</v>
      </c>
      <c r="B1035" s="213" t="n">
        <v>33.6</v>
      </c>
      <c r="C1035" s="213" t="n">
        <f aca="false">AVERAGEIFS($B$33:$B$1494,$A$33:$A$1494,A1035)</f>
        <v>33.3833333333333</v>
      </c>
      <c r="D1035" s="213" t="n">
        <v>42.8</v>
      </c>
      <c r="E1035" s="213" t="n">
        <f aca="false">AVERAGEIFS($D$33:$D$1494,$A$33:$A$1494,A1035)</f>
        <v>42.6</v>
      </c>
      <c r="F1035" s="213" t="n">
        <v>9.5</v>
      </c>
      <c r="G1035" s="213" t="n">
        <f aca="false">AVERAGEIFS($F$33:$F$1494,$A$33:$A$1494,A1035)</f>
        <v>9.38333333333333</v>
      </c>
      <c r="H1035" s="213" t="n">
        <v>9.1</v>
      </c>
      <c r="I1035" s="213" t="n">
        <f aca="false">AVERAGEIFS($H$33:$H$1494,$A$33:$A$1494,A1035)</f>
        <v>8.95</v>
      </c>
      <c r="L1035" s="215" t="n">
        <v>40626</v>
      </c>
      <c r="M1035" s="213" t="n">
        <v>33.3833333333333</v>
      </c>
      <c r="N1035" s="213" t="n">
        <v>42.6</v>
      </c>
      <c r="O1035" s="213" t="n">
        <v>9.38333333333334</v>
      </c>
      <c r="P1035" s="213" t="n">
        <v>8.95</v>
      </c>
    </row>
    <row r="1036" customFormat="false" ht="12.75" hidden="false" customHeight="false" outlineLevel="0" collapsed="false">
      <c r="A1036" s="215" t="n">
        <v>40626</v>
      </c>
      <c r="B1036" s="213" t="n">
        <v>33.8</v>
      </c>
      <c r="C1036" s="213" t="n">
        <f aca="false">AVERAGEIFS($B$33:$B$1494,$A$33:$A$1494,A1036)</f>
        <v>33.3833333333333</v>
      </c>
      <c r="D1036" s="213" t="n">
        <v>42.8</v>
      </c>
      <c r="E1036" s="213" t="n">
        <f aca="false">AVERAGEIFS($D$33:$D$1494,$A$33:$A$1494,A1036)</f>
        <v>42.6</v>
      </c>
      <c r="F1036" s="213" t="n">
        <v>9.1</v>
      </c>
      <c r="G1036" s="213" t="n">
        <f aca="false">AVERAGEIFS($F$33:$F$1494,$A$33:$A$1494,A1036)</f>
        <v>9.38333333333333</v>
      </c>
      <c r="H1036" s="213" t="n">
        <v>9</v>
      </c>
      <c r="I1036" s="213" t="n">
        <f aca="false">AVERAGEIFS($H$33:$H$1494,$A$33:$A$1494,A1036)</f>
        <v>8.95</v>
      </c>
      <c r="L1036" s="215" t="n">
        <v>40626</v>
      </c>
      <c r="M1036" s="213" t="n">
        <v>33.3833333333333</v>
      </c>
      <c r="N1036" s="213" t="n">
        <v>42.6</v>
      </c>
      <c r="O1036" s="213" t="n">
        <v>9.38333333333334</v>
      </c>
      <c r="P1036" s="213" t="n">
        <v>8.95</v>
      </c>
    </row>
    <row r="1037" customFormat="false" ht="12.75" hidden="false" customHeight="false" outlineLevel="0" collapsed="false">
      <c r="A1037" s="215" t="n">
        <v>40626</v>
      </c>
      <c r="B1037" s="213" t="n">
        <v>34.2</v>
      </c>
      <c r="C1037" s="213" t="n">
        <f aca="false">AVERAGEIFS($B$33:$B$1494,$A$33:$A$1494,A1037)</f>
        <v>33.3833333333333</v>
      </c>
      <c r="D1037" s="213" t="n">
        <v>42.7</v>
      </c>
      <c r="E1037" s="213" t="n">
        <f aca="false">AVERAGEIFS($D$33:$D$1494,$A$33:$A$1494,A1037)</f>
        <v>42.6</v>
      </c>
      <c r="F1037" s="213" t="n">
        <v>8.5</v>
      </c>
      <c r="G1037" s="213" t="n">
        <f aca="false">AVERAGEIFS($F$33:$F$1494,$A$33:$A$1494,A1037)</f>
        <v>9.38333333333333</v>
      </c>
      <c r="H1037" s="213" t="n">
        <v>8.9</v>
      </c>
      <c r="I1037" s="213" t="n">
        <f aca="false">AVERAGEIFS($H$33:$H$1494,$A$33:$A$1494,A1037)</f>
        <v>8.95</v>
      </c>
      <c r="L1037" s="215" t="n">
        <v>40626</v>
      </c>
      <c r="M1037" s="213" t="n">
        <v>33.3833333333333</v>
      </c>
      <c r="N1037" s="213" t="n">
        <v>42.6</v>
      </c>
      <c r="O1037" s="213" t="n">
        <v>9.38333333333334</v>
      </c>
      <c r="P1037" s="213" t="n">
        <v>8.95</v>
      </c>
    </row>
    <row r="1038" customFormat="false" ht="12.75" hidden="false" customHeight="false" outlineLevel="0" collapsed="false">
      <c r="A1038" s="215" t="n">
        <v>40626</v>
      </c>
      <c r="B1038" s="213" t="n">
        <v>33</v>
      </c>
      <c r="C1038" s="213" t="n">
        <f aca="false">AVERAGEIFS($B$33:$B$1494,$A$33:$A$1494,A1038)</f>
        <v>33.3833333333333</v>
      </c>
      <c r="D1038" s="213" t="n">
        <v>42.7</v>
      </c>
      <c r="E1038" s="213" t="n">
        <f aca="false">AVERAGEIFS($D$33:$D$1494,$A$33:$A$1494,A1038)</f>
        <v>42.6</v>
      </c>
      <c r="F1038" s="213" t="n">
        <v>8.8</v>
      </c>
      <c r="G1038" s="213" t="n">
        <f aca="false">AVERAGEIFS($F$33:$F$1494,$A$33:$A$1494,A1038)</f>
        <v>9.38333333333333</v>
      </c>
      <c r="H1038" s="213" t="n">
        <v>8.8</v>
      </c>
      <c r="I1038" s="213" t="n">
        <f aca="false">AVERAGEIFS($H$33:$H$1494,$A$33:$A$1494,A1038)</f>
        <v>8.95</v>
      </c>
      <c r="L1038" s="215" t="n">
        <v>40626</v>
      </c>
      <c r="M1038" s="213" t="n">
        <v>33.3833333333333</v>
      </c>
      <c r="N1038" s="213" t="n">
        <v>42.6</v>
      </c>
      <c r="O1038" s="213" t="n">
        <v>9.38333333333334</v>
      </c>
      <c r="P1038" s="213" t="n">
        <v>8.95</v>
      </c>
    </row>
    <row r="1039" customFormat="false" ht="12.75" hidden="false" customHeight="false" outlineLevel="0" collapsed="false">
      <c r="A1039" s="215" t="n">
        <v>40626</v>
      </c>
      <c r="B1039" s="213" t="n">
        <v>32.8</v>
      </c>
      <c r="C1039" s="213" t="n">
        <f aca="false">AVERAGEIFS($B$33:$B$1494,$A$33:$A$1494,A1039)</f>
        <v>33.3833333333333</v>
      </c>
      <c r="D1039" s="213" t="n">
        <v>42.4</v>
      </c>
      <c r="E1039" s="213" t="n">
        <f aca="false">AVERAGEIFS($D$33:$D$1494,$A$33:$A$1494,A1039)</f>
        <v>42.6</v>
      </c>
      <c r="F1039" s="213" t="n">
        <v>10</v>
      </c>
      <c r="G1039" s="213" t="n">
        <f aca="false">AVERAGEIFS($F$33:$F$1494,$A$33:$A$1494,A1039)</f>
        <v>9.38333333333333</v>
      </c>
      <c r="H1039" s="213" t="n">
        <v>8.8</v>
      </c>
      <c r="I1039" s="213" t="n">
        <f aca="false">AVERAGEIFS($H$33:$H$1494,$A$33:$A$1494,A1039)</f>
        <v>8.95</v>
      </c>
      <c r="L1039" s="215" t="n">
        <v>40626</v>
      </c>
      <c r="M1039" s="213" t="n">
        <v>33.3833333333333</v>
      </c>
      <c r="N1039" s="213" t="n">
        <v>42.6</v>
      </c>
      <c r="O1039" s="213" t="n">
        <v>9.38333333333334</v>
      </c>
      <c r="P1039" s="213" t="n">
        <v>8.95</v>
      </c>
    </row>
    <row r="1040" customFormat="false" ht="12.75" hidden="false" customHeight="false" outlineLevel="0" collapsed="false">
      <c r="A1040" s="215" t="n">
        <v>40626</v>
      </c>
      <c r="B1040" s="213" t="n">
        <v>32.9</v>
      </c>
      <c r="C1040" s="213" t="n">
        <f aca="false">AVERAGEIFS($B$33:$B$1494,$A$33:$A$1494,A1040)</f>
        <v>33.3833333333333</v>
      </c>
      <c r="D1040" s="213" t="n">
        <v>42.2</v>
      </c>
      <c r="E1040" s="213" t="n">
        <f aca="false">AVERAGEIFS($D$33:$D$1494,$A$33:$A$1494,A1040)</f>
        <v>42.6</v>
      </c>
      <c r="F1040" s="213" t="n">
        <v>10.4</v>
      </c>
      <c r="G1040" s="213" t="n">
        <f aca="false">AVERAGEIFS($F$33:$F$1494,$A$33:$A$1494,A1040)</f>
        <v>9.38333333333333</v>
      </c>
      <c r="H1040" s="213" t="n">
        <v>9.1</v>
      </c>
      <c r="I1040" s="213" t="n">
        <f aca="false">AVERAGEIFS($H$33:$H$1494,$A$33:$A$1494,A1040)</f>
        <v>8.95</v>
      </c>
      <c r="L1040" s="215" t="n">
        <v>40626</v>
      </c>
      <c r="M1040" s="213" t="n">
        <v>33.3833333333333</v>
      </c>
      <c r="N1040" s="213" t="n">
        <v>42.6</v>
      </c>
      <c r="O1040" s="213" t="n">
        <v>9.38333333333334</v>
      </c>
      <c r="P1040" s="213" t="n">
        <v>8.95</v>
      </c>
    </row>
    <row r="1041" customFormat="false" ht="12.75" hidden="false" customHeight="false" outlineLevel="0" collapsed="false">
      <c r="A1041" s="215" t="n">
        <v>40627</v>
      </c>
      <c r="B1041" s="213" t="n">
        <v>32.8</v>
      </c>
      <c r="C1041" s="213" t="n">
        <f aca="false">AVERAGEIFS($B$33:$B$1494,$A$33:$A$1494,A1041)</f>
        <v>32.8833333333333</v>
      </c>
      <c r="D1041" s="213" t="n">
        <v>42.2</v>
      </c>
      <c r="E1041" s="213" t="n">
        <f aca="false">AVERAGEIFS($D$33:$D$1494,$A$33:$A$1494,A1041)</f>
        <v>42.0166666666667</v>
      </c>
      <c r="F1041" s="213" t="n">
        <v>10</v>
      </c>
      <c r="G1041" s="213" t="n">
        <f aca="false">AVERAGEIFS($F$33:$F$1494,$A$33:$A$1494,A1041)</f>
        <v>9.98333333333333</v>
      </c>
      <c r="H1041" s="213" t="n">
        <v>9.3</v>
      </c>
      <c r="I1041" s="213" t="n">
        <f aca="false">AVERAGEIFS($H$33:$H$1494,$A$33:$A$1494,A1041)</f>
        <v>9.26666666666667</v>
      </c>
      <c r="L1041" s="215" t="n">
        <v>40627</v>
      </c>
      <c r="M1041" s="213" t="n">
        <v>32.8833333333333</v>
      </c>
      <c r="N1041" s="213" t="n">
        <v>42.0166666666667</v>
      </c>
      <c r="O1041" s="213" t="n">
        <v>9.98333333333333</v>
      </c>
      <c r="P1041" s="213" t="n">
        <v>9.26666666666667</v>
      </c>
    </row>
    <row r="1042" customFormat="false" ht="12.75" hidden="false" customHeight="false" outlineLevel="0" collapsed="false">
      <c r="A1042" s="215" t="n">
        <v>40627</v>
      </c>
      <c r="B1042" s="213" t="n">
        <v>33.1</v>
      </c>
      <c r="C1042" s="213" t="n">
        <f aca="false">AVERAGEIFS($B$33:$B$1494,$A$33:$A$1494,A1042)</f>
        <v>32.8833333333333</v>
      </c>
      <c r="D1042" s="213" t="n">
        <v>42.2</v>
      </c>
      <c r="E1042" s="213" t="n">
        <f aca="false">AVERAGEIFS($D$33:$D$1494,$A$33:$A$1494,A1042)</f>
        <v>42.0166666666667</v>
      </c>
      <c r="F1042" s="213" t="n">
        <v>9.6</v>
      </c>
      <c r="G1042" s="213" t="n">
        <f aca="false">AVERAGEIFS($F$33:$F$1494,$A$33:$A$1494,A1042)</f>
        <v>9.98333333333333</v>
      </c>
      <c r="H1042" s="213" t="n">
        <v>9.3</v>
      </c>
      <c r="I1042" s="213" t="n">
        <f aca="false">AVERAGEIFS($H$33:$H$1494,$A$33:$A$1494,A1042)</f>
        <v>9.26666666666667</v>
      </c>
      <c r="L1042" s="215" t="n">
        <v>40627</v>
      </c>
      <c r="M1042" s="213" t="n">
        <v>32.8833333333333</v>
      </c>
      <c r="N1042" s="213" t="n">
        <v>42.0166666666667</v>
      </c>
      <c r="O1042" s="213" t="n">
        <v>9.98333333333333</v>
      </c>
      <c r="P1042" s="213" t="n">
        <v>9.26666666666667</v>
      </c>
    </row>
    <row r="1043" customFormat="false" ht="12.75" hidden="false" customHeight="false" outlineLevel="0" collapsed="false">
      <c r="A1043" s="215" t="n">
        <v>40627</v>
      </c>
      <c r="B1043" s="213" t="n">
        <v>33.1</v>
      </c>
      <c r="C1043" s="213" t="n">
        <f aca="false">AVERAGEIFS($B$33:$B$1494,$A$33:$A$1494,A1043)</f>
        <v>32.8833333333333</v>
      </c>
      <c r="D1043" s="213" t="n">
        <v>42.1</v>
      </c>
      <c r="E1043" s="213" t="n">
        <f aca="false">AVERAGEIFS($D$33:$D$1494,$A$33:$A$1494,A1043)</f>
        <v>42.0166666666667</v>
      </c>
      <c r="F1043" s="213" t="n">
        <v>9.3</v>
      </c>
      <c r="G1043" s="213" t="n">
        <f aca="false">AVERAGEIFS($F$33:$F$1494,$A$33:$A$1494,A1043)</f>
        <v>9.98333333333333</v>
      </c>
      <c r="H1043" s="213" t="n">
        <v>9.2</v>
      </c>
      <c r="I1043" s="213" t="n">
        <f aca="false">AVERAGEIFS($H$33:$H$1494,$A$33:$A$1494,A1043)</f>
        <v>9.26666666666667</v>
      </c>
      <c r="L1043" s="215" t="n">
        <v>40627</v>
      </c>
      <c r="M1043" s="213" t="n">
        <v>32.8833333333333</v>
      </c>
      <c r="N1043" s="213" t="n">
        <v>42.0166666666667</v>
      </c>
      <c r="O1043" s="213" t="n">
        <v>9.98333333333333</v>
      </c>
      <c r="P1043" s="213" t="n">
        <v>9.26666666666667</v>
      </c>
    </row>
    <row r="1044" customFormat="false" ht="12.75" hidden="false" customHeight="false" outlineLevel="0" collapsed="false">
      <c r="A1044" s="215" t="n">
        <v>40627</v>
      </c>
      <c r="B1044" s="213" t="n">
        <v>33</v>
      </c>
      <c r="C1044" s="213" t="n">
        <f aca="false">AVERAGEIFS($B$33:$B$1494,$A$33:$A$1494,A1044)</f>
        <v>32.8833333333333</v>
      </c>
      <c r="D1044" s="213" t="n">
        <v>42.1</v>
      </c>
      <c r="E1044" s="213" t="n">
        <f aca="false">AVERAGEIFS($D$33:$D$1494,$A$33:$A$1494,A1044)</f>
        <v>42.0166666666667</v>
      </c>
      <c r="F1044" s="213" t="n">
        <v>9.5</v>
      </c>
      <c r="G1044" s="213" t="n">
        <f aca="false">AVERAGEIFS($F$33:$F$1494,$A$33:$A$1494,A1044)</f>
        <v>9.98333333333333</v>
      </c>
      <c r="H1044" s="213" t="n">
        <v>9.1</v>
      </c>
      <c r="I1044" s="213" t="n">
        <f aca="false">AVERAGEIFS($H$33:$H$1494,$A$33:$A$1494,A1044)</f>
        <v>9.26666666666667</v>
      </c>
      <c r="L1044" s="215" t="n">
        <v>40627</v>
      </c>
      <c r="M1044" s="213" t="n">
        <v>32.8833333333333</v>
      </c>
      <c r="N1044" s="213" t="n">
        <v>42.0166666666667</v>
      </c>
      <c r="O1044" s="213" t="n">
        <v>9.98333333333333</v>
      </c>
      <c r="P1044" s="213" t="n">
        <v>9.26666666666667</v>
      </c>
    </row>
    <row r="1045" customFormat="false" ht="12.75" hidden="false" customHeight="false" outlineLevel="0" collapsed="false">
      <c r="A1045" s="215" t="n">
        <v>40627</v>
      </c>
      <c r="B1045" s="213" t="n">
        <v>32.9</v>
      </c>
      <c r="C1045" s="213" t="n">
        <f aca="false">AVERAGEIFS($B$33:$B$1494,$A$33:$A$1494,A1045)</f>
        <v>32.8833333333333</v>
      </c>
      <c r="D1045" s="213" t="n">
        <v>41.8</v>
      </c>
      <c r="E1045" s="213" t="n">
        <f aca="false">AVERAGEIFS($D$33:$D$1494,$A$33:$A$1494,A1045)</f>
        <v>42.0166666666667</v>
      </c>
      <c r="F1045" s="213" t="n">
        <v>10.6</v>
      </c>
      <c r="G1045" s="213" t="n">
        <f aca="false">AVERAGEIFS($F$33:$F$1494,$A$33:$A$1494,A1045)</f>
        <v>9.98333333333333</v>
      </c>
      <c r="H1045" s="213" t="n">
        <v>9.2</v>
      </c>
      <c r="I1045" s="213" t="n">
        <f aca="false">AVERAGEIFS($H$33:$H$1494,$A$33:$A$1494,A1045)</f>
        <v>9.26666666666667</v>
      </c>
      <c r="L1045" s="215" t="n">
        <v>40627</v>
      </c>
      <c r="M1045" s="213" t="n">
        <v>32.8833333333333</v>
      </c>
      <c r="N1045" s="213" t="n">
        <v>42.0166666666667</v>
      </c>
      <c r="O1045" s="213" t="n">
        <v>9.98333333333333</v>
      </c>
      <c r="P1045" s="213" t="n">
        <v>9.26666666666667</v>
      </c>
    </row>
    <row r="1046" customFormat="false" ht="12.75" hidden="false" customHeight="false" outlineLevel="0" collapsed="false">
      <c r="A1046" s="215" t="n">
        <v>40627</v>
      </c>
      <c r="B1046" s="213" t="n">
        <v>32.4</v>
      </c>
      <c r="C1046" s="213" t="n">
        <f aca="false">AVERAGEIFS($B$33:$B$1494,$A$33:$A$1494,A1046)</f>
        <v>32.8833333333333</v>
      </c>
      <c r="D1046" s="213" t="n">
        <v>41.7</v>
      </c>
      <c r="E1046" s="213" t="n">
        <f aca="false">AVERAGEIFS($D$33:$D$1494,$A$33:$A$1494,A1046)</f>
        <v>42.0166666666667</v>
      </c>
      <c r="F1046" s="213" t="n">
        <v>10.9</v>
      </c>
      <c r="G1046" s="213" t="n">
        <f aca="false">AVERAGEIFS($F$33:$F$1494,$A$33:$A$1494,A1046)</f>
        <v>9.98333333333333</v>
      </c>
      <c r="H1046" s="213" t="n">
        <v>9.5</v>
      </c>
      <c r="I1046" s="213" t="n">
        <f aca="false">AVERAGEIFS($H$33:$H$1494,$A$33:$A$1494,A1046)</f>
        <v>9.26666666666667</v>
      </c>
      <c r="L1046" s="215" t="n">
        <v>40627</v>
      </c>
      <c r="M1046" s="213" t="n">
        <v>32.8833333333333</v>
      </c>
      <c r="N1046" s="213" t="n">
        <v>42.0166666666667</v>
      </c>
      <c r="O1046" s="213" t="n">
        <v>9.98333333333333</v>
      </c>
      <c r="P1046" s="213" t="n">
        <v>9.26666666666667</v>
      </c>
    </row>
    <row r="1047" customFormat="false" ht="12.75" hidden="false" customHeight="false" outlineLevel="0" collapsed="false">
      <c r="A1047" s="215" t="n">
        <v>40628</v>
      </c>
      <c r="B1047" s="213" t="n">
        <v>32.4</v>
      </c>
      <c r="C1047" s="213" t="n">
        <f aca="false">AVERAGEIFS($B$33:$B$1494,$A$33:$A$1494,A1047)</f>
        <v>32.2</v>
      </c>
      <c r="D1047" s="213" t="n">
        <v>41.7</v>
      </c>
      <c r="E1047" s="213" t="n">
        <f aca="false">AVERAGEIFS($D$33:$D$1494,$A$33:$A$1494,A1047)</f>
        <v>41.5166666666667</v>
      </c>
      <c r="F1047" s="213" t="n">
        <v>10.5</v>
      </c>
      <c r="G1047" s="213" t="n">
        <f aca="false">AVERAGEIFS($F$33:$F$1494,$A$33:$A$1494,A1047)</f>
        <v>10.6</v>
      </c>
      <c r="H1047" s="213" t="n">
        <v>9.6</v>
      </c>
      <c r="I1047" s="213" t="n">
        <f aca="false">AVERAGEIFS($H$33:$H$1494,$A$33:$A$1494,A1047)</f>
        <v>9.66666666666667</v>
      </c>
      <c r="L1047" s="215" t="n">
        <v>40628</v>
      </c>
      <c r="M1047" s="213" t="n">
        <v>32.2</v>
      </c>
      <c r="N1047" s="213" t="n">
        <v>41.5166666666667</v>
      </c>
      <c r="O1047" s="213" t="n">
        <v>10.6</v>
      </c>
      <c r="P1047" s="213" t="n">
        <v>9.66666666666667</v>
      </c>
    </row>
    <row r="1048" customFormat="false" ht="12.75" hidden="false" customHeight="false" outlineLevel="0" collapsed="false">
      <c r="A1048" s="215" t="n">
        <v>40628</v>
      </c>
      <c r="B1048" s="213" t="n">
        <v>32.3</v>
      </c>
      <c r="C1048" s="213" t="n">
        <f aca="false">AVERAGEIFS($B$33:$B$1494,$A$33:$A$1494,A1048)</f>
        <v>32.2</v>
      </c>
      <c r="D1048" s="213" t="n">
        <v>41.7</v>
      </c>
      <c r="E1048" s="213" t="n">
        <f aca="false">AVERAGEIFS($D$33:$D$1494,$A$33:$A$1494,A1048)</f>
        <v>41.5166666666667</v>
      </c>
      <c r="F1048" s="213" t="n">
        <v>10.1</v>
      </c>
      <c r="G1048" s="213" t="n">
        <f aca="false">AVERAGEIFS($F$33:$F$1494,$A$33:$A$1494,A1048)</f>
        <v>10.6</v>
      </c>
      <c r="H1048" s="213" t="n">
        <v>9.7</v>
      </c>
      <c r="I1048" s="213" t="n">
        <f aca="false">AVERAGEIFS($H$33:$H$1494,$A$33:$A$1494,A1048)</f>
        <v>9.66666666666667</v>
      </c>
      <c r="L1048" s="215" t="n">
        <v>40628</v>
      </c>
      <c r="M1048" s="213" t="n">
        <v>32.2</v>
      </c>
      <c r="N1048" s="213" t="n">
        <v>41.5166666666667</v>
      </c>
      <c r="O1048" s="213" t="n">
        <v>10.6</v>
      </c>
      <c r="P1048" s="213" t="n">
        <v>9.66666666666667</v>
      </c>
    </row>
    <row r="1049" customFormat="false" ht="12.75" hidden="false" customHeight="false" outlineLevel="0" collapsed="false">
      <c r="A1049" s="215" t="n">
        <v>40628</v>
      </c>
      <c r="B1049" s="213" t="n">
        <v>32.3</v>
      </c>
      <c r="C1049" s="213" t="n">
        <f aca="false">AVERAGEIFS($B$33:$B$1494,$A$33:$A$1494,A1049)</f>
        <v>32.2</v>
      </c>
      <c r="D1049" s="213" t="n">
        <v>41.6</v>
      </c>
      <c r="E1049" s="213" t="n">
        <f aca="false">AVERAGEIFS($D$33:$D$1494,$A$33:$A$1494,A1049)</f>
        <v>41.5166666666667</v>
      </c>
      <c r="F1049" s="213" t="n">
        <v>9.9</v>
      </c>
      <c r="G1049" s="213" t="n">
        <f aca="false">AVERAGEIFS($F$33:$F$1494,$A$33:$A$1494,A1049)</f>
        <v>10.6</v>
      </c>
      <c r="H1049" s="213" t="n">
        <v>9.6</v>
      </c>
      <c r="I1049" s="213" t="n">
        <f aca="false">AVERAGEIFS($H$33:$H$1494,$A$33:$A$1494,A1049)</f>
        <v>9.66666666666667</v>
      </c>
      <c r="L1049" s="215" t="n">
        <v>40628</v>
      </c>
      <c r="M1049" s="213" t="n">
        <v>32.2</v>
      </c>
      <c r="N1049" s="213" t="n">
        <v>41.5166666666667</v>
      </c>
      <c r="O1049" s="213" t="n">
        <v>10.6</v>
      </c>
      <c r="P1049" s="213" t="n">
        <v>9.66666666666667</v>
      </c>
    </row>
    <row r="1050" customFormat="false" ht="12.75" hidden="false" customHeight="false" outlineLevel="0" collapsed="false">
      <c r="A1050" s="215" t="n">
        <v>40628</v>
      </c>
      <c r="B1050" s="213" t="n">
        <v>32.2</v>
      </c>
      <c r="C1050" s="213" t="n">
        <f aca="false">AVERAGEIFS($B$33:$B$1494,$A$33:$A$1494,A1050)</f>
        <v>32.2</v>
      </c>
      <c r="D1050" s="213" t="n">
        <v>41.6</v>
      </c>
      <c r="E1050" s="213" t="n">
        <f aca="false">AVERAGEIFS($D$33:$D$1494,$A$33:$A$1494,A1050)</f>
        <v>41.5166666666667</v>
      </c>
      <c r="F1050" s="213" t="n">
        <v>10.2</v>
      </c>
      <c r="G1050" s="213" t="n">
        <f aca="false">AVERAGEIFS($F$33:$F$1494,$A$33:$A$1494,A1050)</f>
        <v>10.6</v>
      </c>
      <c r="H1050" s="213" t="n">
        <v>9.5</v>
      </c>
      <c r="I1050" s="213" t="n">
        <f aca="false">AVERAGEIFS($H$33:$H$1494,$A$33:$A$1494,A1050)</f>
        <v>9.66666666666667</v>
      </c>
      <c r="L1050" s="215" t="n">
        <v>40628</v>
      </c>
      <c r="M1050" s="213" t="n">
        <v>32.2</v>
      </c>
      <c r="N1050" s="213" t="n">
        <v>41.5166666666667</v>
      </c>
      <c r="O1050" s="213" t="n">
        <v>10.6</v>
      </c>
      <c r="P1050" s="213" t="n">
        <v>9.66666666666667</v>
      </c>
    </row>
    <row r="1051" customFormat="false" ht="12.75" hidden="false" customHeight="false" outlineLevel="0" collapsed="false">
      <c r="A1051" s="215" t="n">
        <v>40628</v>
      </c>
      <c r="B1051" s="213" t="n">
        <v>32.1</v>
      </c>
      <c r="C1051" s="213" t="n">
        <f aca="false">AVERAGEIFS($B$33:$B$1494,$A$33:$A$1494,A1051)</f>
        <v>32.2</v>
      </c>
      <c r="D1051" s="213" t="n">
        <v>41.3</v>
      </c>
      <c r="E1051" s="213" t="n">
        <f aca="false">AVERAGEIFS($D$33:$D$1494,$A$33:$A$1494,A1051)</f>
        <v>41.5166666666667</v>
      </c>
      <c r="F1051" s="213" t="n">
        <v>11.3</v>
      </c>
      <c r="G1051" s="213" t="n">
        <f aca="false">AVERAGEIFS($F$33:$F$1494,$A$33:$A$1494,A1051)</f>
        <v>10.6</v>
      </c>
      <c r="H1051" s="213" t="n">
        <v>9.7</v>
      </c>
      <c r="I1051" s="213" t="n">
        <f aca="false">AVERAGEIFS($H$33:$H$1494,$A$33:$A$1494,A1051)</f>
        <v>9.66666666666667</v>
      </c>
      <c r="L1051" s="215" t="n">
        <v>40628</v>
      </c>
      <c r="M1051" s="213" t="n">
        <v>32.2</v>
      </c>
      <c r="N1051" s="213" t="n">
        <v>41.5166666666667</v>
      </c>
      <c r="O1051" s="213" t="n">
        <v>10.6</v>
      </c>
      <c r="P1051" s="213" t="n">
        <v>9.66666666666667</v>
      </c>
    </row>
    <row r="1052" customFormat="false" ht="12.75" hidden="false" customHeight="false" outlineLevel="0" collapsed="false">
      <c r="A1052" s="215" t="n">
        <v>40628</v>
      </c>
      <c r="B1052" s="213" t="n">
        <v>31.9</v>
      </c>
      <c r="C1052" s="213" t="n">
        <f aca="false">AVERAGEIFS($B$33:$B$1494,$A$33:$A$1494,A1052)</f>
        <v>32.2</v>
      </c>
      <c r="D1052" s="213" t="n">
        <v>41.2</v>
      </c>
      <c r="E1052" s="213" t="n">
        <f aca="false">AVERAGEIFS($D$33:$D$1494,$A$33:$A$1494,A1052)</f>
        <v>41.5166666666667</v>
      </c>
      <c r="F1052" s="213" t="n">
        <v>11.6</v>
      </c>
      <c r="G1052" s="213" t="n">
        <f aca="false">AVERAGEIFS($F$33:$F$1494,$A$33:$A$1494,A1052)</f>
        <v>10.6</v>
      </c>
      <c r="H1052" s="213" t="n">
        <v>9.9</v>
      </c>
      <c r="I1052" s="213" t="n">
        <f aca="false">AVERAGEIFS($H$33:$H$1494,$A$33:$A$1494,A1052)</f>
        <v>9.66666666666667</v>
      </c>
      <c r="L1052" s="215" t="n">
        <v>40628</v>
      </c>
      <c r="M1052" s="213" t="n">
        <v>32.2</v>
      </c>
      <c r="N1052" s="213" t="n">
        <v>41.5166666666667</v>
      </c>
      <c r="O1052" s="213" t="n">
        <v>10.6</v>
      </c>
      <c r="P1052" s="213" t="n">
        <v>9.66666666666667</v>
      </c>
    </row>
    <row r="1053" customFormat="false" ht="12.75" hidden="false" customHeight="false" outlineLevel="0" collapsed="false">
      <c r="A1053" s="215" t="n">
        <v>40629</v>
      </c>
      <c r="B1053" s="213" t="n">
        <v>31.8</v>
      </c>
      <c r="C1053" s="213" t="n">
        <f aca="false">AVERAGEIFS($B$33:$B$1494,$A$33:$A$1494,A1053)</f>
        <v>32.4166666666667</v>
      </c>
      <c r="D1053" s="213" t="n">
        <v>41.2</v>
      </c>
      <c r="E1053" s="213" t="n">
        <f aca="false">AVERAGEIFS($D$33:$D$1494,$A$33:$A$1494,A1053)</f>
        <v>41.1166666666667</v>
      </c>
      <c r="F1053" s="213" t="n">
        <v>11.4</v>
      </c>
      <c r="G1053" s="213" t="n">
        <f aca="false">AVERAGEIFS($F$33:$F$1494,$A$33:$A$1494,A1053)</f>
        <v>11.1166666666667</v>
      </c>
      <c r="H1053" s="213" t="n">
        <v>10.1</v>
      </c>
      <c r="I1053" s="213" t="n">
        <f aca="false">AVERAGEIFS($H$33:$H$1494,$A$33:$A$1494,A1053)</f>
        <v>10.1833333333333</v>
      </c>
      <c r="L1053" s="215" t="n">
        <v>40629</v>
      </c>
      <c r="M1053" s="213" t="n">
        <v>32.4166666666667</v>
      </c>
      <c r="N1053" s="213" t="n">
        <v>41.1166666666667</v>
      </c>
      <c r="O1053" s="213" t="n">
        <v>11.1166666666667</v>
      </c>
      <c r="P1053" s="213" t="n">
        <v>10.1833333333333</v>
      </c>
    </row>
    <row r="1054" customFormat="false" ht="12.75" hidden="false" customHeight="false" outlineLevel="0" collapsed="false">
      <c r="A1054" s="215" t="n">
        <v>40629</v>
      </c>
      <c r="B1054" s="213" t="n">
        <v>31.7</v>
      </c>
      <c r="C1054" s="213" t="n">
        <f aca="false">AVERAGEIFS($B$33:$B$1494,$A$33:$A$1494,A1054)</f>
        <v>32.4166666666667</v>
      </c>
      <c r="D1054" s="213" t="n">
        <v>41.2</v>
      </c>
      <c r="E1054" s="213" t="n">
        <f aca="false">AVERAGEIFS($D$33:$D$1494,$A$33:$A$1494,A1054)</f>
        <v>41.1166666666667</v>
      </c>
      <c r="F1054" s="213" t="n">
        <v>11</v>
      </c>
      <c r="G1054" s="213" t="n">
        <f aca="false">AVERAGEIFS($F$33:$F$1494,$A$33:$A$1494,A1054)</f>
        <v>11.1166666666667</v>
      </c>
      <c r="H1054" s="213" t="n">
        <v>10.2</v>
      </c>
      <c r="I1054" s="213" t="n">
        <f aca="false">AVERAGEIFS($H$33:$H$1494,$A$33:$A$1494,A1054)</f>
        <v>10.1833333333333</v>
      </c>
      <c r="L1054" s="215" t="n">
        <v>40629</v>
      </c>
      <c r="M1054" s="213" t="n">
        <v>32.4166666666667</v>
      </c>
      <c r="N1054" s="213" t="n">
        <v>41.1166666666667</v>
      </c>
      <c r="O1054" s="213" t="n">
        <v>11.1166666666667</v>
      </c>
      <c r="P1054" s="213" t="n">
        <v>10.1833333333333</v>
      </c>
    </row>
    <row r="1055" customFormat="false" ht="12.75" hidden="false" customHeight="false" outlineLevel="0" collapsed="false">
      <c r="A1055" s="215" t="n">
        <v>40629</v>
      </c>
      <c r="B1055" s="213" t="n">
        <v>31.6</v>
      </c>
      <c r="C1055" s="213" t="n">
        <f aca="false">AVERAGEIFS($B$33:$B$1494,$A$33:$A$1494,A1055)</f>
        <v>32.4166666666667</v>
      </c>
      <c r="D1055" s="213" t="n">
        <v>41.1</v>
      </c>
      <c r="E1055" s="213" t="n">
        <f aca="false">AVERAGEIFS($D$33:$D$1494,$A$33:$A$1494,A1055)</f>
        <v>41.1166666666667</v>
      </c>
      <c r="F1055" s="213" t="n">
        <v>10.8</v>
      </c>
      <c r="G1055" s="213" t="n">
        <f aca="false">AVERAGEIFS($F$33:$F$1494,$A$33:$A$1494,A1055)</f>
        <v>11.1166666666667</v>
      </c>
      <c r="H1055" s="213" t="n">
        <v>10.2</v>
      </c>
      <c r="I1055" s="213" t="n">
        <f aca="false">AVERAGEIFS($H$33:$H$1494,$A$33:$A$1494,A1055)</f>
        <v>10.1833333333333</v>
      </c>
      <c r="L1055" s="215" t="n">
        <v>40629</v>
      </c>
      <c r="M1055" s="213" t="n">
        <v>32.4166666666667</v>
      </c>
      <c r="N1055" s="213" t="n">
        <v>41.1166666666667</v>
      </c>
      <c r="O1055" s="213" t="n">
        <v>11.1166666666667</v>
      </c>
      <c r="P1055" s="213" t="n">
        <v>10.1833333333333</v>
      </c>
    </row>
    <row r="1056" customFormat="false" ht="12.75" hidden="false" customHeight="false" outlineLevel="0" collapsed="false">
      <c r="A1056" s="215" t="n">
        <v>40629</v>
      </c>
      <c r="B1056" s="213" t="n">
        <v>34.1</v>
      </c>
      <c r="C1056" s="213" t="n">
        <f aca="false">AVERAGEIFS($B$33:$B$1494,$A$33:$A$1494,A1056)</f>
        <v>32.4166666666667</v>
      </c>
      <c r="D1056" s="213" t="n">
        <v>41.1</v>
      </c>
      <c r="E1056" s="213" t="n">
        <f aca="false">AVERAGEIFS($D$33:$D$1494,$A$33:$A$1494,A1056)</f>
        <v>41.1166666666667</v>
      </c>
      <c r="F1056" s="213" t="n">
        <v>10.8</v>
      </c>
      <c r="G1056" s="213" t="n">
        <f aca="false">AVERAGEIFS($F$33:$F$1494,$A$33:$A$1494,A1056)</f>
        <v>11.1166666666667</v>
      </c>
      <c r="H1056" s="213" t="n">
        <v>10.1</v>
      </c>
      <c r="I1056" s="213" t="n">
        <f aca="false">AVERAGEIFS($H$33:$H$1494,$A$33:$A$1494,A1056)</f>
        <v>10.1833333333333</v>
      </c>
      <c r="L1056" s="215" t="n">
        <v>40629</v>
      </c>
      <c r="M1056" s="213" t="n">
        <v>32.4166666666667</v>
      </c>
      <c r="N1056" s="213" t="n">
        <v>41.1166666666667</v>
      </c>
      <c r="O1056" s="213" t="n">
        <v>11.1166666666667</v>
      </c>
      <c r="P1056" s="213" t="n">
        <v>10.1833333333333</v>
      </c>
    </row>
    <row r="1057" customFormat="false" ht="12.75" hidden="false" customHeight="false" outlineLevel="0" collapsed="false">
      <c r="A1057" s="215" t="n">
        <v>40629</v>
      </c>
      <c r="B1057" s="213" t="n">
        <v>32.8</v>
      </c>
      <c r="C1057" s="213" t="n">
        <f aca="false">AVERAGEIFS($B$33:$B$1494,$A$33:$A$1494,A1057)</f>
        <v>32.4166666666667</v>
      </c>
      <c r="D1057" s="213" t="n">
        <v>41.1</v>
      </c>
      <c r="E1057" s="213" t="n">
        <f aca="false">AVERAGEIFS($D$33:$D$1494,$A$33:$A$1494,A1057)</f>
        <v>41.1166666666667</v>
      </c>
      <c r="F1057" s="213" t="n">
        <v>11.3</v>
      </c>
      <c r="G1057" s="213" t="n">
        <f aca="false">AVERAGEIFS($F$33:$F$1494,$A$33:$A$1494,A1057)</f>
        <v>11.1166666666667</v>
      </c>
      <c r="H1057" s="213" t="n">
        <v>10.2</v>
      </c>
      <c r="I1057" s="213" t="n">
        <f aca="false">AVERAGEIFS($H$33:$H$1494,$A$33:$A$1494,A1057)</f>
        <v>10.1833333333333</v>
      </c>
      <c r="L1057" s="215" t="n">
        <v>40629</v>
      </c>
      <c r="M1057" s="213" t="n">
        <v>32.4166666666667</v>
      </c>
      <c r="N1057" s="213" t="n">
        <v>41.1166666666667</v>
      </c>
      <c r="O1057" s="213" t="n">
        <v>11.1166666666667</v>
      </c>
      <c r="P1057" s="213" t="n">
        <v>10.1833333333333</v>
      </c>
    </row>
    <row r="1058" customFormat="false" ht="12.75" hidden="false" customHeight="false" outlineLevel="0" collapsed="false">
      <c r="A1058" s="215" t="n">
        <v>40629</v>
      </c>
      <c r="B1058" s="213" t="n">
        <v>32.5</v>
      </c>
      <c r="C1058" s="213" t="n">
        <f aca="false">AVERAGEIFS($B$33:$B$1494,$A$33:$A$1494,A1058)</f>
        <v>32.4166666666667</v>
      </c>
      <c r="D1058" s="213" t="n">
        <v>41</v>
      </c>
      <c r="E1058" s="213" t="n">
        <f aca="false">AVERAGEIFS($D$33:$D$1494,$A$33:$A$1494,A1058)</f>
        <v>41.1166666666667</v>
      </c>
      <c r="F1058" s="213" t="n">
        <v>11.4</v>
      </c>
      <c r="G1058" s="213" t="n">
        <f aca="false">AVERAGEIFS($F$33:$F$1494,$A$33:$A$1494,A1058)</f>
        <v>11.1166666666667</v>
      </c>
      <c r="H1058" s="213" t="n">
        <v>10.3</v>
      </c>
      <c r="I1058" s="213" t="n">
        <f aca="false">AVERAGEIFS($H$33:$H$1494,$A$33:$A$1494,A1058)</f>
        <v>10.1833333333333</v>
      </c>
      <c r="L1058" s="215" t="n">
        <v>40629</v>
      </c>
      <c r="M1058" s="213" t="n">
        <v>32.4166666666667</v>
      </c>
      <c r="N1058" s="213" t="n">
        <v>41.1166666666667</v>
      </c>
      <c r="O1058" s="213" t="n">
        <v>11.1166666666667</v>
      </c>
      <c r="P1058" s="213" t="n">
        <v>10.1833333333333</v>
      </c>
    </row>
    <row r="1059" customFormat="false" ht="12.75" hidden="false" customHeight="false" outlineLevel="0" collapsed="false">
      <c r="A1059" s="215" t="n">
        <v>40630</v>
      </c>
      <c r="B1059" s="213" t="n">
        <v>32.4</v>
      </c>
      <c r="C1059" s="213" t="n">
        <f aca="false">AVERAGEIFS($B$33:$B$1494,$A$33:$A$1494,A1059)</f>
        <v>32.3166666666667</v>
      </c>
      <c r="D1059" s="213" t="n">
        <v>41</v>
      </c>
      <c r="E1059" s="213" t="n">
        <f aca="false">AVERAGEIFS($D$33:$D$1494,$A$33:$A$1494,A1059)</f>
        <v>40.9666666666667</v>
      </c>
      <c r="F1059" s="213" t="n">
        <v>11.2</v>
      </c>
      <c r="G1059" s="213" t="n">
        <f aca="false">AVERAGEIFS($F$33:$F$1494,$A$33:$A$1494,A1059)</f>
        <v>10.9666666666667</v>
      </c>
      <c r="H1059" s="213" t="n">
        <v>10.4</v>
      </c>
      <c r="I1059" s="213" t="n">
        <f aca="false">AVERAGEIFS($H$33:$H$1494,$A$33:$A$1494,A1059)</f>
        <v>10.2833333333333</v>
      </c>
      <c r="L1059" s="215" t="n">
        <v>40630</v>
      </c>
      <c r="M1059" s="213" t="n">
        <v>32.3166666666667</v>
      </c>
      <c r="N1059" s="213" t="n">
        <v>40.9666666666667</v>
      </c>
      <c r="O1059" s="213" t="n">
        <v>10.9666666666667</v>
      </c>
      <c r="P1059" s="213" t="n">
        <v>10.2833333333333</v>
      </c>
    </row>
    <row r="1060" customFormat="false" ht="12.75" hidden="false" customHeight="false" outlineLevel="0" collapsed="false">
      <c r="A1060" s="215" t="n">
        <v>40630</v>
      </c>
      <c r="B1060" s="213" t="n">
        <v>32.3</v>
      </c>
      <c r="C1060" s="213" t="n">
        <f aca="false">AVERAGEIFS($B$33:$B$1494,$A$33:$A$1494,A1060)</f>
        <v>32.3166666666667</v>
      </c>
      <c r="D1060" s="213" t="n">
        <v>41</v>
      </c>
      <c r="E1060" s="213" t="n">
        <f aca="false">AVERAGEIFS($D$33:$D$1494,$A$33:$A$1494,A1060)</f>
        <v>40.9666666666667</v>
      </c>
      <c r="F1060" s="213" t="n">
        <v>10.9</v>
      </c>
      <c r="G1060" s="213" t="n">
        <f aca="false">AVERAGEIFS($F$33:$F$1494,$A$33:$A$1494,A1060)</f>
        <v>10.9666666666667</v>
      </c>
      <c r="H1060" s="213" t="n">
        <v>10.3</v>
      </c>
      <c r="I1060" s="213" t="n">
        <f aca="false">AVERAGEIFS($H$33:$H$1494,$A$33:$A$1494,A1060)</f>
        <v>10.2833333333333</v>
      </c>
      <c r="L1060" s="215" t="n">
        <v>40630</v>
      </c>
      <c r="M1060" s="213" t="n">
        <v>32.3166666666667</v>
      </c>
      <c r="N1060" s="213" t="n">
        <v>40.9666666666667</v>
      </c>
      <c r="O1060" s="213" t="n">
        <v>10.9666666666667</v>
      </c>
      <c r="P1060" s="213" t="n">
        <v>10.2833333333333</v>
      </c>
    </row>
    <row r="1061" customFormat="false" ht="12.75" hidden="false" customHeight="false" outlineLevel="0" collapsed="false">
      <c r="A1061" s="215" t="n">
        <v>40630</v>
      </c>
      <c r="B1061" s="213" t="n">
        <v>32.3</v>
      </c>
      <c r="C1061" s="213" t="n">
        <f aca="false">AVERAGEIFS($B$33:$B$1494,$A$33:$A$1494,A1061)</f>
        <v>32.3166666666667</v>
      </c>
      <c r="D1061" s="213" t="n">
        <v>41</v>
      </c>
      <c r="E1061" s="213" t="n">
        <f aca="false">AVERAGEIFS($D$33:$D$1494,$A$33:$A$1494,A1061)</f>
        <v>40.9666666666667</v>
      </c>
      <c r="F1061" s="213" t="n">
        <v>10.7</v>
      </c>
      <c r="G1061" s="213" t="n">
        <f aca="false">AVERAGEIFS($F$33:$F$1494,$A$33:$A$1494,A1061)</f>
        <v>10.9666666666667</v>
      </c>
      <c r="H1061" s="213" t="n">
        <v>10.3</v>
      </c>
      <c r="I1061" s="213" t="n">
        <f aca="false">AVERAGEIFS($H$33:$H$1494,$A$33:$A$1494,A1061)</f>
        <v>10.2833333333333</v>
      </c>
      <c r="L1061" s="215" t="n">
        <v>40630</v>
      </c>
      <c r="M1061" s="213" t="n">
        <v>32.3166666666667</v>
      </c>
      <c r="N1061" s="213" t="n">
        <v>40.9666666666667</v>
      </c>
      <c r="O1061" s="213" t="n">
        <v>10.9666666666667</v>
      </c>
      <c r="P1061" s="213" t="n">
        <v>10.2833333333333</v>
      </c>
    </row>
    <row r="1062" customFormat="false" ht="12.75" hidden="false" customHeight="false" outlineLevel="0" collapsed="false">
      <c r="A1062" s="215" t="n">
        <v>40630</v>
      </c>
      <c r="B1062" s="213" t="n">
        <v>32.2</v>
      </c>
      <c r="C1062" s="213" t="n">
        <f aca="false">AVERAGEIFS($B$33:$B$1494,$A$33:$A$1494,A1062)</f>
        <v>32.3166666666667</v>
      </c>
      <c r="D1062" s="213" t="n">
        <v>41</v>
      </c>
      <c r="E1062" s="213" t="n">
        <f aca="false">AVERAGEIFS($D$33:$D$1494,$A$33:$A$1494,A1062)</f>
        <v>40.9666666666667</v>
      </c>
      <c r="F1062" s="213" t="n">
        <v>10.8</v>
      </c>
      <c r="G1062" s="213" t="n">
        <f aca="false">AVERAGEIFS($F$33:$F$1494,$A$33:$A$1494,A1062)</f>
        <v>10.9666666666667</v>
      </c>
      <c r="H1062" s="213" t="n">
        <v>10.2</v>
      </c>
      <c r="I1062" s="213" t="n">
        <f aca="false">AVERAGEIFS($H$33:$H$1494,$A$33:$A$1494,A1062)</f>
        <v>10.2833333333333</v>
      </c>
      <c r="L1062" s="215" t="n">
        <v>40630</v>
      </c>
      <c r="M1062" s="213" t="n">
        <v>32.3166666666667</v>
      </c>
      <c r="N1062" s="213" t="n">
        <v>40.9666666666667</v>
      </c>
      <c r="O1062" s="213" t="n">
        <v>10.9666666666667</v>
      </c>
      <c r="P1062" s="213" t="n">
        <v>10.2833333333333</v>
      </c>
    </row>
    <row r="1063" customFormat="false" ht="12.75" hidden="false" customHeight="false" outlineLevel="0" collapsed="false">
      <c r="A1063" s="215" t="n">
        <v>40630</v>
      </c>
      <c r="B1063" s="213" t="n">
        <v>32.4</v>
      </c>
      <c r="C1063" s="213" t="n">
        <f aca="false">AVERAGEIFS($B$33:$B$1494,$A$33:$A$1494,A1063)</f>
        <v>32.3166666666667</v>
      </c>
      <c r="D1063" s="213" t="n">
        <v>40.9</v>
      </c>
      <c r="E1063" s="213" t="n">
        <f aca="false">AVERAGEIFS($D$33:$D$1494,$A$33:$A$1494,A1063)</f>
        <v>40.9666666666667</v>
      </c>
      <c r="F1063" s="213" t="n">
        <v>11</v>
      </c>
      <c r="G1063" s="213" t="n">
        <f aca="false">AVERAGEIFS($F$33:$F$1494,$A$33:$A$1494,A1063)</f>
        <v>10.9666666666667</v>
      </c>
      <c r="H1063" s="213" t="n">
        <v>10.2</v>
      </c>
      <c r="I1063" s="213" t="n">
        <f aca="false">AVERAGEIFS($H$33:$H$1494,$A$33:$A$1494,A1063)</f>
        <v>10.2833333333333</v>
      </c>
      <c r="L1063" s="215" t="n">
        <v>40630</v>
      </c>
      <c r="M1063" s="213" t="n">
        <v>32.3166666666667</v>
      </c>
      <c r="N1063" s="213" t="n">
        <v>40.9666666666667</v>
      </c>
      <c r="O1063" s="213" t="n">
        <v>10.9666666666667</v>
      </c>
      <c r="P1063" s="213" t="n">
        <v>10.2833333333333</v>
      </c>
    </row>
    <row r="1064" customFormat="false" ht="12.75" hidden="false" customHeight="false" outlineLevel="0" collapsed="false">
      <c r="A1064" s="215" t="n">
        <v>40630</v>
      </c>
      <c r="B1064" s="213" t="n">
        <v>32.3</v>
      </c>
      <c r="C1064" s="213" t="n">
        <f aca="false">AVERAGEIFS($B$33:$B$1494,$A$33:$A$1494,A1064)</f>
        <v>32.3166666666667</v>
      </c>
      <c r="D1064" s="213" t="n">
        <v>40.9</v>
      </c>
      <c r="E1064" s="213" t="n">
        <f aca="false">AVERAGEIFS($D$33:$D$1494,$A$33:$A$1494,A1064)</f>
        <v>40.9666666666667</v>
      </c>
      <c r="F1064" s="213" t="n">
        <v>11.2</v>
      </c>
      <c r="G1064" s="213" t="n">
        <f aca="false">AVERAGEIFS($F$33:$F$1494,$A$33:$A$1494,A1064)</f>
        <v>10.9666666666667</v>
      </c>
      <c r="H1064" s="213" t="n">
        <v>10.3</v>
      </c>
      <c r="I1064" s="213" t="n">
        <f aca="false">AVERAGEIFS($H$33:$H$1494,$A$33:$A$1494,A1064)</f>
        <v>10.2833333333333</v>
      </c>
      <c r="L1064" s="215" t="n">
        <v>40630</v>
      </c>
      <c r="M1064" s="213" t="n">
        <v>32.3166666666667</v>
      </c>
      <c r="N1064" s="213" t="n">
        <v>40.9666666666667</v>
      </c>
      <c r="O1064" s="213" t="n">
        <v>10.9666666666667</v>
      </c>
      <c r="P1064" s="213" t="n">
        <v>10.2833333333333</v>
      </c>
    </row>
    <row r="1065" customFormat="false" ht="12.75" hidden="false" customHeight="false" outlineLevel="0" collapsed="false">
      <c r="A1065" s="215" t="n">
        <v>40631</v>
      </c>
      <c r="B1065" s="213" t="n">
        <v>32.2</v>
      </c>
      <c r="C1065" s="213" t="n">
        <f aca="false">AVERAGEIFS($B$33:$B$1494,$A$33:$A$1494,A1065)</f>
        <v>32.1333333333333</v>
      </c>
      <c r="D1065" s="213" t="n">
        <v>41</v>
      </c>
      <c r="E1065" s="213" t="n">
        <f aca="false">AVERAGEIFS($D$33:$D$1494,$A$33:$A$1494,A1065)</f>
        <v>40.8666666666667</v>
      </c>
      <c r="F1065" s="213" t="n">
        <v>11</v>
      </c>
      <c r="G1065" s="213" t="n">
        <f aca="false">AVERAGEIFS($F$33:$F$1494,$A$33:$A$1494,A1065)</f>
        <v>10.6666666666667</v>
      </c>
      <c r="H1065" s="213" t="n">
        <v>10.3</v>
      </c>
      <c r="I1065" s="213" t="n">
        <f aca="false">AVERAGEIFS($H$33:$H$1494,$A$33:$A$1494,A1065)</f>
        <v>10.2</v>
      </c>
      <c r="L1065" s="215" t="n">
        <v>40631</v>
      </c>
      <c r="M1065" s="213" t="n">
        <v>32.1333333333333</v>
      </c>
      <c r="N1065" s="213" t="n">
        <v>40.8666666666667</v>
      </c>
      <c r="O1065" s="213" t="n">
        <v>10.6666666666667</v>
      </c>
      <c r="P1065" s="213" t="n">
        <v>10.2</v>
      </c>
    </row>
    <row r="1066" customFormat="false" ht="12.75" hidden="false" customHeight="false" outlineLevel="0" collapsed="false">
      <c r="A1066" s="215" t="n">
        <v>40631</v>
      </c>
      <c r="B1066" s="213" t="n">
        <v>32.2</v>
      </c>
      <c r="C1066" s="213" t="n">
        <f aca="false">AVERAGEIFS($B$33:$B$1494,$A$33:$A$1494,A1066)</f>
        <v>32.1333333333333</v>
      </c>
      <c r="D1066" s="213" t="n">
        <v>40.9</v>
      </c>
      <c r="E1066" s="213" t="n">
        <f aca="false">AVERAGEIFS($D$33:$D$1494,$A$33:$A$1494,A1066)</f>
        <v>40.8666666666667</v>
      </c>
      <c r="F1066" s="213" t="n">
        <v>10.8</v>
      </c>
      <c r="G1066" s="213" t="n">
        <f aca="false">AVERAGEIFS($F$33:$F$1494,$A$33:$A$1494,A1066)</f>
        <v>10.6666666666667</v>
      </c>
      <c r="H1066" s="213" t="n">
        <v>10.3</v>
      </c>
      <c r="I1066" s="213" t="n">
        <f aca="false">AVERAGEIFS($H$33:$H$1494,$A$33:$A$1494,A1066)</f>
        <v>10.2</v>
      </c>
      <c r="L1066" s="215" t="n">
        <v>40631</v>
      </c>
      <c r="M1066" s="213" t="n">
        <v>32.1333333333333</v>
      </c>
      <c r="N1066" s="213" t="n">
        <v>40.8666666666667</v>
      </c>
      <c r="O1066" s="213" t="n">
        <v>10.6666666666667</v>
      </c>
      <c r="P1066" s="213" t="n">
        <v>10.2</v>
      </c>
    </row>
    <row r="1067" customFormat="false" ht="12.75" hidden="false" customHeight="false" outlineLevel="0" collapsed="false">
      <c r="A1067" s="215" t="n">
        <v>40631</v>
      </c>
      <c r="B1067" s="213" t="n">
        <v>32.2</v>
      </c>
      <c r="C1067" s="213" t="n">
        <f aca="false">AVERAGEIFS($B$33:$B$1494,$A$33:$A$1494,A1067)</f>
        <v>32.1333333333333</v>
      </c>
      <c r="D1067" s="213" t="n">
        <v>40.9</v>
      </c>
      <c r="E1067" s="213" t="n">
        <f aca="false">AVERAGEIFS($D$33:$D$1494,$A$33:$A$1494,A1067)</f>
        <v>40.8666666666667</v>
      </c>
      <c r="F1067" s="213" t="n">
        <v>10.2</v>
      </c>
      <c r="G1067" s="213" t="n">
        <f aca="false">AVERAGEIFS($F$33:$F$1494,$A$33:$A$1494,A1067)</f>
        <v>10.6666666666667</v>
      </c>
      <c r="H1067" s="213" t="n">
        <v>10.2</v>
      </c>
      <c r="I1067" s="213" t="n">
        <f aca="false">AVERAGEIFS($H$33:$H$1494,$A$33:$A$1494,A1067)</f>
        <v>10.2</v>
      </c>
      <c r="L1067" s="215" t="n">
        <v>40631</v>
      </c>
      <c r="M1067" s="213" t="n">
        <v>32.1333333333333</v>
      </c>
      <c r="N1067" s="213" t="n">
        <v>40.8666666666667</v>
      </c>
      <c r="O1067" s="213" t="n">
        <v>10.6666666666667</v>
      </c>
      <c r="P1067" s="213" t="n">
        <v>10.2</v>
      </c>
    </row>
    <row r="1068" customFormat="false" ht="12.75" hidden="false" customHeight="false" outlineLevel="0" collapsed="false">
      <c r="A1068" s="215" t="n">
        <v>40631</v>
      </c>
      <c r="B1068" s="213" t="n">
        <v>32.1</v>
      </c>
      <c r="C1068" s="213" t="n">
        <f aca="false">AVERAGEIFS($B$33:$B$1494,$A$33:$A$1494,A1068)</f>
        <v>32.1333333333333</v>
      </c>
      <c r="D1068" s="213" t="n">
        <v>40.9</v>
      </c>
      <c r="E1068" s="213" t="n">
        <f aca="false">AVERAGEIFS($D$33:$D$1494,$A$33:$A$1494,A1068)</f>
        <v>40.8666666666667</v>
      </c>
      <c r="F1068" s="213" t="n">
        <v>10.2</v>
      </c>
      <c r="G1068" s="213" t="n">
        <f aca="false">AVERAGEIFS($F$33:$F$1494,$A$33:$A$1494,A1068)</f>
        <v>10.6666666666667</v>
      </c>
      <c r="H1068" s="213" t="n">
        <v>10.1</v>
      </c>
      <c r="I1068" s="213" t="n">
        <f aca="false">AVERAGEIFS($H$33:$H$1494,$A$33:$A$1494,A1068)</f>
        <v>10.2</v>
      </c>
      <c r="L1068" s="215" t="n">
        <v>40631</v>
      </c>
      <c r="M1068" s="213" t="n">
        <v>32.1333333333333</v>
      </c>
      <c r="N1068" s="213" t="n">
        <v>40.8666666666667</v>
      </c>
      <c r="O1068" s="213" t="n">
        <v>10.6666666666667</v>
      </c>
      <c r="P1068" s="213" t="n">
        <v>10.2</v>
      </c>
    </row>
    <row r="1069" customFormat="false" ht="12.75" hidden="false" customHeight="false" outlineLevel="0" collapsed="false">
      <c r="A1069" s="215" t="n">
        <v>40631</v>
      </c>
      <c r="B1069" s="213" t="n">
        <v>32.1</v>
      </c>
      <c r="C1069" s="213" t="n">
        <f aca="false">AVERAGEIFS($B$33:$B$1494,$A$33:$A$1494,A1069)</f>
        <v>32.1333333333333</v>
      </c>
      <c r="D1069" s="213" t="n">
        <v>40.8</v>
      </c>
      <c r="E1069" s="213" t="n">
        <f aca="false">AVERAGEIFS($D$33:$D$1494,$A$33:$A$1494,A1069)</f>
        <v>40.8666666666667</v>
      </c>
      <c r="F1069" s="213" t="n">
        <v>10.8</v>
      </c>
      <c r="G1069" s="213" t="n">
        <f aca="false">AVERAGEIFS($F$33:$F$1494,$A$33:$A$1494,A1069)</f>
        <v>10.6666666666667</v>
      </c>
      <c r="H1069" s="213" t="n">
        <v>10.1</v>
      </c>
      <c r="I1069" s="213" t="n">
        <f aca="false">AVERAGEIFS($H$33:$H$1494,$A$33:$A$1494,A1069)</f>
        <v>10.2</v>
      </c>
      <c r="L1069" s="215" t="n">
        <v>40631</v>
      </c>
      <c r="M1069" s="213" t="n">
        <v>32.1333333333333</v>
      </c>
      <c r="N1069" s="213" t="n">
        <v>40.8666666666667</v>
      </c>
      <c r="O1069" s="213" t="n">
        <v>10.6666666666667</v>
      </c>
      <c r="P1069" s="213" t="n">
        <v>10.2</v>
      </c>
    </row>
    <row r="1070" customFormat="false" ht="12.75" hidden="false" customHeight="false" outlineLevel="0" collapsed="false">
      <c r="A1070" s="215" t="n">
        <v>40631</v>
      </c>
      <c r="B1070" s="213" t="n">
        <v>32</v>
      </c>
      <c r="C1070" s="213" t="n">
        <f aca="false">AVERAGEIFS($B$33:$B$1494,$A$33:$A$1494,A1070)</f>
        <v>32.1333333333333</v>
      </c>
      <c r="D1070" s="213" t="n">
        <v>40.7</v>
      </c>
      <c r="E1070" s="213" t="n">
        <f aca="false">AVERAGEIFS($D$33:$D$1494,$A$33:$A$1494,A1070)</f>
        <v>40.8666666666667</v>
      </c>
      <c r="F1070" s="213" t="n">
        <v>11</v>
      </c>
      <c r="G1070" s="213" t="n">
        <f aca="false">AVERAGEIFS($F$33:$F$1494,$A$33:$A$1494,A1070)</f>
        <v>10.6666666666667</v>
      </c>
      <c r="H1070" s="213" t="n">
        <v>10.2</v>
      </c>
      <c r="I1070" s="213" t="n">
        <f aca="false">AVERAGEIFS($H$33:$H$1494,$A$33:$A$1494,A1070)</f>
        <v>10.2</v>
      </c>
      <c r="L1070" s="215" t="n">
        <v>40631</v>
      </c>
      <c r="M1070" s="213" t="n">
        <v>32.1333333333333</v>
      </c>
      <c r="N1070" s="213" t="n">
        <v>40.8666666666667</v>
      </c>
      <c r="O1070" s="213" t="n">
        <v>10.6666666666667</v>
      </c>
      <c r="P1070" s="213" t="n">
        <v>10.2</v>
      </c>
    </row>
    <row r="1071" customFormat="false" ht="12.75" hidden="false" customHeight="false" outlineLevel="0" collapsed="false">
      <c r="A1071" s="215" t="n">
        <v>40632</v>
      </c>
      <c r="B1071" s="213" t="n">
        <v>32</v>
      </c>
      <c r="C1071" s="213" t="n">
        <f aca="false">AVERAGEIFS($B$33:$B$1494,$A$33:$A$1494,A1071)</f>
        <v>32</v>
      </c>
      <c r="D1071" s="213" t="n">
        <v>40.7</v>
      </c>
      <c r="E1071" s="213" t="n">
        <f aca="false">AVERAGEIFS($D$33:$D$1494,$A$33:$A$1494,A1071)</f>
        <v>40.9166666666667</v>
      </c>
      <c r="F1071" s="213" t="n">
        <v>10.6</v>
      </c>
      <c r="G1071" s="213" t="n">
        <f aca="false">AVERAGEIFS($F$33:$F$1494,$A$33:$A$1494,A1071)</f>
        <v>10.5333333333333</v>
      </c>
      <c r="H1071" s="213" t="n">
        <v>10.2</v>
      </c>
      <c r="I1071" s="213" t="n">
        <f aca="false">AVERAGEIFS($H$33:$H$1494,$A$33:$A$1494,A1071)</f>
        <v>10.1</v>
      </c>
      <c r="L1071" s="215" t="n">
        <v>40632</v>
      </c>
      <c r="M1071" s="213" t="n">
        <v>32</v>
      </c>
      <c r="N1071" s="213" t="n">
        <v>40.9166666666667</v>
      </c>
      <c r="O1071" s="213" t="n">
        <v>10.5333333333333</v>
      </c>
      <c r="P1071" s="213" t="n">
        <v>10.1</v>
      </c>
    </row>
    <row r="1072" customFormat="false" ht="12.75" hidden="false" customHeight="false" outlineLevel="0" collapsed="false">
      <c r="A1072" s="215" t="n">
        <v>40632</v>
      </c>
      <c r="B1072" s="213" t="n">
        <v>32</v>
      </c>
      <c r="C1072" s="213" t="n">
        <f aca="false">AVERAGEIFS($B$33:$B$1494,$A$33:$A$1494,A1072)</f>
        <v>32</v>
      </c>
      <c r="D1072" s="213" t="n">
        <v>40.7</v>
      </c>
      <c r="E1072" s="213" t="n">
        <f aca="false">AVERAGEIFS($D$33:$D$1494,$A$33:$A$1494,A1072)</f>
        <v>40.9166666666667</v>
      </c>
      <c r="F1072" s="213" t="n">
        <v>10.3</v>
      </c>
      <c r="G1072" s="213" t="n">
        <f aca="false">AVERAGEIFS($F$33:$F$1494,$A$33:$A$1494,A1072)</f>
        <v>10.5333333333333</v>
      </c>
      <c r="H1072" s="213" t="n">
        <v>10.2</v>
      </c>
      <c r="I1072" s="213" t="n">
        <f aca="false">AVERAGEIFS($H$33:$H$1494,$A$33:$A$1494,A1072)</f>
        <v>10.1</v>
      </c>
      <c r="L1072" s="215" t="n">
        <v>40632</v>
      </c>
      <c r="M1072" s="213" t="n">
        <v>32</v>
      </c>
      <c r="N1072" s="213" t="n">
        <v>40.9166666666667</v>
      </c>
      <c r="O1072" s="213" t="n">
        <v>10.5333333333333</v>
      </c>
      <c r="P1072" s="213" t="n">
        <v>10.1</v>
      </c>
    </row>
    <row r="1073" customFormat="false" ht="12.75" hidden="false" customHeight="false" outlineLevel="0" collapsed="false">
      <c r="A1073" s="215" t="n">
        <v>40632</v>
      </c>
      <c r="B1073" s="213" t="n">
        <v>32</v>
      </c>
      <c r="C1073" s="213" t="n">
        <f aca="false">AVERAGEIFS($B$33:$B$1494,$A$33:$A$1494,A1073)</f>
        <v>32</v>
      </c>
      <c r="D1073" s="213" t="n">
        <v>40.7</v>
      </c>
      <c r="E1073" s="213" t="n">
        <f aca="false">AVERAGEIFS($D$33:$D$1494,$A$33:$A$1494,A1073)</f>
        <v>40.9166666666667</v>
      </c>
      <c r="F1073" s="213" t="n">
        <v>10.2</v>
      </c>
      <c r="G1073" s="213" t="n">
        <f aca="false">AVERAGEIFS($F$33:$F$1494,$A$33:$A$1494,A1073)</f>
        <v>10.5333333333333</v>
      </c>
      <c r="H1073" s="213" t="n">
        <v>10.1</v>
      </c>
      <c r="I1073" s="213" t="n">
        <f aca="false">AVERAGEIFS($H$33:$H$1494,$A$33:$A$1494,A1073)</f>
        <v>10.1</v>
      </c>
      <c r="L1073" s="215" t="n">
        <v>40632</v>
      </c>
      <c r="M1073" s="213" t="n">
        <v>32</v>
      </c>
      <c r="N1073" s="213" t="n">
        <v>40.9166666666667</v>
      </c>
      <c r="O1073" s="213" t="n">
        <v>10.5333333333333</v>
      </c>
      <c r="P1073" s="213" t="n">
        <v>10.1</v>
      </c>
    </row>
    <row r="1074" customFormat="false" ht="12.75" hidden="false" customHeight="false" outlineLevel="0" collapsed="false">
      <c r="A1074" s="215" t="n">
        <v>40632</v>
      </c>
      <c r="B1074" s="213" t="n">
        <v>32</v>
      </c>
      <c r="C1074" s="213" t="n">
        <f aca="false">AVERAGEIFS($B$33:$B$1494,$A$33:$A$1494,A1074)</f>
        <v>32</v>
      </c>
      <c r="D1074" s="213" t="n">
        <v>40.9</v>
      </c>
      <c r="E1074" s="213" t="n">
        <f aca="false">AVERAGEIFS($D$33:$D$1494,$A$33:$A$1494,A1074)</f>
        <v>40.9166666666667</v>
      </c>
      <c r="F1074" s="213" t="n">
        <v>10.3</v>
      </c>
      <c r="G1074" s="213" t="n">
        <f aca="false">AVERAGEIFS($F$33:$F$1494,$A$33:$A$1494,A1074)</f>
        <v>10.5333333333333</v>
      </c>
      <c r="H1074" s="213" t="n">
        <v>10</v>
      </c>
      <c r="I1074" s="213" t="n">
        <f aca="false">AVERAGEIFS($H$33:$H$1494,$A$33:$A$1494,A1074)</f>
        <v>10.1</v>
      </c>
      <c r="L1074" s="215" t="n">
        <v>40632</v>
      </c>
      <c r="M1074" s="213" t="n">
        <v>32</v>
      </c>
      <c r="N1074" s="213" t="n">
        <v>40.9166666666667</v>
      </c>
      <c r="O1074" s="213" t="n">
        <v>10.5333333333333</v>
      </c>
      <c r="P1074" s="213" t="n">
        <v>10.1</v>
      </c>
    </row>
    <row r="1075" customFormat="false" ht="12.75" hidden="false" customHeight="false" outlineLevel="0" collapsed="false">
      <c r="A1075" s="215" t="n">
        <v>40632</v>
      </c>
      <c r="B1075" s="213" t="n">
        <v>32</v>
      </c>
      <c r="C1075" s="213" t="n">
        <f aca="false">AVERAGEIFS($B$33:$B$1494,$A$33:$A$1494,A1075)</f>
        <v>32</v>
      </c>
      <c r="D1075" s="213" t="n">
        <v>41</v>
      </c>
      <c r="E1075" s="213" t="n">
        <f aca="false">AVERAGEIFS($D$33:$D$1494,$A$33:$A$1494,A1075)</f>
        <v>40.9166666666667</v>
      </c>
      <c r="F1075" s="213" t="n">
        <v>10.8</v>
      </c>
      <c r="G1075" s="213" t="n">
        <f aca="false">AVERAGEIFS($F$33:$F$1494,$A$33:$A$1494,A1075)</f>
        <v>10.5333333333333</v>
      </c>
      <c r="H1075" s="213" t="n">
        <v>10</v>
      </c>
      <c r="I1075" s="213" t="n">
        <f aca="false">AVERAGEIFS($H$33:$H$1494,$A$33:$A$1494,A1075)</f>
        <v>10.1</v>
      </c>
      <c r="L1075" s="215" t="n">
        <v>40632</v>
      </c>
      <c r="M1075" s="213" t="n">
        <v>32</v>
      </c>
      <c r="N1075" s="213" t="n">
        <v>40.9166666666667</v>
      </c>
      <c r="O1075" s="213" t="n">
        <v>10.5333333333333</v>
      </c>
      <c r="P1075" s="213" t="n">
        <v>10.1</v>
      </c>
    </row>
    <row r="1076" customFormat="false" ht="12.75" hidden="false" customHeight="false" outlineLevel="0" collapsed="false">
      <c r="A1076" s="215" t="n">
        <v>40632</v>
      </c>
      <c r="B1076" s="213" t="n">
        <v>32</v>
      </c>
      <c r="C1076" s="213" t="n">
        <f aca="false">AVERAGEIFS($B$33:$B$1494,$A$33:$A$1494,A1076)</f>
        <v>32</v>
      </c>
      <c r="D1076" s="213" t="n">
        <v>41.5</v>
      </c>
      <c r="E1076" s="213" t="n">
        <f aca="false">AVERAGEIFS($D$33:$D$1494,$A$33:$A$1494,A1076)</f>
        <v>40.9166666666667</v>
      </c>
      <c r="F1076" s="213" t="n">
        <v>11</v>
      </c>
      <c r="G1076" s="213" t="n">
        <f aca="false">AVERAGEIFS($F$33:$F$1494,$A$33:$A$1494,A1076)</f>
        <v>10.5333333333333</v>
      </c>
      <c r="H1076" s="213" t="n">
        <v>10.1</v>
      </c>
      <c r="I1076" s="213" t="n">
        <f aca="false">AVERAGEIFS($H$33:$H$1494,$A$33:$A$1494,A1076)</f>
        <v>10.1</v>
      </c>
      <c r="L1076" s="215" t="n">
        <v>40632</v>
      </c>
      <c r="M1076" s="213" t="n">
        <v>32</v>
      </c>
      <c r="N1076" s="213" t="n">
        <v>40.9166666666667</v>
      </c>
      <c r="O1076" s="213" t="n">
        <v>10.5333333333333</v>
      </c>
      <c r="P1076" s="213" t="n">
        <v>10.1</v>
      </c>
    </row>
    <row r="1077" customFormat="false" ht="12.75" hidden="false" customHeight="false" outlineLevel="0" collapsed="false">
      <c r="A1077" s="215" t="n">
        <v>40633</v>
      </c>
      <c r="B1077" s="213" t="n">
        <v>32</v>
      </c>
      <c r="C1077" s="213" t="n">
        <f aca="false">AVERAGEIFS($B$33:$B$1494,$A$33:$A$1494,A1077)</f>
        <v>32.0333333333333</v>
      </c>
      <c r="D1077" s="213" t="n">
        <v>41.1</v>
      </c>
      <c r="E1077" s="213" t="n">
        <f aca="false">AVERAGEIFS($D$33:$D$1494,$A$33:$A$1494,A1077)</f>
        <v>40.5</v>
      </c>
      <c r="F1077" s="213" t="n">
        <v>10.8</v>
      </c>
      <c r="G1077" s="213" t="n">
        <f aca="false">AVERAGEIFS($F$33:$F$1494,$A$33:$A$1494,A1077)</f>
        <v>11.2333333333333</v>
      </c>
      <c r="H1077" s="213" t="n">
        <v>10.2</v>
      </c>
      <c r="I1077" s="213" t="n">
        <f aca="false">AVERAGEIFS($H$33:$H$1494,$A$33:$A$1494,A1077)</f>
        <v>10.3333333333333</v>
      </c>
      <c r="L1077" s="215" t="n">
        <v>40633</v>
      </c>
      <c r="M1077" s="213" t="n">
        <v>32.0333333333333</v>
      </c>
      <c r="N1077" s="213" t="n">
        <v>40.5</v>
      </c>
      <c r="O1077" s="213" t="n">
        <v>11.2333333333333</v>
      </c>
      <c r="P1077" s="213" t="n">
        <v>10.3333333333333</v>
      </c>
    </row>
    <row r="1078" customFormat="false" ht="12.75" hidden="false" customHeight="false" outlineLevel="0" collapsed="false">
      <c r="A1078" s="215" t="n">
        <v>40633</v>
      </c>
      <c r="B1078" s="213" t="n">
        <v>32</v>
      </c>
      <c r="C1078" s="213" t="n">
        <f aca="false">AVERAGEIFS($B$33:$B$1494,$A$33:$A$1494,A1078)</f>
        <v>32.0333333333333</v>
      </c>
      <c r="D1078" s="213" t="n">
        <v>40.8</v>
      </c>
      <c r="E1078" s="213" t="n">
        <f aca="false">AVERAGEIFS($D$33:$D$1494,$A$33:$A$1494,A1078)</f>
        <v>40.5</v>
      </c>
      <c r="F1078" s="213" t="n">
        <v>10.9</v>
      </c>
      <c r="G1078" s="213" t="n">
        <f aca="false">AVERAGEIFS($F$33:$F$1494,$A$33:$A$1494,A1078)</f>
        <v>11.2333333333333</v>
      </c>
      <c r="H1078" s="213" t="n">
        <v>10.2</v>
      </c>
      <c r="I1078" s="213" t="n">
        <f aca="false">AVERAGEIFS($H$33:$H$1494,$A$33:$A$1494,A1078)</f>
        <v>10.3333333333333</v>
      </c>
      <c r="L1078" s="215" t="n">
        <v>40633</v>
      </c>
      <c r="M1078" s="213" t="n">
        <v>32.0333333333333</v>
      </c>
      <c r="N1078" s="213" t="n">
        <v>40.5</v>
      </c>
      <c r="O1078" s="213" t="n">
        <v>11.2333333333333</v>
      </c>
      <c r="P1078" s="213" t="n">
        <v>10.3333333333333</v>
      </c>
    </row>
    <row r="1079" customFormat="false" ht="12.75" hidden="false" customHeight="false" outlineLevel="0" collapsed="false">
      <c r="A1079" s="215" t="n">
        <v>40633</v>
      </c>
      <c r="B1079" s="213" t="n">
        <v>32</v>
      </c>
      <c r="C1079" s="213" t="n">
        <f aca="false">AVERAGEIFS($B$33:$B$1494,$A$33:$A$1494,A1079)</f>
        <v>32.0333333333333</v>
      </c>
      <c r="D1079" s="213" t="n">
        <v>40.3</v>
      </c>
      <c r="E1079" s="213" t="n">
        <f aca="false">AVERAGEIFS($D$33:$D$1494,$A$33:$A$1494,A1079)</f>
        <v>40.5</v>
      </c>
      <c r="F1079" s="213" t="n">
        <v>11</v>
      </c>
      <c r="G1079" s="213" t="n">
        <f aca="false">AVERAGEIFS($F$33:$F$1494,$A$33:$A$1494,A1079)</f>
        <v>11.2333333333333</v>
      </c>
      <c r="H1079" s="213" t="n">
        <v>10.3</v>
      </c>
      <c r="I1079" s="213" t="n">
        <f aca="false">AVERAGEIFS($H$33:$H$1494,$A$33:$A$1494,A1079)</f>
        <v>10.3333333333333</v>
      </c>
      <c r="L1079" s="215" t="n">
        <v>40633</v>
      </c>
      <c r="M1079" s="213" t="n">
        <v>32.0333333333333</v>
      </c>
      <c r="N1079" s="213" t="n">
        <v>40.5</v>
      </c>
      <c r="O1079" s="213" t="n">
        <v>11.2333333333333</v>
      </c>
      <c r="P1079" s="213" t="n">
        <v>10.3333333333333</v>
      </c>
    </row>
    <row r="1080" customFormat="false" ht="12.75" hidden="false" customHeight="false" outlineLevel="0" collapsed="false">
      <c r="A1080" s="215" t="n">
        <v>40633</v>
      </c>
      <c r="B1080" s="213" t="n">
        <v>32.1</v>
      </c>
      <c r="C1080" s="213" t="n">
        <f aca="false">AVERAGEIFS($B$33:$B$1494,$A$33:$A$1494,A1080)</f>
        <v>32.0333333333333</v>
      </c>
      <c r="D1080" s="213" t="n">
        <v>40.3</v>
      </c>
      <c r="E1080" s="213" t="n">
        <f aca="false">AVERAGEIFS($D$33:$D$1494,$A$33:$A$1494,A1080)</f>
        <v>40.5</v>
      </c>
      <c r="F1080" s="213" t="n">
        <v>11.2</v>
      </c>
      <c r="G1080" s="213" t="n">
        <f aca="false">AVERAGEIFS($F$33:$F$1494,$A$33:$A$1494,A1080)</f>
        <v>11.2333333333333</v>
      </c>
      <c r="H1080" s="213" t="n">
        <v>10.3</v>
      </c>
      <c r="I1080" s="213" t="n">
        <f aca="false">AVERAGEIFS($H$33:$H$1494,$A$33:$A$1494,A1080)</f>
        <v>10.3333333333333</v>
      </c>
      <c r="L1080" s="215" t="n">
        <v>40633</v>
      </c>
      <c r="M1080" s="213" t="n">
        <v>32.0333333333333</v>
      </c>
      <c r="N1080" s="213" t="n">
        <v>40.5</v>
      </c>
      <c r="O1080" s="213" t="n">
        <v>11.2333333333333</v>
      </c>
      <c r="P1080" s="213" t="n">
        <v>10.3333333333333</v>
      </c>
    </row>
    <row r="1081" customFormat="false" ht="12.75" hidden="false" customHeight="false" outlineLevel="0" collapsed="false">
      <c r="A1081" s="215" t="n">
        <v>40633</v>
      </c>
      <c r="B1081" s="213" t="n">
        <v>32.1</v>
      </c>
      <c r="C1081" s="213" t="n">
        <f aca="false">AVERAGEIFS($B$33:$B$1494,$A$33:$A$1494,A1081)</f>
        <v>32.0333333333333</v>
      </c>
      <c r="D1081" s="213" t="n">
        <v>40.3</v>
      </c>
      <c r="E1081" s="213" t="n">
        <f aca="false">AVERAGEIFS($D$33:$D$1494,$A$33:$A$1494,A1081)</f>
        <v>40.5</v>
      </c>
      <c r="F1081" s="213" t="n">
        <v>11.5</v>
      </c>
      <c r="G1081" s="213" t="n">
        <f aca="false">AVERAGEIFS($F$33:$F$1494,$A$33:$A$1494,A1081)</f>
        <v>11.2333333333333</v>
      </c>
      <c r="H1081" s="213" t="n">
        <v>10.4</v>
      </c>
      <c r="I1081" s="213" t="n">
        <f aca="false">AVERAGEIFS($H$33:$H$1494,$A$33:$A$1494,A1081)</f>
        <v>10.3333333333333</v>
      </c>
      <c r="L1081" s="215" t="n">
        <v>40633</v>
      </c>
      <c r="M1081" s="213" t="n">
        <v>32.0333333333333</v>
      </c>
      <c r="N1081" s="213" t="n">
        <v>40.5</v>
      </c>
      <c r="O1081" s="213" t="n">
        <v>11.2333333333333</v>
      </c>
      <c r="P1081" s="213" t="n">
        <v>10.3333333333333</v>
      </c>
    </row>
    <row r="1082" customFormat="false" ht="12.75" hidden="false" customHeight="false" outlineLevel="0" collapsed="false">
      <c r="A1082" s="215" t="n">
        <v>40633</v>
      </c>
      <c r="B1082" s="213" t="n">
        <v>32</v>
      </c>
      <c r="C1082" s="213" t="n">
        <f aca="false">AVERAGEIFS($B$33:$B$1494,$A$33:$A$1494,A1082)</f>
        <v>32.0333333333333</v>
      </c>
      <c r="D1082" s="213" t="n">
        <v>40.2</v>
      </c>
      <c r="E1082" s="213" t="n">
        <f aca="false">AVERAGEIFS($D$33:$D$1494,$A$33:$A$1494,A1082)</f>
        <v>40.5</v>
      </c>
      <c r="F1082" s="213" t="n">
        <v>12</v>
      </c>
      <c r="G1082" s="213" t="n">
        <f aca="false">AVERAGEIFS($F$33:$F$1494,$A$33:$A$1494,A1082)</f>
        <v>11.2333333333333</v>
      </c>
      <c r="H1082" s="213" t="n">
        <v>10.6</v>
      </c>
      <c r="I1082" s="213" t="n">
        <f aca="false">AVERAGEIFS($H$33:$H$1494,$A$33:$A$1494,A1082)</f>
        <v>10.3333333333333</v>
      </c>
      <c r="L1082" s="215" t="n">
        <v>40633</v>
      </c>
      <c r="M1082" s="213" t="n">
        <v>32.0333333333333</v>
      </c>
      <c r="N1082" s="213" t="n">
        <v>40.5</v>
      </c>
      <c r="O1082" s="213" t="n">
        <v>11.2333333333333</v>
      </c>
      <c r="P1082" s="213" t="n">
        <v>10.3333333333333</v>
      </c>
    </row>
    <row r="1083" customFormat="false" ht="12.75" hidden="false" customHeight="false" outlineLevel="0" collapsed="false">
      <c r="A1083" s="215" t="n">
        <v>40634</v>
      </c>
      <c r="B1083" s="213" t="n">
        <v>32</v>
      </c>
      <c r="C1083" s="213" t="n">
        <f aca="false">AVERAGEIFS($B$33:$B$1494,$A$33:$A$1494,A1083)</f>
        <v>31.95</v>
      </c>
      <c r="D1083" s="213" t="n">
        <v>40.2</v>
      </c>
      <c r="E1083" s="213" t="n">
        <f aca="false">AVERAGEIFS($D$33:$D$1494,$A$33:$A$1494,A1083)</f>
        <v>40.1333333333333</v>
      </c>
      <c r="F1083" s="213" t="n">
        <v>11.5</v>
      </c>
      <c r="G1083" s="213" t="n">
        <f aca="false">AVERAGEIFS($F$33:$F$1494,$A$33:$A$1494,A1083)</f>
        <v>11.4333333333333</v>
      </c>
      <c r="H1083" s="213" t="n">
        <v>10.7</v>
      </c>
      <c r="I1083" s="213" t="n">
        <f aca="false">AVERAGEIFS($H$33:$H$1494,$A$33:$A$1494,A1083)</f>
        <v>10.6</v>
      </c>
      <c r="L1083" s="215" t="n">
        <v>40634</v>
      </c>
      <c r="M1083" s="213" t="n">
        <v>31.95</v>
      </c>
      <c r="N1083" s="213" t="n">
        <v>40.1333333333333</v>
      </c>
      <c r="O1083" s="213" t="n">
        <v>11.4333333333333</v>
      </c>
      <c r="P1083" s="213" t="n">
        <v>10.6</v>
      </c>
    </row>
    <row r="1084" customFormat="false" ht="12.75" hidden="false" customHeight="false" outlineLevel="0" collapsed="false">
      <c r="A1084" s="215" t="n">
        <v>40634</v>
      </c>
      <c r="B1084" s="213" t="n">
        <v>32</v>
      </c>
      <c r="C1084" s="213" t="n">
        <f aca="false">AVERAGEIFS($B$33:$B$1494,$A$33:$A$1494,A1084)</f>
        <v>31.95</v>
      </c>
      <c r="D1084" s="213" t="n">
        <v>40.2</v>
      </c>
      <c r="E1084" s="213" t="n">
        <f aca="false">AVERAGEIFS($D$33:$D$1494,$A$33:$A$1494,A1084)</f>
        <v>40.1333333333333</v>
      </c>
      <c r="F1084" s="213" t="n">
        <v>10.8</v>
      </c>
      <c r="G1084" s="213" t="n">
        <f aca="false">AVERAGEIFS($F$33:$F$1494,$A$33:$A$1494,A1084)</f>
        <v>11.4333333333333</v>
      </c>
      <c r="H1084" s="213" t="n">
        <v>10.7</v>
      </c>
      <c r="I1084" s="213" t="n">
        <f aca="false">AVERAGEIFS($H$33:$H$1494,$A$33:$A$1494,A1084)</f>
        <v>10.6</v>
      </c>
      <c r="L1084" s="215" t="n">
        <v>40634</v>
      </c>
      <c r="M1084" s="213" t="n">
        <v>31.95</v>
      </c>
      <c r="N1084" s="213" t="n">
        <v>40.1333333333333</v>
      </c>
      <c r="O1084" s="213" t="n">
        <v>11.4333333333333</v>
      </c>
      <c r="P1084" s="213" t="n">
        <v>10.6</v>
      </c>
    </row>
    <row r="1085" customFormat="false" ht="12.75" hidden="false" customHeight="false" outlineLevel="0" collapsed="false">
      <c r="A1085" s="215" t="n">
        <v>40634</v>
      </c>
      <c r="B1085" s="213" t="n">
        <v>32</v>
      </c>
      <c r="C1085" s="213" t="n">
        <f aca="false">AVERAGEIFS($B$33:$B$1494,$A$33:$A$1494,A1085)</f>
        <v>31.95</v>
      </c>
      <c r="D1085" s="213" t="n">
        <v>40.2</v>
      </c>
      <c r="E1085" s="213" t="n">
        <f aca="false">AVERAGEIFS($D$33:$D$1494,$A$33:$A$1494,A1085)</f>
        <v>40.1333333333333</v>
      </c>
      <c r="F1085" s="213" t="n">
        <v>10.6</v>
      </c>
      <c r="G1085" s="213" t="n">
        <f aca="false">AVERAGEIFS($F$33:$F$1494,$A$33:$A$1494,A1085)</f>
        <v>11.4333333333333</v>
      </c>
      <c r="H1085" s="213" t="n">
        <v>10.5</v>
      </c>
      <c r="I1085" s="213" t="n">
        <f aca="false">AVERAGEIFS($H$33:$H$1494,$A$33:$A$1494,A1085)</f>
        <v>10.6</v>
      </c>
      <c r="L1085" s="215" t="n">
        <v>40634</v>
      </c>
      <c r="M1085" s="213" t="n">
        <v>31.95</v>
      </c>
      <c r="N1085" s="213" t="n">
        <v>40.1333333333333</v>
      </c>
      <c r="O1085" s="213" t="n">
        <v>11.4333333333333</v>
      </c>
      <c r="P1085" s="213" t="n">
        <v>10.6</v>
      </c>
    </row>
    <row r="1086" customFormat="false" ht="12.75" hidden="false" customHeight="false" outlineLevel="0" collapsed="false">
      <c r="A1086" s="215" t="n">
        <v>40634</v>
      </c>
      <c r="B1086" s="213" t="n">
        <v>32</v>
      </c>
      <c r="C1086" s="213" t="n">
        <f aca="false">AVERAGEIFS($B$33:$B$1494,$A$33:$A$1494,A1086)</f>
        <v>31.95</v>
      </c>
      <c r="D1086" s="213" t="n">
        <v>40.2</v>
      </c>
      <c r="E1086" s="213" t="n">
        <f aca="false">AVERAGEIFS($D$33:$D$1494,$A$33:$A$1494,A1086)</f>
        <v>40.1333333333333</v>
      </c>
      <c r="F1086" s="213" t="n">
        <v>10.9</v>
      </c>
      <c r="G1086" s="213" t="n">
        <f aca="false">AVERAGEIFS($F$33:$F$1494,$A$33:$A$1494,A1086)</f>
        <v>11.4333333333333</v>
      </c>
      <c r="H1086" s="213" t="n">
        <v>10.4</v>
      </c>
      <c r="I1086" s="213" t="n">
        <f aca="false">AVERAGEIFS($H$33:$H$1494,$A$33:$A$1494,A1086)</f>
        <v>10.6</v>
      </c>
      <c r="L1086" s="215" t="n">
        <v>40634</v>
      </c>
      <c r="M1086" s="213" t="n">
        <v>31.95</v>
      </c>
      <c r="N1086" s="213" t="n">
        <v>40.1333333333333</v>
      </c>
      <c r="O1086" s="213" t="n">
        <v>11.4333333333333</v>
      </c>
      <c r="P1086" s="213" t="n">
        <v>10.6</v>
      </c>
    </row>
    <row r="1087" customFormat="false" ht="12.75" hidden="false" customHeight="false" outlineLevel="0" collapsed="false">
      <c r="A1087" s="215" t="n">
        <v>40634</v>
      </c>
      <c r="B1087" s="213" t="n">
        <v>31.9</v>
      </c>
      <c r="C1087" s="213" t="n">
        <f aca="false">AVERAGEIFS($B$33:$B$1494,$A$33:$A$1494,A1087)</f>
        <v>31.95</v>
      </c>
      <c r="D1087" s="213" t="n">
        <v>40.1</v>
      </c>
      <c r="E1087" s="213" t="n">
        <f aca="false">AVERAGEIFS($D$33:$D$1494,$A$33:$A$1494,A1087)</f>
        <v>40.1333333333333</v>
      </c>
      <c r="F1087" s="213" t="n">
        <v>12.1</v>
      </c>
      <c r="G1087" s="213" t="n">
        <f aca="false">AVERAGEIFS($F$33:$F$1494,$A$33:$A$1494,A1087)</f>
        <v>11.4333333333333</v>
      </c>
      <c r="H1087" s="213" t="n">
        <v>10.5</v>
      </c>
      <c r="I1087" s="213" t="n">
        <f aca="false">AVERAGEIFS($H$33:$H$1494,$A$33:$A$1494,A1087)</f>
        <v>10.6</v>
      </c>
      <c r="L1087" s="215" t="n">
        <v>40634</v>
      </c>
      <c r="M1087" s="213" t="n">
        <v>31.95</v>
      </c>
      <c r="N1087" s="213" t="n">
        <v>40.1333333333333</v>
      </c>
      <c r="O1087" s="213" t="n">
        <v>11.4333333333333</v>
      </c>
      <c r="P1087" s="213" t="n">
        <v>10.6</v>
      </c>
    </row>
    <row r="1088" customFormat="false" ht="12.75" hidden="false" customHeight="false" outlineLevel="0" collapsed="false">
      <c r="A1088" s="215" t="n">
        <v>40634</v>
      </c>
      <c r="B1088" s="213" t="n">
        <v>31.8</v>
      </c>
      <c r="C1088" s="213" t="n">
        <f aca="false">AVERAGEIFS($B$33:$B$1494,$A$33:$A$1494,A1088)</f>
        <v>31.95</v>
      </c>
      <c r="D1088" s="213" t="n">
        <v>39.9</v>
      </c>
      <c r="E1088" s="213" t="n">
        <f aca="false">AVERAGEIFS($D$33:$D$1494,$A$33:$A$1494,A1088)</f>
        <v>40.1333333333333</v>
      </c>
      <c r="F1088" s="213" t="n">
        <v>12.7</v>
      </c>
      <c r="G1088" s="213" t="n">
        <f aca="false">AVERAGEIFS($F$33:$F$1494,$A$33:$A$1494,A1088)</f>
        <v>11.4333333333333</v>
      </c>
      <c r="H1088" s="213" t="n">
        <v>10.8</v>
      </c>
      <c r="I1088" s="213" t="n">
        <f aca="false">AVERAGEIFS($H$33:$H$1494,$A$33:$A$1494,A1088)</f>
        <v>10.6</v>
      </c>
      <c r="L1088" s="215" t="n">
        <v>40634</v>
      </c>
      <c r="M1088" s="213" t="n">
        <v>31.95</v>
      </c>
      <c r="N1088" s="213" t="n">
        <v>40.1333333333333</v>
      </c>
      <c r="O1088" s="213" t="n">
        <v>11.4333333333333</v>
      </c>
      <c r="P1088" s="213" t="n">
        <v>10.6</v>
      </c>
    </row>
    <row r="1089" customFormat="false" ht="12.75" hidden="false" customHeight="false" outlineLevel="0" collapsed="false">
      <c r="A1089" s="215" t="n">
        <v>40635</v>
      </c>
      <c r="B1089" s="213" t="n">
        <v>31.8</v>
      </c>
      <c r="C1089" s="213" t="n">
        <f aca="false">AVERAGEIFS($B$33:$B$1494,$A$33:$A$1494,A1089)</f>
        <v>31.7333333333333</v>
      </c>
      <c r="D1089" s="213" t="n">
        <v>39.9</v>
      </c>
      <c r="E1089" s="213" t="n">
        <f aca="false">AVERAGEIFS($D$33:$D$1494,$A$33:$A$1494,A1089)</f>
        <v>39.8</v>
      </c>
      <c r="F1089" s="213" t="n">
        <v>12.4</v>
      </c>
      <c r="G1089" s="213" t="n">
        <f aca="false">AVERAGEIFS($F$33:$F$1494,$A$33:$A$1494,A1089)</f>
        <v>12.3166666666667</v>
      </c>
      <c r="H1089" s="213" t="n">
        <v>11</v>
      </c>
      <c r="I1089" s="213" t="n">
        <f aca="false">AVERAGEIFS($H$33:$H$1494,$A$33:$A$1494,A1089)</f>
        <v>11.1</v>
      </c>
      <c r="L1089" s="215" t="n">
        <v>40635</v>
      </c>
      <c r="M1089" s="213" t="n">
        <v>31.7333333333333</v>
      </c>
      <c r="N1089" s="213" t="n">
        <v>39.8</v>
      </c>
      <c r="O1089" s="213" t="n">
        <v>12.3166666666667</v>
      </c>
      <c r="P1089" s="213" t="n">
        <v>11.1</v>
      </c>
    </row>
    <row r="1090" customFormat="false" ht="12.75" hidden="false" customHeight="false" outlineLevel="0" collapsed="false">
      <c r="A1090" s="215" t="n">
        <v>40635</v>
      </c>
      <c r="B1090" s="213" t="n">
        <v>31.8</v>
      </c>
      <c r="C1090" s="213" t="n">
        <f aca="false">AVERAGEIFS($B$33:$B$1494,$A$33:$A$1494,A1090)</f>
        <v>31.7333333333333</v>
      </c>
      <c r="D1090" s="213" t="n">
        <v>39.9</v>
      </c>
      <c r="E1090" s="213" t="n">
        <f aca="false">AVERAGEIFS($D$33:$D$1494,$A$33:$A$1494,A1090)</f>
        <v>39.8</v>
      </c>
      <c r="F1090" s="213" t="n">
        <v>12</v>
      </c>
      <c r="G1090" s="213" t="n">
        <f aca="false">AVERAGEIFS($F$33:$F$1494,$A$33:$A$1494,A1090)</f>
        <v>12.3166666666667</v>
      </c>
      <c r="H1090" s="213" t="n">
        <v>11.1</v>
      </c>
      <c r="I1090" s="213" t="n">
        <f aca="false">AVERAGEIFS($H$33:$H$1494,$A$33:$A$1494,A1090)</f>
        <v>11.1</v>
      </c>
      <c r="L1090" s="215" t="n">
        <v>40635</v>
      </c>
      <c r="M1090" s="213" t="n">
        <v>31.7333333333333</v>
      </c>
      <c r="N1090" s="213" t="n">
        <v>39.8</v>
      </c>
      <c r="O1090" s="213" t="n">
        <v>12.3166666666667</v>
      </c>
      <c r="P1090" s="213" t="n">
        <v>11.1</v>
      </c>
    </row>
    <row r="1091" customFormat="false" ht="12.75" hidden="false" customHeight="false" outlineLevel="0" collapsed="false">
      <c r="A1091" s="215" t="n">
        <v>40635</v>
      </c>
      <c r="B1091" s="213" t="n">
        <v>31.8</v>
      </c>
      <c r="C1091" s="213" t="n">
        <f aca="false">AVERAGEIFS($B$33:$B$1494,$A$33:$A$1494,A1091)</f>
        <v>31.7333333333333</v>
      </c>
      <c r="D1091" s="213" t="n">
        <v>39.9</v>
      </c>
      <c r="E1091" s="213" t="n">
        <f aca="false">AVERAGEIFS($D$33:$D$1494,$A$33:$A$1494,A1091)</f>
        <v>39.8</v>
      </c>
      <c r="F1091" s="213" t="n">
        <v>11.7</v>
      </c>
      <c r="G1091" s="213" t="n">
        <f aca="false">AVERAGEIFS($F$33:$F$1494,$A$33:$A$1494,A1091)</f>
        <v>12.3166666666667</v>
      </c>
      <c r="H1091" s="213" t="n">
        <v>11.1</v>
      </c>
      <c r="I1091" s="213" t="n">
        <f aca="false">AVERAGEIFS($H$33:$H$1494,$A$33:$A$1494,A1091)</f>
        <v>11.1</v>
      </c>
      <c r="L1091" s="215" t="n">
        <v>40635</v>
      </c>
      <c r="M1091" s="213" t="n">
        <v>31.7333333333333</v>
      </c>
      <c r="N1091" s="213" t="n">
        <v>39.8</v>
      </c>
      <c r="O1091" s="213" t="n">
        <v>12.3166666666667</v>
      </c>
      <c r="P1091" s="213" t="n">
        <v>11.1</v>
      </c>
    </row>
    <row r="1092" customFormat="false" ht="12.75" hidden="false" customHeight="false" outlineLevel="0" collapsed="false">
      <c r="A1092" s="215" t="n">
        <v>40635</v>
      </c>
      <c r="B1092" s="213" t="n">
        <v>31.8</v>
      </c>
      <c r="C1092" s="213" t="n">
        <f aca="false">AVERAGEIFS($B$33:$B$1494,$A$33:$A$1494,A1092)</f>
        <v>31.7333333333333</v>
      </c>
      <c r="D1092" s="213" t="n">
        <v>39.8</v>
      </c>
      <c r="E1092" s="213" t="n">
        <f aca="false">AVERAGEIFS($D$33:$D$1494,$A$33:$A$1494,A1092)</f>
        <v>39.8</v>
      </c>
      <c r="F1092" s="213" t="n">
        <v>11.9</v>
      </c>
      <c r="G1092" s="213" t="n">
        <f aca="false">AVERAGEIFS($F$33:$F$1494,$A$33:$A$1494,A1092)</f>
        <v>12.3166666666667</v>
      </c>
      <c r="H1092" s="213" t="n">
        <v>11</v>
      </c>
      <c r="I1092" s="213" t="n">
        <f aca="false">AVERAGEIFS($H$33:$H$1494,$A$33:$A$1494,A1092)</f>
        <v>11.1</v>
      </c>
      <c r="L1092" s="215" t="n">
        <v>40635</v>
      </c>
      <c r="M1092" s="213" t="n">
        <v>31.7333333333333</v>
      </c>
      <c r="N1092" s="213" t="n">
        <v>39.8</v>
      </c>
      <c r="O1092" s="213" t="n">
        <v>12.3166666666667</v>
      </c>
      <c r="P1092" s="213" t="n">
        <v>11.1</v>
      </c>
    </row>
    <row r="1093" customFormat="false" ht="12.75" hidden="false" customHeight="false" outlineLevel="0" collapsed="false">
      <c r="A1093" s="215" t="n">
        <v>40635</v>
      </c>
      <c r="B1093" s="213" t="n">
        <v>31.6</v>
      </c>
      <c r="C1093" s="213" t="n">
        <f aca="false">AVERAGEIFS($B$33:$B$1494,$A$33:$A$1494,A1093)</f>
        <v>31.7333333333333</v>
      </c>
      <c r="D1093" s="213" t="n">
        <v>39.7</v>
      </c>
      <c r="E1093" s="213" t="n">
        <f aca="false">AVERAGEIFS($D$33:$D$1494,$A$33:$A$1494,A1093)</f>
        <v>39.8</v>
      </c>
      <c r="F1093" s="213" t="n">
        <v>12.8</v>
      </c>
      <c r="G1093" s="213" t="n">
        <f aca="false">AVERAGEIFS($F$33:$F$1494,$A$33:$A$1494,A1093)</f>
        <v>12.3166666666667</v>
      </c>
      <c r="H1093" s="213" t="n">
        <v>11.1</v>
      </c>
      <c r="I1093" s="213" t="n">
        <f aca="false">AVERAGEIFS($H$33:$H$1494,$A$33:$A$1494,A1093)</f>
        <v>11.1</v>
      </c>
      <c r="L1093" s="215" t="n">
        <v>40635</v>
      </c>
      <c r="M1093" s="213" t="n">
        <v>31.7333333333333</v>
      </c>
      <c r="N1093" s="213" t="n">
        <v>39.8</v>
      </c>
      <c r="O1093" s="213" t="n">
        <v>12.3166666666667</v>
      </c>
      <c r="P1093" s="213" t="n">
        <v>11.1</v>
      </c>
    </row>
    <row r="1094" customFormat="false" ht="12.75" hidden="false" customHeight="false" outlineLevel="0" collapsed="false">
      <c r="A1094" s="215" t="n">
        <v>40635</v>
      </c>
      <c r="B1094" s="213" t="n">
        <v>31.6</v>
      </c>
      <c r="C1094" s="213" t="n">
        <f aca="false">AVERAGEIFS($B$33:$B$1494,$A$33:$A$1494,A1094)</f>
        <v>31.7333333333333</v>
      </c>
      <c r="D1094" s="213" t="n">
        <v>39.6</v>
      </c>
      <c r="E1094" s="213" t="n">
        <f aca="false">AVERAGEIFS($D$33:$D$1494,$A$33:$A$1494,A1094)</f>
        <v>39.8</v>
      </c>
      <c r="F1094" s="213" t="n">
        <v>13.1</v>
      </c>
      <c r="G1094" s="213" t="n">
        <f aca="false">AVERAGEIFS($F$33:$F$1494,$A$33:$A$1494,A1094)</f>
        <v>12.3166666666667</v>
      </c>
      <c r="H1094" s="213" t="n">
        <v>11.3</v>
      </c>
      <c r="I1094" s="213" t="n">
        <f aca="false">AVERAGEIFS($H$33:$H$1494,$A$33:$A$1494,A1094)</f>
        <v>11.1</v>
      </c>
      <c r="L1094" s="215" t="n">
        <v>40635</v>
      </c>
      <c r="M1094" s="213" t="n">
        <v>31.7333333333333</v>
      </c>
      <c r="N1094" s="213" t="n">
        <v>39.8</v>
      </c>
      <c r="O1094" s="213" t="n">
        <v>12.3166666666667</v>
      </c>
      <c r="P1094" s="213" t="n">
        <v>11.1</v>
      </c>
    </row>
    <row r="1095" customFormat="false" ht="12.75" hidden="false" customHeight="false" outlineLevel="0" collapsed="false">
      <c r="A1095" s="215" t="n">
        <v>40636</v>
      </c>
      <c r="B1095" s="213" t="n">
        <v>31.6</v>
      </c>
      <c r="C1095" s="213" t="n">
        <f aca="false">AVERAGEIFS($B$33:$B$1494,$A$33:$A$1494,A1095)</f>
        <v>31.5</v>
      </c>
      <c r="D1095" s="213" t="n">
        <v>39.6</v>
      </c>
      <c r="E1095" s="213" t="n">
        <f aca="false">AVERAGEIFS($D$33:$D$1494,$A$33:$A$1494,A1095)</f>
        <v>39.55</v>
      </c>
      <c r="F1095" s="213" t="n">
        <v>12.8</v>
      </c>
      <c r="G1095" s="213" t="n">
        <f aca="false">AVERAGEIFS($F$33:$F$1494,$A$33:$A$1494,A1095)</f>
        <v>12.5666666666667</v>
      </c>
      <c r="H1095" s="213" t="n">
        <v>11.5</v>
      </c>
      <c r="I1095" s="213" t="n">
        <f aca="false">AVERAGEIFS($H$33:$H$1494,$A$33:$A$1494,A1095)</f>
        <v>11.5333333333333</v>
      </c>
      <c r="L1095" s="215" t="n">
        <v>40636</v>
      </c>
      <c r="M1095" s="213" t="n">
        <v>31.5</v>
      </c>
      <c r="N1095" s="213" t="n">
        <v>39.55</v>
      </c>
      <c r="O1095" s="213" t="n">
        <v>12.5666666666667</v>
      </c>
      <c r="P1095" s="213" t="n">
        <v>11.5333333333333</v>
      </c>
    </row>
    <row r="1096" customFormat="false" ht="12.75" hidden="false" customHeight="false" outlineLevel="0" collapsed="false">
      <c r="A1096" s="215" t="n">
        <v>40636</v>
      </c>
      <c r="B1096" s="213" t="n">
        <v>31.5</v>
      </c>
      <c r="C1096" s="213" t="n">
        <f aca="false">AVERAGEIFS($B$33:$B$1494,$A$33:$A$1494,A1096)</f>
        <v>31.5</v>
      </c>
      <c r="D1096" s="213" t="n">
        <v>39.6</v>
      </c>
      <c r="E1096" s="213" t="n">
        <f aca="false">AVERAGEIFS($D$33:$D$1494,$A$33:$A$1494,A1096)</f>
        <v>39.55</v>
      </c>
      <c r="F1096" s="213" t="n">
        <v>12.6</v>
      </c>
      <c r="G1096" s="213" t="n">
        <f aca="false">AVERAGEIFS($F$33:$F$1494,$A$33:$A$1494,A1096)</f>
        <v>12.5666666666667</v>
      </c>
      <c r="H1096" s="213" t="n">
        <v>11.6</v>
      </c>
      <c r="I1096" s="213" t="n">
        <f aca="false">AVERAGEIFS($H$33:$H$1494,$A$33:$A$1494,A1096)</f>
        <v>11.5333333333333</v>
      </c>
      <c r="L1096" s="215" t="n">
        <v>40636</v>
      </c>
      <c r="M1096" s="213" t="n">
        <v>31.5</v>
      </c>
      <c r="N1096" s="213" t="n">
        <v>39.55</v>
      </c>
      <c r="O1096" s="213" t="n">
        <v>12.5666666666667</v>
      </c>
      <c r="P1096" s="213" t="n">
        <v>11.5333333333333</v>
      </c>
    </row>
    <row r="1097" customFormat="false" ht="12.75" hidden="false" customHeight="false" outlineLevel="0" collapsed="false">
      <c r="A1097" s="215" t="n">
        <v>40636</v>
      </c>
      <c r="B1097" s="213" t="n">
        <v>31.5</v>
      </c>
      <c r="C1097" s="213" t="n">
        <f aca="false">AVERAGEIFS($B$33:$B$1494,$A$33:$A$1494,A1097)</f>
        <v>31.5</v>
      </c>
      <c r="D1097" s="213" t="n">
        <v>39.6</v>
      </c>
      <c r="E1097" s="213" t="n">
        <f aca="false">AVERAGEIFS($D$33:$D$1494,$A$33:$A$1494,A1097)</f>
        <v>39.55</v>
      </c>
      <c r="F1097" s="213" t="n">
        <v>12.4</v>
      </c>
      <c r="G1097" s="213" t="n">
        <f aca="false">AVERAGEIFS($F$33:$F$1494,$A$33:$A$1494,A1097)</f>
        <v>12.5666666666667</v>
      </c>
      <c r="H1097" s="213" t="n">
        <v>11.5</v>
      </c>
      <c r="I1097" s="213" t="n">
        <f aca="false">AVERAGEIFS($H$33:$H$1494,$A$33:$A$1494,A1097)</f>
        <v>11.5333333333333</v>
      </c>
      <c r="L1097" s="215" t="n">
        <v>40636</v>
      </c>
      <c r="M1097" s="213" t="n">
        <v>31.5</v>
      </c>
      <c r="N1097" s="213" t="n">
        <v>39.55</v>
      </c>
      <c r="O1097" s="213" t="n">
        <v>12.5666666666667</v>
      </c>
      <c r="P1097" s="213" t="n">
        <v>11.5333333333333</v>
      </c>
    </row>
    <row r="1098" customFormat="false" ht="12.75" hidden="false" customHeight="false" outlineLevel="0" collapsed="false">
      <c r="A1098" s="215" t="n">
        <v>40636</v>
      </c>
      <c r="B1098" s="213" t="n">
        <v>31.5</v>
      </c>
      <c r="C1098" s="213" t="n">
        <f aca="false">AVERAGEIFS($B$33:$B$1494,$A$33:$A$1494,A1098)</f>
        <v>31.5</v>
      </c>
      <c r="D1098" s="213" t="n">
        <v>39.5</v>
      </c>
      <c r="E1098" s="213" t="n">
        <f aca="false">AVERAGEIFS($D$33:$D$1494,$A$33:$A$1494,A1098)</f>
        <v>39.55</v>
      </c>
      <c r="F1098" s="213" t="n">
        <v>12.4</v>
      </c>
      <c r="G1098" s="213" t="n">
        <f aca="false">AVERAGEIFS($F$33:$F$1494,$A$33:$A$1494,A1098)</f>
        <v>12.5666666666667</v>
      </c>
      <c r="H1098" s="213" t="n">
        <v>11.5</v>
      </c>
      <c r="I1098" s="213" t="n">
        <f aca="false">AVERAGEIFS($H$33:$H$1494,$A$33:$A$1494,A1098)</f>
        <v>11.5333333333333</v>
      </c>
      <c r="L1098" s="215" t="n">
        <v>40636</v>
      </c>
      <c r="M1098" s="213" t="n">
        <v>31.5</v>
      </c>
      <c r="N1098" s="213" t="n">
        <v>39.55</v>
      </c>
      <c r="O1098" s="213" t="n">
        <v>12.5666666666667</v>
      </c>
      <c r="P1098" s="213" t="n">
        <v>11.5333333333333</v>
      </c>
    </row>
    <row r="1099" customFormat="false" ht="12.75" hidden="false" customHeight="false" outlineLevel="0" collapsed="false">
      <c r="A1099" s="215" t="n">
        <v>40636</v>
      </c>
      <c r="B1099" s="213" t="n">
        <v>31.5</v>
      </c>
      <c r="C1099" s="213" t="n">
        <f aca="false">AVERAGEIFS($B$33:$B$1494,$A$33:$A$1494,A1099)</f>
        <v>31.5</v>
      </c>
      <c r="D1099" s="213" t="n">
        <v>39.5</v>
      </c>
      <c r="E1099" s="213" t="n">
        <f aca="false">AVERAGEIFS($D$33:$D$1494,$A$33:$A$1494,A1099)</f>
        <v>39.55</v>
      </c>
      <c r="F1099" s="213" t="n">
        <v>12.6</v>
      </c>
      <c r="G1099" s="213" t="n">
        <f aca="false">AVERAGEIFS($F$33:$F$1494,$A$33:$A$1494,A1099)</f>
        <v>12.5666666666667</v>
      </c>
      <c r="H1099" s="213" t="n">
        <v>11.5</v>
      </c>
      <c r="I1099" s="213" t="n">
        <f aca="false">AVERAGEIFS($H$33:$H$1494,$A$33:$A$1494,A1099)</f>
        <v>11.5333333333333</v>
      </c>
      <c r="L1099" s="215" t="n">
        <v>40636</v>
      </c>
      <c r="M1099" s="213" t="n">
        <v>31.5</v>
      </c>
      <c r="N1099" s="213" t="n">
        <v>39.55</v>
      </c>
      <c r="O1099" s="213" t="n">
        <v>12.5666666666667</v>
      </c>
      <c r="P1099" s="213" t="n">
        <v>11.5333333333333</v>
      </c>
    </row>
    <row r="1100" customFormat="false" ht="12.75" hidden="false" customHeight="false" outlineLevel="0" collapsed="false">
      <c r="A1100" s="215" t="n">
        <v>40636</v>
      </c>
      <c r="B1100" s="213" t="n">
        <v>31.4</v>
      </c>
      <c r="C1100" s="213" t="n">
        <f aca="false">AVERAGEIFS($B$33:$B$1494,$A$33:$A$1494,A1100)</f>
        <v>31.5</v>
      </c>
      <c r="D1100" s="213" t="n">
        <v>39.5</v>
      </c>
      <c r="E1100" s="213" t="n">
        <f aca="false">AVERAGEIFS($D$33:$D$1494,$A$33:$A$1494,A1100)</f>
        <v>39.55</v>
      </c>
      <c r="F1100" s="213" t="n">
        <v>12.6</v>
      </c>
      <c r="G1100" s="213" t="n">
        <f aca="false">AVERAGEIFS($F$33:$F$1494,$A$33:$A$1494,A1100)</f>
        <v>12.5666666666667</v>
      </c>
      <c r="H1100" s="213" t="n">
        <v>11.6</v>
      </c>
      <c r="I1100" s="213" t="n">
        <f aca="false">AVERAGEIFS($H$33:$H$1494,$A$33:$A$1494,A1100)</f>
        <v>11.5333333333333</v>
      </c>
      <c r="L1100" s="215" t="n">
        <v>40636</v>
      </c>
      <c r="M1100" s="213" t="n">
        <v>31.5</v>
      </c>
      <c r="N1100" s="213" t="n">
        <v>39.55</v>
      </c>
      <c r="O1100" s="213" t="n">
        <v>12.5666666666667</v>
      </c>
      <c r="P1100" s="213" t="n">
        <v>11.5333333333333</v>
      </c>
    </row>
    <row r="1101" customFormat="false" ht="12.75" hidden="false" customHeight="false" outlineLevel="0" collapsed="false">
      <c r="A1101" s="215" t="n">
        <v>40637</v>
      </c>
      <c r="B1101" s="213" t="n">
        <v>31.4</v>
      </c>
      <c r="C1101" s="213" t="n">
        <f aca="false">AVERAGEIFS($B$33:$B$1494,$A$33:$A$1494,A1101)</f>
        <v>31.35</v>
      </c>
      <c r="D1101" s="213" t="n">
        <v>39.5</v>
      </c>
      <c r="E1101" s="213" t="n">
        <f aca="false">AVERAGEIFS($D$33:$D$1494,$A$33:$A$1494,A1101)</f>
        <v>39.3833333333333</v>
      </c>
      <c r="F1101" s="213" t="n">
        <v>12.3</v>
      </c>
      <c r="G1101" s="213" t="n">
        <f aca="false">AVERAGEIFS($F$33:$F$1494,$A$33:$A$1494,A1101)</f>
        <v>12.05</v>
      </c>
      <c r="H1101" s="213" t="n">
        <v>11.6</v>
      </c>
      <c r="I1101" s="213" t="n">
        <f aca="false">AVERAGEIFS($H$33:$H$1494,$A$33:$A$1494,A1101)</f>
        <v>11.4</v>
      </c>
      <c r="L1101" s="215" t="n">
        <v>40637</v>
      </c>
      <c r="M1101" s="213" t="n">
        <v>31.35</v>
      </c>
      <c r="N1101" s="213" t="n">
        <v>39.3833333333333</v>
      </c>
      <c r="O1101" s="213" t="n">
        <v>12.05</v>
      </c>
      <c r="P1101" s="213" t="n">
        <v>11.4</v>
      </c>
    </row>
    <row r="1102" customFormat="false" ht="12.75" hidden="false" customHeight="false" outlineLevel="0" collapsed="false">
      <c r="A1102" s="215" t="n">
        <v>40637</v>
      </c>
      <c r="B1102" s="213" t="n">
        <v>31.4</v>
      </c>
      <c r="C1102" s="213" t="n">
        <f aca="false">AVERAGEIFS($B$33:$B$1494,$A$33:$A$1494,A1102)</f>
        <v>31.35</v>
      </c>
      <c r="D1102" s="213" t="n">
        <v>39.5</v>
      </c>
      <c r="E1102" s="213" t="n">
        <f aca="false">AVERAGEIFS($D$33:$D$1494,$A$33:$A$1494,A1102)</f>
        <v>39.3833333333333</v>
      </c>
      <c r="F1102" s="213" t="n">
        <v>12</v>
      </c>
      <c r="G1102" s="213" t="n">
        <f aca="false">AVERAGEIFS($F$33:$F$1494,$A$33:$A$1494,A1102)</f>
        <v>12.05</v>
      </c>
      <c r="H1102" s="213" t="n">
        <v>11.5</v>
      </c>
      <c r="I1102" s="213" t="n">
        <f aca="false">AVERAGEIFS($H$33:$H$1494,$A$33:$A$1494,A1102)</f>
        <v>11.4</v>
      </c>
      <c r="L1102" s="215" t="n">
        <v>40637</v>
      </c>
      <c r="M1102" s="213" t="n">
        <v>31.35</v>
      </c>
      <c r="N1102" s="213" t="n">
        <v>39.3833333333333</v>
      </c>
      <c r="O1102" s="213" t="n">
        <v>12.05</v>
      </c>
      <c r="P1102" s="213" t="n">
        <v>11.4</v>
      </c>
    </row>
    <row r="1103" customFormat="false" ht="12.75" hidden="false" customHeight="false" outlineLevel="0" collapsed="false">
      <c r="A1103" s="215" t="n">
        <v>40637</v>
      </c>
      <c r="B1103" s="213" t="n">
        <v>31.4</v>
      </c>
      <c r="C1103" s="213" t="n">
        <f aca="false">AVERAGEIFS($B$33:$B$1494,$A$33:$A$1494,A1103)</f>
        <v>31.35</v>
      </c>
      <c r="D1103" s="213" t="n">
        <v>39.5</v>
      </c>
      <c r="E1103" s="213" t="n">
        <f aca="false">AVERAGEIFS($D$33:$D$1494,$A$33:$A$1494,A1103)</f>
        <v>39.3833333333333</v>
      </c>
      <c r="F1103" s="213" t="n">
        <v>11.7</v>
      </c>
      <c r="G1103" s="213" t="n">
        <f aca="false">AVERAGEIFS($F$33:$F$1494,$A$33:$A$1494,A1103)</f>
        <v>12.05</v>
      </c>
      <c r="H1103" s="213" t="n">
        <v>11.4</v>
      </c>
      <c r="I1103" s="213" t="n">
        <f aca="false">AVERAGEIFS($H$33:$H$1494,$A$33:$A$1494,A1103)</f>
        <v>11.4</v>
      </c>
      <c r="L1103" s="215" t="n">
        <v>40637</v>
      </c>
      <c r="M1103" s="213" t="n">
        <v>31.35</v>
      </c>
      <c r="N1103" s="213" t="n">
        <v>39.3833333333333</v>
      </c>
      <c r="O1103" s="213" t="n">
        <v>12.05</v>
      </c>
      <c r="P1103" s="213" t="n">
        <v>11.4</v>
      </c>
    </row>
    <row r="1104" customFormat="false" ht="12.75" hidden="false" customHeight="false" outlineLevel="0" collapsed="false">
      <c r="A1104" s="215" t="n">
        <v>40637</v>
      </c>
      <c r="B1104" s="213" t="n">
        <v>31.4</v>
      </c>
      <c r="C1104" s="213" t="n">
        <f aca="false">AVERAGEIFS($B$33:$B$1494,$A$33:$A$1494,A1104)</f>
        <v>31.35</v>
      </c>
      <c r="D1104" s="213" t="n">
        <v>39.4</v>
      </c>
      <c r="E1104" s="213" t="n">
        <f aca="false">AVERAGEIFS($D$33:$D$1494,$A$33:$A$1494,A1104)</f>
        <v>39.3833333333333</v>
      </c>
      <c r="F1104" s="213" t="n">
        <v>11.7</v>
      </c>
      <c r="G1104" s="213" t="n">
        <f aca="false">AVERAGEIFS($F$33:$F$1494,$A$33:$A$1494,A1104)</f>
        <v>12.05</v>
      </c>
      <c r="H1104" s="213" t="n">
        <v>11.3</v>
      </c>
      <c r="I1104" s="213" t="n">
        <f aca="false">AVERAGEIFS($H$33:$H$1494,$A$33:$A$1494,A1104)</f>
        <v>11.4</v>
      </c>
      <c r="L1104" s="215" t="n">
        <v>40637</v>
      </c>
      <c r="M1104" s="213" t="n">
        <v>31.35</v>
      </c>
      <c r="N1104" s="213" t="n">
        <v>39.3833333333333</v>
      </c>
      <c r="O1104" s="213" t="n">
        <v>12.05</v>
      </c>
      <c r="P1104" s="213" t="n">
        <v>11.4</v>
      </c>
    </row>
    <row r="1105" customFormat="false" ht="12.75" hidden="false" customHeight="false" outlineLevel="0" collapsed="false">
      <c r="A1105" s="215" t="n">
        <v>40637</v>
      </c>
      <c r="B1105" s="213" t="n">
        <v>31.3</v>
      </c>
      <c r="C1105" s="213" t="n">
        <f aca="false">AVERAGEIFS($B$33:$B$1494,$A$33:$A$1494,A1105)</f>
        <v>31.35</v>
      </c>
      <c r="D1105" s="213" t="n">
        <v>39.3</v>
      </c>
      <c r="E1105" s="213" t="n">
        <f aca="false">AVERAGEIFS($D$33:$D$1494,$A$33:$A$1494,A1105)</f>
        <v>39.3833333333333</v>
      </c>
      <c r="F1105" s="213" t="n">
        <v>12.2</v>
      </c>
      <c r="G1105" s="213" t="n">
        <f aca="false">AVERAGEIFS($F$33:$F$1494,$A$33:$A$1494,A1105)</f>
        <v>12.05</v>
      </c>
      <c r="H1105" s="213" t="n">
        <v>11.3</v>
      </c>
      <c r="I1105" s="213" t="n">
        <f aca="false">AVERAGEIFS($H$33:$H$1494,$A$33:$A$1494,A1105)</f>
        <v>11.4</v>
      </c>
      <c r="L1105" s="215" t="n">
        <v>40637</v>
      </c>
      <c r="M1105" s="213" t="n">
        <v>31.35</v>
      </c>
      <c r="N1105" s="213" t="n">
        <v>39.3833333333333</v>
      </c>
      <c r="O1105" s="213" t="n">
        <v>12.05</v>
      </c>
      <c r="P1105" s="213" t="n">
        <v>11.4</v>
      </c>
    </row>
    <row r="1106" customFormat="false" ht="12.75" hidden="false" customHeight="false" outlineLevel="0" collapsed="false">
      <c r="A1106" s="215" t="n">
        <v>40637</v>
      </c>
      <c r="B1106" s="213" t="n">
        <v>31.2</v>
      </c>
      <c r="C1106" s="213" t="n">
        <f aca="false">AVERAGEIFS($B$33:$B$1494,$A$33:$A$1494,A1106)</f>
        <v>31.35</v>
      </c>
      <c r="D1106" s="213" t="n">
        <v>39.1</v>
      </c>
      <c r="E1106" s="213" t="n">
        <f aca="false">AVERAGEIFS($D$33:$D$1494,$A$33:$A$1494,A1106)</f>
        <v>39.3833333333333</v>
      </c>
      <c r="F1106" s="213" t="n">
        <v>12.4</v>
      </c>
      <c r="G1106" s="213" t="n">
        <f aca="false">AVERAGEIFS($F$33:$F$1494,$A$33:$A$1494,A1106)</f>
        <v>12.05</v>
      </c>
      <c r="H1106" s="213" t="n">
        <v>11.3</v>
      </c>
      <c r="I1106" s="213" t="n">
        <f aca="false">AVERAGEIFS($H$33:$H$1494,$A$33:$A$1494,A1106)</f>
        <v>11.4</v>
      </c>
      <c r="L1106" s="215" t="n">
        <v>40637</v>
      </c>
      <c r="M1106" s="213" t="n">
        <v>31.35</v>
      </c>
      <c r="N1106" s="213" t="n">
        <v>39.3833333333333</v>
      </c>
      <c r="O1106" s="213" t="n">
        <v>12.05</v>
      </c>
      <c r="P1106" s="213" t="n">
        <v>11.4</v>
      </c>
    </row>
    <row r="1107" customFormat="false" ht="12.75" hidden="false" customHeight="false" outlineLevel="0" collapsed="false">
      <c r="A1107" s="215" t="n">
        <v>40638</v>
      </c>
      <c r="B1107" s="213" t="n">
        <v>31.1</v>
      </c>
      <c r="C1107" s="213" t="n">
        <f aca="false">AVERAGEIFS($B$33:$B$1494,$A$33:$A$1494,A1107)</f>
        <v>31</v>
      </c>
      <c r="D1107" s="213" t="n">
        <v>39.1</v>
      </c>
      <c r="E1107" s="213" t="n">
        <f aca="false">AVERAGEIFS($D$33:$D$1494,$A$33:$A$1494,A1107)</f>
        <v>38.9833333333333</v>
      </c>
      <c r="F1107" s="213" t="n">
        <v>11.7</v>
      </c>
      <c r="G1107" s="213" t="n">
        <f aca="false">AVERAGEIFS($F$33:$F$1494,$A$33:$A$1494,A1107)</f>
        <v>11.0166666666667</v>
      </c>
      <c r="H1107" s="213" t="n">
        <v>11.4</v>
      </c>
      <c r="I1107" s="213" t="n">
        <f aca="false">AVERAGEIFS($H$33:$H$1494,$A$33:$A$1494,A1107)</f>
        <v>10.9</v>
      </c>
      <c r="L1107" s="215" t="n">
        <v>40638</v>
      </c>
      <c r="M1107" s="213" t="n">
        <v>31</v>
      </c>
      <c r="N1107" s="213" t="n">
        <v>38.9833333333333</v>
      </c>
      <c r="O1107" s="213" t="n">
        <v>11.0166666666667</v>
      </c>
      <c r="P1107" s="213" t="n">
        <v>10.9</v>
      </c>
    </row>
    <row r="1108" customFormat="false" ht="12.75" hidden="false" customHeight="false" outlineLevel="0" collapsed="false">
      <c r="A1108" s="215" t="n">
        <v>40638</v>
      </c>
      <c r="B1108" s="213" t="n">
        <v>31.1</v>
      </c>
      <c r="C1108" s="213" t="n">
        <f aca="false">AVERAGEIFS($B$33:$B$1494,$A$33:$A$1494,A1108)</f>
        <v>31</v>
      </c>
      <c r="D1108" s="213" t="n">
        <v>39.2</v>
      </c>
      <c r="E1108" s="213" t="n">
        <f aca="false">AVERAGEIFS($D$33:$D$1494,$A$33:$A$1494,A1108)</f>
        <v>38.9833333333333</v>
      </c>
      <c r="F1108" s="213" t="n">
        <v>10.8</v>
      </c>
      <c r="G1108" s="213" t="n">
        <f aca="false">AVERAGEIFS($F$33:$F$1494,$A$33:$A$1494,A1108)</f>
        <v>11.0166666666667</v>
      </c>
      <c r="H1108" s="213" t="n">
        <v>11.2</v>
      </c>
      <c r="I1108" s="213" t="n">
        <f aca="false">AVERAGEIFS($H$33:$H$1494,$A$33:$A$1494,A1108)</f>
        <v>10.9</v>
      </c>
      <c r="L1108" s="215" t="n">
        <v>40638</v>
      </c>
      <c r="M1108" s="213" t="n">
        <v>31</v>
      </c>
      <c r="N1108" s="213" t="n">
        <v>38.9833333333333</v>
      </c>
      <c r="O1108" s="213" t="n">
        <v>11.0166666666667</v>
      </c>
      <c r="P1108" s="213" t="n">
        <v>10.9</v>
      </c>
    </row>
    <row r="1109" customFormat="false" ht="12.75" hidden="false" customHeight="false" outlineLevel="0" collapsed="false">
      <c r="A1109" s="215" t="n">
        <v>40638</v>
      </c>
      <c r="B1109" s="213" t="n">
        <v>31.1</v>
      </c>
      <c r="C1109" s="213" t="n">
        <f aca="false">AVERAGEIFS($B$33:$B$1494,$A$33:$A$1494,A1109)</f>
        <v>31</v>
      </c>
      <c r="D1109" s="213" t="n">
        <v>39.1</v>
      </c>
      <c r="E1109" s="213" t="n">
        <f aca="false">AVERAGEIFS($D$33:$D$1494,$A$33:$A$1494,A1109)</f>
        <v>38.9833333333333</v>
      </c>
      <c r="F1109" s="213" t="n">
        <v>10</v>
      </c>
      <c r="G1109" s="213" t="n">
        <f aca="false">AVERAGEIFS($F$33:$F$1494,$A$33:$A$1494,A1109)</f>
        <v>11.0166666666667</v>
      </c>
      <c r="H1109" s="213" t="n">
        <v>10.9</v>
      </c>
      <c r="I1109" s="213" t="n">
        <f aca="false">AVERAGEIFS($H$33:$H$1494,$A$33:$A$1494,A1109)</f>
        <v>10.9</v>
      </c>
      <c r="L1109" s="215" t="n">
        <v>40638</v>
      </c>
      <c r="M1109" s="213" t="n">
        <v>31</v>
      </c>
      <c r="N1109" s="213" t="n">
        <v>38.9833333333333</v>
      </c>
      <c r="O1109" s="213" t="n">
        <v>11.0166666666667</v>
      </c>
      <c r="P1109" s="213" t="n">
        <v>10.9</v>
      </c>
    </row>
    <row r="1110" customFormat="false" ht="12.75" hidden="false" customHeight="false" outlineLevel="0" collapsed="false">
      <c r="A1110" s="215" t="n">
        <v>40638</v>
      </c>
      <c r="B1110" s="213" t="n">
        <v>31</v>
      </c>
      <c r="C1110" s="213" t="n">
        <f aca="false">AVERAGEIFS($B$33:$B$1494,$A$33:$A$1494,A1110)</f>
        <v>31</v>
      </c>
      <c r="D1110" s="213" t="n">
        <v>39.1</v>
      </c>
      <c r="E1110" s="213" t="n">
        <f aca="false">AVERAGEIFS($D$33:$D$1494,$A$33:$A$1494,A1110)</f>
        <v>38.9833333333333</v>
      </c>
      <c r="F1110" s="213" t="n">
        <v>10.2</v>
      </c>
      <c r="G1110" s="213" t="n">
        <f aca="false">AVERAGEIFS($F$33:$F$1494,$A$33:$A$1494,A1110)</f>
        <v>11.0166666666667</v>
      </c>
      <c r="H1110" s="213" t="n">
        <v>10.6</v>
      </c>
      <c r="I1110" s="213" t="n">
        <f aca="false">AVERAGEIFS($H$33:$H$1494,$A$33:$A$1494,A1110)</f>
        <v>10.9</v>
      </c>
      <c r="L1110" s="215" t="n">
        <v>40638</v>
      </c>
      <c r="M1110" s="213" t="n">
        <v>31</v>
      </c>
      <c r="N1110" s="213" t="n">
        <v>38.9833333333333</v>
      </c>
      <c r="O1110" s="213" t="n">
        <v>11.0166666666667</v>
      </c>
      <c r="P1110" s="213" t="n">
        <v>10.9</v>
      </c>
    </row>
    <row r="1111" customFormat="false" ht="12.75" hidden="false" customHeight="false" outlineLevel="0" collapsed="false">
      <c r="A1111" s="215" t="n">
        <v>40638</v>
      </c>
      <c r="B1111" s="213" t="n">
        <v>30.9</v>
      </c>
      <c r="C1111" s="213" t="n">
        <f aca="false">AVERAGEIFS($B$33:$B$1494,$A$33:$A$1494,A1111)</f>
        <v>31</v>
      </c>
      <c r="D1111" s="213" t="n">
        <v>38.8</v>
      </c>
      <c r="E1111" s="213" t="n">
        <f aca="false">AVERAGEIFS($D$33:$D$1494,$A$33:$A$1494,A1111)</f>
        <v>38.9833333333333</v>
      </c>
      <c r="F1111" s="213" t="n">
        <v>11.4</v>
      </c>
      <c r="G1111" s="213" t="n">
        <f aca="false">AVERAGEIFS($F$33:$F$1494,$A$33:$A$1494,A1111)</f>
        <v>11.0166666666667</v>
      </c>
      <c r="H1111" s="213" t="n">
        <v>10.6</v>
      </c>
      <c r="I1111" s="213" t="n">
        <f aca="false">AVERAGEIFS($H$33:$H$1494,$A$33:$A$1494,A1111)</f>
        <v>10.9</v>
      </c>
      <c r="L1111" s="215" t="n">
        <v>40638</v>
      </c>
      <c r="M1111" s="213" t="n">
        <v>31</v>
      </c>
      <c r="N1111" s="213" t="n">
        <v>38.9833333333333</v>
      </c>
      <c r="O1111" s="213" t="n">
        <v>11.0166666666667</v>
      </c>
      <c r="P1111" s="213" t="n">
        <v>10.9</v>
      </c>
    </row>
    <row r="1112" customFormat="false" ht="12.75" hidden="false" customHeight="false" outlineLevel="0" collapsed="false">
      <c r="A1112" s="215" t="n">
        <v>40638</v>
      </c>
      <c r="B1112" s="213" t="n">
        <v>30.8</v>
      </c>
      <c r="C1112" s="213" t="n">
        <f aca="false">AVERAGEIFS($B$33:$B$1494,$A$33:$A$1494,A1112)</f>
        <v>31</v>
      </c>
      <c r="D1112" s="213" t="n">
        <v>38.6</v>
      </c>
      <c r="E1112" s="213" t="n">
        <f aca="false">AVERAGEIFS($D$33:$D$1494,$A$33:$A$1494,A1112)</f>
        <v>38.9833333333333</v>
      </c>
      <c r="F1112" s="213" t="n">
        <v>12</v>
      </c>
      <c r="G1112" s="213" t="n">
        <f aca="false">AVERAGEIFS($F$33:$F$1494,$A$33:$A$1494,A1112)</f>
        <v>11.0166666666667</v>
      </c>
      <c r="H1112" s="213" t="n">
        <v>10.7</v>
      </c>
      <c r="I1112" s="213" t="n">
        <f aca="false">AVERAGEIFS($H$33:$H$1494,$A$33:$A$1494,A1112)</f>
        <v>10.9</v>
      </c>
      <c r="L1112" s="215" t="n">
        <v>40638</v>
      </c>
      <c r="M1112" s="213" t="n">
        <v>31</v>
      </c>
      <c r="N1112" s="213" t="n">
        <v>38.9833333333333</v>
      </c>
      <c r="O1112" s="213" t="n">
        <v>11.0166666666667</v>
      </c>
      <c r="P1112" s="213" t="n">
        <v>10.9</v>
      </c>
    </row>
    <row r="1113" customFormat="false" ht="12.75" hidden="false" customHeight="false" outlineLevel="0" collapsed="false">
      <c r="A1113" s="215" t="n">
        <v>40639</v>
      </c>
      <c r="B1113" s="213" t="n">
        <v>30.8</v>
      </c>
      <c r="C1113" s="213" t="n">
        <f aca="false">AVERAGEIFS($B$33:$B$1494,$A$33:$A$1494,A1113)</f>
        <v>30.6</v>
      </c>
      <c r="D1113" s="213" t="n">
        <v>38.6</v>
      </c>
      <c r="E1113" s="213" t="n">
        <f aca="false">AVERAGEIFS($D$33:$D$1494,$A$33:$A$1494,A1113)</f>
        <v>38.4333333333333</v>
      </c>
      <c r="F1113" s="213" t="n">
        <v>11.3</v>
      </c>
      <c r="G1113" s="213" t="n">
        <f aca="false">AVERAGEIFS($F$33:$F$1494,$A$33:$A$1494,A1113)</f>
        <v>11.1666666666667</v>
      </c>
      <c r="H1113" s="213" t="n">
        <v>10.9</v>
      </c>
      <c r="I1113" s="213" t="n">
        <f aca="false">AVERAGEIFS($H$33:$H$1494,$A$33:$A$1494,A1113)</f>
        <v>10.6666666666667</v>
      </c>
      <c r="L1113" s="215" t="n">
        <v>40639</v>
      </c>
      <c r="M1113" s="213" t="n">
        <v>30.6</v>
      </c>
      <c r="N1113" s="213" t="n">
        <v>38.4333333333333</v>
      </c>
      <c r="O1113" s="213" t="n">
        <v>11.1666666666667</v>
      </c>
      <c r="P1113" s="213" t="n">
        <v>10.6666666666667</v>
      </c>
    </row>
    <row r="1114" customFormat="false" ht="12.75" hidden="false" customHeight="false" outlineLevel="0" collapsed="false">
      <c r="A1114" s="215" t="n">
        <v>40639</v>
      </c>
      <c r="B1114" s="213" t="n">
        <v>30.7</v>
      </c>
      <c r="C1114" s="213" t="n">
        <f aca="false">AVERAGEIFS($B$33:$B$1494,$A$33:$A$1494,A1114)</f>
        <v>30.6</v>
      </c>
      <c r="D1114" s="213" t="n">
        <v>38.6</v>
      </c>
      <c r="E1114" s="213" t="n">
        <f aca="false">AVERAGEIFS($D$33:$D$1494,$A$33:$A$1494,A1114)</f>
        <v>38.4333333333333</v>
      </c>
      <c r="F1114" s="213" t="n">
        <v>10.4</v>
      </c>
      <c r="G1114" s="213" t="n">
        <f aca="false">AVERAGEIFS($F$33:$F$1494,$A$33:$A$1494,A1114)</f>
        <v>11.1666666666667</v>
      </c>
      <c r="H1114" s="213" t="n">
        <v>10.8</v>
      </c>
      <c r="I1114" s="213" t="n">
        <f aca="false">AVERAGEIFS($H$33:$H$1494,$A$33:$A$1494,A1114)</f>
        <v>10.6666666666667</v>
      </c>
      <c r="L1114" s="215" t="n">
        <v>40639</v>
      </c>
      <c r="M1114" s="213" t="n">
        <v>30.6</v>
      </c>
      <c r="N1114" s="213" t="n">
        <v>38.4333333333333</v>
      </c>
      <c r="O1114" s="213" t="n">
        <v>11.1666666666667</v>
      </c>
      <c r="P1114" s="213" t="n">
        <v>10.6666666666667</v>
      </c>
    </row>
    <row r="1115" customFormat="false" ht="12.75" hidden="false" customHeight="false" outlineLevel="0" collapsed="false">
      <c r="A1115" s="215" t="n">
        <v>40639</v>
      </c>
      <c r="B1115" s="213" t="n">
        <v>30.7</v>
      </c>
      <c r="C1115" s="213" t="n">
        <f aca="false">AVERAGEIFS($B$33:$B$1494,$A$33:$A$1494,A1115)</f>
        <v>30.6</v>
      </c>
      <c r="D1115" s="213" t="n">
        <v>38.6</v>
      </c>
      <c r="E1115" s="213" t="n">
        <f aca="false">AVERAGEIFS($D$33:$D$1494,$A$33:$A$1494,A1115)</f>
        <v>38.4333333333333</v>
      </c>
      <c r="F1115" s="213" t="n">
        <v>10</v>
      </c>
      <c r="G1115" s="213" t="n">
        <f aca="false">AVERAGEIFS($F$33:$F$1494,$A$33:$A$1494,A1115)</f>
        <v>11.1666666666667</v>
      </c>
      <c r="H1115" s="213" t="n">
        <v>10.6</v>
      </c>
      <c r="I1115" s="213" t="n">
        <f aca="false">AVERAGEIFS($H$33:$H$1494,$A$33:$A$1494,A1115)</f>
        <v>10.6666666666667</v>
      </c>
      <c r="L1115" s="215" t="n">
        <v>40639</v>
      </c>
      <c r="M1115" s="213" t="n">
        <v>30.6</v>
      </c>
      <c r="N1115" s="213" t="n">
        <v>38.4333333333333</v>
      </c>
      <c r="O1115" s="213" t="n">
        <v>11.1666666666667</v>
      </c>
      <c r="P1115" s="213" t="n">
        <v>10.6666666666667</v>
      </c>
    </row>
    <row r="1116" customFormat="false" ht="12.75" hidden="false" customHeight="false" outlineLevel="0" collapsed="false">
      <c r="A1116" s="215" t="n">
        <v>40639</v>
      </c>
      <c r="B1116" s="213" t="n">
        <v>30.6</v>
      </c>
      <c r="C1116" s="213" t="n">
        <f aca="false">AVERAGEIFS($B$33:$B$1494,$A$33:$A$1494,A1116)</f>
        <v>30.6</v>
      </c>
      <c r="D1116" s="213" t="n">
        <v>38.5</v>
      </c>
      <c r="E1116" s="213" t="n">
        <f aca="false">AVERAGEIFS($D$33:$D$1494,$A$33:$A$1494,A1116)</f>
        <v>38.4333333333333</v>
      </c>
      <c r="F1116" s="213" t="n">
        <v>10.4</v>
      </c>
      <c r="G1116" s="213" t="n">
        <f aca="false">AVERAGEIFS($F$33:$F$1494,$A$33:$A$1494,A1116)</f>
        <v>11.1666666666667</v>
      </c>
      <c r="H1116" s="213" t="n">
        <v>10.4</v>
      </c>
      <c r="I1116" s="213" t="n">
        <f aca="false">AVERAGEIFS($H$33:$H$1494,$A$33:$A$1494,A1116)</f>
        <v>10.6666666666667</v>
      </c>
      <c r="L1116" s="215" t="n">
        <v>40639</v>
      </c>
      <c r="M1116" s="213" t="n">
        <v>30.6</v>
      </c>
      <c r="N1116" s="213" t="n">
        <v>38.4333333333333</v>
      </c>
      <c r="O1116" s="213" t="n">
        <v>11.1666666666667</v>
      </c>
      <c r="P1116" s="213" t="n">
        <v>10.6666666666667</v>
      </c>
    </row>
    <row r="1117" customFormat="false" ht="12.75" hidden="false" customHeight="false" outlineLevel="0" collapsed="false">
      <c r="A1117" s="215" t="n">
        <v>40639</v>
      </c>
      <c r="B1117" s="213" t="n">
        <v>30.5</v>
      </c>
      <c r="C1117" s="213" t="n">
        <f aca="false">AVERAGEIFS($B$33:$B$1494,$A$33:$A$1494,A1117)</f>
        <v>30.6</v>
      </c>
      <c r="D1117" s="213" t="n">
        <v>38.3</v>
      </c>
      <c r="E1117" s="213" t="n">
        <f aca="false">AVERAGEIFS($D$33:$D$1494,$A$33:$A$1494,A1117)</f>
        <v>38.4333333333333</v>
      </c>
      <c r="F1117" s="213" t="n">
        <v>12.1</v>
      </c>
      <c r="G1117" s="213" t="n">
        <f aca="false">AVERAGEIFS($F$33:$F$1494,$A$33:$A$1494,A1117)</f>
        <v>11.1666666666667</v>
      </c>
      <c r="H1117" s="213" t="n">
        <v>10.5</v>
      </c>
      <c r="I1117" s="213" t="n">
        <f aca="false">AVERAGEIFS($H$33:$H$1494,$A$33:$A$1494,A1117)</f>
        <v>10.6666666666667</v>
      </c>
      <c r="L1117" s="215" t="n">
        <v>40639</v>
      </c>
      <c r="M1117" s="213" t="n">
        <v>30.6</v>
      </c>
      <c r="N1117" s="213" t="n">
        <v>38.4333333333333</v>
      </c>
      <c r="O1117" s="213" t="n">
        <v>11.1666666666667</v>
      </c>
      <c r="P1117" s="213" t="n">
        <v>10.6666666666667</v>
      </c>
    </row>
    <row r="1118" customFormat="false" ht="12.75" hidden="false" customHeight="false" outlineLevel="0" collapsed="false">
      <c r="A1118" s="215" t="n">
        <v>40639</v>
      </c>
      <c r="B1118" s="213" t="n">
        <v>30.3</v>
      </c>
      <c r="C1118" s="213" t="n">
        <f aca="false">AVERAGEIFS($B$33:$B$1494,$A$33:$A$1494,A1118)</f>
        <v>30.6</v>
      </c>
      <c r="D1118" s="213" t="n">
        <v>38</v>
      </c>
      <c r="E1118" s="213" t="n">
        <f aca="false">AVERAGEIFS($D$33:$D$1494,$A$33:$A$1494,A1118)</f>
        <v>38.4333333333333</v>
      </c>
      <c r="F1118" s="213" t="n">
        <v>12.8</v>
      </c>
      <c r="G1118" s="213" t="n">
        <f aca="false">AVERAGEIFS($F$33:$F$1494,$A$33:$A$1494,A1118)</f>
        <v>11.1666666666667</v>
      </c>
      <c r="H1118" s="213" t="n">
        <v>10.8</v>
      </c>
      <c r="I1118" s="213" t="n">
        <f aca="false">AVERAGEIFS($H$33:$H$1494,$A$33:$A$1494,A1118)</f>
        <v>10.6666666666667</v>
      </c>
      <c r="L1118" s="215" t="n">
        <v>40639</v>
      </c>
      <c r="M1118" s="213" t="n">
        <v>30.6</v>
      </c>
      <c r="N1118" s="213" t="n">
        <v>38.4333333333333</v>
      </c>
      <c r="O1118" s="213" t="n">
        <v>11.1666666666667</v>
      </c>
      <c r="P1118" s="213" t="n">
        <v>10.6666666666667</v>
      </c>
    </row>
    <row r="1119" customFormat="false" ht="12.75" hidden="false" customHeight="false" outlineLevel="0" collapsed="false">
      <c r="A1119" s="215" t="n">
        <v>40640</v>
      </c>
      <c r="B1119" s="213" t="n">
        <v>30.3</v>
      </c>
      <c r="C1119" s="213" t="n">
        <f aca="false">AVERAGEIFS($B$33:$B$1494,$A$33:$A$1494,A1119)</f>
        <v>30.1</v>
      </c>
      <c r="D1119" s="213" t="n">
        <v>37.9</v>
      </c>
      <c r="E1119" s="213" t="n">
        <f aca="false">AVERAGEIFS($D$33:$D$1494,$A$33:$A$1494,A1119)</f>
        <v>37.7</v>
      </c>
      <c r="F1119" s="213" t="n">
        <v>12.3</v>
      </c>
      <c r="G1119" s="213" t="n">
        <f aca="false">AVERAGEIFS($F$33:$F$1494,$A$33:$A$1494,A1119)</f>
        <v>12.4166666666667</v>
      </c>
      <c r="H1119" s="213" t="n">
        <v>11.1</v>
      </c>
      <c r="I1119" s="213" t="n">
        <f aca="false">AVERAGEIFS($H$33:$H$1494,$A$33:$A$1494,A1119)</f>
        <v>11.2333333333333</v>
      </c>
      <c r="L1119" s="215" t="n">
        <v>40640</v>
      </c>
      <c r="M1119" s="213" t="n">
        <v>30.1</v>
      </c>
      <c r="N1119" s="213" t="n">
        <v>37.7</v>
      </c>
      <c r="O1119" s="213" t="n">
        <v>12.4166666666667</v>
      </c>
      <c r="P1119" s="213" t="n">
        <v>11.2333333333333</v>
      </c>
    </row>
    <row r="1120" customFormat="false" ht="12.75" hidden="false" customHeight="false" outlineLevel="0" collapsed="false">
      <c r="A1120" s="215" t="n">
        <v>40640</v>
      </c>
      <c r="B1120" s="213" t="n">
        <v>30.3</v>
      </c>
      <c r="C1120" s="213" t="n">
        <f aca="false">AVERAGEIFS($B$33:$B$1494,$A$33:$A$1494,A1120)</f>
        <v>30.1</v>
      </c>
      <c r="D1120" s="213" t="n">
        <v>37.9</v>
      </c>
      <c r="E1120" s="213" t="n">
        <f aca="false">AVERAGEIFS($D$33:$D$1494,$A$33:$A$1494,A1120)</f>
        <v>37.7</v>
      </c>
      <c r="F1120" s="213" t="n">
        <v>11.9</v>
      </c>
      <c r="G1120" s="213" t="n">
        <f aca="false">AVERAGEIFS($F$33:$F$1494,$A$33:$A$1494,A1120)</f>
        <v>12.4166666666667</v>
      </c>
      <c r="H1120" s="213" t="n">
        <v>11.2</v>
      </c>
      <c r="I1120" s="213" t="n">
        <f aca="false">AVERAGEIFS($H$33:$H$1494,$A$33:$A$1494,A1120)</f>
        <v>11.2333333333333</v>
      </c>
      <c r="L1120" s="215" t="n">
        <v>40640</v>
      </c>
      <c r="M1120" s="213" t="n">
        <v>30.1</v>
      </c>
      <c r="N1120" s="213" t="n">
        <v>37.7</v>
      </c>
      <c r="O1120" s="213" t="n">
        <v>12.4166666666667</v>
      </c>
      <c r="P1120" s="213" t="n">
        <v>11.2333333333333</v>
      </c>
    </row>
    <row r="1121" customFormat="false" ht="12.75" hidden="false" customHeight="false" outlineLevel="0" collapsed="false">
      <c r="A1121" s="215" t="n">
        <v>40640</v>
      </c>
      <c r="B1121" s="213" t="n">
        <v>30.2</v>
      </c>
      <c r="C1121" s="213" t="n">
        <f aca="false">AVERAGEIFS($B$33:$B$1494,$A$33:$A$1494,A1121)</f>
        <v>30.1</v>
      </c>
      <c r="D1121" s="213" t="n">
        <v>37.9</v>
      </c>
      <c r="E1121" s="213" t="n">
        <f aca="false">AVERAGEIFS($D$33:$D$1494,$A$33:$A$1494,A1121)</f>
        <v>37.7</v>
      </c>
      <c r="F1121" s="213" t="n">
        <v>11.4</v>
      </c>
      <c r="G1121" s="213" t="n">
        <f aca="false">AVERAGEIFS($F$33:$F$1494,$A$33:$A$1494,A1121)</f>
        <v>12.4166666666667</v>
      </c>
      <c r="H1121" s="213" t="n">
        <v>11.2</v>
      </c>
      <c r="I1121" s="213" t="n">
        <f aca="false">AVERAGEIFS($H$33:$H$1494,$A$33:$A$1494,A1121)</f>
        <v>11.2333333333333</v>
      </c>
      <c r="L1121" s="215" t="n">
        <v>40640</v>
      </c>
      <c r="M1121" s="213" t="n">
        <v>30.1</v>
      </c>
      <c r="N1121" s="213" t="n">
        <v>37.7</v>
      </c>
      <c r="O1121" s="213" t="n">
        <v>12.4166666666667</v>
      </c>
      <c r="P1121" s="213" t="n">
        <v>11.2333333333333</v>
      </c>
    </row>
    <row r="1122" customFormat="false" ht="12.75" hidden="false" customHeight="false" outlineLevel="0" collapsed="false">
      <c r="A1122" s="215" t="n">
        <v>40640</v>
      </c>
      <c r="B1122" s="213" t="n">
        <v>30.1</v>
      </c>
      <c r="C1122" s="213" t="n">
        <f aca="false">AVERAGEIFS($B$33:$B$1494,$A$33:$A$1494,A1122)</f>
        <v>30.1</v>
      </c>
      <c r="D1122" s="213" t="n">
        <v>37.8</v>
      </c>
      <c r="E1122" s="213" t="n">
        <f aca="false">AVERAGEIFS($D$33:$D$1494,$A$33:$A$1494,A1122)</f>
        <v>37.7</v>
      </c>
      <c r="F1122" s="213" t="n">
        <v>11.8</v>
      </c>
      <c r="G1122" s="213" t="n">
        <f aca="false">AVERAGEIFS($F$33:$F$1494,$A$33:$A$1494,A1122)</f>
        <v>12.4166666666667</v>
      </c>
      <c r="H1122" s="213" t="n">
        <v>11.1</v>
      </c>
      <c r="I1122" s="213" t="n">
        <f aca="false">AVERAGEIFS($H$33:$H$1494,$A$33:$A$1494,A1122)</f>
        <v>11.2333333333333</v>
      </c>
      <c r="L1122" s="215" t="n">
        <v>40640</v>
      </c>
      <c r="M1122" s="213" t="n">
        <v>30.1</v>
      </c>
      <c r="N1122" s="213" t="n">
        <v>37.7</v>
      </c>
      <c r="O1122" s="213" t="n">
        <v>12.4166666666667</v>
      </c>
      <c r="P1122" s="213" t="n">
        <v>11.2333333333333</v>
      </c>
    </row>
    <row r="1123" customFormat="false" ht="12.75" hidden="false" customHeight="false" outlineLevel="0" collapsed="false">
      <c r="A1123" s="215" t="n">
        <v>40640</v>
      </c>
      <c r="B1123" s="213" t="n">
        <v>29.9</v>
      </c>
      <c r="C1123" s="213" t="n">
        <f aca="false">AVERAGEIFS($B$33:$B$1494,$A$33:$A$1494,A1123)</f>
        <v>30.1</v>
      </c>
      <c r="D1123" s="213" t="n">
        <v>37.5</v>
      </c>
      <c r="E1123" s="213" t="n">
        <f aca="false">AVERAGEIFS($D$33:$D$1494,$A$33:$A$1494,A1123)</f>
        <v>37.7</v>
      </c>
      <c r="F1123" s="213" t="n">
        <v>13.2</v>
      </c>
      <c r="G1123" s="213" t="n">
        <f aca="false">AVERAGEIFS($F$33:$F$1494,$A$33:$A$1494,A1123)</f>
        <v>12.4166666666667</v>
      </c>
      <c r="H1123" s="213" t="n">
        <v>11.2</v>
      </c>
      <c r="I1123" s="213" t="n">
        <f aca="false">AVERAGEIFS($H$33:$H$1494,$A$33:$A$1494,A1123)</f>
        <v>11.2333333333333</v>
      </c>
      <c r="L1123" s="215" t="n">
        <v>40640</v>
      </c>
      <c r="M1123" s="213" t="n">
        <v>30.1</v>
      </c>
      <c r="N1123" s="213" t="n">
        <v>37.7</v>
      </c>
      <c r="O1123" s="213" t="n">
        <v>12.4166666666667</v>
      </c>
      <c r="P1123" s="213" t="n">
        <v>11.2333333333333</v>
      </c>
    </row>
    <row r="1124" customFormat="false" ht="12.75" hidden="false" customHeight="false" outlineLevel="0" collapsed="false">
      <c r="A1124" s="215" t="n">
        <v>40640</v>
      </c>
      <c r="B1124" s="213" t="n">
        <v>29.8</v>
      </c>
      <c r="C1124" s="213" t="n">
        <f aca="false">AVERAGEIFS($B$33:$B$1494,$A$33:$A$1494,A1124)</f>
        <v>30.1</v>
      </c>
      <c r="D1124" s="213" t="n">
        <v>37.2</v>
      </c>
      <c r="E1124" s="213" t="n">
        <f aca="false">AVERAGEIFS($D$33:$D$1494,$A$33:$A$1494,A1124)</f>
        <v>37.7</v>
      </c>
      <c r="F1124" s="213" t="n">
        <v>13.9</v>
      </c>
      <c r="G1124" s="213" t="n">
        <f aca="false">AVERAGEIFS($F$33:$F$1494,$A$33:$A$1494,A1124)</f>
        <v>12.4166666666667</v>
      </c>
      <c r="H1124" s="213" t="n">
        <v>11.6</v>
      </c>
      <c r="I1124" s="213" t="n">
        <f aca="false">AVERAGEIFS($H$33:$H$1494,$A$33:$A$1494,A1124)</f>
        <v>11.2333333333333</v>
      </c>
      <c r="L1124" s="215" t="n">
        <v>40640</v>
      </c>
      <c r="M1124" s="213" t="n">
        <v>30.1</v>
      </c>
      <c r="N1124" s="213" t="n">
        <v>37.7</v>
      </c>
      <c r="O1124" s="213" t="n">
        <v>12.4166666666667</v>
      </c>
      <c r="P1124" s="213" t="n">
        <v>11.2333333333333</v>
      </c>
    </row>
    <row r="1125" customFormat="false" ht="12.75" hidden="false" customHeight="false" outlineLevel="0" collapsed="false">
      <c r="A1125" s="215" t="n">
        <v>40641</v>
      </c>
      <c r="B1125" s="213" t="n">
        <v>29.8</v>
      </c>
      <c r="C1125" s="213" t="n">
        <f aca="false">AVERAGEIFS($B$33:$B$1494,$A$33:$A$1494,A1125)</f>
        <v>29.6</v>
      </c>
      <c r="D1125" s="213" t="n">
        <v>37.2</v>
      </c>
      <c r="E1125" s="213" t="n">
        <f aca="false">AVERAGEIFS($D$33:$D$1494,$A$33:$A$1494,A1125)</f>
        <v>37</v>
      </c>
      <c r="F1125" s="213" t="n">
        <v>13.3</v>
      </c>
      <c r="G1125" s="213" t="n">
        <f aca="false">AVERAGEIFS($F$33:$F$1494,$A$33:$A$1494,A1125)</f>
        <v>13.3333333333333</v>
      </c>
      <c r="H1125" s="213" t="n">
        <v>11.9</v>
      </c>
      <c r="I1125" s="213" t="n">
        <f aca="false">AVERAGEIFS($H$33:$H$1494,$A$33:$A$1494,A1125)</f>
        <v>11.9666666666667</v>
      </c>
      <c r="L1125" s="215" t="n">
        <v>40641</v>
      </c>
      <c r="M1125" s="213" t="n">
        <v>29.6</v>
      </c>
      <c r="N1125" s="213" t="n">
        <v>37</v>
      </c>
      <c r="O1125" s="213" t="n">
        <v>13.3333333333333</v>
      </c>
      <c r="P1125" s="213" t="n">
        <v>11.9666666666667</v>
      </c>
    </row>
    <row r="1126" customFormat="false" ht="12.75" hidden="false" customHeight="false" outlineLevel="0" collapsed="false">
      <c r="A1126" s="215" t="n">
        <v>40641</v>
      </c>
      <c r="B1126" s="213" t="n">
        <v>29.8</v>
      </c>
      <c r="C1126" s="213" t="n">
        <f aca="false">AVERAGEIFS($B$33:$B$1494,$A$33:$A$1494,A1126)</f>
        <v>29.6</v>
      </c>
      <c r="D1126" s="213" t="n">
        <v>37.2</v>
      </c>
      <c r="E1126" s="213" t="n">
        <f aca="false">AVERAGEIFS($D$33:$D$1494,$A$33:$A$1494,A1126)</f>
        <v>37</v>
      </c>
      <c r="F1126" s="213" t="n">
        <v>12.8</v>
      </c>
      <c r="G1126" s="213" t="n">
        <f aca="false">AVERAGEIFS($F$33:$F$1494,$A$33:$A$1494,A1126)</f>
        <v>13.3333333333333</v>
      </c>
      <c r="H1126" s="213" t="n">
        <v>12</v>
      </c>
      <c r="I1126" s="213" t="n">
        <f aca="false">AVERAGEIFS($H$33:$H$1494,$A$33:$A$1494,A1126)</f>
        <v>11.9666666666667</v>
      </c>
      <c r="L1126" s="215" t="n">
        <v>40641</v>
      </c>
      <c r="M1126" s="213" t="n">
        <v>29.6</v>
      </c>
      <c r="N1126" s="213" t="n">
        <v>37</v>
      </c>
      <c r="O1126" s="213" t="n">
        <v>13.3333333333333</v>
      </c>
      <c r="P1126" s="213" t="n">
        <v>11.9666666666667</v>
      </c>
    </row>
    <row r="1127" customFormat="false" ht="12.75" hidden="false" customHeight="false" outlineLevel="0" collapsed="false">
      <c r="A1127" s="215" t="n">
        <v>40641</v>
      </c>
      <c r="B1127" s="213" t="n">
        <v>29.7</v>
      </c>
      <c r="C1127" s="213" t="n">
        <f aca="false">AVERAGEIFS($B$33:$B$1494,$A$33:$A$1494,A1127)</f>
        <v>29.6</v>
      </c>
      <c r="D1127" s="213" t="n">
        <v>37.3</v>
      </c>
      <c r="E1127" s="213" t="n">
        <f aca="false">AVERAGEIFS($D$33:$D$1494,$A$33:$A$1494,A1127)</f>
        <v>37</v>
      </c>
      <c r="F1127" s="213" t="n">
        <v>12.3</v>
      </c>
      <c r="G1127" s="213" t="n">
        <f aca="false">AVERAGEIFS($F$33:$F$1494,$A$33:$A$1494,A1127)</f>
        <v>13.3333333333333</v>
      </c>
      <c r="H1127" s="213" t="n">
        <v>11.9</v>
      </c>
      <c r="I1127" s="213" t="n">
        <f aca="false">AVERAGEIFS($H$33:$H$1494,$A$33:$A$1494,A1127)</f>
        <v>11.9666666666667</v>
      </c>
      <c r="L1127" s="215" t="n">
        <v>40641</v>
      </c>
      <c r="M1127" s="213" t="n">
        <v>29.6</v>
      </c>
      <c r="N1127" s="213" t="n">
        <v>37</v>
      </c>
      <c r="O1127" s="213" t="n">
        <v>13.3333333333333</v>
      </c>
      <c r="P1127" s="213" t="n">
        <v>11.9666666666667</v>
      </c>
    </row>
    <row r="1128" customFormat="false" ht="12.75" hidden="false" customHeight="false" outlineLevel="0" collapsed="false">
      <c r="A1128" s="215" t="n">
        <v>40641</v>
      </c>
      <c r="B1128" s="213" t="n">
        <v>29.6</v>
      </c>
      <c r="C1128" s="213" t="n">
        <f aca="false">AVERAGEIFS($B$33:$B$1494,$A$33:$A$1494,A1128)</f>
        <v>29.6</v>
      </c>
      <c r="D1128" s="213" t="n">
        <v>37.1</v>
      </c>
      <c r="E1128" s="213" t="n">
        <f aca="false">AVERAGEIFS($D$33:$D$1494,$A$33:$A$1494,A1128)</f>
        <v>37</v>
      </c>
      <c r="F1128" s="213" t="n">
        <v>12.7</v>
      </c>
      <c r="G1128" s="213" t="n">
        <f aca="false">AVERAGEIFS($F$33:$F$1494,$A$33:$A$1494,A1128)</f>
        <v>13.3333333333333</v>
      </c>
      <c r="H1128" s="213" t="n">
        <v>11.8</v>
      </c>
      <c r="I1128" s="213" t="n">
        <f aca="false">AVERAGEIFS($H$33:$H$1494,$A$33:$A$1494,A1128)</f>
        <v>11.9666666666667</v>
      </c>
      <c r="L1128" s="215" t="n">
        <v>40641</v>
      </c>
      <c r="M1128" s="213" t="n">
        <v>29.6</v>
      </c>
      <c r="N1128" s="213" t="n">
        <v>37</v>
      </c>
      <c r="O1128" s="213" t="n">
        <v>13.3333333333333</v>
      </c>
      <c r="P1128" s="213" t="n">
        <v>11.9666666666667</v>
      </c>
    </row>
    <row r="1129" customFormat="false" ht="12.75" hidden="false" customHeight="false" outlineLevel="0" collapsed="false">
      <c r="A1129" s="215" t="n">
        <v>40641</v>
      </c>
      <c r="B1129" s="213" t="n">
        <v>29.4</v>
      </c>
      <c r="C1129" s="213" t="n">
        <f aca="false">AVERAGEIFS($B$33:$B$1494,$A$33:$A$1494,A1129)</f>
        <v>29.6</v>
      </c>
      <c r="D1129" s="213" t="n">
        <v>36.8</v>
      </c>
      <c r="E1129" s="213" t="n">
        <f aca="false">AVERAGEIFS($D$33:$D$1494,$A$33:$A$1494,A1129)</f>
        <v>37</v>
      </c>
      <c r="F1129" s="213" t="n">
        <v>14.1</v>
      </c>
      <c r="G1129" s="213" t="n">
        <f aca="false">AVERAGEIFS($F$33:$F$1494,$A$33:$A$1494,A1129)</f>
        <v>13.3333333333333</v>
      </c>
      <c r="H1129" s="213" t="n">
        <v>11.9</v>
      </c>
      <c r="I1129" s="213" t="n">
        <f aca="false">AVERAGEIFS($H$33:$H$1494,$A$33:$A$1494,A1129)</f>
        <v>11.9666666666667</v>
      </c>
      <c r="L1129" s="215" t="n">
        <v>40641</v>
      </c>
      <c r="M1129" s="213" t="n">
        <v>29.6</v>
      </c>
      <c r="N1129" s="213" t="n">
        <v>37</v>
      </c>
      <c r="O1129" s="213" t="n">
        <v>13.3333333333333</v>
      </c>
      <c r="P1129" s="213" t="n">
        <v>11.9666666666667</v>
      </c>
    </row>
    <row r="1130" customFormat="false" ht="12.75" hidden="false" customHeight="false" outlineLevel="0" collapsed="false">
      <c r="A1130" s="215" t="n">
        <v>40641</v>
      </c>
      <c r="B1130" s="213" t="n">
        <v>29.3</v>
      </c>
      <c r="C1130" s="213" t="n">
        <f aca="false">AVERAGEIFS($B$33:$B$1494,$A$33:$A$1494,A1130)</f>
        <v>29.6</v>
      </c>
      <c r="D1130" s="213" t="n">
        <v>36.4</v>
      </c>
      <c r="E1130" s="213" t="n">
        <f aca="false">AVERAGEIFS($D$33:$D$1494,$A$33:$A$1494,A1130)</f>
        <v>37</v>
      </c>
      <c r="F1130" s="213" t="n">
        <v>14.8</v>
      </c>
      <c r="G1130" s="213" t="n">
        <f aca="false">AVERAGEIFS($F$33:$F$1494,$A$33:$A$1494,A1130)</f>
        <v>13.3333333333333</v>
      </c>
      <c r="H1130" s="213" t="n">
        <v>12.3</v>
      </c>
      <c r="I1130" s="213" t="n">
        <f aca="false">AVERAGEIFS($H$33:$H$1494,$A$33:$A$1494,A1130)</f>
        <v>11.9666666666667</v>
      </c>
      <c r="L1130" s="215" t="n">
        <v>40641</v>
      </c>
      <c r="M1130" s="213" t="n">
        <v>29.6</v>
      </c>
      <c r="N1130" s="213" t="n">
        <v>37</v>
      </c>
      <c r="O1130" s="213" t="n">
        <v>13.3333333333333</v>
      </c>
      <c r="P1130" s="213" t="n">
        <v>11.9666666666667</v>
      </c>
    </row>
    <row r="1131" customFormat="false" ht="12.75" hidden="false" customHeight="false" outlineLevel="0" collapsed="false">
      <c r="A1131" s="215" t="n">
        <v>40642</v>
      </c>
      <c r="B1131" s="213" t="n">
        <v>29.3</v>
      </c>
      <c r="C1131" s="213" t="n">
        <f aca="false">AVERAGEIFS($B$33:$B$1494,$A$33:$A$1494,A1131)</f>
        <v>29.0333333333333</v>
      </c>
      <c r="D1131" s="213" t="n">
        <v>36.4</v>
      </c>
      <c r="E1131" s="213" t="n">
        <f aca="false">AVERAGEIFS($D$33:$D$1494,$A$33:$A$1494,A1131)</f>
        <v>36.15</v>
      </c>
      <c r="F1131" s="213" t="n">
        <v>13.9</v>
      </c>
      <c r="G1131" s="213" t="n">
        <f aca="false">AVERAGEIFS($F$33:$F$1494,$A$33:$A$1494,A1131)</f>
        <v>13.5666666666667</v>
      </c>
      <c r="H1131" s="213" t="n">
        <v>12.5</v>
      </c>
      <c r="I1131" s="213" t="n">
        <f aca="false">AVERAGEIFS($H$33:$H$1494,$A$33:$A$1494,A1131)</f>
        <v>12.3666666666667</v>
      </c>
      <c r="L1131" s="215" t="n">
        <v>40642</v>
      </c>
      <c r="M1131" s="213" t="n">
        <v>29.0333333333333</v>
      </c>
      <c r="N1131" s="213" t="n">
        <v>36.15</v>
      </c>
      <c r="O1131" s="213" t="n">
        <v>13.5666666666667</v>
      </c>
      <c r="P1131" s="213" t="n">
        <v>12.3666666666667</v>
      </c>
    </row>
    <row r="1132" customFormat="false" ht="12.75" hidden="false" customHeight="false" outlineLevel="0" collapsed="false">
      <c r="A1132" s="215" t="n">
        <v>40642</v>
      </c>
      <c r="B1132" s="213" t="n">
        <v>29.4</v>
      </c>
      <c r="C1132" s="213" t="n">
        <f aca="false">AVERAGEIFS($B$33:$B$1494,$A$33:$A$1494,A1132)</f>
        <v>29.0333333333333</v>
      </c>
      <c r="D1132" s="213" t="n">
        <v>36.4</v>
      </c>
      <c r="E1132" s="213" t="n">
        <f aca="false">AVERAGEIFS($D$33:$D$1494,$A$33:$A$1494,A1132)</f>
        <v>36.15</v>
      </c>
      <c r="F1132" s="213" t="n">
        <v>13.2</v>
      </c>
      <c r="G1132" s="213" t="n">
        <f aca="false">AVERAGEIFS($F$33:$F$1494,$A$33:$A$1494,A1132)</f>
        <v>13.5666666666667</v>
      </c>
      <c r="H1132" s="213" t="n">
        <v>12.5</v>
      </c>
      <c r="I1132" s="213" t="n">
        <f aca="false">AVERAGEIFS($H$33:$H$1494,$A$33:$A$1494,A1132)</f>
        <v>12.3666666666667</v>
      </c>
      <c r="L1132" s="215" t="n">
        <v>40642</v>
      </c>
      <c r="M1132" s="213" t="n">
        <v>29.0333333333333</v>
      </c>
      <c r="N1132" s="213" t="n">
        <v>36.15</v>
      </c>
      <c r="O1132" s="213" t="n">
        <v>13.5666666666667</v>
      </c>
      <c r="P1132" s="213" t="n">
        <v>12.3666666666667</v>
      </c>
    </row>
    <row r="1133" customFormat="false" ht="12.75" hidden="false" customHeight="false" outlineLevel="0" collapsed="false">
      <c r="A1133" s="215" t="n">
        <v>40642</v>
      </c>
      <c r="B1133" s="213" t="n">
        <v>29.2</v>
      </c>
      <c r="C1133" s="213" t="n">
        <f aca="false">AVERAGEIFS($B$33:$B$1494,$A$33:$A$1494,A1133)</f>
        <v>29.0333333333333</v>
      </c>
      <c r="D1133" s="213" t="n">
        <v>36.4</v>
      </c>
      <c r="E1133" s="213" t="n">
        <f aca="false">AVERAGEIFS($D$33:$D$1494,$A$33:$A$1494,A1133)</f>
        <v>36.15</v>
      </c>
      <c r="F1133" s="213" t="n">
        <v>12.2</v>
      </c>
      <c r="G1133" s="213" t="n">
        <f aca="false">AVERAGEIFS($F$33:$F$1494,$A$33:$A$1494,A1133)</f>
        <v>13.5666666666667</v>
      </c>
      <c r="H1133" s="213" t="n">
        <v>12.4</v>
      </c>
      <c r="I1133" s="213" t="n">
        <f aca="false">AVERAGEIFS($H$33:$H$1494,$A$33:$A$1494,A1133)</f>
        <v>12.3666666666667</v>
      </c>
      <c r="L1133" s="215" t="n">
        <v>40642</v>
      </c>
      <c r="M1133" s="213" t="n">
        <v>29.0333333333333</v>
      </c>
      <c r="N1133" s="213" t="n">
        <v>36.15</v>
      </c>
      <c r="O1133" s="213" t="n">
        <v>13.5666666666667</v>
      </c>
      <c r="P1133" s="213" t="n">
        <v>12.3666666666667</v>
      </c>
    </row>
    <row r="1134" customFormat="false" ht="12.75" hidden="false" customHeight="false" outlineLevel="0" collapsed="false">
      <c r="A1134" s="215" t="n">
        <v>40642</v>
      </c>
      <c r="B1134" s="213" t="n">
        <v>29</v>
      </c>
      <c r="C1134" s="213" t="n">
        <f aca="false">AVERAGEIFS($B$33:$B$1494,$A$33:$A$1494,A1134)</f>
        <v>29.0333333333333</v>
      </c>
      <c r="D1134" s="213" t="n">
        <v>36.3</v>
      </c>
      <c r="E1134" s="213" t="n">
        <f aca="false">AVERAGEIFS($D$33:$D$1494,$A$33:$A$1494,A1134)</f>
        <v>36.15</v>
      </c>
      <c r="F1134" s="213" t="n">
        <v>12.7</v>
      </c>
      <c r="G1134" s="213" t="n">
        <f aca="false">AVERAGEIFS($F$33:$F$1494,$A$33:$A$1494,A1134)</f>
        <v>13.5666666666667</v>
      </c>
      <c r="H1134" s="213" t="n">
        <v>12.1</v>
      </c>
      <c r="I1134" s="213" t="n">
        <f aca="false">AVERAGEIFS($H$33:$H$1494,$A$33:$A$1494,A1134)</f>
        <v>12.3666666666667</v>
      </c>
      <c r="L1134" s="215" t="n">
        <v>40642</v>
      </c>
      <c r="M1134" s="213" t="n">
        <v>29.0333333333333</v>
      </c>
      <c r="N1134" s="213" t="n">
        <v>36.15</v>
      </c>
      <c r="O1134" s="213" t="n">
        <v>13.5666666666667</v>
      </c>
      <c r="P1134" s="213" t="n">
        <v>12.3666666666667</v>
      </c>
    </row>
    <row r="1135" customFormat="false" ht="12.75" hidden="false" customHeight="false" outlineLevel="0" collapsed="false">
      <c r="A1135" s="215" t="n">
        <v>40642</v>
      </c>
      <c r="B1135" s="213" t="n">
        <v>28.8</v>
      </c>
      <c r="C1135" s="213" t="n">
        <f aca="false">AVERAGEIFS($B$33:$B$1494,$A$33:$A$1494,A1135)</f>
        <v>29.0333333333333</v>
      </c>
      <c r="D1135" s="213" t="n">
        <v>35.9</v>
      </c>
      <c r="E1135" s="213" t="n">
        <f aca="false">AVERAGEIFS($D$33:$D$1494,$A$33:$A$1494,A1135)</f>
        <v>36.15</v>
      </c>
      <c r="F1135" s="213" t="n">
        <v>14.3</v>
      </c>
      <c r="G1135" s="213" t="n">
        <f aca="false">AVERAGEIFS($F$33:$F$1494,$A$33:$A$1494,A1135)</f>
        <v>13.5666666666667</v>
      </c>
      <c r="H1135" s="213" t="n">
        <v>12.2</v>
      </c>
      <c r="I1135" s="213" t="n">
        <f aca="false">AVERAGEIFS($H$33:$H$1494,$A$33:$A$1494,A1135)</f>
        <v>12.3666666666667</v>
      </c>
      <c r="L1135" s="215" t="n">
        <v>40642</v>
      </c>
      <c r="M1135" s="213" t="n">
        <v>29.0333333333333</v>
      </c>
      <c r="N1135" s="213" t="n">
        <v>36.15</v>
      </c>
      <c r="O1135" s="213" t="n">
        <v>13.5666666666667</v>
      </c>
      <c r="P1135" s="213" t="n">
        <v>12.3666666666667</v>
      </c>
    </row>
    <row r="1136" customFormat="false" ht="12.75" hidden="false" customHeight="false" outlineLevel="0" collapsed="false">
      <c r="A1136" s="215" t="n">
        <v>40642</v>
      </c>
      <c r="B1136" s="213" t="n">
        <v>28.5</v>
      </c>
      <c r="C1136" s="213" t="n">
        <f aca="false">AVERAGEIFS($B$33:$B$1494,$A$33:$A$1494,A1136)</f>
        <v>29.0333333333333</v>
      </c>
      <c r="D1136" s="213" t="n">
        <v>35.5</v>
      </c>
      <c r="E1136" s="213" t="n">
        <f aca="false">AVERAGEIFS($D$33:$D$1494,$A$33:$A$1494,A1136)</f>
        <v>36.15</v>
      </c>
      <c r="F1136" s="213" t="n">
        <v>15.1</v>
      </c>
      <c r="G1136" s="213" t="n">
        <f aca="false">AVERAGEIFS($F$33:$F$1494,$A$33:$A$1494,A1136)</f>
        <v>13.5666666666667</v>
      </c>
      <c r="H1136" s="213" t="n">
        <v>12.5</v>
      </c>
      <c r="I1136" s="213" t="n">
        <f aca="false">AVERAGEIFS($H$33:$H$1494,$A$33:$A$1494,A1136)</f>
        <v>12.3666666666667</v>
      </c>
      <c r="L1136" s="215" t="n">
        <v>40642</v>
      </c>
      <c r="M1136" s="213" t="n">
        <v>29.0333333333333</v>
      </c>
      <c r="N1136" s="213" t="n">
        <v>36.15</v>
      </c>
      <c r="O1136" s="213" t="n">
        <v>13.5666666666667</v>
      </c>
      <c r="P1136" s="213" t="n">
        <v>12.3666666666667</v>
      </c>
    </row>
    <row r="1137" customFormat="false" ht="12.75" hidden="false" customHeight="false" outlineLevel="0" collapsed="false">
      <c r="A1137" s="215" t="n">
        <v>40643</v>
      </c>
      <c r="B1137" s="213" t="n">
        <v>29</v>
      </c>
      <c r="C1137" s="213" t="n">
        <f aca="false">AVERAGEIFS($B$33:$B$1494,$A$33:$A$1494,A1137)</f>
        <v>28.8166666666667</v>
      </c>
      <c r="D1137" s="213" t="n">
        <v>35.5</v>
      </c>
      <c r="E1137" s="213" t="n">
        <f aca="false">AVERAGEIFS($D$33:$D$1494,$A$33:$A$1494,A1137)</f>
        <v>35.4</v>
      </c>
      <c r="F1137" s="213" t="n">
        <v>14.6</v>
      </c>
      <c r="G1137" s="213" t="n">
        <f aca="false">AVERAGEIFS($F$33:$F$1494,$A$33:$A$1494,A1137)</f>
        <v>13.8833333333333</v>
      </c>
      <c r="H1137" s="213" t="n">
        <v>12.9</v>
      </c>
      <c r="I1137" s="213" t="n">
        <f aca="false">AVERAGEIFS($H$33:$H$1494,$A$33:$A$1494,A1137)</f>
        <v>12.8166666666667</v>
      </c>
      <c r="L1137" s="215" t="n">
        <v>40643</v>
      </c>
      <c r="M1137" s="213" t="n">
        <v>28.8166666666667</v>
      </c>
      <c r="N1137" s="213" t="n">
        <v>35.4</v>
      </c>
      <c r="O1137" s="213" t="n">
        <v>13.8833333333333</v>
      </c>
      <c r="P1137" s="213" t="n">
        <v>12.8166666666667</v>
      </c>
    </row>
    <row r="1138" customFormat="false" ht="12.75" hidden="false" customHeight="false" outlineLevel="0" collapsed="false">
      <c r="A1138" s="215" t="n">
        <v>40643</v>
      </c>
      <c r="B1138" s="213" t="n">
        <v>28.9</v>
      </c>
      <c r="C1138" s="213" t="n">
        <f aca="false">AVERAGEIFS($B$33:$B$1494,$A$33:$A$1494,A1138)</f>
        <v>28.8166666666667</v>
      </c>
      <c r="D1138" s="213" t="n">
        <v>35.5</v>
      </c>
      <c r="E1138" s="213" t="n">
        <f aca="false">AVERAGEIFS($D$33:$D$1494,$A$33:$A$1494,A1138)</f>
        <v>35.4</v>
      </c>
      <c r="F1138" s="213" t="n">
        <v>14</v>
      </c>
      <c r="G1138" s="213" t="n">
        <f aca="false">AVERAGEIFS($F$33:$F$1494,$A$33:$A$1494,A1138)</f>
        <v>13.8833333333333</v>
      </c>
      <c r="H1138" s="213" t="n">
        <v>12.9</v>
      </c>
      <c r="I1138" s="213" t="n">
        <f aca="false">AVERAGEIFS($H$33:$H$1494,$A$33:$A$1494,A1138)</f>
        <v>12.8166666666667</v>
      </c>
      <c r="L1138" s="215" t="n">
        <v>40643</v>
      </c>
      <c r="M1138" s="213" t="n">
        <v>28.8166666666667</v>
      </c>
      <c r="N1138" s="213" t="n">
        <v>35.4</v>
      </c>
      <c r="O1138" s="213" t="n">
        <v>13.8833333333333</v>
      </c>
      <c r="P1138" s="213" t="n">
        <v>12.8166666666667</v>
      </c>
    </row>
    <row r="1139" customFormat="false" ht="12.75" hidden="false" customHeight="false" outlineLevel="0" collapsed="false">
      <c r="A1139" s="215" t="n">
        <v>40643</v>
      </c>
      <c r="B1139" s="213" t="n">
        <v>28.9</v>
      </c>
      <c r="C1139" s="213" t="n">
        <f aca="false">AVERAGEIFS($B$33:$B$1494,$A$33:$A$1494,A1139)</f>
        <v>28.8166666666667</v>
      </c>
      <c r="D1139" s="213" t="n">
        <v>35.5</v>
      </c>
      <c r="E1139" s="213" t="n">
        <f aca="false">AVERAGEIFS($D$33:$D$1494,$A$33:$A$1494,A1139)</f>
        <v>35.4</v>
      </c>
      <c r="F1139" s="213" t="n">
        <v>13.6</v>
      </c>
      <c r="G1139" s="213" t="n">
        <f aca="false">AVERAGEIFS($F$33:$F$1494,$A$33:$A$1494,A1139)</f>
        <v>13.8833333333333</v>
      </c>
      <c r="H1139" s="213" t="n">
        <v>12.8</v>
      </c>
      <c r="I1139" s="213" t="n">
        <f aca="false">AVERAGEIFS($H$33:$H$1494,$A$33:$A$1494,A1139)</f>
        <v>12.8166666666667</v>
      </c>
      <c r="L1139" s="215" t="n">
        <v>40643</v>
      </c>
      <c r="M1139" s="213" t="n">
        <v>28.8166666666667</v>
      </c>
      <c r="N1139" s="213" t="n">
        <v>35.4</v>
      </c>
      <c r="O1139" s="213" t="n">
        <v>13.8833333333333</v>
      </c>
      <c r="P1139" s="213" t="n">
        <v>12.8166666666667</v>
      </c>
    </row>
    <row r="1140" customFormat="false" ht="12.75" hidden="false" customHeight="false" outlineLevel="0" collapsed="false">
      <c r="A1140" s="215" t="n">
        <v>40643</v>
      </c>
      <c r="B1140" s="213" t="n">
        <v>28.8</v>
      </c>
      <c r="C1140" s="213" t="n">
        <f aca="false">AVERAGEIFS($B$33:$B$1494,$A$33:$A$1494,A1140)</f>
        <v>28.8166666666667</v>
      </c>
      <c r="D1140" s="213" t="n">
        <v>35.4</v>
      </c>
      <c r="E1140" s="213" t="n">
        <f aca="false">AVERAGEIFS($D$33:$D$1494,$A$33:$A$1494,A1140)</f>
        <v>35.4</v>
      </c>
      <c r="F1140" s="213" t="n">
        <v>13.5</v>
      </c>
      <c r="G1140" s="213" t="n">
        <f aca="false">AVERAGEIFS($F$33:$F$1494,$A$33:$A$1494,A1140)</f>
        <v>13.8833333333333</v>
      </c>
      <c r="H1140" s="213" t="n">
        <v>12.8</v>
      </c>
      <c r="I1140" s="213" t="n">
        <f aca="false">AVERAGEIFS($H$33:$H$1494,$A$33:$A$1494,A1140)</f>
        <v>12.8166666666667</v>
      </c>
      <c r="L1140" s="215" t="n">
        <v>40643</v>
      </c>
      <c r="M1140" s="213" t="n">
        <v>28.8166666666667</v>
      </c>
      <c r="N1140" s="213" t="n">
        <v>35.4</v>
      </c>
      <c r="O1140" s="213" t="n">
        <v>13.8833333333333</v>
      </c>
      <c r="P1140" s="213" t="n">
        <v>12.8166666666667</v>
      </c>
    </row>
    <row r="1141" customFormat="false" ht="12.75" hidden="false" customHeight="false" outlineLevel="0" collapsed="false">
      <c r="A1141" s="215" t="n">
        <v>40643</v>
      </c>
      <c r="B1141" s="213" t="n">
        <v>28.7</v>
      </c>
      <c r="C1141" s="213" t="n">
        <f aca="false">AVERAGEIFS($B$33:$B$1494,$A$33:$A$1494,A1141)</f>
        <v>28.8166666666667</v>
      </c>
      <c r="D1141" s="213" t="n">
        <v>35.3</v>
      </c>
      <c r="E1141" s="213" t="n">
        <f aca="false">AVERAGEIFS($D$33:$D$1494,$A$33:$A$1494,A1141)</f>
        <v>35.4</v>
      </c>
      <c r="F1141" s="213" t="n">
        <v>13.8</v>
      </c>
      <c r="G1141" s="213" t="n">
        <f aca="false">AVERAGEIFS($F$33:$F$1494,$A$33:$A$1494,A1141)</f>
        <v>13.8833333333333</v>
      </c>
      <c r="H1141" s="213" t="n">
        <v>12.7</v>
      </c>
      <c r="I1141" s="213" t="n">
        <f aca="false">AVERAGEIFS($H$33:$H$1494,$A$33:$A$1494,A1141)</f>
        <v>12.8166666666667</v>
      </c>
      <c r="L1141" s="215" t="n">
        <v>40643</v>
      </c>
      <c r="M1141" s="213" t="n">
        <v>28.8166666666667</v>
      </c>
      <c r="N1141" s="213" t="n">
        <v>35.4</v>
      </c>
      <c r="O1141" s="213" t="n">
        <v>13.8833333333333</v>
      </c>
      <c r="P1141" s="213" t="n">
        <v>12.8166666666667</v>
      </c>
    </row>
    <row r="1142" customFormat="false" ht="12.75" hidden="false" customHeight="false" outlineLevel="0" collapsed="false">
      <c r="A1142" s="215" t="n">
        <v>40643</v>
      </c>
      <c r="B1142" s="213" t="n">
        <v>28.6</v>
      </c>
      <c r="C1142" s="213" t="n">
        <f aca="false">AVERAGEIFS($B$33:$B$1494,$A$33:$A$1494,A1142)</f>
        <v>28.8166666666667</v>
      </c>
      <c r="D1142" s="213" t="n">
        <v>35.2</v>
      </c>
      <c r="E1142" s="213" t="n">
        <f aca="false">AVERAGEIFS($D$33:$D$1494,$A$33:$A$1494,A1142)</f>
        <v>35.4</v>
      </c>
      <c r="F1142" s="213" t="n">
        <v>13.8</v>
      </c>
      <c r="G1142" s="213" t="n">
        <f aca="false">AVERAGEIFS($F$33:$F$1494,$A$33:$A$1494,A1142)</f>
        <v>13.8833333333333</v>
      </c>
      <c r="H1142" s="213" t="n">
        <v>12.8</v>
      </c>
      <c r="I1142" s="213" t="n">
        <f aca="false">AVERAGEIFS($H$33:$H$1494,$A$33:$A$1494,A1142)</f>
        <v>12.8166666666667</v>
      </c>
      <c r="L1142" s="215" t="n">
        <v>40643</v>
      </c>
      <c r="M1142" s="213" t="n">
        <v>28.8166666666667</v>
      </c>
      <c r="N1142" s="213" t="n">
        <v>35.4</v>
      </c>
      <c r="O1142" s="213" t="n">
        <v>13.8833333333333</v>
      </c>
      <c r="P1142" s="213" t="n">
        <v>12.8166666666667</v>
      </c>
    </row>
    <row r="1143" customFormat="false" ht="12.75" hidden="false" customHeight="false" outlineLevel="0" collapsed="false">
      <c r="A1143" s="215" t="n">
        <v>40644</v>
      </c>
      <c r="B1143" s="213" t="n">
        <v>28.6</v>
      </c>
      <c r="C1143" s="213" t="n">
        <f aca="false">AVERAGEIFS($B$33:$B$1494,$A$33:$A$1494,A1143)</f>
        <v>28.45</v>
      </c>
      <c r="D1143" s="213" t="n">
        <v>35.2</v>
      </c>
      <c r="E1143" s="213" t="n">
        <f aca="false">AVERAGEIFS($D$33:$D$1494,$A$33:$A$1494,A1143)</f>
        <v>35.15</v>
      </c>
      <c r="F1143" s="213" t="n">
        <v>13.5</v>
      </c>
      <c r="G1143" s="213" t="n">
        <f aca="false">AVERAGEIFS($F$33:$F$1494,$A$33:$A$1494,A1143)</f>
        <v>13.5166666666667</v>
      </c>
      <c r="H1143" s="213" t="n">
        <v>12.7</v>
      </c>
      <c r="I1143" s="213" t="n">
        <f aca="false">AVERAGEIFS($H$33:$H$1494,$A$33:$A$1494,A1143)</f>
        <v>12.6333333333333</v>
      </c>
      <c r="L1143" s="215" t="n">
        <v>40644</v>
      </c>
      <c r="M1143" s="213" t="n">
        <v>28.45</v>
      </c>
      <c r="N1143" s="213" t="n">
        <v>35.15</v>
      </c>
      <c r="O1143" s="213" t="n">
        <v>13.5166666666667</v>
      </c>
      <c r="P1143" s="213" t="n">
        <v>12.6333333333333</v>
      </c>
    </row>
    <row r="1144" customFormat="false" ht="12.75" hidden="false" customHeight="false" outlineLevel="0" collapsed="false">
      <c r="A1144" s="215" t="n">
        <v>40644</v>
      </c>
      <c r="B1144" s="213" t="n">
        <v>28.6</v>
      </c>
      <c r="C1144" s="213" t="n">
        <f aca="false">AVERAGEIFS($B$33:$B$1494,$A$33:$A$1494,A1144)</f>
        <v>28.45</v>
      </c>
      <c r="D1144" s="213" t="n">
        <v>35.2</v>
      </c>
      <c r="E1144" s="213" t="n">
        <f aca="false">AVERAGEIFS($D$33:$D$1494,$A$33:$A$1494,A1144)</f>
        <v>35.15</v>
      </c>
      <c r="F1144" s="213" t="n">
        <v>13.2</v>
      </c>
      <c r="G1144" s="213" t="n">
        <f aca="false">AVERAGEIFS($F$33:$F$1494,$A$33:$A$1494,A1144)</f>
        <v>13.5166666666667</v>
      </c>
      <c r="H1144" s="213" t="n">
        <v>12.7</v>
      </c>
      <c r="I1144" s="213" t="n">
        <f aca="false">AVERAGEIFS($H$33:$H$1494,$A$33:$A$1494,A1144)</f>
        <v>12.6333333333333</v>
      </c>
      <c r="L1144" s="215" t="n">
        <v>40644</v>
      </c>
      <c r="M1144" s="213" t="n">
        <v>28.45</v>
      </c>
      <c r="N1144" s="213" t="n">
        <v>35.15</v>
      </c>
      <c r="O1144" s="213" t="n">
        <v>13.5166666666667</v>
      </c>
      <c r="P1144" s="213" t="n">
        <v>12.6333333333333</v>
      </c>
    </row>
    <row r="1145" customFormat="false" ht="12.75" hidden="false" customHeight="false" outlineLevel="0" collapsed="false">
      <c r="A1145" s="215" t="n">
        <v>40644</v>
      </c>
      <c r="B1145" s="213" t="n">
        <v>28.5</v>
      </c>
      <c r="C1145" s="213" t="n">
        <f aca="false">AVERAGEIFS($B$33:$B$1494,$A$33:$A$1494,A1145)</f>
        <v>28.45</v>
      </c>
      <c r="D1145" s="213" t="n">
        <v>35.4</v>
      </c>
      <c r="E1145" s="213" t="n">
        <f aca="false">AVERAGEIFS($D$33:$D$1494,$A$33:$A$1494,A1145)</f>
        <v>35.15</v>
      </c>
      <c r="F1145" s="213" t="n">
        <v>13.1</v>
      </c>
      <c r="G1145" s="213" t="n">
        <f aca="false">AVERAGEIFS($F$33:$F$1494,$A$33:$A$1494,A1145)</f>
        <v>13.5166666666667</v>
      </c>
      <c r="H1145" s="213" t="n">
        <v>12.6</v>
      </c>
      <c r="I1145" s="213" t="n">
        <f aca="false">AVERAGEIFS($H$33:$H$1494,$A$33:$A$1494,A1145)</f>
        <v>12.6333333333333</v>
      </c>
      <c r="L1145" s="215" t="n">
        <v>40644</v>
      </c>
      <c r="M1145" s="213" t="n">
        <v>28.45</v>
      </c>
      <c r="N1145" s="213" t="n">
        <v>35.15</v>
      </c>
      <c r="O1145" s="213" t="n">
        <v>13.5166666666667</v>
      </c>
      <c r="P1145" s="213" t="n">
        <v>12.6333333333333</v>
      </c>
    </row>
    <row r="1146" customFormat="false" ht="12.75" hidden="false" customHeight="false" outlineLevel="0" collapsed="false">
      <c r="A1146" s="215" t="n">
        <v>40644</v>
      </c>
      <c r="B1146" s="213" t="n">
        <v>28.5</v>
      </c>
      <c r="C1146" s="213" t="n">
        <f aca="false">AVERAGEIFS($B$33:$B$1494,$A$33:$A$1494,A1146)</f>
        <v>28.45</v>
      </c>
      <c r="D1146" s="213" t="n">
        <v>35.3</v>
      </c>
      <c r="E1146" s="213" t="n">
        <f aca="false">AVERAGEIFS($D$33:$D$1494,$A$33:$A$1494,A1146)</f>
        <v>35.15</v>
      </c>
      <c r="F1146" s="213" t="n">
        <v>13.3</v>
      </c>
      <c r="G1146" s="213" t="n">
        <f aca="false">AVERAGEIFS($F$33:$F$1494,$A$33:$A$1494,A1146)</f>
        <v>13.5166666666667</v>
      </c>
      <c r="H1146" s="213" t="n">
        <v>12.5</v>
      </c>
      <c r="I1146" s="213" t="n">
        <f aca="false">AVERAGEIFS($H$33:$H$1494,$A$33:$A$1494,A1146)</f>
        <v>12.6333333333333</v>
      </c>
      <c r="L1146" s="215" t="n">
        <v>40644</v>
      </c>
      <c r="M1146" s="213" t="n">
        <v>28.45</v>
      </c>
      <c r="N1146" s="213" t="n">
        <v>35.15</v>
      </c>
      <c r="O1146" s="213" t="n">
        <v>13.5166666666667</v>
      </c>
      <c r="P1146" s="213" t="n">
        <v>12.6333333333333</v>
      </c>
    </row>
    <row r="1147" customFormat="false" ht="12.75" hidden="false" customHeight="false" outlineLevel="0" collapsed="false">
      <c r="A1147" s="215" t="n">
        <v>40644</v>
      </c>
      <c r="B1147" s="213" t="n">
        <v>28.3</v>
      </c>
      <c r="C1147" s="213" t="n">
        <f aca="false">AVERAGEIFS($B$33:$B$1494,$A$33:$A$1494,A1147)</f>
        <v>28.45</v>
      </c>
      <c r="D1147" s="213" t="n">
        <v>35</v>
      </c>
      <c r="E1147" s="213" t="n">
        <f aca="false">AVERAGEIFS($D$33:$D$1494,$A$33:$A$1494,A1147)</f>
        <v>35.15</v>
      </c>
      <c r="F1147" s="213" t="n">
        <v>13.9</v>
      </c>
      <c r="G1147" s="213" t="n">
        <f aca="false">AVERAGEIFS($F$33:$F$1494,$A$33:$A$1494,A1147)</f>
        <v>13.5166666666667</v>
      </c>
      <c r="H1147" s="213" t="n">
        <v>12.6</v>
      </c>
      <c r="I1147" s="213" t="n">
        <f aca="false">AVERAGEIFS($H$33:$H$1494,$A$33:$A$1494,A1147)</f>
        <v>12.6333333333333</v>
      </c>
      <c r="L1147" s="215" t="n">
        <v>40644</v>
      </c>
      <c r="M1147" s="213" t="n">
        <v>28.45</v>
      </c>
      <c r="N1147" s="213" t="n">
        <v>35.15</v>
      </c>
      <c r="O1147" s="213" t="n">
        <v>13.5166666666667</v>
      </c>
      <c r="P1147" s="213" t="n">
        <v>12.6333333333333</v>
      </c>
    </row>
    <row r="1148" customFormat="false" ht="12.75" hidden="false" customHeight="false" outlineLevel="0" collapsed="false">
      <c r="A1148" s="215" t="n">
        <v>40644</v>
      </c>
      <c r="B1148" s="213" t="n">
        <v>28.2</v>
      </c>
      <c r="C1148" s="213" t="n">
        <f aca="false">AVERAGEIFS($B$33:$B$1494,$A$33:$A$1494,A1148)</f>
        <v>28.45</v>
      </c>
      <c r="D1148" s="213" t="n">
        <v>34.8</v>
      </c>
      <c r="E1148" s="213" t="n">
        <f aca="false">AVERAGEIFS($D$33:$D$1494,$A$33:$A$1494,A1148)</f>
        <v>35.15</v>
      </c>
      <c r="F1148" s="213" t="n">
        <v>14.1</v>
      </c>
      <c r="G1148" s="213" t="n">
        <f aca="false">AVERAGEIFS($F$33:$F$1494,$A$33:$A$1494,A1148)</f>
        <v>13.5166666666667</v>
      </c>
      <c r="H1148" s="213" t="n">
        <v>12.7</v>
      </c>
      <c r="I1148" s="213" t="n">
        <f aca="false">AVERAGEIFS($H$33:$H$1494,$A$33:$A$1494,A1148)</f>
        <v>12.6333333333333</v>
      </c>
      <c r="L1148" s="215" t="n">
        <v>40644</v>
      </c>
      <c r="M1148" s="213" t="n">
        <v>28.45</v>
      </c>
      <c r="N1148" s="213" t="n">
        <v>35.15</v>
      </c>
      <c r="O1148" s="213" t="n">
        <v>13.5166666666667</v>
      </c>
      <c r="P1148" s="213" t="n">
        <v>12.6333333333333</v>
      </c>
    </row>
    <row r="1149" customFormat="false" ht="12.75" hidden="false" customHeight="false" outlineLevel="0" collapsed="false">
      <c r="A1149" s="215" t="n">
        <v>40645</v>
      </c>
      <c r="B1149" s="213" t="n">
        <v>28.2</v>
      </c>
      <c r="C1149" s="213" t="n">
        <f aca="false">AVERAGEIFS($B$33:$B$1494,$A$33:$A$1494,A1149)</f>
        <v>28.0666666666667</v>
      </c>
      <c r="D1149" s="213" t="n">
        <v>34.7</v>
      </c>
      <c r="E1149" s="213" t="n">
        <f aca="false">AVERAGEIFS($D$33:$D$1494,$A$33:$A$1494,A1149)</f>
        <v>34.6166666666667</v>
      </c>
      <c r="F1149" s="213" t="n">
        <v>13.6</v>
      </c>
      <c r="G1149" s="213" t="n">
        <f aca="false">AVERAGEIFS($F$33:$F$1494,$A$33:$A$1494,A1149)</f>
        <v>13.2333333333333</v>
      </c>
      <c r="H1149" s="213" t="n">
        <v>12.8</v>
      </c>
      <c r="I1149" s="213" t="n">
        <f aca="false">AVERAGEIFS($H$33:$H$1494,$A$33:$A$1494,A1149)</f>
        <v>12.6</v>
      </c>
      <c r="L1149" s="215" t="n">
        <v>40645</v>
      </c>
      <c r="M1149" s="213" t="n">
        <v>28.0666666666667</v>
      </c>
      <c r="N1149" s="213" t="n">
        <v>34.6166666666667</v>
      </c>
      <c r="O1149" s="213" t="n">
        <v>13.2333333333333</v>
      </c>
      <c r="P1149" s="213" t="n">
        <v>12.6</v>
      </c>
    </row>
    <row r="1150" customFormat="false" ht="12.75" hidden="false" customHeight="false" outlineLevel="0" collapsed="false">
      <c r="A1150" s="215" t="n">
        <v>40645</v>
      </c>
      <c r="B1150" s="213" t="n">
        <v>28.1</v>
      </c>
      <c r="C1150" s="213" t="n">
        <f aca="false">AVERAGEIFS($B$33:$B$1494,$A$33:$A$1494,A1150)</f>
        <v>28.0666666666667</v>
      </c>
      <c r="D1150" s="213" t="n">
        <v>34.7</v>
      </c>
      <c r="E1150" s="213" t="n">
        <f aca="false">AVERAGEIFS($D$33:$D$1494,$A$33:$A$1494,A1150)</f>
        <v>34.6166666666667</v>
      </c>
      <c r="F1150" s="213" t="n">
        <v>13.2</v>
      </c>
      <c r="G1150" s="213" t="n">
        <f aca="false">AVERAGEIFS($F$33:$F$1494,$A$33:$A$1494,A1150)</f>
        <v>13.2333333333333</v>
      </c>
      <c r="H1150" s="213" t="n">
        <v>12.7</v>
      </c>
      <c r="I1150" s="213" t="n">
        <f aca="false">AVERAGEIFS($H$33:$H$1494,$A$33:$A$1494,A1150)</f>
        <v>12.6</v>
      </c>
      <c r="L1150" s="215" t="n">
        <v>40645</v>
      </c>
      <c r="M1150" s="213" t="n">
        <v>28.0666666666667</v>
      </c>
      <c r="N1150" s="213" t="n">
        <v>34.6166666666667</v>
      </c>
      <c r="O1150" s="213" t="n">
        <v>13.2333333333333</v>
      </c>
      <c r="P1150" s="213" t="n">
        <v>12.6</v>
      </c>
    </row>
    <row r="1151" customFormat="false" ht="12.75" hidden="false" customHeight="false" outlineLevel="0" collapsed="false">
      <c r="A1151" s="215" t="n">
        <v>40645</v>
      </c>
      <c r="B1151" s="213" t="n">
        <v>28.1</v>
      </c>
      <c r="C1151" s="213" t="n">
        <f aca="false">AVERAGEIFS($B$33:$B$1494,$A$33:$A$1494,A1151)</f>
        <v>28.0666666666667</v>
      </c>
      <c r="D1151" s="213" t="n">
        <v>34.7</v>
      </c>
      <c r="E1151" s="213" t="n">
        <f aca="false">AVERAGEIFS($D$33:$D$1494,$A$33:$A$1494,A1151)</f>
        <v>34.6166666666667</v>
      </c>
      <c r="F1151" s="213" t="n">
        <v>13</v>
      </c>
      <c r="G1151" s="213" t="n">
        <f aca="false">AVERAGEIFS($F$33:$F$1494,$A$33:$A$1494,A1151)</f>
        <v>13.2333333333333</v>
      </c>
      <c r="H1151" s="213" t="n">
        <v>12.6</v>
      </c>
      <c r="I1151" s="213" t="n">
        <f aca="false">AVERAGEIFS($H$33:$H$1494,$A$33:$A$1494,A1151)</f>
        <v>12.6</v>
      </c>
      <c r="L1151" s="215" t="n">
        <v>40645</v>
      </c>
      <c r="M1151" s="213" t="n">
        <v>28.0666666666667</v>
      </c>
      <c r="N1151" s="213" t="n">
        <v>34.6166666666667</v>
      </c>
      <c r="O1151" s="213" t="n">
        <v>13.2333333333333</v>
      </c>
      <c r="P1151" s="213" t="n">
        <v>12.6</v>
      </c>
    </row>
    <row r="1152" customFormat="false" ht="12.75" hidden="false" customHeight="false" outlineLevel="0" collapsed="false">
      <c r="A1152" s="215" t="n">
        <v>40645</v>
      </c>
      <c r="B1152" s="213" t="n">
        <v>28.1</v>
      </c>
      <c r="C1152" s="213" t="n">
        <f aca="false">AVERAGEIFS($B$33:$B$1494,$A$33:$A$1494,A1152)</f>
        <v>28.0666666666667</v>
      </c>
      <c r="D1152" s="213" t="n">
        <v>34.7</v>
      </c>
      <c r="E1152" s="213" t="n">
        <f aca="false">AVERAGEIFS($D$33:$D$1494,$A$33:$A$1494,A1152)</f>
        <v>34.6166666666667</v>
      </c>
      <c r="F1152" s="213" t="n">
        <v>12.9</v>
      </c>
      <c r="G1152" s="213" t="n">
        <f aca="false">AVERAGEIFS($F$33:$F$1494,$A$33:$A$1494,A1152)</f>
        <v>13.2333333333333</v>
      </c>
      <c r="H1152" s="213" t="n">
        <v>12.5</v>
      </c>
      <c r="I1152" s="213" t="n">
        <f aca="false">AVERAGEIFS($H$33:$H$1494,$A$33:$A$1494,A1152)</f>
        <v>12.6</v>
      </c>
      <c r="L1152" s="215" t="n">
        <v>40645</v>
      </c>
      <c r="M1152" s="213" t="n">
        <v>28.0666666666667</v>
      </c>
      <c r="N1152" s="213" t="n">
        <v>34.6166666666667</v>
      </c>
      <c r="O1152" s="213" t="n">
        <v>13.2333333333333</v>
      </c>
      <c r="P1152" s="213" t="n">
        <v>12.6</v>
      </c>
    </row>
    <row r="1153" customFormat="false" ht="12.75" hidden="false" customHeight="false" outlineLevel="0" collapsed="false">
      <c r="A1153" s="215" t="n">
        <v>40645</v>
      </c>
      <c r="B1153" s="213" t="n">
        <v>28</v>
      </c>
      <c r="C1153" s="213" t="n">
        <f aca="false">AVERAGEIFS($B$33:$B$1494,$A$33:$A$1494,A1153)</f>
        <v>28.0666666666667</v>
      </c>
      <c r="D1153" s="213" t="n">
        <v>34.6</v>
      </c>
      <c r="E1153" s="213" t="n">
        <f aca="false">AVERAGEIFS($D$33:$D$1494,$A$33:$A$1494,A1153)</f>
        <v>34.6166666666667</v>
      </c>
      <c r="F1153" s="213" t="n">
        <v>13.3</v>
      </c>
      <c r="G1153" s="213" t="n">
        <f aca="false">AVERAGEIFS($F$33:$F$1494,$A$33:$A$1494,A1153)</f>
        <v>13.2333333333333</v>
      </c>
      <c r="H1153" s="213" t="n">
        <v>12.5</v>
      </c>
      <c r="I1153" s="213" t="n">
        <f aca="false">AVERAGEIFS($H$33:$H$1494,$A$33:$A$1494,A1153)</f>
        <v>12.6</v>
      </c>
      <c r="L1153" s="215" t="n">
        <v>40645</v>
      </c>
      <c r="M1153" s="213" t="n">
        <v>28.0666666666667</v>
      </c>
      <c r="N1153" s="213" t="n">
        <v>34.6166666666667</v>
      </c>
      <c r="O1153" s="213" t="n">
        <v>13.2333333333333</v>
      </c>
      <c r="P1153" s="213" t="n">
        <v>12.6</v>
      </c>
    </row>
    <row r="1154" customFormat="false" ht="12.75" hidden="false" customHeight="false" outlineLevel="0" collapsed="false">
      <c r="A1154" s="215" t="n">
        <v>40645</v>
      </c>
      <c r="B1154" s="213" t="n">
        <v>27.9</v>
      </c>
      <c r="C1154" s="213" t="n">
        <f aca="false">AVERAGEIFS($B$33:$B$1494,$A$33:$A$1494,A1154)</f>
        <v>28.0666666666667</v>
      </c>
      <c r="D1154" s="213" t="n">
        <v>34.3</v>
      </c>
      <c r="E1154" s="213" t="n">
        <f aca="false">AVERAGEIFS($D$33:$D$1494,$A$33:$A$1494,A1154)</f>
        <v>34.6166666666667</v>
      </c>
      <c r="F1154" s="213" t="n">
        <v>13.4</v>
      </c>
      <c r="G1154" s="213" t="n">
        <f aca="false">AVERAGEIFS($F$33:$F$1494,$A$33:$A$1494,A1154)</f>
        <v>13.2333333333333</v>
      </c>
      <c r="H1154" s="213" t="n">
        <v>12.5</v>
      </c>
      <c r="I1154" s="213" t="n">
        <f aca="false">AVERAGEIFS($H$33:$H$1494,$A$33:$A$1494,A1154)</f>
        <v>12.6</v>
      </c>
      <c r="L1154" s="215" t="n">
        <v>40645</v>
      </c>
      <c r="M1154" s="213" t="n">
        <v>28.0666666666667</v>
      </c>
      <c r="N1154" s="213" t="n">
        <v>34.6166666666667</v>
      </c>
      <c r="O1154" s="213" t="n">
        <v>13.2333333333333</v>
      </c>
      <c r="P1154" s="213" t="n">
        <v>12.6</v>
      </c>
    </row>
    <row r="1155" customFormat="false" ht="12.75" hidden="false" customHeight="false" outlineLevel="0" collapsed="false">
      <c r="A1155" s="215" t="n">
        <v>40646</v>
      </c>
      <c r="B1155" s="213" t="n">
        <v>27.8</v>
      </c>
      <c r="C1155" s="213" t="n">
        <f aca="false">AVERAGEIFS($B$33:$B$1494,$A$33:$A$1494,A1155)</f>
        <v>27.5833333333333</v>
      </c>
      <c r="D1155" s="213" t="n">
        <v>34.1</v>
      </c>
      <c r="E1155" s="213" t="n">
        <f aca="false">AVERAGEIFS($D$33:$D$1494,$A$33:$A$1494,A1155)</f>
        <v>33.8666666666667</v>
      </c>
      <c r="F1155" s="213" t="n">
        <v>12.5</v>
      </c>
      <c r="G1155" s="213" t="n">
        <f aca="false">AVERAGEIFS($F$33:$F$1494,$A$33:$A$1494,A1155)</f>
        <v>11.5833333333333</v>
      </c>
      <c r="H1155" s="213" t="n">
        <v>12.5</v>
      </c>
      <c r="I1155" s="213" t="n">
        <f aca="false">AVERAGEIFS($H$33:$H$1494,$A$33:$A$1494,A1155)</f>
        <v>11.85</v>
      </c>
      <c r="L1155" s="215" t="n">
        <v>40646</v>
      </c>
      <c r="M1155" s="213" t="n">
        <v>27.5833333333333</v>
      </c>
      <c r="N1155" s="213" t="n">
        <v>33.8666666666667</v>
      </c>
      <c r="O1155" s="213" t="n">
        <v>11.5833333333333</v>
      </c>
      <c r="P1155" s="213" t="n">
        <v>11.85</v>
      </c>
    </row>
    <row r="1156" customFormat="false" ht="12.75" hidden="false" customHeight="false" outlineLevel="0" collapsed="false">
      <c r="A1156" s="215" t="n">
        <v>40646</v>
      </c>
      <c r="B1156" s="213" t="n">
        <v>27.8</v>
      </c>
      <c r="C1156" s="213" t="n">
        <f aca="false">AVERAGEIFS($B$33:$B$1494,$A$33:$A$1494,A1156)</f>
        <v>27.5833333333333</v>
      </c>
      <c r="D1156" s="213" t="n">
        <v>34.1</v>
      </c>
      <c r="E1156" s="213" t="n">
        <f aca="false">AVERAGEIFS($D$33:$D$1494,$A$33:$A$1494,A1156)</f>
        <v>33.8666666666667</v>
      </c>
      <c r="F1156" s="213" t="n">
        <v>11.6</v>
      </c>
      <c r="G1156" s="213" t="n">
        <f aca="false">AVERAGEIFS($F$33:$F$1494,$A$33:$A$1494,A1156)</f>
        <v>11.5833333333333</v>
      </c>
      <c r="H1156" s="213" t="n">
        <v>12.3</v>
      </c>
      <c r="I1156" s="213" t="n">
        <f aca="false">AVERAGEIFS($H$33:$H$1494,$A$33:$A$1494,A1156)</f>
        <v>11.85</v>
      </c>
      <c r="L1156" s="215" t="n">
        <v>40646</v>
      </c>
      <c r="M1156" s="213" t="n">
        <v>27.5833333333333</v>
      </c>
      <c r="N1156" s="213" t="n">
        <v>33.8666666666667</v>
      </c>
      <c r="O1156" s="213" t="n">
        <v>11.5833333333333</v>
      </c>
      <c r="P1156" s="213" t="n">
        <v>11.85</v>
      </c>
    </row>
    <row r="1157" customFormat="false" ht="12.75" hidden="false" customHeight="false" outlineLevel="0" collapsed="false">
      <c r="A1157" s="215" t="n">
        <v>40646</v>
      </c>
      <c r="B1157" s="213" t="n">
        <v>27.7</v>
      </c>
      <c r="C1157" s="213" t="n">
        <f aca="false">AVERAGEIFS($B$33:$B$1494,$A$33:$A$1494,A1157)</f>
        <v>27.5833333333333</v>
      </c>
      <c r="D1157" s="213" t="n">
        <v>34.1</v>
      </c>
      <c r="E1157" s="213" t="n">
        <f aca="false">AVERAGEIFS($D$33:$D$1494,$A$33:$A$1494,A1157)</f>
        <v>33.8666666666667</v>
      </c>
      <c r="F1157" s="213" t="n">
        <v>10.5</v>
      </c>
      <c r="G1157" s="213" t="n">
        <f aca="false">AVERAGEIFS($F$33:$F$1494,$A$33:$A$1494,A1157)</f>
        <v>11.5833333333333</v>
      </c>
      <c r="H1157" s="213" t="n">
        <v>11.9</v>
      </c>
      <c r="I1157" s="213" t="n">
        <f aca="false">AVERAGEIFS($H$33:$H$1494,$A$33:$A$1494,A1157)</f>
        <v>11.85</v>
      </c>
      <c r="L1157" s="215" t="n">
        <v>40646</v>
      </c>
      <c r="M1157" s="213" t="n">
        <v>27.5833333333333</v>
      </c>
      <c r="N1157" s="213" t="n">
        <v>33.8666666666667</v>
      </c>
      <c r="O1157" s="213" t="n">
        <v>11.5833333333333</v>
      </c>
      <c r="P1157" s="213" t="n">
        <v>11.85</v>
      </c>
    </row>
    <row r="1158" customFormat="false" ht="12.75" hidden="false" customHeight="false" outlineLevel="0" collapsed="false">
      <c r="A1158" s="215" t="n">
        <v>40646</v>
      </c>
      <c r="B1158" s="213" t="n">
        <v>27.6</v>
      </c>
      <c r="C1158" s="213" t="n">
        <f aca="false">AVERAGEIFS($B$33:$B$1494,$A$33:$A$1494,A1158)</f>
        <v>27.5833333333333</v>
      </c>
      <c r="D1158" s="213" t="n">
        <v>34</v>
      </c>
      <c r="E1158" s="213" t="n">
        <f aca="false">AVERAGEIFS($D$33:$D$1494,$A$33:$A$1494,A1158)</f>
        <v>33.8666666666667</v>
      </c>
      <c r="F1158" s="213" t="n">
        <v>10.7</v>
      </c>
      <c r="G1158" s="213" t="n">
        <f aca="false">AVERAGEIFS($F$33:$F$1494,$A$33:$A$1494,A1158)</f>
        <v>11.5833333333333</v>
      </c>
      <c r="H1158" s="213" t="n">
        <v>11.5</v>
      </c>
      <c r="I1158" s="213" t="n">
        <f aca="false">AVERAGEIFS($H$33:$H$1494,$A$33:$A$1494,A1158)</f>
        <v>11.85</v>
      </c>
      <c r="L1158" s="215" t="n">
        <v>40646</v>
      </c>
      <c r="M1158" s="213" t="n">
        <v>27.5833333333333</v>
      </c>
      <c r="N1158" s="213" t="n">
        <v>33.8666666666667</v>
      </c>
      <c r="O1158" s="213" t="n">
        <v>11.5833333333333</v>
      </c>
      <c r="P1158" s="213" t="n">
        <v>11.85</v>
      </c>
    </row>
    <row r="1159" customFormat="false" ht="12.75" hidden="false" customHeight="false" outlineLevel="0" collapsed="false">
      <c r="A1159" s="215" t="n">
        <v>40646</v>
      </c>
      <c r="B1159" s="213" t="n">
        <v>27.4</v>
      </c>
      <c r="C1159" s="213" t="n">
        <f aca="false">AVERAGEIFS($B$33:$B$1494,$A$33:$A$1494,A1159)</f>
        <v>27.5833333333333</v>
      </c>
      <c r="D1159" s="213" t="n">
        <v>33.6</v>
      </c>
      <c r="E1159" s="213" t="n">
        <f aca="false">AVERAGEIFS($D$33:$D$1494,$A$33:$A$1494,A1159)</f>
        <v>33.8666666666667</v>
      </c>
      <c r="F1159" s="213" t="n">
        <v>11.9</v>
      </c>
      <c r="G1159" s="213" t="n">
        <f aca="false">AVERAGEIFS($F$33:$F$1494,$A$33:$A$1494,A1159)</f>
        <v>11.5833333333333</v>
      </c>
      <c r="H1159" s="213" t="n">
        <v>11.4</v>
      </c>
      <c r="I1159" s="213" t="n">
        <f aca="false">AVERAGEIFS($H$33:$H$1494,$A$33:$A$1494,A1159)</f>
        <v>11.85</v>
      </c>
      <c r="L1159" s="215" t="n">
        <v>40646</v>
      </c>
      <c r="M1159" s="213" t="n">
        <v>27.5833333333333</v>
      </c>
      <c r="N1159" s="213" t="n">
        <v>33.8666666666667</v>
      </c>
      <c r="O1159" s="213" t="n">
        <v>11.5833333333333</v>
      </c>
      <c r="P1159" s="213" t="n">
        <v>11.85</v>
      </c>
    </row>
    <row r="1160" customFormat="false" ht="12.75" hidden="false" customHeight="false" outlineLevel="0" collapsed="false">
      <c r="A1160" s="215" t="n">
        <v>40646</v>
      </c>
      <c r="B1160" s="213" t="n">
        <v>27.2</v>
      </c>
      <c r="C1160" s="213" t="n">
        <f aca="false">AVERAGEIFS($B$33:$B$1494,$A$33:$A$1494,A1160)</f>
        <v>27.5833333333333</v>
      </c>
      <c r="D1160" s="213" t="n">
        <v>33.3</v>
      </c>
      <c r="E1160" s="213" t="n">
        <f aca="false">AVERAGEIFS($D$33:$D$1494,$A$33:$A$1494,A1160)</f>
        <v>33.8666666666667</v>
      </c>
      <c r="F1160" s="213" t="n">
        <v>12.3</v>
      </c>
      <c r="G1160" s="213" t="n">
        <f aca="false">AVERAGEIFS($F$33:$F$1494,$A$33:$A$1494,A1160)</f>
        <v>11.5833333333333</v>
      </c>
      <c r="H1160" s="213" t="n">
        <v>11.5</v>
      </c>
      <c r="I1160" s="213" t="n">
        <f aca="false">AVERAGEIFS($H$33:$H$1494,$A$33:$A$1494,A1160)</f>
        <v>11.85</v>
      </c>
      <c r="L1160" s="215" t="n">
        <v>40646</v>
      </c>
      <c r="M1160" s="213" t="n">
        <v>27.5833333333333</v>
      </c>
      <c r="N1160" s="213" t="n">
        <v>33.8666666666667</v>
      </c>
      <c r="O1160" s="213" t="n">
        <v>11.5833333333333</v>
      </c>
      <c r="P1160" s="213" t="n">
        <v>11.85</v>
      </c>
    </row>
    <row r="1161" customFormat="false" ht="12.75" hidden="false" customHeight="false" outlineLevel="0" collapsed="false">
      <c r="A1161" s="215" t="n">
        <v>40647</v>
      </c>
      <c r="B1161" s="213" t="n">
        <v>27.2</v>
      </c>
      <c r="C1161" s="213" t="n">
        <f aca="false">AVERAGEIFS($B$33:$B$1494,$A$33:$A$1494,A1161)</f>
        <v>27.05</v>
      </c>
      <c r="D1161" s="213" t="n">
        <v>33.3</v>
      </c>
      <c r="E1161" s="213" t="n">
        <f aca="false">AVERAGEIFS($D$33:$D$1494,$A$33:$A$1494,A1161)</f>
        <v>33.0166666666667</v>
      </c>
      <c r="F1161" s="213" t="n">
        <v>11.5</v>
      </c>
      <c r="G1161" s="213" t="n">
        <f aca="false">AVERAGEIFS($F$33:$F$1494,$A$33:$A$1494,A1161)</f>
        <v>11.2333333333333</v>
      </c>
      <c r="H1161" s="213" t="n">
        <v>11.6</v>
      </c>
      <c r="I1161" s="213" t="n">
        <f aca="false">AVERAGEIFS($H$33:$H$1494,$A$33:$A$1494,A1161)</f>
        <v>11.2666666666667</v>
      </c>
      <c r="L1161" s="215" t="n">
        <v>40647</v>
      </c>
      <c r="M1161" s="213" t="n">
        <v>27.05</v>
      </c>
      <c r="N1161" s="213" t="n">
        <v>33.0166666666667</v>
      </c>
      <c r="O1161" s="213" t="n">
        <v>11.2333333333333</v>
      </c>
      <c r="P1161" s="213" t="n">
        <v>11.2666666666667</v>
      </c>
    </row>
    <row r="1162" customFormat="false" ht="12.75" hidden="false" customHeight="false" outlineLevel="0" collapsed="false">
      <c r="A1162" s="215" t="n">
        <v>40647</v>
      </c>
      <c r="B1162" s="213" t="n">
        <v>27.2</v>
      </c>
      <c r="C1162" s="213" t="n">
        <f aca="false">AVERAGEIFS($B$33:$B$1494,$A$33:$A$1494,A1162)</f>
        <v>27.05</v>
      </c>
      <c r="D1162" s="213" t="n">
        <v>33.3</v>
      </c>
      <c r="E1162" s="213" t="n">
        <f aca="false">AVERAGEIFS($D$33:$D$1494,$A$33:$A$1494,A1162)</f>
        <v>33.0166666666667</v>
      </c>
      <c r="F1162" s="213" t="n">
        <v>10.7</v>
      </c>
      <c r="G1162" s="213" t="n">
        <f aca="false">AVERAGEIFS($F$33:$F$1494,$A$33:$A$1494,A1162)</f>
        <v>11.2333333333333</v>
      </c>
      <c r="H1162" s="213" t="n">
        <v>11.5</v>
      </c>
      <c r="I1162" s="213" t="n">
        <f aca="false">AVERAGEIFS($H$33:$H$1494,$A$33:$A$1494,A1162)</f>
        <v>11.2666666666667</v>
      </c>
      <c r="L1162" s="215" t="n">
        <v>40647</v>
      </c>
      <c r="M1162" s="213" t="n">
        <v>27.05</v>
      </c>
      <c r="N1162" s="213" t="n">
        <v>33.0166666666667</v>
      </c>
      <c r="O1162" s="213" t="n">
        <v>11.2333333333333</v>
      </c>
      <c r="P1162" s="213" t="n">
        <v>11.2666666666667</v>
      </c>
    </row>
    <row r="1163" customFormat="false" ht="12.75" hidden="false" customHeight="false" outlineLevel="0" collapsed="false">
      <c r="A1163" s="215" t="n">
        <v>40647</v>
      </c>
      <c r="B1163" s="213" t="n">
        <v>27.1</v>
      </c>
      <c r="C1163" s="213" t="n">
        <f aca="false">AVERAGEIFS($B$33:$B$1494,$A$33:$A$1494,A1163)</f>
        <v>27.05</v>
      </c>
      <c r="D1163" s="213" t="n">
        <v>33.3</v>
      </c>
      <c r="E1163" s="213" t="n">
        <f aca="false">AVERAGEIFS($D$33:$D$1494,$A$33:$A$1494,A1163)</f>
        <v>33.0166666666667</v>
      </c>
      <c r="F1163" s="213" t="n">
        <v>10.2</v>
      </c>
      <c r="G1163" s="213" t="n">
        <f aca="false">AVERAGEIFS($F$33:$F$1494,$A$33:$A$1494,A1163)</f>
        <v>11.2333333333333</v>
      </c>
      <c r="H1163" s="213" t="n">
        <v>11.2</v>
      </c>
      <c r="I1163" s="213" t="n">
        <f aca="false">AVERAGEIFS($H$33:$H$1494,$A$33:$A$1494,A1163)</f>
        <v>11.2666666666667</v>
      </c>
      <c r="L1163" s="215" t="n">
        <v>40647</v>
      </c>
      <c r="M1163" s="213" t="n">
        <v>27.05</v>
      </c>
      <c r="N1163" s="213" t="n">
        <v>33.0166666666667</v>
      </c>
      <c r="O1163" s="213" t="n">
        <v>11.2333333333333</v>
      </c>
      <c r="P1163" s="213" t="n">
        <v>11.2666666666667</v>
      </c>
    </row>
    <row r="1164" customFormat="false" ht="12.75" hidden="false" customHeight="false" outlineLevel="0" collapsed="false">
      <c r="A1164" s="215" t="n">
        <v>40647</v>
      </c>
      <c r="B1164" s="213" t="n">
        <v>27.1</v>
      </c>
      <c r="C1164" s="213" t="n">
        <f aca="false">AVERAGEIFS($B$33:$B$1494,$A$33:$A$1494,A1164)</f>
        <v>27.05</v>
      </c>
      <c r="D1164" s="213" t="n">
        <v>33.1</v>
      </c>
      <c r="E1164" s="213" t="n">
        <f aca="false">AVERAGEIFS($D$33:$D$1494,$A$33:$A$1494,A1164)</f>
        <v>33.0166666666667</v>
      </c>
      <c r="F1164" s="213" t="n">
        <v>10.6</v>
      </c>
      <c r="G1164" s="213" t="n">
        <f aca="false">AVERAGEIFS($F$33:$F$1494,$A$33:$A$1494,A1164)</f>
        <v>11.2333333333333</v>
      </c>
      <c r="H1164" s="213" t="n">
        <v>11</v>
      </c>
      <c r="I1164" s="213" t="n">
        <f aca="false">AVERAGEIFS($H$33:$H$1494,$A$33:$A$1494,A1164)</f>
        <v>11.2666666666667</v>
      </c>
      <c r="L1164" s="215" t="n">
        <v>40647</v>
      </c>
      <c r="M1164" s="213" t="n">
        <v>27.05</v>
      </c>
      <c r="N1164" s="213" t="n">
        <v>33.0166666666667</v>
      </c>
      <c r="O1164" s="213" t="n">
        <v>11.2333333333333</v>
      </c>
      <c r="P1164" s="213" t="n">
        <v>11.2666666666667</v>
      </c>
    </row>
    <row r="1165" customFormat="false" ht="12.75" hidden="false" customHeight="false" outlineLevel="0" collapsed="false">
      <c r="A1165" s="215" t="n">
        <v>40647</v>
      </c>
      <c r="B1165" s="213" t="n">
        <v>26.9</v>
      </c>
      <c r="C1165" s="213" t="n">
        <f aca="false">AVERAGEIFS($B$33:$B$1494,$A$33:$A$1494,A1165)</f>
        <v>27.05</v>
      </c>
      <c r="D1165" s="213" t="n">
        <v>32.7</v>
      </c>
      <c r="E1165" s="213" t="n">
        <f aca="false">AVERAGEIFS($D$33:$D$1494,$A$33:$A$1494,A1165)</f>
        <v>33.0166666666667</v>
      </c>
      <c r="F1165" s="213" t="n">
        <v>12</v>
      </c>
      <c r="G1165" s="213" t="n">
        <f aca="false">AVERAGEIFS($F$33:$F$1494,$A$33:$A$1494,A1165)</f>
        <v>11.2333333333333</v>
      </c>
      <c r="H1165" s="213" t="n">
        <v>11</v>
      </c>
      <c r="I1165" s="213" t="n">
        <f aca="false">AVERAGEIFS($H$33:$H$1494,$A$33:$A$1494,A1165)</f>
        <v>11.2666666666667</v>
      </c>
      <c r="L1165" s="215" t="n">
        <v>40647</v>
      </c>
      <c r="M1165" s="213" t="n">
        <v>27.05</v>
      </c>
      <c r="N1165" s="213" t="n">
        <v>33.0166666666667</v>
      </c>
      <c r="O1165" s="213" t="n">
        <v>11.2333333333333</v>
      </c>
      <c r="P1165" s="213" t="n">
        <v>11.2666666666667</v>
      </c>
    </row>
    <row r="1166" customFormat="false" ht="12.75" hidden="false" customHeight="false" outlineLevel="0" collapsed="false">
      <c r="A1166" s="215" t="n">
        <v>40647</v>
      </c>
      <c r="B1166" s="213" t="n">
        <v>26.8</v>
      </c>
      <c r="C1166" s="213" t="n">
        <f aca="false">AVERAGEIFS($B$33:$B$1494,$A$33:$A$1494,A1166)</f>
        <v>27.05</v>
      </c>
      <c r="D1166" s="213" t="n">
        <v>32.4</v>
      </c>
      <c r="E1166" s="213" t="n">
        <f aca="false">AVERAGEIFS($D$33:$D$1494,$A$33:$A$1494,A1166)</f>
        <v>33.0166666666667</v>
      </c>
      <c r="F1166" s="213" t="n">
        <v>12.4</v>
      </c>
      <c r="G1166" s="213" t="n">
        <f aca="false">AVERAGEIFS($F$33:$F$1494,$A$33:$A$1494,A1166)</f>
        <v>11.2333333333333</v>
      </c>
      <c r="H1166" s="213" t="n">
        <v>11.3</v>
      </c>
      <c r="I1166" s="213" t="n">
        <f aca="false">AVERAGEIFS($H$33:$H$1494,$A$33:$A$1494,A1166)</f>
        <v>11.2666666666667</v>
      </c>
      <c r="L1166" s="215" t="n">
        <v>40647</v>
      </c>
      <c r="M1166" s="213" t="n">
        <v>27.05</v>
      </c>
      <c r="N1166" s="213" t="n">
        <v>33.0166666666667</v>
      </c>
      <c r="O1166" s="213" t="n">
        <v>11.2333333333333</v>
      </c>
      <c r="P1166" s="213" t="n">
        <v>11.2666666666667</v>
      </c>
    </row>
    <row r="1167" customFormat="false" ht="12.75" hidden="false" customHeight="false" outlineLevel="0" collapsed="false">
      <c r="A1167" s="215" t="n">
        <v>40648</v>
      </c>
      <c r="B1167" s="213" t="n">
        <v>26.5</v>
      </c>
      <c r="C1167" s="213" t="n">
        <f aca="false">AVERAGEIFS($B$33:$B$1494,$A$33:$A$1494,A1167)</f>
        <v>26.4333333333333</v>
      </c>
      <c r="D1167" s="213" t="n">
        <v>32.4</v>
      </c>
      <c r="E1167" s="213" t="n">
        <f aca="false">AVERAGEIFS($D$33:$D$1494,$A$33:$A$1494,A1167)</f>
        <v>32.1</v>
      </c>
      <c r="F1167" s="213" t="n">
        <v>11.7</v>
      </c>
      <c r="G1167" s="213" t="n">
        <f aca="false">AVERAGEIFS($F$33:$F$1494,$A$33:$A$1494,A1167)</f>
        <v>11.55</v>
      </c>
      <c r="H1167" s="213" t="n">
        <v>11.4</v>
      </c>
      <c r="I1167" s="213" t="n">
        <f aca="false">AVERAGEIFS($H$33:$H$1494,$A$33:$A$1494,A1167)</f>
        <v>11.2333333333333</v>
      </c>
      <c r="L1167" s="215" t="n">
        <v>40648</v>
      </c>
      <c r="M1167" s="213" t="n">
        <v>26.4333333333333</v>
      </c>
      <c r="N1167" s="213" t="n">
        <v>32.1</v>
      </c>
      <c r="O1167" s="213" t="n">
        <v>11.55</v>
      </c>
      <c r="P1167" s="213" t="n">
        <v>11.2333333333333</v>
      </c>
    </row>
    <row r="1168" customFormat="false" ht="12.75" hidden="false" customHeight="false" outlineLevel="0" collapsed="false">
      <c r="A1168" s="215" t="n">
        <v>40648</v>
      </c>
      <c r="B1168" s="213" t="n">
        <v>26.7</v>
      </c>
      <c r="C1168" s="213" t="n">
        <f aca="false">AVERAGEIFS($B$33:$B$1494,$A$33:$A$1494,A1168)</f>
        <v>26.4333333333333</v>
      </c>
      <c r="D1168" s="213" t="n">
        <v>32.3</v>
      </c>
      <c r="E1168" s="213" t="n">
        <f aca="false">AVERAGEIFS($D$33:$D$1494,$A$33:$A$1494,A1168)</f>
        <v>32.1</v>
      </c>
      <c r="F1168" s="213" t="n">
        <v>11.2</v>
      </c>
      <c r="G1168" s="213" t="n">
        <f aca="false">AVERAGEIFS($F$33:$F$1494,$A$33:$A$1494,A1168)</f>
        <v>11.55</v>
      </c>
      <c r="H1168" s="213" t="n">
        <v>11.4</v>
      </c>
      <c r="I1168" s="213" t="n">
        <f aca="false">AVERAGEIFS($H$33:$H$1494,$A$33:$A$1494,A1168)</f>
        <v>11.2333333333333</v>
      </c>
      <c r="L1168" s="215" t="n">
        <v>40648</v>
      </c>
      <c r="M1168" s="213" t="n">
        <v>26.4333333333333</v>
      </c>
      <c r="N1168" s="213" t="n">
        <v>32.1</v>
      </c>
      <c r="O1168" s="213" t="n">
        <v>11.55</v>
      </c>
      <c r="P1168" s="213" t="n">
        <v>11.2333333333333</v>
      </c>
    </row>
    <row r="1169" customFormat="false" ht="12.75" hidden="false" customHeight="false" outlineLevel="0" collapsed="false">
      <c r="A1169" s="215" t="n">
        <v>40648</v>
      </c>
      <c r="B1169" s="213" t="n">
        <v>26.6</v>
      </c>
      <c r="C1169" s="213" t="n">
        <f aca="false">AVERAGEIFS($B$33:$B$1494,$A$33:$A$1494,A1169)</f>
        <v>26.4333333333333</v>
      </c>
      <c r="D1169" s="213" t="n">
        <v>32.3</v>
      </c>
      <c r="E1169" s="213" t="n">
        <f aca="false">AVERAGEIFS($D$33:$D$1494,$A$33:$A$1494,A1169)</f>
        <v>32.1</v>
      </c>
      <c r="F1169" s="213" t="n">
        <v>10.7</v>
      </c>
      <c r="G1169" s="213" t="n">
        <f aca="false">AVERAGEIFS($F$33:$F$1494,$A$33:$A$1494,A1169)</f>
        <v>11.55</v>
      </c>
      <c r="H1169" s="213" t="n">
        <v>11.2</v>
      </c>
      <c r="I1169" s="213" t="n">
        <f aca="false">AVERAGEIFS($H$33:$H$1494,$A$33:$A$1494,A1169)</f>
        <v>11.2333333333333</v>
      </c>
      <c r="L1169" s="215" t="n">
        <v>40648</v>
      </c>
      <c r="M1169" s="213" t="n">
        <v>26.4333333333333</v>
      </c>
      <c r="N1169" s="213" t="n">
        <v>32.1</v>
      </c>
      <c r="O1169" s="213" t="n">
        <v>11.55</v>
      </c>
      <c r="P1169" s="213" t="n">
        <v>11.2333333333333</v>
      </c>
    </row>
    <row r="1170" customFormat="false" ht="12.75" hidden="false" customHeight="false" outlineLevel="0" collapsed="false">
      <c r="A1170" s="215" t="n">
        <v>40648</v>
      </c>
      <c r="B1170" s="213" t="n">
        <v>26.5</v>
      </c>
      <c r="C1170" s="213" t="n">
        <f aca="false">AVERAGEIFS($B$33:$B$1494,$A$33:$A$1494,A1170)</f>
        <v>26.4333333333333</v>
      </c>
      <c r="D1170" s="213" t="n">
        <v>32.2</v>
      </c>
      <c r="E1170" s="213" t="n">
        <f aca="false">AVERAGEIFS($D$33:$D$1494,$A$33:$A$1494,A1170)</f>
        <v>32.1</v>
      </c>
      <c r="F1170" s="213" t="n">
        <v>11</v>
      </c>
      <c r="G1170" s="213" t="n">
        <f aca="false">AVERAGEIFS($F$33:$F$1494,$A$33:$A$1494,A1170)</f>
        <v>11.55</v>
      </c>
      <c r="H1170" s="213" t="n">
        <v>11</v>
      </c>
      <c r="I1170" s="213" t="n">
        <f aca="false">AVERAGEIFS($H$33:$H$1494,$A$33:$A$1494,A1170)</f>
        <v>11.2333333333333</v>
      </c>
      <c r="L1170" s="215" t="n">
        <v>40648</v>
      </c>
      <c r="M1170" s="213" t="n">
        <v>26.4333333333333</v>
      </c>
      <c r="N1170" s="213" t="n">
        <v>32.1</v>
      </c>
      <c r="O1170" s="213" t="n">
        <v>11.55</v>
      </c>
      <c r="P1170" s="213" t="n">
        <v>11.2333333333333</v>
      </c>
    </row>
    <row r="1171" customFormat="false" ht="12.75" hidden="false" customHeight="false" outlineLevel="0" collapsed="false">
      <c r="A1171" s="215" t="n">
        <v>40648</v>
      </c>
      <c r="B1171" s="213" t="n">
        <v>26.2</v>
      </c>
      <c r="C1171" s="213" t="n">
        <f aca="false">AVERAGEIFS($B$33:$B$1494,$A$33:$A$1494,A1171)</f>
        <v>26.4333333333333</v>
      </c>
      <c r="D1171" s="213" t="n">
        <v>31.9</v>
      </c>
      <c r="E1171" s="213" t="n">
        <f aca="false">AVERAGEIFS($D$33:$D$1494,$A$33:$A$1494,A1171)</f>
        <v>32.1</v>
      </c>
      <c r="F1171" s="213" t="n">
        <v>12.2</v>
      </c>
      <c r="G1171" s="213" t="n">
        <f aca="false">AVERAGEIFS($F$33:$F$1494,$A$33:$A$1494,A1171)</f>
        <v>11.55</v>
      </c>
      <c r="H1171" s="213" t="n">
        <v>11.1</v>
      </c>
      <c r="I1171" s="213" t="n">
        <f aca="false">AVERAGEIFS($H$33:$H$1494,$A$33:$A$1494,A1171)</f>
        <v>11.2333333333333</v>
      </c>
      <c r="L1171" s="215" t="n">
        <v>40648</v>
      </c>
      <c r="M1171" s="213" t="n">
        <v>26.4333333333333</v>
      </c>
      <c r="N1171" s="213" t="n">
        <v>32.1</v>
      </c>
      <c r="O1171" s="213" t="n">
        <v>11.55</v>
      </c>
      <c r="P1171" s="213" t="n">
        <v>11.2333333333333</v>
      </c>
    </row>
    <row r="1172" customFormat="false" ht="12.75" hidden="false" customHeight="false" outlineLevel="0" collapsed="false">
      <c r="A1172" s="215" t="n">
        <v>40648</v>
      </c>
      <c r="B1172" s="213" t="n">
        <v>26.1</v>
      </c>
      <c r="C1172" s="213" t="n">
        <f aca="false">AVERAGEIFS($B$33:$B$1494,$A$33:$A$1494,A1172)</f>
        <v>26.4333333333333</v>
      </c>
      <c r="D1172" s="213" t="n">
        <v>31.5</v>
      </c>
      <c r="E1172" s="213" t="n">
        <f aca="false">AVERAGEIFS($D$33:$D$1494,$A$33:$A$1494,A1172)</f>
        <v>32.1</v>
      </c>
      <c r="F1172" s="213" t="n">
        <v>12.5</v>
      </c>
      <c r="G1172" s="213" t="n">
        <f aca="false">AVERAGEIFS($F$33:$F$1494,$A$33:$A$1494,A1172)</f>
        <v>11.55</v>
      </c>
      <c r="H1172" s="213" t="n">
        <v>11.3</v>
      </c>
      <c r="I1172" s="213" t="n">
        <f aca="false">AVERAGEIFS($H$33:$H$1494,$A$33:$A$1494,A1172)</f>
        <v>11.2333333333333</v>
      </c>
      <c r="L1172" s="215" t="n">
        <v>40648</v>
      </c>
      <c r="M1172" s="213" t="n">
        <v>26.4333333333333</v>
      </c>
      <c r="N1172" s="213" t="n">
        <v>32.1</v>
      </c>
      <c r="O1172" s="213" t="n">
        <v>11.55</v>
      </c>
      <c r="P1172" s="213" t="n">
        <v>11.2333333333333</v>
      </c>
    </row>
    <row r="1173" customFormat="false" ht="12.75" hidden="false" customHeight="false" outlineLevel="0" collapsed="false">
      <c r="A1173" s="215" t="n">
        <v>40649</v>
      </c>
      <c r="B1173" s="213" t="n">
        <v>26.1</v>
      </c>
      <c r="C1173" s="213" t="n">
        <f aca="false">AVERAGEIFS($B$33:$B$1494,$A$33:$A$1494,A1173)</f>
        <v>25.95</v>
      </c>
      <c r="D1173" s="213" t="n">
        <v>31.5</v>
      </c>
      <c r="E1173" s="213" t="n">
        <f aca="false">AVERAGEIFS($D$33:$D$1494,$A$33:$A$1494,A1173)</f>
        <v>31.25</v>
      </c>
      <c r="F1173" s="213" t="n">
        <v>11.7</v>
      </c>
      <c r="G1173" s="213" t="n">
        <f aca="false">AVERAGEIFS($F$33:$F$1494,$A$33:$A$1494,A1173)</f>
        <v>11.3666666666667</v>
      </c>
      <c r="H1173" s="213" t="n">
        <v>11.5</v>
      </c>
      <c r="I1173" s="213" t="n">
        <f aca="false">AVERAGEIFS($H$33:$H$1494,$A$33:$A$1494,A1173)</f>
        <v>11.1666666666667</v>
      </c>
      <c r="L1173" s="215" t="n">
        <v>40649</v>
      </c>
      <c r="M1173" s="213" t="n">
        <v>25.95</v>
      </c>
      <c r="N1173" s="213" t="n">
        <v>31.25</v>
      </c>
      <c r="O1173" s="213" t="n">
        <v>11.3666666666667</v>
      </c>
      <c r="P1173" s="213" t="n">
        <v>11.1666666666667</v>
      </c>
    </row>
    <row r="1174" customFormat="false" ht="12.75" hidden="false" customHeight="false" outlineLevel="0" collapsed="false">
      <c r="A1174" s="215" t="n">
        <v>40649</v>
      </c>
      <c r="B1174" s="213" t="n">
        <v>26</v>
      </c>
      <c r="C1174" s="213" t="n">
        <f aca="false">AVERAGEIFS($B$33:$B$1494,$A$33:$A$1494,A1174)</f>
        <v>25.95</v>
      </c>
      <c r="D1174" s="213" t="n">
        <v>31.5</v>
      </c>
      <c r="E1174" s="213" t="n">
        <f aca="false">AVERAGEIFS($D$33:$D$1494,$A$33:$A$1494,A1174)</f>
        <v>31.25</v>
      </c>
      <c r="F1174" s="213" t="n">
        <v>10.9</v>
      </c>
      <c r="G1174" s="213" t="n">
        <f aca="false">AVERAGEIFS($F$33:$F$1494,$A$33:$A$1494,A1174)</f>
        <v>11.3666666666667</v>
      </c>
      <c r="H1174" s="213" t="n">
        <v>11.4</v>
      </c>
      <c r="I1174" s="213" t="n">
        <f aca="false">AVERAGEIFS($H$33:$H$1494,$A$33:$A$1494,A1174)</f>
        <v>11.1666666666667</v>
      </c>
      <c r="L1174" s="215" t="n">
        <v>40649</v>
      </c>
      <c r="M1174" s="213" t="n">
        <v>25.95</v>
      </c>
      <c r="N1174" s="213" t="n">
        <v>31.25</v>
      </c>
      <c r="O1174" s="213" t="n">
        <v>11.3666666666667</v>
      </c>
      <c r="P1174" s="213" t="n">
        <v>11.1666666666667</v>
      </c>
    </row>
    <row r="1175" customFormat="false" ht="12.75" hidden="false" customHeight="false" outlineLevel="0" collapsed="false">
      <c r="A1175" s="215" t="n">
        <v>40649</v>
      </c>
      <c r="B1175" s="213" t="n">
        <v>26</v>
      </c>
      <c r="C1175" s="213" t="n">
        <f aca="false">AVERAGEIFS($B$33:$B$1494,$A$33:$A$1494,A1175)</f>
        <v>25.95</v>
      </c>
      <c r="D1175" s="213" t="n">
        <v>31.5</v>
      </c>
      <c r="E1175" s="213" t="n">
        <f aca="false">AVERAGEIFS($D$33:$D$1494,$A$33:$A$1494,A1175)</f>
        <v>31.25</v>
      </c>
      <c r="F1175" s="213" t="n">
        <v>10.1</v>
      </c>
      <c r="G1175" s="213" t="n">
        <f aca="false">AVERAGEIFS($F$33:$F$1494,$A$33:$A$1494,A1175)</f>
        <v>11.3666666666667</v>
      </c>
      <c r="H1175" s="213" t="n">
        <v>11.1</v>
      </c>
      <c r="I1175" s="213" t="n">
        <f aca="false">AVERAGEIFS($H$33:$H$1494,$A$33:$A$1494,A1175)</f>
        <v>11.1666666666667</v>
      </c>
      <c r="L1175" s="215" t="n">
        <v>40649</v>
      </c>
      <c r="M1175" s="213" t="n">
        <v>25.95</v>
      </c>
      <c r="N1175" s="213" t="n">
        <v>31.25</v>
      </c>
      <c r="O1175" s="213" t="n">
        <v>11.3666666666667</v>
      </c>
      <c r="P1175" s="213" t="n">
        <v>11.1666666666667</v>
      </c>
    </row>
    <row r="1176" customFormat="false" ht="12.75" hidden="false" customHeight="false" outlineLevel="0" collapsed="false">
      <c r="A1176" s="215" t="n">
        <v>40649</v>
      </c>
      <c r="B1176" s="213" t="n">
        <v>26</v>
      </c>
      <c r="C1176" s="213" t="n">
        <f aca="false">AVERAGEIFS($B$33:$B$1494,$A$33:$A$1494,A1176)</f>
        <v>25.95</v>
      </c>
      <c r="D1176" s="213" t="n">
        <v>31.4</v>
      </c>
      <c r="E1176" s="213" t="n">
        <f aca="false">AVERAGEIFS($D$33:$D$1494,$A$33:$A$1494,A1176)</f>
        <v>31.25</v>
      </c>
      <c r="F1176" s="213" t="n">
        <v>10.6</v>
      </c>
      <c r="G1176" s="213" t="n">
        <f aca="false">AVERAGEIFS($F$33:$F$1494,$A$33:$A$1494,A1176)</f>
        <v>11.3666666666667</v>
      </c>
      <c r="H1176" s="213" t="n">
        <v>10.9</v>
      </c>
      <c r="I1176" s="213" t="n">
        <f aca="false">AVERAGEIFS($H$33:$H$1494,$A$33:$A$1494,A1176)</f>
        <v>11.1666666666667</v>
      </c>
      <c r="L1176" s="215" t="n">
        <v>40649</v>
      </c>
      <c r="M1176" s="213" t="n">
        <v>25.95</v>
      </c>
      <c r="N1176" s="213" t="n">
        <v>31.25</v>
      </c>
      <c r="O1176" s="213" t="n">
        <v>11.3666666666667</v>
      </c>
      <c r="P1176" s="213" t="n">
        <v>11.1666666666667</v>
      </c>
    </row>
    <row r="1177" customFormat="false" ht="12.75" hidden="false" customHeight="false" outlineLevel="0" collapsed="false">
      <c r="A1177" s="215" t="n">
        <v>40649</v>
      </c>
      <c r="B1177" s="213" t="n">
        <v>25.9</v>
      </c>
      <c r="C1177" s="213" t="n">
        <f aca="false">AVERAGEIFS($B$33:$B$1494,$A$33:$A$1494,A1177)</f>
        <v>25.95</v>
      </c>
      <c r="D1177" s="213" t="n">
        <v>31</v>
      </c>
      <c r="E1177" s="213" t="n">
        <f aca="false">AVERAGEIFS($D$33:$D$1494,$A$33:$A$1494,A1177)</f>
        <v>31.25</v>
      </c>
      <c r="F1177" s="213" t="n">
        <v>12.2</v>
      </c>
      <c r="G1177" s="213" t="n">
        <f aca="false">AVERAGEIFS($F$33:$F$1494,$A$33:$A$1494,A1177)</f>
        <v>11.3666666666667</v>
      </c>
      <c r="H1177" s="213" t="n">
        <v>10.9</v>
      </c>
      <c r="I1177" s="213" t="n">
        <f aca="false">AVERAGEIFS($H$33:$H$1494,$A$33:$A$1494,A1177)</f>
        <v>11.1666666666667</v>
      </c>
      <c r="L1177" s="215" t="n">
        <v>40649</v>
      </c>
      <c r="M1177" s="213" t="n">
        <v>25.95</v>
      </c>
      <c r="N1177" s="213" t="n">
        <v>31.25</v>
      </c>
      <c r="O1177" s="213" t="n">
        <v>11.3666666666667</v>
      </c>
      <c r="P1177" s="213" t="n">
        <v>11.1666666666667</v>
      </c>
    </row>
    <row r="1178" customFormat="false" ht="12.75" hidden="false" customHeight="false" outlineLevel="0" collapsed="false">
      <c r="A1178" s="215" t="n">
        <v>40649</v>
      </c>
      <c r="B1178" s="213" t="n">
        <v>25.7</v>
      </c>
      <c r="C1178" s="213" t="n">
        <f aca="false">AVERAGEIFS($B$33:$B$1494,$A$33:$A$1494,A1178)</f>
        <v>25.95</v>
      </c>
      <c r="D1178" s="213" t="n">
        <v>30.6</v>
      </c>
      <c r="E1178" s="213" t="n">
        <f aca="false">AVERAGEIFS($D$33:$D$1494,$A$33:$A$1494,A1178)</f>
        <v>31.25</v>
      </c>
      <c r="F1178" s="213" t="n">
        <v>12.7</v>
      </c>
      <c r="G1178" s="213" t="n">
        <f aca="false">AVERAGEIFS($F$33:$F$1494,$A$33:$A$1494,A1178)</f>
        <v>11.3666666666667</v>
      </c>
      <c r="H1178" s="213" t="n">
        <v>11.2</v>
      </c>
      <c r="I1178" s="213" t="n">
        <f aca="false">AVERAGEIFS($H$33:$H$1494,$A$33:$A$1494,A1178)</f>
        <v>11.1666666666667</v>
      </c>
      <c r="L1178" s="215" t="n">
        <v>40649</v>
      </c>
      <c r="M1178" s="213" t="n">
        <v>25.95</v>
      </c>
      <c r="N1178" s="213" t="n">
        <v>31.25</v>
      </c>
      <c r="O1178" s="213" t="n">
        <v>11.3666666666667</v>
      </c>
      <c r="P1178" s="213" t="n">
        <v>11.1666666666667</v>
      </c>
    </row>
    <row r="1179" customFormat="false" ht="12.75" hidden="false" customHeight="false" outlineLevel="0" collapsed="false">
      <c r="A1179" s="215" t="n">
        <v>40650</v>
      </c>
      <c r="B1179" s="213" t="n">
        <v>25.7</v>
      </c>
      <c r="C1179" s="213" t="n">
        <f aca="false">AVERAGEIFS($B$33:$B$1494,$A$33:$A$1494,A1179)</f>
        <v>25.5333333333333</v>
      </c>
      <c r="D1179" s="213" t="n">
        <v>30.6</v>
      </c>
      <c r="E1179" s="213" t="n">
        <f aca="false">AVERAGEIFS($D$33:$D$1494,$A$33:$A$1494,A1179)</f>
        <v>30.3</v>
      </c>
      <c r="F1179" s="213" t="n">
        <v>11.7</v>
      </c>
      <c r="G1179" s="213" t="n">
        <f aca="false">AVERAGEIFS($F$33:$F$1494,$A$33:$A$1494,A1179)</f>
        <v>11.6</v>
      </c>
      <c r="H1179" s="213" t="n">
        <v>11.4</v>
      </c>
      <c r="I1179" s="213" t="n">
        <f aca="false">AVERAGEIFS($H$33:$H$1494,$A$33:$A$1494,A1179)</f>
        <v>11.15</v>
      </c>
      <c r="L1179" s="215" t="n">
        <v>40650</v>
      </c>
      <c r="M1179" s="213" t="n">
        <v>25.5333333333333</v>
      </c>
      <c r="N1179" s="213" t="n">
        <v>30.3</v>
      </c>
      <c r="O1179" s="213" t="n">
        <v>11.6</v>
      </c>
      <c r="P1179" s="213" t="n">
        <v>11.15</v>
      </c>
    </row>
    <row r="1180" customFormat="false" ht="12.75" hidden="false" customHeight="false" outlineLevel="0" collapsed="false">
      <c r="A1180" s="215" t="n">
        <v>40650</v>
      </c>
      <c r="B1180" s="213" t="n">
        <v>25.7</v>
      </c>
      <c r="C1180" s="213" t="n">
        <f aca="false">AVERAGEIFS($B$33:$B$1494,$A$33:$A$1494,A1180)</f>
        <v>25.5333333333333</v>
      </c>
      <c r="D1180" s="213" t="n">
        <v>30.6</v>
      </c>
      <c r="E1180" s="213" t="n">
        <f aca="false">AVERAGEIFS($D$33:$D$1494,$A$33:$A$1494,A1180)</f>
        <v>30.3</v>
      </c>
      <c r="F1180" s="213" t="n">
        <v>10.7</v>
      </c>
      <c r="G1180" s="213" t="n">
        <f aca="false">AVERAGEIFS($F$33:$F$1494,$A$33:$A$1494,A1180)</f>
        <v>11.6</v>
      </c>
      <c r="H1180" s="213" t="n">
        <v>11.3</v>
      </c>
      <c r="I1180" s="213" t="n">
        <f aca="false">AVERAGEIFS($H$33:$H$1494,$A$33:$A$1494,A1180)</f>
        <v>11.15</v>
      </c>
      <c r="L1180" s="215" t="n">
        <v>40650</v>
      </c>
      <c r="M1180" s="213" t="n">
        <v>25.5333333333333</v>
      </c>
      <c r="N1180" s="213" t="n">
        <v>30.3</v>
      </c>
      <c r="O1180" s="213" t="n">
        <v>11.6</v>
      </c>
      <c r="P1180" s="213" t="n">
        <v>11.15</v>
      </c>
    </row>
    <row r="1181" customFormat="false" ht="12.75" hidden="false" customHeight="false" outlineLevel="0" collapsed="false">
      <c r="A1181" s="215" t="n">
        <v>40650</v>
      </c>
      <c r="B1181" s="213" t="n">
        <v>25.6</v>
      </c>
      <c r="C1181" s="213" t="n">
        <f aca="false">AVERAGEIFS($B$33:$B$1494,$A$33:$A$1494,A1181)</f>
        <v>25.5333333333333</v>
      </c>
      <c r="D1181" s="213" t="n">
        <v>30.6</v>
      </c>
      <c r="E1181" s="213" t="n">
        <f aca="false">AVERAGEIFS($D$33:$D$1494,$A$33:$A$1494,A1181)</f>
        <v>30.3</v>
      </c>
      <c r="F1181" s="213" t="n">
        <v>10.2</v>
      </c>
      <c r="G1181" s="213" t="n">
        <f aca="false">AVERAGEIFS($F$33:$F$1494,$A$33:$A$1494,A1181)</f>
        <v>11.6</v>
      </c>
      <c r="H1181" s="213" t="n">
        <v>11</v>
      </c>
      <c r="I1181" s="213" t="n">
        <f aca="false">AVERAGEIFS($H$33:$H$1494,$A$33:$A$1494,A1181)</f>
        <v>11.15</v>
      </c>
      <c r="L1181" s="215" t="n">
        <v>40650</v>
      </c>
      <c r="M1181" s="213" t="n">
        <v>25.5333333333333</v>
      </c>
      <c r="N1181" s="213" t="n">
        <v>30.3</v>
      </c>
      <c r="O1181" s="213" t="n">
        <v>11.6</v>
      </c>
      <c r="P1181" s="213" t="n">
        <v>11.15</v>
      </c>
    </row>
    <row r="1182" customFormat="false" ht="12.75" hidden="false" customHeight="false" outlineLevel="0" collapsed="false">
      <c r="A1182" s="215" t="n">
        <v>40650</v>
      </c>
      <c r="B1182" s="213" t="n">
        <v>25.5</v>
      </c>
      <c r="C1182" s="213" t="n">
        <f aca="false">AVERAGEIFS($B$33:$B$1494,$A$33:$A$1494,A1182)</f>
        <v>25.5333333333333</v>
      </c>
      <c r="D1182" s="213" t="n">
        <v>30.4</v>
      </c>
      <c r="E1182" s="213" t="n">
        <f aca="false">AVERAGEIFS($D$33:$D$1494,$A$33:$A$1494,A1182)</f>
        <v>30.3</v>
      </c>
      <c r="F1182" s="213" t="n">
        <v>10.9</v>
      </c>
      <c r="G1182" s="213" t="n">
        <f aca="false">AVERAGEIFS($F$33:$F$1494,$A$33:$A$1494,A1182)</f>
        <v>11.6</v>
      </c>
      <c r="H1182" s="213" t="n">
        <v>10.8</v>
      </c>
      <c r="I1182" s="213" t="n">
        <f aca="false">AVERAGEIFS($H$33:$H$1494,$A$33:$A$1494,A1182)</f>
        <v>11.15</v>
      </c>
      <c r="L1182" s="215" t="n">
        <v>40650</v>
      </c>
      <c r="M1182" s="213" t="n">
        <v>25.5333333333333</v>
      </c>
      <c r="N1182" s="213" t="n">
        <v>30.3</v>
      </c>
      <c r="O1182" s="213" t="n">
        <v>11.6</v>
      </c>
      <c r="P1182" s="213" t="n">
        <v>11.15</v>
      </c>
    </row>
    <row r="1183" customFormat="false" ht="12.75" hidden="false" customHeight="false" outlineLevel="0" collapsed="false">
      <c r="A1183" s="215" t="n">
        <v>40650</v>
      </c>
      <c r="B1183" s="213" t="n">
        <v>25.4</v>
      </c>
      <c r="C1183" s="213" t="n">
        <f aca="false">AVERAGEIFS($B$33:$B$1494,$A$33:$A$1494,A1183)</f>
        <v>25.5333333333333</v>
      </c>
      <c r="D1183" s="213" t="n">
        <v>30</v>
      </c>
      <c r="E1183" s="213" t="n">
        <f aca="false">AVERAGEIFS($D$33:$D$1494,$A$33:$A$1494,A1183)</f>
        <v>30.3</v>
      </c>
      <c r="F1183" s="213" t="n">
        <v>12.8</v>
      </c>
      <c r="G1183" s="213" t="n">
        <f aca="false">AVERAGEIFS($F$33:$F$1494,$A$33:$A$1494,A1183)</f>
        <v>11.6</v>
      </c>
      <c r="H1183" s="213" t="n">
        <v>11</v>
      </c>
      <c r="I1183" s="213" t="n">
        <f aca="false">AVERAGEIFS($H$33:$H$1494,$A$33:$A$1494,A1183)</f>
        <v>11.15</v>
      </c>
      <c r="L1183" s="215" t="n">
        <v>40650</v>
      </c>
      <c r="M1183" s="213" t="n">
        <v>25.5333333333333</v>
      </c>
      <c r="N1183" s="213" t="n">
        <v>30.3</v>
      </c>
      <c r="O1183" s="213" t="n">
        <v>11.6</v>
      </c>
      <c r="P1183" s="213" t="n">
        <v>11.15</v>
      </c>
    </row>
    <row r="1184" customFormat="false" ht="12.75" hidden="false" customHeight="false" outlineLevel="0" collapsed="false">
      <c r="A1184" s="215" t="n">
        <v>40650</v>
      </c>
      <c r="B1184" s="213" t="n">
        <v>25.3</v>
      </c>
      <c r="C1184" s="213" t="n">
        <f aca="false">AVERAGEIFS($B$33:$B$1494,$A$33:$A$1494,A1184)</f>
        <v>25.5333333333333</v>
      </c>
      <c r="D1184" s="213" t="n">
        <v>29.6</v>
      </c>
      <c r="E1184" s="213" t="n">
        <f aca="false">AVERAGEIFS($D$33:$D$1494,$A$33:$A$1494,A1184)</f>
        <v>30.3</v>
      </c>
      <c r="F1184" s="213" t="n">
        <v>13.3</v>
      </c>
      <c r="G1184" s="213" t="n">
        <f aca="false">AVERAGEIFS($F$33:$F$1494,$A$33:$A$1494,A1184)</f>
        <v>11.6</v>
      </c>
      <c r="H1184" s="213" t="n">
        <v>11.4</v>
      </c>
      <c r="I1184" s="213" t="n">
        <f aca="false">AVERAGEIFS($H$33:$H$1494,$A$33:$A$1494,A1184)</f>
        <v>11.15</v>
      </c>
      <c r="L1184" s="215" t="n">
        <v>40650</v>
      </c>
      <c r="M1184" s="213" t="n">
        <v>25.5333333333333</v>
      </c>
      <c r="N1184" s="213" t="n">
        <v>30.3</v>
      </c>
      <c r="O1184" s="213" t="n">
        <v>11.6</v>
      </c>
      <c r="P1184" s="213" t="n">
        <v>11.15</v>
      </c>
    </row>
    <row r="1185" customFormat="false" ht="12.75" hidden="false" customHeight="false" outlineLevel="0" collapsed="false">
      <c r="A1185" s="215" t="n">
        <v>40651</v>
      </c>
      <c r="B1185" s="213" t="n">
        <v>25.2</v>
      </c>
      <c r="C1185" s="213" t="n">
        <f aca="false">AVERAGEIFS($B$33:$B$1494,$A$33:$A$1494,A1185)</f>
        <v>25.1</v>
      </c>
      <c r="D1185" s="213" t="n">
        <v>29.6</v>
      </c>
      <c r="E1185" s="213" t="n">
        <f aca="false">AVERAGEIFS($D$33:$D$1494,$A$33:$A$1494,A1185)</f>
        <v>29.4</v>
      </c>
      <c r="F1185" s="213" t="n">
        <v>12.8</v>
      </c>
      <c r="G1185" s="213" t="n">
        <f aca="false">AVERAGEIFS($F$33:$F$1494,$A$33:$A$1494,A1185)</f>
        <v>12.95</v>
      </c>
      <c r="H1185" s="213" t="n">
        <v>11.7</v>
      </c>
      <c r="I1185" s="213" t="n">
        <f aca="false">AVERAGEIFS($H$33:$H$1494,$A$33:$A$1494,A1185)</f>
        <v>11.8333333333333</v>
      </c>
      <c r="L1185" s="215" t="n">
        <v>40651</v>
      </c>
      <c r="M1185" s="213" t="n">
        <v>25.1</v>
      </c>
      <c r="N1185" s="213" t="n">
        <v>29.4</v>
      </c>
      <c r="O1185" s="213" t="n">
        <v>12.95</v>
      </c>
      <c r="P1185" s="213" t="n">
        <v>11.8333333333333</v>
      </c>
    </row>
    <row r="1186" customFormat="false" ht="12.75" hidden="false" customHeight="false" outlineLevel="0" collapsed="false">
      <c r="A1186" s="215" t="n">
        <v>40651</v>
      </c>
      <c r="B1186" s="213" t="n">
        <v>25.2</v>
      </c>
      <c r="C1186" s="213" t="n">
        <f aca="false">AVERAGEIFS($B$33:$B$1494,$A$33:$A$1494,A1186)</f>
        <v>25.1</v>
      </c>
      <c r="D1186" s="213" t="n">
        <v>29.6</v>
      </c>
      <c r="E1186" s="213" t="n">
        <f aca="false">AVERAGEIFS($D$33:$D$1494,$A$33:$A$1494,A1186)</f>
        <v>29.4</v>
      </c>
      <c r="F1186" s="213" t="n">
        <v>12.3</v>
      </c>
      <c r="G1186" s="213" t="n">
        <f aca="false">AVERAGEIFS($F$33:$F$1494,$A$33:$A$1494,A1186)</f>
        <v>12.95</v>
      </c>
      <c r="H1186" s="213" t="n">
        <v>11.8</v>
      </c>
      <c r="I1186" s="213" t="n">
        <f aca="false">AVERAGEIFS($H$33:$H$1494,$A$33:$A$1494,A1186)</f>
        <v>11.8333333333333</v>
      </c>
      <c r="L1186" s="215" t="n">
        <v>40651</v>
      </c>
      <c r="M1186" s="213" t="n">
        <v>25.1</v>
      </c>
      <c r="N1186" s="213" t="n">
        <v>29.4</v>
      </c>
      <c r="O1186" s="213" t="n">
        <v>12.95</v>
      </c>
      <c r="P1186" s="213" t="n">
        <v>11.8333333333333</v>
      </c>
    </row>
    <row r="1187" customFormat="false" ht="12.75" hidden="false" customHeight="false" outlineLevel="0" collapsed="false">
      <c r="A1187" s="215" t="n">
        <v>40651</v>
      </c>
      <c r="B1187" s="213" t="n">
        <v>25.2</v>
      </c>
      <c r="C1187" s="213" t="n">
        <f aca="false">AVERAGEIFS($B$33:$B$1494,$A$33:$A$1494,A1187)</f>
        <v>25.1</v>
      </c>
      <c r="D1187" s="213" t="n">
        <v>29.6</v>
      </c>
      <c r="E1187" s="213" t="n">
        <f aca="false">AVERAGEIFS($D$33:$D$1494,$A$33:$A$1494,A1187)</f>
        <v>29.4</v>
      </c>
      <c r="F1187" s="213" t="n">
        <v>11.9</v>
      </c>
      <c r="G1187" s="213" t="n">
        <f aca="false">AVERAGEIFS($F$33:$F$1494,$A$33:$A$1494,A1187)</f>
        <v>12.95</v>
      </c>
      <c r="H1187" s="213" t="n">
        <v>11.7</v>
      </c>
      <c r="I1187" s="213" t="n">
        <f aca="false">AVERAGEIFS($H$33:$H$1494,$A$33:$A$1494,A1187)</f>
        <v>11.8333333333333</v>
      </c>
      <c r="L1187" s="215" t="n">
        <v>40651</v>
      </c>
      <c r="M1187" s="213" t="n">
        <v>25.1</v>
      </c>
      <c r="N1187" s="213" t="n">
        <v>29.4</v>
      </c>
      <c r="O1187" s="213" t="n">
        <v>12.95</v>
      </c>
      <c r="P1187" s="213" t="n">
        <v>11.8333333333333</v>
      </c>
    </row>
    <row r="1188" customFormat="false" ht="12.75" hidden="false" customHeight="false" outlineLevel="0" collapsed="false">
      <c r="A1188" s="215" t="n">
        <v>40651</v>
      </c>
      <c r="B1188" s="213" t="n">
        <v>25.1</v>
      </c>
      <c r="C1188" s="213" t="n">
        <f aca="false">AVERAGEIFS($B$33:$B$1494,$A$33:$A$1494,A1188)</f>
        <v>25.1</v>
      </c>
      <c r="D1188" s="213" t="n">
        <v>29.5</v>
      </c>
      <c r="E1188" s="213" t="n">
        <f aca="false">AVERAGEIFS($D$33:$D$1494,$A$33:$A$1494,A1188)</f>
        <v>29.4</v>
      </c>
      <c r="F1188" s="213" t="n">
        <v>12.5</v>
      </c>
      <c r="G1188" s="213" t="n">
        <f aca="false">AVERAGEIFS($F$33:$F$1494,$A$33:$A$1494,A1188)</f>
        <v>12.95</v>
      </c>
      <c r="H1188" s="213" t="n">
        <v>11.7</v>
      </c>
      <c r="I1188" s="213" t="n">
        <f aca="false">AVERAGEIFS($H$33:$H$1494,$A$33:$A$1494,A1188)</f>
        <v>11.8333333333333</v>
      </c>
      <c r="L1188" s="215" t="n">
        <v>40651</v>
      </c>
      <c r="M1188" s="213" t="n">
        <v>25.1</v>
      </c>
      <c r="N1188" s="213" t="n">
        <v>29.4</v>
      </c>
      <c r="O1188" s="213" t="n">
        <v>12.95</v>
      </c>
      <c r="P1188" s="213" t="n">
        <v>11.8333333333333</v>
      </c>
    </row>
    <row r="1189" customFormat="false" ht="12.75" hidden="false" customHeight="false" outlineLevel="0" collapsed="false">
      <c r="A1189" s="215" t="n">
        <v>40651</v>
      </c>
      <c r="B1189" s="213" t="n">
        <v>25</v>
      </c>
      <c r="C1189" s="213" t="n">
        <f aca="false">AVERAGEIFS($B$33:$B$1494,$A$33:$A$1494,A1189)</f>
        <v>25.1</v>
      </c>
      <c r="D1189" s="213" t="n">
        <v>29.2</v>
      </c>
      <c r="E1189" s="213" t="n">
        <f aca="false">AVERAGEIFS($D$33:$D$1494,$A$33:$A$1494,A1189)</f>
        <v>29.4</v>
      </c>
      <c r="F1189" s="213" t="n">
        <v>14</v>
      </c>
      <c r="G1189" s="213" t="n">
        <f aca="false">AVERAGEIFS($F$33:$F$1494,$A$33:$A$1494,A1189)</f>
        <v>12.95</v>
      </c>
      <c r="H1189" s="213" t="n">
        <v>11.9</v>
      </c>
      <c r="I1189" s="213" t="n">
        <f aca="false">AVERAGEIFS($H$33:$H$1494,$A$33:$A$1494,A1189)</f>
        <v>11.8333333333333</v>
      </c>
      <c r="L1189" s="215" t="n">
        <v>40651</v>
      </c>
      <c r="M1189" s="213" t="n">
        <v>25.1</v>
      </c>
      <c r="N1189" s="213" t="n">
        <v>29.4</v>
      </c>
      <c r="O1189" s="213" t="n">
        <v>12.95</v>
      </c>
      <c r="P1189" s="213" t="n">
        <v>11.8333333333333</v>
      </c>
    </row>
    <row r="1190" customFormat="false" ht="12.75" hidden="false" customHeight="false" outlineLevel="0" collapsed="false">
      <c r="A1190" s="215" t="n">
        <v>40651</v>
      </c>
      <c r="B1190" s="213" t="n">
        <v>24.9</v>
      </c>
      <c r="C1190" s="213" t="n">
        <f aca="false">AVERAGEIFS($B$33:$B$1494,$A$33:$A$1494,A1190)</f>
        <v>25.1</v>
      </c>
      <c r="D1190" s="213" t="n">
        <v>28.9</v>
      </c>
      <c r="E1190" s="213" t="n">
        <f aca="false">AVERAGEIFS($D$33:$D$1494,$A$33:$A$1494,A1190)</f>
        <v>29.4</v>
      </c>
      <c r="F1190" s="213" t="n">
        <v>14.2</v>
      </c>
      <c r="G1190" s="213" t="n">
        <f aca="false">AVERAGEIFS($F$33:$F$1494,$A$33:$A$1494,A1190)</f>
        <v>12.95</v>
      </c>
      <c r="H1190" s="213" t="n">
        <v>12.2</v>
      </c>
      <c r="I1190" s="213" t="n">
        <f aca="false">AVERAGEIFS($H$33:$H$1494,$A$33:$A$1494,A1190)</f>
        <v>11.8333333333333</v>
      </c>
      <c r="L1190" s="215" t="n">
        <v>40651</v>
      </c>
      <c r="M1190" s="213" t="n">
        <v>25.1</v>
      </c>
      <c r="N1190" s="213" t="n">
        <v>29.4</v>
      </c>
      <c r="O1190" s="213" t="n">
        <v>12.95</v>
      </c>
      <c r="P1190" s="213" t="n">
        <v>11.8333333333333</v>
      </c>
    </row>
    <row r="1191" customFormat="false" ht="12.75" hidden="false" customHeight="false" outlineLevel="0" collapsed="false">
      <c r="A1191" s="215" t="n">
        <v>40652</v>
      </c>
      <c r="B1191" s="213" t="n">
        <v>24.8</v>
      </c>
      <c r="C1191" s="213" t="n">
        <f aca="false">AVERAGEIFS($B$33:$B$1494,$A$33:$A$1494,A1191)</f>
        <v>24.5666666666667</v>
      </c>
      <c r="D1191" s="213" t="n">
        <v>28.8</v>
      </c>
      <c r="E1191" s="213" t="n">
        <f aca="false">AVERAGEIFS($D$33:$D$1494,$A$33:$A$1494,A1191)</f>
        <v>28.6166666666667</v>
      </c>
      <c r="F1191" s="213" t="n">
        <v>13.4</v>
      </c>
      <c r="G1191" s="213" t="n">
        <f aca="false">AVERAGEIFS($F$33:$F$1494,$A$33:$A$1494,A1191)</f>
        <v>13.0666666666667</v>
      </c>
      <c r="H1191" s="213" t="n">
        <v>12.4</v>
      </c>
      <c r="I1191" s="213" t="n">
        <f aca="false">AVERAGEIFS($H$33:$H$1494,$A$33:$A$1494,A1191)</f>
        <v>12.2666666666667</v>
      </c>
      <c r="L1191" s="215" t="n">
        <v>40652</v>
      </c>
      <c r="M1191" s="213" t="n">
        <v>24.5666666666667</v>
      </c>
      <c r="N1191" s="213" t="n">
        <v>28.6166666666667</v>
      </c>
      <c r="O1191" s="213" t="n">
        <v>13.0666666666667</v>
      </c>
      <c r="P1191" s="213" t="n">
        <v>12.2666666666667</v>
      </c>
    </row>
    <row r="1192" customFormat="false" ht="12.75" hidden="false" customHeight="false" outlineLevel="0" collapsed="false">
      <c r="A1192" s="215" t="n">
        <v>40652</v>
      </c>
      <c r="B1192" s="213" t="n">
        <v>24.7</v>
      </c>
      <c r="C1192" s="213" t="n">
        <f aca="false">AVERAGEIFS($B$33:$B$1494,$A$33:$A$1494,A1192)</f>
        <v>24.5666666666667</v>
      </c>
      <c r="D1192" s="213" t="n">
        <v>28.8</v>
      </c>
      <c r="E1192" s="213" t="n">
        <f aca="false">AVERAGEIFS($D$33:$D$1494,$A$33:$A$1494,A1192)</f>
        <v>28.6166666666667</v>
      </c>
      <c r="F1192" s="213" t="n">
        <v>12.6</v>
      </c>
      <c r="G1192" s="213" t="n">
        <f aca="false">AVERAGEIFS($F$33:$F$1494,$A$33:$A$1494,A1192)</f>
        <v>13.0666666666667</v>
      </c>
      <c r="H1192" s="213" t="n">
        <v>12.4</v>
      </c>
      <c r="I1192" s="213" t="n">
        <f aca="false">AVERAGEIFS($H$33:$H$1494,$A$33:$A$1494,A1192)</f>
        <v>12.2666666666667</v>
      </c>
      <c r="L1192" s="215" t="n">
        <v>40652</v>
      </c>
      <c r="M1192" s="213" t="n">
        <v>24.5666666666667</v>
      </c>
      <c r="N1192" s="213" t="n">
        <v>28.6166666666667</v>
      </c>
      <c r="O1192" s="213" t="n">
        <v>13.0666666666667</v>
      </c>
      <c r="P1192" s="213" t="n">
        <v>12.2666666666667</v>
      </c>
    </row>
    <row r="1193" customFormat="false" ht="12.75" hidden="false" customHeight="false" outlineLevel="0" collapsed="false">
      <c r="A1193" s="215" t="n">
        <v>40652</v>
      </c>
      <c r="B1193" s="213" t="n">
        <v>24.7</v>
      </c>
      <c r="C1193" s="213" t="n">
        <f aca="false">AVERAGEIFS($B$33:$B$1494,$A$33:$A$1494,A1193)</f>
        <v>24.5666666666667</v>
      </c>
      <c r="D1193" s="213" t="n">
        <v>28.8</v>
      </c>
      <c r="E1193" s="213" t="n">
        <f aca="false">AVERAGEIFS($D$33:$D$1494,$A$33:$A$1494,A1193)</f>
        <v>28.6166666666667</v>
      </c>
      <c r="F1193" s="213" t="n">
        <v>12.1</v>
      </c>
      <c r="G1193" s="213" t="n">
        <f aca="false">AVERAGEIFS($F$33:$F$1494,$A$33:$A$1494,A1193)</f>
        <v>13.0666666666667</v>
      </c>
      <c r="H1193" s="213" t="n">
        <v>12.2</v>
      </c>
      <c r="I1193" s="213" t="n">
        <f aca="false">AVERAGEIFS($H$33:$H$1494,$A$33:$A$1494,A1193)</f>
        <v>12.2666666666667</v>
      </c>
      <c r="L1193" s="215" t="n">
        <v>40652</v>
      </c>
      <c r="M1193" s="213" t="n">
        <v>24.5666666666667</v>
      </c>
      <c r="N1193" s="213" t="n">
        <v>28.6166666666667</v>
      </c>
      <c r="O1193" s="213" t="n">
        <v>13.0666666666667</v>
      </c>
      <c r="P1193" s="213" t="n">
        <v>12.2666666666667</v>
      </c>
    </row>
    <row r="1194" customFormat="false" ht="12.75" hidden="false" customHeight="false" outlineLevel="0" collapsed="false">
      <c r="A1194" s="215" t="n">
        <v>40652</v>
      </c>
      <c r="B1194" s="213" t="n">
        <v>24.5</v>
      </c>
      <c r="C1194" s="213" t="n">
        <f aca="false">AVERAGEIFS($B$33:$B$1494,$A$33:$A$1494,A1194)</f>
        <v>24.5666666666667</v>
      </c>
      <c r="D1194" s="213" t="n">
        <v>28.7</v>
      </c>
      <c r="E1194" s="213" t="n">
        <f aca="false">AVERAGEIFS($D$33:$D$1494,$A$33:$A$1494,A1194)</f>
        <v>28.6166666666667</v>
      </c>
      <c r="F1194" s="213" t="n">
        <v>12.7</v>
      </c>
      <c r="G1194" s="213" t="n">
        <f aca="false">AVERAGEIFS($F$33:$F$1494,$A$33:$A$1494,A1194)</f>
        <v>13.0666666666667</v>
      </c>
      <c r="H1194" s="213" t="n">
        <v>12.1</v>
      </c>
      <c r="I1194" s="213" t="n">
        <f aca="false">AVERAGEIFS($H$33:$H$1494,$A$33:$A$1494,A1194)</f>
        <v>12.2666666666667</v>
      </c>
      <c r="L1194" s="215" t="n">
        <v>40652</v>
      </c>
      <c r="M1194" s="213" t="n">
        <v>24.5666666666667</v>
      </c>
      <c r="N1194" s="213" t="n">
        <v>28.6166666666667</v>
      </c>
      <c r="O1194" s="213" t="n">
        <v>13.0666666666667</v>
      </c>
      <c r="P1194" s="213" t="n">
        <v>12.2666666666667</v>
      </c>
    </row>
    <row r="1195" customFormat="false" ht="12.75" hidden="false" customHeight="false" outlineLevel="0" collapsed="false">
      <c r="A1195" s="215" t="n">
        <v>40652</v>
      </c>
      <c r="B1195" s="213" t="n">
        <v>24.4</v>
      </c>
      <c r="C1195" s="213" t="n">
        <f aca="false">AVERAGEIFS($B$33:$B$1494,$A$33:$A$1494,A1195)</f>
        <v>24.5666666666667</v>
      </c>
      <c r="D1195" s="213" t="n">
        <v>28.4</v>
      </c>
      <c r="E1195" s="213" t="n">
        <f aca="false">AVERAGEIFS($D$33:$D$1494,$A$33:$A$1494,A1195)</f>
        <v>28.6166666666667</v>
      </c>
      <c r="F1195" s="213" t="n">
        <v>13.8</v>
      </c>
      <c r="G1195" s="213" t="n">
        <f aca="false">AVERAGEIFS($F$33:$F$1494,$A$33:$A$1494,A1195)</f>
        <v>13.0666666666667</v>
      </c>
      <c r="H1195" s="213" t="n">
        <v>12.1</v>
      </c>
      <c r="I1195" s="213" t="n">
        <f aca="false">AVERAGEIFS($H$33:$H$1494,$A$33:$A$1494,A1195)</f>
        <v>12.2666666666667</v>
      </c>
      <c r="L1195" s="215" t="n">
        <v>40652</v>
      </c>
      <c r="M1195" s="213" t="n">
        <v>24.5666666666667</v>
      </c>
      <c r="N1195" s="213" t="n">
        <v>28.6166666666667</v>
      </c>
      <c r="O1195" s="213" t="n">
        <v>13.0666666666667</v>
      </c>
      <c r="P1195" s="213" t="n">
        <v>12.2666666666667</v>
      </c>
    </row>
    <row r="1196" customFormat="false" ht="12.75" hidden="false" customHeight="false" outlineLevel="0" collapsed="false">
      <c r="A1196" s="215" t="n">
        <v>40652</v>
      </c>
      <c r="B1196" s="213" t="n">
        <v>24.3</v>
      </c>
      <c r="C1196" s="213" t="n">
        <f aca="false">AVERAGEIFS($B$33:$B$1494,$A$33:$A$1494,A1196)</f>
        <v>24.5666666666667</v>
      </c>
      <c r="D1196" s="213" t="n">
        <v>28.2</v>
      </c>
      <c r="E1196" s="213" t="n">
        <f aca="false">AVERAGEIFS($D$33:$D$1494,$A$33:$A$1494,A1196)</f>
        <v>28.6166666666667</v>
      </c>
      <c r="F1196" s="213" t="n">
        <v>13.8</v>
      </c>
      <c r="G1196" s="213" t="n">
        <f aca="false">AVERAGEIFS($F$33:$F$1494,$A$33:$A$1494,A1196)</f>
        <v>13.0666666666667</v>
      </c>
      <c r="H1196" s="213" t="n">
        <v>12.4</v>
      </c>
      <c r="I1196" s="213" t="n">
        <f aca="false">AVERAGEIFS($H$33:$H$1494,$A$33:$A$1494,A1196)</f>
        <v>12.2666666666667</v>
      </c>
      <c r="L1196" s="215" t="n">
        <v>40652</v>
      </c>
      <c r="M1196" s="213" t="n">
        <v>24.5666666666667</v>
      </c>
      <c r="N1196" s="213" t="n">
        <v>28.6166666666667</v>
      </c>
      <c r="O1196" s="213" t="n">
        <v>13.0666666666667</v>
      </c>
      <c r="P1196" s="213" t="n">
        <v>12.2666666666667</v>
      </c>
    </row>
    <row r="1197" customFormat="false" ht="12.75" hidden="false" customHeight="false" outlineLevel="0" collapsed="false">
      <c r="A1197" s="215" t="n">
        <v>40653</v>
      </c>
      <c r="B1197" s="213" t="n">
        <v>24.2</v>
      </c>
      <c r="C1197" s="213" t="n">
        <f aca="false">AVERAGEIFS($B$33:$B$1494,$A$33:$A$1494,A1197)</f>
        <v>24.05</v>
      </c>
      <c r="D1197" s="213" t="n">
        <v>28.1</v>
      </c>
      <c r="E1197" s="213" t="n">
        <f aca="false">AVERAGEIFS($D$33:$D$1494,$A$33:$A$1494,A1197)</f>
        <v>27.9166666666667</v>
      </c>
      <c r="F1197" s="213" t="n">
        <v>13.2</v>
      </c>
      <c r="G1197" s="213" t="n">
        <f aca="false">AVERAGEIFS($F$33:$F$1494,$A$33:$A$1494,A1197)</f>
        <v>13.3333333333333</v>
      </c>
      <c r="H1197" s="213" t="n">
        <v>12.5</v>
      </c>
      <c r="I1197" s="213" t="n">
        <f aca="false">AVERAGEIFS($H$33:$H$1494,$A$33:$A$1494,A1197)</f>
        <v>12.4</v>
      </c>
      <c r="L1197" s="215" t="n">
        <v>40653</v>
      </c>
      <c r="M1197" s="213" t="n">
        <v>24.05</v>
      </c>
      <c r="N1197" s="213" t="n">
        <v>27.9166666666667</v>
      </c>
      <c r="O1197" s="213" t="n">
        <v>13.3333333333333</v>
      </c>
      <c r="P1197" s="213" t="n">
        <v>12.4</v>
      </c>
    </row>
    <row r="1198" customFormat="false" ht="12.75" hidden="false" customHeight="false" outlineLevel="0" collapsed="false">
      <c r="A1198" s="215" t="n">
        <v>40653</v>
      </c>
      <c r="B1198" s="213" t="n">
        <v>24.2</v>
      </c>
      <c r="C1198" s="213" t="n">
        <f aca="false">AVERAGEIFS($B$33:$B$1494,$A$33:$A$1494,A1198)</f>
        <v>24.05</v>
      </c>
      <c r="D1198" s="213" t="n">
        <v>28.1</v>
      </c>
      <c r="E1198" s="213" t="n">
        <f aca="false">AVERAGEIFS($D$33:$D$1494,$A$33:$A$1494,A1198)</f>
        <v>27.9166666666667</v>
      </c>
      <c r="F1198" s="213" t="n">
        <v>12.7</v>
      </c>
      <c r="G1198" s="213" t="n">
        <f aca="false">AVERAGEIFS($F$33:$F$1494,$A$33:$A$1494,A1198)</f>
        <v>13.3333333333333</v>
      </c>
      <c r="H1198" s="213" t="n">
        <v>12.4</v>
      </c>
      <c r="I1198" s="213" t="n">
        <f aca="false">AVERAGEIFS($H$33:$H$1494,$A$33:$A$1494,A1198)</f>
        <v>12.4</v>
      </c>
      <c r="L1198" s="215" t="n">
        <v>40653</v>
      </c>
      <c r="M1198" s="213" t="n">
        <v>24.05</v>
      </c>
      <c r="N1198" s="213" t="n">
        <v>27.9166666666667</v>
      </c>
      <c r="O1198" s="213" t="n">
        <v>13.3333333333333</v>
      </c>
      <c r="P1198" s="213" t="n">
        <v>12.4</v>
      </c>
    </row>
    <row r="1199" customFormat="false" ht="12.75" hidden="false" customHeight="false" outlineLevel="0" collapsed="false">
      <c r="A1199" s="215" t="n">
        <v>40653</v>
      </c>
      <c r="B1199" s="213" t="n">
        <v>24.1</v>
      </c>
      <c r="C1199" s="213" t="n">
        <f aca="false">AVERAGEIFS($B$33:$B$1494,$A$33:$A$1494,A1199)</f>
        <v>24.05</v>
      </c>
      <c r="D1199" s="213" t="n">
        <v>28.1</v>
      </c>
      <c r="E1199" s="213" t="n">
        <f aca="false">AVERAGEIFS($D$33:$D$1494,$A$33:$A$1494,A1199)</f>
        <v>27.9166666666667</v>
      </c>
      <c r="F1199" s="213" t="n">
        <v>12.4</v>
      </c>
      <c r="G1199" s="213" t="n">
        <f aca="false">AVERAGEIFS($F$33:$F$1494,$A$33:$A$1494,A1199)</f>
        <v>13.3333333333333</v>
      </c>
      <c r="H1199" s="213" t="n">
        <v>12.3</v>
      </c>
      <c r="I1199" s="213" t="n">
        <f aca="false">AVERAGEIFS($H$33:$H$1494,$A$33:$A$1494,A1199)</f>
        <v>12.4</v>
      </c>
      <c r="L1199" s="215" t="n">
        <v>40653</v>
      </c>
      <c r="M1199" s="213" t="n">
        <v>24.05</v>
      </c>
      <c r="N1199" s="213" t="n">
        <v>27.9166666666667</v>
      </c>
      <c r="O1199" s="213" t="n">
        <v>13.3333333333333</v>
      </c>
      <c r="P1199" s="213" t="n">
        <v>12.4</v>
      </c>
    </row>
    <row r="1200" customFormat="false" ht="12.75" hidden="false" customHeight="false" outlineLevel="0" collapsed="false">
      <c r="A1200" s="215" t="n">
        <v>40653</v>
      </c>
      <c r="B1200" s="213" t="n">
        <v>24.1</v>
      </c>
      <c r="C1200" s="213" t="n">
        <f aca="false">AVERAGEIFS($B$33:$B$1494,$A$33:$A$1494,A1200)</f>
        <v>24.05</v>
      </c>
      <c r="D1200" s="213" t="n">
        <v>28</v>
      </c>
      <c r="E1200" s="213" t="n">
        <f aca="false">AVERAGEIFS($D$33:$D$1494,$A$33:$A$1494,A1200)</f>
        <v>27.9166666666667</v>
      </c>
      <c r="F1200" s="213" t="n">
        <v>12.9</v>
      </c>
      <c r="G1200" s="213" t="n">
        <f aca="false">AVERAGEIFS($F$33:$F$1494,$A$33:$A$1494,A1200)</f>
        <v>13.3333333333333</v>
      </c>
      <c r="H1200" s="213" t="n">
        <v>12.2</v>
      </c>
      <c r="I1200" s="213" t="n">
        <f aca="false">AVERAGEIFS($H$33:$H$1494,$A$33:$A$1494,A1200)</f>
        <v>12.4</v>
      </c>
      <c r="L1200" s="215" t="n">
        <v>40653</v>
      </c>
      <c r="M1200" s="213" t="n">
        <v>24.05</v>
      </c>
      <c r="N1200" s="213" t="n">
        <v>27.9166666666667</v>
      </c>
      <c r="O1200" s="213" t="n">
        <v>13.3333333333333</v>
      </c>
      <c r="P1200" s="213" t="n">
        <v>12.4</v>
      </c>
    </row>
    <row r="1201" customFormat="false" ht="12.75" hidden="false" customHeight="false" outlineLevel="0" collapsed="false">
      <c r="A1201" s="215" t="n">
        <v>40653</v>
      </c>
      <c r="B1201" s="213" t="n">
        <v>23.9</v>
      </c>
      <c r="C1201" s="213" t="n">
        <f aca="false">AVERAGEIFS($B$33:$B$1494,$A$33:$A$1494,A1201)</f>
        <v>24.05</v>
      </c>
      <c r="D1201" s="213" t="n">
        <v>27.7</v>
      </c>
      <c r="E1201" s="213" t="n">
        <f aca="false">AVERAGEIFS($D$33:$D$1494,$A$33:$A$1494,A1201)</f>
        <v>27.9166666666667</v>
      </c>
      <c r="F1201" s="213" t="n">
        <v>14.3</v>
      </c>
      <c r="G1201" s="213" t="n">
        <f aca="false">AVERAGEIFS($F$33:$F$1494,$A$33:$A$1494,A1201)</f>
        <v>13.3333333333333</v>
      </c>
      <c r="H1201" s="213" t="n">
        <v>12.3</v>
      </c>
      <c r="I1201" s="213" t="n">
        <f aca="false">AVERAGEIFS($H$33:$H$1494,$A$33:$A$1494,A1201)</f>
        <v>12.4</v>
      </c>
      <c r="L1201" s="215" t="n">
        <v>40653</v>
      </c>
      <c r="M1201" s="213" t="n">
        <v>24.05</v>
      </c>
      <c r="N1201" s="213" t="n">
        <v>27.9166666666667</v>
      </c>
      <c r="O1201" s="213" t="n">
        <v>13.3333333333333</v>
      </c>
      <c r="P1201" s="213" t="n">
        <v>12.4</v>
      </c>
    </row>
    <row r="1202" customFormat="false" ht="12.75" hidden="false" customHeight="false" outlineLevel="0" collapsed="false">
      <c r="A1202" s="215" t="n">
        <v>40653</v>
      </c>
      <c r="B1202" s="213" t="n">
        <v>23.8</v>
      </c>
      <c r="C1202" s="213" t="n">
        <f aca="false">AVERAGEIFS($B$33:$B$1494,$A$33:$A$1494,A1202)</f>
        <v>24.05</v>
      </c>
      <c r="D1202" s="213" t="n">
        <v>27.5</v>
      </c>
      <c r="E1202" s="213" t="n">
        <f aca="false">AVERAGEIFS($D$33:$D$1494,$A$33:$A$1494,A1202)</f>
        <v>27.9166666666667</v>
      </c>
      <c r="F1202" s="213" t="n">
        <v>14.5</v>
      </c>
      <c r="G1202" s="213" t="n">
        <f aca="false">AVERAGEIFS($F$33:$F$1494,$A$33:$A$1494,A1202)</f>
        <v>13.3333333333333</v>
      </c>
      <c r="H1202" s="213" t="n">
        <v>12.7</v>
      </c>
      <c r="I1202" s="213" t="n">
        <f aca="false">AVERAGEIFS($H$33:$H$1494,$A$33:$A$1494,A1202)</f>
        <v>12.4</v>
      </c>
      <c r="L1202" s="215" t="n">
        <v>40653</v>
      </c>
      <c r="M1202" s="213" t="n">
        <v>24.05</v>
      </c>
      <c r="N1202" s="213" t="n">
        <v>27.9166666666667</v>
      </c>
      <c r="O1202" s="213" t="n">
        <v>13.3333333333333</v>
      </c>
      <c r="P1202" s="213" t="n">
        <v>12.4</v>
      </c>
    </row>
    <row r="1203" customFormat="false" ht="12.75" hidden="false" customHeight="false" outlineLevel="0" collapsed="false">
      <c r="A1203" s="215" t="n">
        <v>40654</v>
      </c>
      <c r="B1203" s="213" t="n">
        <v>23.8</v>
      </c>
      <c r="C1203" s="213" t="n">
        <f aca="false">AVERAGEIFS($B$33:$B$1494,$A$33:$A$1494,A1203)</f>
        <v>23.6333333333333</v>
      </c>
      <c r="D1203" s="213" t="n">
        <v>27.5</v>
      </c>
      <c r="E1203" s="213" t="n">
        <f aca="false">AVERAGEIFS($D$33:$D$1494,$A$33:$A$1494,A1203)</f>
        <v>27.2833333333333</v>
      </c>
      <c r="F1203" s="213" t="n">
        <v>13.7</v>
      </c>
      <c r="G1203" s="213" t="n">
        <f aca="false">AVERAGEIFS($F$33:$F$1494,$A$33:$A$1494,A1203)</f>
        <v>13.8666666666667</v>
      </c>
      <c r="H1203" s="213" t="n">
        <v>12.8</v>
      </c>
      <c r="I1203" s="213" t="n">
        <f aca="false">AVERAGEIFS($H$33:$H$1494,$A$33:$A$1494,A1203)</f>
        <v>12.7333333333333</v>
      </c>
      <c r="L1203" s="215" t="n">
        <v>40654</v>
      </c>
      <c r="M1203" s="213" t="n">
        <v>23.6333333333333</v>
      </c>
      <c r="N1203" s="213" t="n">
        <v>27.2833333333333</v>
      </c>
      <c r="O1203" s="213" t="n">
        <v>13.8666666666667</v>
      </c>
      <c r="P1203" s="213" t="n">
        <v>12.7333333333333</v>
      </c>
    </row>
    <row r="1204" customFormat="false" ht="12.75" hidden="false" customHeight="false" outlineLevel="0" collapsed="false">
      <c r="A1204" s="215" t="n">
        <v>40654</v>
      </c>
      <c r="B1204" s="213" t="n">
        <v>23.8</v>
      </c>
      <c r="C1204" s="213" t="n">
        <f aca="false">AVERAGEIFS($B$33:$B$1494,$A$33:$A$1494,A1204)</f>
        <v>23.6333333333333</v>
      </c>
      <c r="D1204" s="213" t="n">
        <v>27.5</v>
      </c>
      <c r="E1204" s="213" t="n">
        <f aca="false">AVERAGEIFS($D$33:$D$1494,$A$33:$A$1494,A1204)</f>
        <v>27.2833333333333</v>
      </c>
      <c r="F1204" s="213" t="n">
        <v>13.1</v>
      </c>
      <c r="G1204" s="213" t="n">
        <f aca="false">AVERAGEIFS($F$33:$F$1494,$A$33:$A$1494,A1204)</f>
        <v>13.8666666666667</v>
      </c>
      <c r="H1204" s="213" t="n">
        <v>12.8</v>
      </c>
      <c r="I1204" s="213" t="n">
        <f aca="false">AVERAGEIFS($H$33:$H$1494,$A$33:$A$1494,A1204)</f>
        <v>12.7333333333333</v>
      </c>
      <c r="L1204" s="215" t="n">
        <v>40654</v>
      </c>
      <c r="M1204" s="213" t="n">
        <v>23.6333333333333</v>
      </c>
      <c r="N1204" s="213" t="n">
        <v>27.2833333333333</v>
      </c>
      <c r="O1204" s="213" t="n">
        <v>13.8666666666667</v>
      </c>
      <c r="P1204" s="213" t="n">
        <v>12.7333333333333</v>
      </c>
    </row>
    <row r="1205" customFormat="false" ht="12.75" hidden="false" customHeight="false" outlineLevel="0" collapsed="false">
      <c r="A1205" s="215" t="n">
        <v>40654</v>
      </c>
      <c r="B1205" s="213" t="n">
        <v>23.7</v>
      </c>
      <c r="C1205" s="213" t="n">
        <f aca="false">AVERAGEIFS($B$33:$B$1494,$A$33:$A$1494,A1205)</f>
        <v>23.6333333333333</v>
      </c>
      <c r="D1205" s="213" t="n">
        <v>27.4</v>
      </c>
      <c r="E1205" s="213" t="n">
        <f aca="false">AVERAGEIFS($D$33:$D$1494,$A$33:$A$1494,A1205)</f>
        <v>27.2833333333333</v>
      </c>
      <c r="F1205" s="213" t="n">
        <v>12.9</v>
      </c>
      <c r="G1205" s="213" t="n">
        <f aca="false">AVERAGEIFS($F$33:$F$1494,$A$33:$A$1494,A1205)</f>
        <v>13.8666666666667</v>
      </c>
      <c r="H1205" s="213" t="n">
        <v>12.6</v>
      </c>
      <c r="I1205" s="213" t="n">
        <f aca="false">AVERAGEIFS($H$33:$H$1494,$A$33:$A$1494,A1205)</f>
        <v>12.7333333333333</v>
      </c>
      <c r="L1205" s="215" t="n">
        <v>40654</v>
      </c>
      <c r="M1205" s="213" t="n">
        <v>23.6333333333333</v>
      </c>
      <c r="N1205" s="213" t="n">
        <v>27.2833333333333</v>
      </c>
      <c r="O1205" s="213" t="n">
        <v>13.8666666666667</v>
      </c>
      <c r="P1205" s="213" t="n">
        <v>12.7333333333333</v>
      </c>
    </row>
    <row r="1206" customFormat="false" ht="12.75" hidden="false" customHeight="false" outlineLevel="0" collapsed="false">
      <c r="A1206" s="215" t="n">
        <v>40654</v>
      </c>
      <c r="B1206" s="213" t="n">
        <v>23.6</v>
      </c>
      <c r="C1206" s="213" t="n">
        <f aca="false">AVERAGEIFS($B$33:$B$1494,$A$33:$A$1494,A1206)</f>
        <v>23.6333333333333</v>
      </c>
      <c r="D1206" s="213" t="n">
        <v>27.3</v>
      </c>
      <c r="E1206" s="213" t="n">
        <f aca="false">AVERAGEIFS($D$33:$D$1494,$A$33:$A$1494,A1206)</f>
        <v>27.2833333333333</v>
      </c>
      <c r="F1206" s="213" t="n">
        <v>13.5</v>
      </c>
      <c r="G1206" s="213" t="n">
        <f aca="false">AVERAGEIFS($F$33:$F$1494,$A$33:$A$1494,A1206)</f>
        <v>13.8666666666667</v>
      </c>
      <c r="H1206" s="213" t="n">
        <v>12.5</v>
      </c>
      <c r="I1206" s="213" t="n">
        <f aca="false">AVERAGEIFS($H$33:$H$1494,$A$33:$A$1494,A1206)</f>
        <v>12.7333333333333</v>
      </c>
      <c r="L1206" s="215" t="n">
        <v>40654</v>
      </c>
      <c r="M1206" s="213" t="n">
        <v>23.6333333333333</v>
      </c>
      <c r="N1206" s="213" t="n">
        <v>27.2833333333333</v>
      </c>
      <c r="O1206" s="213" t="n">
        <v>13.8666666666667</v>
      </c>
      <c r="P1206" s="213" t="n">
        <v>12.7333333333333</v>
      </c>
    </row>
    <row r="1207" customFormat="false" ht="12.75" hidden="false" customHeight="false" outlineLevel="0" collapsed="false">
      <c r="A1207" s="215" t="n">
        <v>40654</v>
      </c>
      <c r="B1207" s="213" t="n">
        <v>23.5</v>
      </c>
      <c r="C1207" s="213" t="n">
        <f aca="false">AVERAGEIFS($B$33:$B$1494,$A$33:$A$1494,A1207)</f>
        <v>23.6333333333333</v>
      </c>
      <c r="D1207" s="213" t="n">
        <v>27.1</v>
      </c>
      <c r="E1207" s="213" t="n">
        <f aca="false">AVERAGEIFS($D$33:$D$1494,$A$33:$A$1494,A1207)</f>
        <v>27.2833333333333</v>
      </c>
      <c r="F1207" s="213" t="n">
        <v>14.9</v>
      </c>
      <c r="G1207" s="213" t="n">
        <f aca="false">AVERAGEIFS($F$33:$F$1494,$A$33:$A$1494,A1207)</f>
        <v>13.8666666666667</v>
      </c>
      <c r="H1207" s="213" t="n">
        <v>12.7</v>
      </c>
      <c r="I1207" s="213" t="n">
        <f aca="false">AVERAGEIFS($H$33:$H$1494,$A$33:$A$1494,A1207)</f>
        <v>12.7333333333333</v>
      </c>
      <c r="L1207" s="215" t="n">
        <v>40654</v>
      </c>
      <c r="M1207" s="213" t="n">
        <v>23.6333333333333</v>
      </c>
      <c r="N1207" s="213" t="n">
        <v>27.2833333333333</v>
      </c>
      <c r="O1207" s="213" t="n">
        <v>13.8666666666667</v>
      </c>
      <c r="P1207" s="213" t="n">
        <v>12.7333333333333</v>
      </c>
    </row>
    <row r="1208" customFormat="false" ht="12.75" hidden="false" customHeight="false" outlineLevel="0" collapsed="false">
      <c r="A1208" s="215" t="n">
        <v>40654</v>
      </c>
      <c r="B1208" s="213" t="n">
        <v>23.4</v>
      </c>
      <c r="C1208" s="213" t="n">
        <f aca="false">AVERAGEIFS($B$33:$B$1494,$A$33:$A$1494,A1208)</f>
        <v>23.6333333333333</v>
      </c>
      <c r="D1208" s="213" t="n">
        <v>26.9</v>
      </c>
      <c r="E1208" s="213" t="n">
        <f aca="false">AVERAGEIFS($D$33:$D$1494,$A$33:$A$1494,A1208)</f>
        <v>27.2833333333333</v>
      </c>
      <c r="F1208" s="213" t="n">
        <v>15.1</v>
      </c>
      <c r="G1208" s="213" t="n">
        <f aca="false">AVERAGEIFS($F$33:$F$1494,$A$33:$A$1494,A1208)</f>
        <v>13.8666666666667</v>
      </c>
      <c r="H1208" s="213" t="n">
        <v>13</v>
      </c>
      <c r="I1208" s="213" t="n">
        <f aca="false">AVERAGEIFS($H$33:$H$1494,$A$33:$A$1494,A1208)</f>
        <v>12.7333333333333</v>
      </c>
      <c r="L1208" s="215" t="n">
        <v>40654</v>
      </c>
      <c r="M1208" s="213" t="n">
        <v>23.6333333333333</v>
      </c>
      <c r="N1208" s="213" t="n">
        <v>27.2833333333333</v>
      </c>
      <c r="O1208" s="213" t="n">
        <v>13.8666666666667</v>
      </c>
      <c r="P1208" s="213" t="n">
        <v>12.7333333333333</v>
      </c>
    </row>
    <row r="1209" customFormat="false" ht="12.75" hidden="false" customHeight="false" outlineLevel="0" collapsed="false">
      <c r="A1209" s="215" t="n">
        <v>40655</v>
      </c>
      <c r="B1209" s="213" t="n">
        <v>23.4</v>
      </c>
      <c r="C1209" s="213" t="n">
        <f aca="false">AVERAGEIFS($B$33:$B$1494,$A$33:$A$1494,A1209)</f>
        <v>23.2333333333333</v>
      </c>
      <c r="D1209" s="213" t="n">
        <v>26.8</v>
      </c>
      <c r="E1209" s="213" t="n">
        <f aca="false">AVERAGEIFS($D$33:$D$1494,$A$33:$A$1494,A1209)</f>
        <v>26.6666666666667</v>
      </c>
      <c r="F1209" s="213" t="n">
        <v>14.3</v>
      </c>
      <c r="G1209" s="213" t="n">
        <f aca="false">AVERAGEIFS($F$33:$F$1494,$A$33:$A$1494,A1209)</f>
        <v>14.1666666666667</v>
      </c>
      <c r="H1209" s="213" t="n">
        <v>13.2</v>
      </c>
      <c r="I1209" s="213" t="n">
        <f aca="false">AVERAGEIFS($H$33:$H$1494,$A$33:$A$1494,A1209)</f>
        <v>13.1</v>
      </c>
      <c r="L1209" s="215" t="n">
        <v>40655</v>
      </c>
      <c r="M1209" s="213" t="n">
        <v>23.2333333333333</v>
      </c>
      <c r="N1209" s="213" t="n">
        <v>26.6666666666667</v>
      </c>
      <c r="O1209" s="213" t="n">
        <v>14.1666666666667</v>
      </c>
      <c r="P1209" s="213" t="n">
        <v>13.1</v>
      </c>
    </row>
    <row r="1210" customFormat="false" ht="12.75" hidden="false" customHeight="false" outlineLevel="0" collapsed="false">
      <c r="A1210" s="215" t="n">
        <v>40655</v>
      </c>
      <c r="B1210" s="213" t="n">
        <v>23.3</v>
      </c>
      <c r="C1210" s="213" t="n">
        <f aca="false">AVERAGEIFS($B$33:$B$1494,$A$33:$A$1494,A1210)</f>
        <v>23.2333333333333</v>
      </c>
      <c r="D1210" s="213" t="n">
        <v>26.8</v>
      </c>
      <c r="E1210" s="213" t="n">
        <f aca="false">AVERAGEIFS($D$33:$D$1494,$A$33:$A$1494,A1210)</f>
        <v>26.6666666666667</v>
      </c>
      <c r="F1210" s="213" t="n">
        <v>13.7</v>
      </c>
      <c r="G1210" s="213" t="n">
        <f aca="false">AVERAGEIFS($F$33:$F$1494,$A$33:$A$1494,A1210)</f>
        <v>14.1666666666667</v>
      </c>
      <c r="H1210" s="213" t="n">
        <v>13.2</v>
      </c>
      <c r="I1210" s="213" t="n">
        <f aca="false">AVERAGEIFS($H$33:$H$1494,$A$33:$A$1494,A1210)</f>
        <v>13.1</v>
      </c>
      <c r="L1210" s="215" t="n">
        <v>40655</v>
      </c>
      <c r="M1210" s="213" t="n">
        <v>23.2333333333333</v>
      </c>
      <c r="N1210" s="213" t="n">
        <v>26.6666666666667</v>
      </c>
      <c r="O1210" s="213" t="n">
        <v>14.1666666666667</v>
      </c>
      <c r="P1210" s="213" t="n">
        <v>13.1</v>
      </c>
    </row>
    <row r="1211" customFormat="false" ht="12.75" hidden="false" customHeight="false" outlineLevel="0" collapsed="false">
      <c r="A1211" s="215" t="n">
        <v>40655</v>
      </c>
      <c r="B1211" s="213" t="n">
        <v>23.3</v>
      </c>
      <c r="C1211" s="213" t="n">
        <f aca="false">AVERAGEIFS($B$33:$B$1494,$A$33:$A$1494,A1211)</f>
        <v>23.2333333333333</v>
      </c>
      <c r="D1211" s="213" t="n">
        <v>26.8</v>
      </c>
      <c r="E1211" s="213" t="n">
        <f aca="false">AVERAGEIFS($D$33:$D$1494,$A$33:$A$1494,A1211)</f>
        <v>26.6666666666667</v>
      </c>
      <c r="F1211" s="213" t="n">
        <v>13.3</v>
      </c>
      <c r="G1211" s="213" t="n">
        <f aca="false">AVERAGEIFS($F$33:$F$1494,$A$33:$A$1494,A1211)</f>
        <v>14.1666666666667</v>
      </c>
      <c r="H1211" s="213" t="n">
        <v>13</v>
      </c>
      <c r="I1211" s="213" t="n">
        <f aca="false">AVERAGEIFS($H$33:$H$1494,$A$33:$A$1494,A1211)</f>
        <v>13.1</v>
      </c>
      <c r="L1211" s="215" t="n">
        <v>40655</v>
      </c>
      <c r="M1211" s="213" t="n">
        <v>23.2333333333333</v>
      </c>
      <c r="N1211" s="213" t="n">
        <v>26.6666666666667</v>
      </c>
      <c r="O1211" s="213" t="n">
        <v>14.1666666666667</v>
      </c>
      <c r="P1211" s="213" t="n">
        <v>13.1</v>
      </c>
    </row>
    <row r="1212" customFormat="false" ht="12.75" hidden="false" customHeight="false" outlineLevel="0" collapsed="false">
      <c r="A1212" s="215" t="n">
        <v>40655</v>
      </c>
      <c r="B1212" s="213" t="n">
        <v>23.2</v>
      </c>
      <c r="C1212" s="213" t="n">
        <f aca="false">AVERAGEIFS($B$33:$B$1494,$A$33:$A$1494,A1212)</f>
        <v>23.2333333333333</v>
      </c>
      <c r="D1212" s="213" t="n">
        <v>26.7</v>
      </c>
      <c r="E1212" s="213" t="n">
        <f aca="false">AVERAGEIFS($D$33:$D$1494,$A$33:$A$1494,A1212)</f>
        <v>26.6666666666667</v>
      </c>
      <c r="F1212" s="213" t="n">
        <v>13.8</v>
      </c>
      <c r="G1212" s="213" t="n">
        <f aca="false">AVERAGEIFS($F$33:$F$1494,$A$33:$A$1494,A1212)</f>
        <v>14.1666666666667</v>
      </c>
      <c r="H1212" s="213" t="n">
        <v>12.9</v>
      </c>
      <c r="I1212" s="213" t="n">
        <f aca="false">AVERAGEIFS($H$33:$H$1494,$A$33:$A$1494,A1212)</f>
        <v>13.1</v>
      </c>
      <c r="L1212" s="215" t="n">
        <v>40655</v>
      </c>
      <c r="M1212" s="213" t="n">
        <v>23.2333333333333</v>
      </c>
      <c r="N1212" s="213" t="n">
        <v>26.6666666666667</v>
      </c>
      <c r="O1212" s="213" t="n">
        <v>14.1666666666667</v>
      </c>
      <c r="P1212" s="213" t="n">
        <v>13.1</v>
      </c>
    </row>
    <row r="1213" customFormat="false" ht="12.75" hidden="false" customHeight="false" outlineLevel="0" collapsed="false">
      <c r="A1213" s="215" t="n">
        <v>40655</v>
      </c>
      <c r="B1213" s="213" t="n">
        <v>23.1</v>
      </c>
      <c r="C1213" s="213" t="n">
        <f aca="false">AVERAGEIFS($B$33:$B$1494,$A$33:$A$1494,A1213)</f>
        <v>23.2333333333333</v>
      </c>
      <c r="D1213" s="213" t="n">
        <v>26.5</v>
      </c>
      <c r="E1213" s="213" t="n">
        <f aca="false">AVERAGEIFS($D$33:$D$1494,$A$33:$A$1494,A1213)</f>
        <v>26.6666666666667</v>
      </c>
      <c r="F1213" s="213" t="n">
        <v>15</v>
      </c>
      <c r="G1213" s="213" t="n">
        <f aca="false">AVERAGEIFS($F$33:$F$1494,$A$33:$A$1494,A1213)</f>
        <v>14.1666666666667</v>
      </c>
      <c r="H1213" s="213" t="n">
        <v>13</v>
      </c>
      <c r="I1213" s="213" t="n">
        <f aca="false">AVERAGEIFS($H$33:$H$1494,$A$33:$A$1494,A1213)</f>
        <v>13.1</v>
      </c>
      <c r="L1213" s="215" t="n">
        <v>40655</v>
      </c>
      <c r="M1213" s="213" t="n">
        <v>23.2333333333333</v>
      </c>
      <c r="N1213" s="213" t="n">
        <v>26.6666666666667</v>
      </c>
      <c r="O1213" s="213" t="n">
        <v>14.1666666666667</v>
      </c>
      <c r="P1213" s="213" t="n">
        <v>13.1</v>
      </c>
    </row>
    <row r="1214" customFormat="false" ht="12.75" hidden="false" customHeight="false" outlineLevel="0" collapsed="false">
      <c r="A1214" s="215" t="n">
        <v>40655</v>
      </c>
      <c r="B1214" s="213" t="n">
        <v>23.1</v>
      </c>
      <c r="C1214" s="213" t="n">
        <f aca="false">AVERAGEIFS($B$33:$B$1494,$A$33:$A$1494,A1214)</f>
        <v>23.2333333333333</v>
      </c>
      <c r="D1214" s="213" t="n">
        <v>26.4</v>
      </c>
      <c r="E1214" s="213" t="n">
        <f aca="false">AVERAGEIFS($D$33:$D$1494,$A$33:$A$1494,A1214)</f>
        <v>26.6666666666667</v>
      </c>
      <c r="F1214" s="213" t="n">
        <v>14.9</v>
      </c>
      <c r="G1214" s="213" t="n">
        <f aca="false">AVERAGEIFS($F$33:$F$1494,$A$33:$A$1494,A1214)</f>
        <v>14.1666666666667</v>
      </c>
      <c r="H1214" s="213" t="n">
        <v>13.3</v>
      </c>
      <c r="I1214" s="213" t="n">
        <f aca="false">AVERAGEIFS($H$33:$H$1494,$A$33:$A$1494,A1214)</f>
        <v>13.1</v>
      </c>
      <c r="L1214" s="215" t="n">
        <v>40655</v>
      </c>
      <c r="M1214" s="213" t="n">
        <v>23.2333333333333</v>
      </c>
      <c r="N1214" s="213" t="n">
        <v>26.6666666666667</v>
      </c>
      <c r="O1214" s="213" t="n">
        <v>14.1666666666667</v>
      </c>
      <c r="P1214" s="213" t="n">
        <v>13.1</v>
      </c>
    </row>
    <row r="1215" customFormat="false" ht="12.75" hidden="false" customHeight="false" outlineLevel="0" collapsed="false">
      <c r="A1215" s="215" t="n">
        <v>40656</v>
      </c>
      <c r="B1215" s="213" t="n">
        <v>23</v>
      </c>
      <c r="C1215" s="213" t="n">
        <f aca="false">AVERAGEIFS($B$33:$B$1494,$A$33:$A$1494,A1215)</f>
        <v>22.9333333333333</v>
      </c>
      <c r="D1215" s="213" t="n">
        <v>26.3</v>
      </c>
      <c r="E1215" s="213" t="n">
        <f aca="false">AVERAGEIFS($D$33:$D$1494,$A$33:$A$1494,A1215)</f>
        <v>26.3</v>
      </c>
      <c r="F1215" s="213" t="n">
        <v>14.2</v>
      </c>
      <c r="G1215" s="213" t="n">
        <f aca="false">AVERAGEIFS($F$33:$F$1494,$A$33:$A$1494,A1215)</f>
        <v>13.6166666666667</v>
      </c>
      <c r="H1215" s="213" t="n">
        <v>13.3</v>
      </c>
      <c r="I1215" s="213" t="n">
        <f aca="false">AVERAGEIFS($H$33:$H$1494,$A$33:$A$1494,A1215)</f>
        <v>13.0666666666667</v>
      </c>
      <c r="L1215" s="215" t="n">
        <v>40656</v>
      </c>
      <c r="M1215" s="213" t="n">
        <v>22.9333333333333</v>
      </c>
      <c r="N1215" s="213" t="n">
        <v>26.3</v>
      </c>
      <c r="O1215" s="213" t="n">
        <v>13.6166666666667</v>
      </c>
      <c r="P1215" s="213" t="n">
        <v>13.0666666666667</v>
      </c>
    </row>
    <row r="1216" customFormat="false" ht="12.75" hidden="false" customHeight="false" outlineLevel="0" collapsed="false">
      <c r="A1216" s="215" t="n">
        <v>40656</v>
      </c>
      <c r="B1216" s="213" t="n">
        <v>23</v>
      </c>
      <c r="C1216" s="213" t="n">
        <f aca="false">AVERAGEIFS($B$33:$B$1494,$A$33:$A$1494,A1216)</f>
        <v>22.9333333333333</v>
      </c>
      <c r="D1216" s="213" t="n">
        <v>26.3</v>
      </c>
      <c r="E1216" s="213" t="n">
        <f aca="false">AVERAGEIFS($D$33:$D$1494,$A$33:$A$1494,A1216)</f>
        <v>26.3</v>
      </c>
      <c r="F1216" s="213" t="n">
        <v>13.7</v>
      </c>
      <c r="G1216" s="213" t="n">
        <f aca="false">AVERAGEIFS($F$33:$F$1494,$A$33:$A$1494,A1216)</f>
        <v>13.6166666666667</v>
      </c>
      <c r="H1216" s="213" t="n">
        <v>13.3</v>
      </c>
      <c r="I1216" s="213" t="n">
        <f aca="false">AVERAGEIFS($H$33:$H$1494,$A$33:$A$1494,A1216)</f>
        <v>13.0666666666667</v>
      </c>
      <c r="L1216" s="215" t="n">
        <v>40656</v>
      </c>
      <c r="M1216" s="213" t="n">
        <v>22.9333333333333</v>
      </c>
      <c r="N1216" s="213" t="n">
        <v>26.3</v>
      </c>
      <c r="O1216" s="213" t="n">
        <v>13.6166666666667</v>
      </c>
      <c r="P1216" s="213" t="n">
        <v>13.0666666666667</v>
      </c>
    </row>
    <row r="1217" customFormat="false" ht="12.75" hidden="false" customHeight="false" outlineLevel="0" collapsed="false">
      <c r="A1217" s="215" t="n">
        <v>40656</v>
      </c>
      <c r="B1217" s="213" t="n">
        <v>22.9</v>
      </c>
      <c r="C1217" s="213" t="n">
        <f aca="false">AVERAGEIFS($B$33:$B$1494,$A$33:$A$1494,A1217)</f>
        <v>22.9333333333333</v>
      </c>
      <c r="D1217" s="213" t="n">
        <v>26.3</v>
      </c>
      <c r="E1217" s="213" t="n">
        <f aca="false">AVERAGEIFS($D$33:$D$1494,$A$33:$A$1494,A1217)</f>
        <v>26.3</v>
      </c>
      <c r="F1217" s="213" t="n">
        <v>13.2</v>
      </c>
      <c r="G1217" s="213" t="n">
        <f aca="false">AVERAGEIFS($F$33:$F$1494,$A$33:$A$1494,A1217)</f>
        <v>13.6166666666667</v>
      </c>
      <c r="H1217" s="213" t="n">
        <v>13.1</v>
      </c>
      <c r="I1217" s="213" t="n">
        <f aca="false">AVERAGEIFS($H$33:$H$1494,$A$33:$A$1494,A1217)</f>
        <v>13.0666666666667</v>
      </c>
      <c r="L1217" s="215" t="n">
        <v>40656</v>
      </c>
      <c r="M1217" s="213" t="n">
        <v>22.9333333333333</v>
      </c>
      <c r="N1217" s="213" t="n">
        <v>26.3</v>
      </c>
      <c r="O1217" s="213" t="n">
        <v>13.6166666666667</v>
      </c>
      <c r="P1217" s="213" t="n">
        <v>13.0666666666667</v>
      </c>
    </row>
    <row r="1218" customFormat="false" ht="12.75" hidden="false" customHeight="false" outlineLevel="0" collapsed="false">
      <c r="A1218" s="215" t="n">
        <v>40656</v>
      </c>
      <c r="B1218" s="213" t="n">
        <v>22.9</v>
      </c>
      <c r="C1218" s="213" t="n">
        <f aca="false">AVERAGEIFS($B$33:$B$1494,$A$33:$A$1494,A1218)</f>
        <v>22.9333333333333</v>
      </c>
      <c r="D1218" s="213" t="n">
        <v>26.3</v>
      </c>
      <c r="E1218" s="213" t="n">
        <f aca="false">AVERAGEIFS($D$33:$D$1494,$A$33:$A$1494,A1218)</f>
        <v>26.3</v>
      </c>
      <c r="F1218" s="213" t="n">
        <v>13.2</v>
      </c>
      <c r="G1218" s="213" t="n">
        <f aca="false">AVERAGEIFS($F$33:$F$1494,$A$33:$A$1494,A1218)</f>
        <v>13.6166666666667</v>
      </c>
      <c r="H1218" s="213" t="n">
        <v>12.9</v>
      </c>
      <c r="I1218" s="213" t="n">
        <f aca="false">AVERAGEIFS($H$33:$H$1494,$A$33:$A$1494,A1218)</f>
        <v>13.0666666666667</v>
      </c>
      <c r="L1218" s="215" t="n">
        <v>40656</v>
      </c>
      <c r="M1218" s="213" t="n">
        <v>22.9333333333333</v>
      </c>
      <c r="N1218" s="213" t="n">
        <v>26.3</v>
      </c>
      <c r="O1218" s="213" t="n">
        <v>13.6166666666667</v>
      </c>
      <c r="P1218" s="213" t="n">
        <v>13.0666666666667</v>
      </c>
    </row>
    <row r="1219" customFormat="false" ht="12.75" hidden="false" customHeight="false" outlineLevel="0" collapsed="false">
      <c r="A1219" s="215" t="n">
        <v>40656</v>
      </c>
      <c r="B1219" s="213" t="n">
        <v>22.9</v>
      </c>
      <c r="C1219" s="213" t="n">
        <f aca="false">AVERAGEIFS($B$33:$B$1494,$A$33:$A$1494,A1219)</f>
        <v>22.9333333333333</v>
      </c>
      <c r="D1219" s="213" t="n">
        <v>26.3</v>
      </c>
      <c r="E1219" s="213" t="n">
        <f aca="false">AVERAGEIFS($D$33:$D$1494,$A$33:$A$1494,A1219)</f>
        <v>26.3</v>
      </c>
      <c r="F1219" s="213" t="n">
        <v>13.5</v>
      </c>
      <c r="G1219" s="213" t="n">
        <f aca="false">AVERAGEIFS($F$33:$F$1494,$A$33:$A$1494,A1219)</f>
        <v>13.6166666666667</v>
      </c>
      <c r="H1219" s="213" t="n">
        <v>12.9</v>
      </c>
      <c r="I1219" s="213" t="n">
        <f aca="false">AVERAGEIFS($H$33:$H$1494,$A$33:$A$1494,A1219)</f>
        <v>13.0666666666667</v>
      </c>
      <c r="L1219" s="215" t="n">
        <v>40656</v>
      </c>
      <c r="M1219" s="213" t="n">
        <v>22.9333333333333</v>
      </c>
      <c r="N1219" s="213" t="n">
        <v>26.3</v>
      </c>
      <c r="O1219" s="213" t="n">
        <v>13.6166666666667</v>
      </c>
      <c r="P1219" s="213" t="n">
        <v>13.0666666666667</v>
      </c>
    </row>
    <row r="1220" customFormat="false" ht="12.75" hidden="false" customHeight="false" outlineLevel="0" collapsed="false">
      <c r="A1220" s="215" t="n">
        <v>40656</v>
      </c>
      <c r="B1220" s="213" t="n">
        <v>22.9</v>
      </c>
      <c r="C1220" s="213" t="n">
        <f aca="false">AVERAGEIFS($B$33:$B$1494,$A$33:$A$1494,A1220)</f>
        <v>22.9333333333333</v>
      </c>
      <c r="D1220" s="213" t="n">
        <v>26.3</v>
      </c>
      <c r="E1220" s="213" t="n">
        <f aca="false">AVERAGEIFS($D$33:$D$1494,$A$33:$A$1494,A1220)</f>
        <v>26.3</v>
      </c>
      <c r="F1220" s="213" t="n">
        <v>13.9</v>
      </c>
      <c r="G1220" s="213" t="n">
        <f aca="false">AVERAGEIFS($F$33:$F$1494,$A$33:$A$1494,A1220)</f>
        <v>13.6166666666667</v>
      </c>
      <c r="H1220" s="213" t="n">
        <v>12.9</v>
      </c>
      <c r="I1220" s="213" t="n">
        <f aca="false">AVERAGEIFS($H$33:$H$1494,$A$33:$A$1494,A1220)</f>
        <v>13.0666666666667</v>
      </c>
      <c r="L1220" s="215" t="n">
        <v>40656</v>
      </c>
      <c r="M1220" s="213" t="n">
        <v>22.9333333333333</v>
      </c>
      <c r="N1220" s="213" t="n">
        <v>26.3</v>
      </c>
      <c r="O1220" s="213" t="n">
        <v>13.6166666666667</v>
      </c>
      <c r="P1220" s="213" t="n">
        <v>13.0666666666667</v>
      </c>
    </row>
    <row r="1221" customFormat="false" ht="12.75" hidden="false" customHeight="false" outlineLevel="0" collapsed="false">
      <c r="A1221" s="215" t="n">
        <v>40657</v>
      </c>
      <c r="B1221" s="213" t="n">
        <v>22.9</v>
      </c>
      <c r="C1221" s="213" t="n">
        <f aca="false">AVERAGEIFS($B$33:$B$1494,$A$33:$A$1494,A1221)</f>
        <v>22.8666666666667</v>
      </c>
      <c r="D1221" s="213" t="n">
        <v>26.3</v>
      </c>
      <c r="E1221" s="213" t="n">
        <f aca="false">AVERAGEIFS($D$33:$D$1494,$A$33:$A$1494,A1221)</f>
        <v>26.2</v>
      </c>
      <c r="F1221" s="213" t="n">
        <v>13.6</v>
      </c>
      <c r="G1221" s="213" t="n">
        <f aca="false">AVERAGEIFS($F$33:$F$1494,$A$33:$A$1494,A1221)</f>
        <v>13.8166666666667</v>
      </c>
      <c r="H1221" s="213" t="n">
        <v>13</v>
      </c>
      <c r="I1221" s="213" t="n">
        <f aca="false">AVERAGEIFS($H$33:$H$1494,$A$33:$A$1494,A1221)</f>
        <v>12.9166666666667</v>
      </c>
      <c r="L1221" s="215" t="n">
        <v>40657</v>
      </c>
      <c r="M1221" s="213" t="n">
        <v>22.8666666666667</v>
      </c>
      <c r="N1221" s="213" t="n">
        <v>26.2</v>
      </c>
      <c r="O1221" s="213" t="n">
        <v>13.8166666666667</v>
      </c>
      <c r="P1221" s="213" t="n">
        <v>12.9166666666667</v>
      </c>
    </row>
    <row r="1222" customFormat="false" ht="12.75" hidden="false" customHeight="false" outlineLevel="0" collapsed="false">
      <c r="A1222" s="215" t="n">
        <v>40657</v>
      </c>
      <c r="B1222" s="213" t="n">
        <v>22.9</v>
      </c>
      <c r="C1222" s="213" t="n">
        <f aca="false">AVERAGEIFS($B$33:$B$1494,$A$33:$A$1494,A1222)</f>
        <v>22.8666666666667</v>
      </c>
      <c r="D1222" s="213" t="n">
        <v>26.3</v>
      </c>
      <c r="E1222" s="213" t="n">
        <f aca="false">AVERAGEIFS($D$33:$D$1494,$A$33:$A$1494,A1222)</f>
        <v>26.2</v>
      </c>
      <c r="F1222" s="213" t="n">
        <v>13.3</v>
      </c>
      <c r="G1222" s="213" t="n">
        <f aca="false">AVERAGEIFS($F$33:$F$1494,$A$33:$A$1494,A1222)</f>
        <v>13.8166666666667</v>
      </c>
      <c r="H1222" s="213" t="n">
        <v>12.9</v>
      </c>
      <c r="I1222" s="213" t="n">
        <f aca="false">AVERAGEIFS($H$33:$H$1494,$A$33:$A$1494,A1222)</f>
        <v>12.9166666666667</v>
      </c>
      <c r="L1222" s="215" t="n">
        <v>40657</v>
      </c>
      <c r="M1222" s="213" t="n">
        <v>22.8666666666667</v>
      </c>
      <c r="N1222" s="213" t="n">
        <v>26.2</v>
      </c>
      <c r="O1222" s="213" t="n">
        <v>13.8166666666667</v>
      </c>
      <c r="P1222" s="213" t="n">
        <v>12.9166666666667</v>
      </c>
    </row>
    <row r="1223" customFormat="false" ht="12.75" hidden="false" customHeight="false" outlineLevel="0" collapsed="false">
      <c r="A1223" s="215" t="n">
        <v>40657</v>
      </c>
      <c r="B1223" s="213" t="n">
        <v>22.9</v>
      </c>
      <c r="C1223" s="213" t="n">
        <f aca="false">AVERAGEIFS($B$33:$B$1494,$A$33:$A$1494,A1223)</f>
        <v>22.8666666666667</v>
      </c>
      <c r="D1223" s="213" t="n">
        <v>26.3</v>
      </c>
      <c r="E1223" s="213" t="n">
        <f aca="false">AVERAGEIFS($D$33:$D$1494,$A$33:$A$1494,A1223)</f>
        <v>26.2</v>
      </c>
      <c r="F1223" s="213" t="n">
        <v>13.2</v>
      </c>
      <c r="G1223" s="213" t="n">
        <f aca="false">AVERAGEIFS($F$33:$F$1494,$A$33:$A$1494,A1223)</f>
        <v>13.8166666666667</v>
      </c>
      <c r="H1223" s="213" t="n">
        <v>12.8</v>
      </c>
      <c r="I1223" s="213" t="n">
        <f aca="false">AVERAGEIFS($H$33:$H$1494,$A$33:$A$1494,A1223)</f>
        <v>12.9166666666667</v>
      </c>
      <c r="L1223" s="215" t="n">
        <v>40657</v>
      </c>
      <c r="M1223" s="213" t="n">
        <v>22.8666666666667</v>
      </c>
      <c r="N1223" s="213" t="n">
        <v>26.2</v>
      </c>
      <c r="O1223" s="213" t="n">
        <v>13.8166666666667</v>
      </c>
      <c r="P1223" s="213" t="n">
        <v>12.9166666666667</v>
      </c>
    </row>
    <row r="1224" customFormat="false" ht="12.75" hidden="false" customHeight="false" outlineLevel="0" collapsed="false">
      <c r="A1224" s="215" t="n">
        <v>40657</v>
      </c>
      <c r="B1224" s="213" t="n">
        <v>22.9</v>
      </c>
      <c r="C1224" s="213" t="n">
        <f aca="false">AVERAGEIFS($B$33:$B$1494,$A$33:$A$1494,A1224)</f>
        <v>22.8666666666667</v>
      </c>
      <c r="D1224" s="213" t="n">
        <v>26.2</v>
      </c>
      <c r="E1224" s="213" t="n">
        <f aca="false">AVERAGEIFS($D$33:$D$1494,$A$33:$A$1494,A1224)</f>
        <v>26.2</v>
      </c>
      <c r="F1224" s="213" t="n">
        <v>13.5</v>
      </c>
      <c r="G1224" s="213" t="n">
        <f aca="false">AVERAGEIFS($F$33:$F$1494,$A$33:$A$1494,A1224)</f>
        <v>13.8166666666667</v>
      </c>
      <c r="H1224" s="213" t="n">
        <v>12.8</v>
      </c>
      <c r="I1224" s="213" t="n">
        <f aca="false">AVERAGEIFS($H$33:$H$1494,$A$33:$A$1494,A1224)</f>
        <v>12.9166666666667</v>
      </c>
      <c r="L1224" s="215" t="n">
        <v>40657</v>
      </c>
      <c r="M1224" s="213" t="n">
        <v>22.8666666666667</v>
      </c>
      <c r="N1224" s="213" t="n">
        <v>26.2</v>
      </c>
      <c r="O1224" s="213" t="n">
        <v>13.8166666666667</v>
      </c>
      <c r="P1224" s="213" t="n">
        <v>12.9166666666667</v>
      </c>
    </row>
    <row r="1225" customFormat="false" ht="12.75" hidden="false" customHeight="false" outlineLevel="0" collapsed="false">
      <c r="A1225" s="215" t="n">
        <v>40657</v>
      </c>
      <c r="B1225" s="213" t="n">
        <v>22.8</v>
      </c>
      <c r="C1225" s="213" t="n">
        <f aca="false">AVERAGEIFS($B$33:$B$1494,$A$33:$A$1494,A1225)</f>
        <v>22.8666666666667</v>
      </c>
      <c r="D1225" s="213" t="n">
        <v>26.1</v>
      </c>
      <c r="E1225" s="213" t="n">
        <f aca="false">AVERAGEIFS($D$33:$D$1494,$A$33:$A$1494,A1225)</f>
        <v>26.2</v>
      </c>
      <c r="F1225" s="213" t="n">
        <v>14.5</v>
      </c>
      <c r="G1225" s="213" t="n">
        <f aca="false">AVERAGEIFS($F$33:$F$1494,$A$33:$A$1494,A1225)</f>
        <v>13.8166666666667</v>
      </c>
      <c r="H1225" s="213" t="n">
        <v>12.9</v>
      </c>
      <c r="I1225" s="213" t="n">
        <f aca="false">AVERAGEIFS($H$33:$H$1494,$A$33:$A$1494,A1225)</f>
        <v>12.9166666666667</v>
      </c>
      <c r="L1225" s="215" t="n">
        <v>40657</v>
      </c>
      <c r="M1225" s="213" t="n">
        <v>22.8666666666667</v>
      </c>
      <c r="N1225" s="213" t="n">
        <v>26.2</v>
      </c>
      <c r="O1225" s="213" t="n">
        <v>13.8166666666667</v>
      </c>
      <c r="P1225" s="213" t="n">
        <v>12.9166666666667</v>
      </c>
    </row>
    <row r="1226" customFormat="false" ht="12.75" hidden="false" customHeight="false" outlineLevel="0" collapsed="false">
      <c r="A1226" s="215" t="n">
        <v>40657</v>
      </c>
      <c r="B1226" s="213" t="n">
        <v>22.8</v>
      </c>
      <c r="C1226" s="213" t="n">
        <f aca="false">AVERAGEIFS($B$33:$B$1494,$A$33:$A$1494,A1226)</f>
        <v>22.8666666666667</v>
      </c>
      <c r="D1226" s="213" t="n">
        <v>26</v>
      </c>
      <c r="E1226" s="213" t="n">
        <f aca="false">AVERAGEIFS($D$33:$D$1494,$A$33:$A$1494,A1226)</f>
        <v>26.2</v>
      </c>
      <c r="F1226" s="213" t="n">
        <v>14.8</v>
      </c>
      <c r="G1226" s="213" t="n">
        <f aca="false">AVERAGEIFS($F$33:$F$1494,$A$33:$A$1494,A1226)</f>
        <v>13.8166666666667</v>
      </c>
      <c r="H1226" s="213" t="n">
        <v>13.1</v>
      </c>
      <c r="I1226" s="213" t="n">
        <f aca="false">AVERAGEIFS($H$33:$H$1494,$A$33:$A$1494,A1226)</f>
        <v>12.9166666666667</v>
      </c>
      <c r="L1226" s="215" t="n">
        <v>40657</v>
      </c>
      <c r="M1226" s="213" t="n">
        <v>22.8666666666667</v>
      </c>
      <c r="N1226" s="213" t="n">
        <v>26.2</v>
      </c>
      <c r="O1226" s="213" t="n">
        <v>13.8166666666667</v>
      </c>
      <c r="P1226" s="213" t="n">
        <v>12.9166666666667</v>
      </c>
    </row>
    <row r="1227" customFormat="false" ht="12.75" hidden="false" customHeight="false" outlineLevel="0" collapsed="false">
      <c r="A1227" s="215" t="n">
        <v>40658</v>
      </c>
      <c r="B1227" s="213" t="n">
        <v>22.8</v>
      </c>
      <c r="C1227" s="213" t="n">
        <f aca="false">AVERAGEIFS($B$33:$B$1494,$A$33:$A$1494,A1227)</f>
        <v>22.7</v>
      </c>
      <c r="D1227" s="213" t="n">
        <v>26</v>
      </c>
      <c r="E1227" s="213" t="n">
        <f aca="false">AVERAGEIFS($D$33:$D$1494,$A$33:$A$1494,A1227)</f>
        <v>25.95</v>
      </c>
      <c r="F1227" s="213" t="n">
        <v>13.9</v>
      </c>
      <c r="G1227" s="213" t="n">
        <f aca="false">AVERAGEIFS($F$33:$F$1494,$A$33:$A$1494,A1227)</f>
        <v>14.2166666666667</v>
      </c>
      <c r="H1227" s="213" t="n">
        <v>13.3</v>
      </c>
      <c r="I1227" s="213" t="n">
        <f aca="false">AVERAGEIFS($H$33:$H$1494,$A$33:$A$1494,A1227)</f>
        <v>13.1833333333333</v>
      </c>
      <c r="L1227" s="215" t="n">
        <v>40658</v>
      </c>
      <c r="M1227" s="213" t="n">
        <v>22.7</v>
      </c>
      <c r="N1227" s="213" t="n">
        <v>25.95</v>
      </c>
      <c r="O1227" s="213" t="n">
        <v>14.2166666666667</v>
      </c>
      <c r="P1227" s="213" t="n">
        <v>13.1833333333333</v>
      </c>
    </row>
    <row r="1228" customFormat="false" ht="12.75" hidden="false" customHeight="false" outlineLevel="0" collapsed="false">
      <c r="A1228" s="215" t="n">
        <v>40658</v>
      </c>
      <c r="B1228" s="213" t="n">
        <v>22.7</v>
      </c>
      <c r="C1228" s="213" t="n">
        <f aca="false">AVERAGEIFS($B$33:$B$1494,$A$33:$A$1494,A1228)</f>
        <v>22.7</v>
      </c>
      <c r="D1228" s="213" t="n">
        <v>26</v>
      </c>
      <c r="E1228" s="213" t="n">
        <f aca="false">AVERAGEIFS($D$33:$D$1494,$A$33:$A$1494,A1228)</f>
        <v>25.95</v>
      </c>
      <c r="F1228" s="213" t="n">
        <v>13.6</v>
      </c>
      <c r="G1228" s="213" t="n">
        <f aca="false">AVERAGEIFS($F$33:$F$1494,$A$33:$A$1494,A1228)</f>
        <v>14.2166666666667</v>
      </c>
      <c r="H1228" s="213" t="n">
        <v>13.2</v>
      </c>
      <c r="I1228" s="213" t="n">
        <f aca="false">AVERAGEIFS($H$33:$H$1494,$A$33:$A$1494,A1228)</f>
        <v>13.1833333333333</v>
      </c>
      <c r="L1228" s="215" t="n">
        <v>40658</v>
      </c>
      <c r="M1228" s="213" t="n">
        <v>22.7</v>
      </c>
      <c r="N1228" s="213" t="n">
        <v>25.95</v>
      </c>
      <c r="O1228" s="213" t="n">
        <v>14.2166666666667</v>
      </c>
      <c r="P1228" s="213" t="n">
        <v>13.1833333333333</v>
      </c>
    </row>
    <row r="1229" customFormat="false" ht="12.75" hidden="false" customHeight="false" outlineLevel="0" collapsed="false">
      <c r="A1229" s="215" t="n">
        <v>40658</v>
      </c>
      <c r="B1229" s="213" t="n">
        <v>22.7</v>
      </c>
      <c r="C1229" s="213" t="n">
        <f aca="false">AVERAGEIFS($B$33:$B$1494,$A$33:$A$1494,A1229)</f>
        <v>22.7</v>
      </c>
      <c r="D1229" s="213" t="n">
        <v>26</v>
      </c>
      <c r="E1229" s="213" t="n">
        <f aca="false">AVERAGEIFS($D$33:$D$1494,$A$33:$A$1494,A1229)</f>
        <v>25.95</v>
      </c>
      <c r="F1229" s="213" t="n">
        <v>13.5</v>
      </c>
      <c r="G1229" s="213" t="n">
        <f aca="false">AVERAGEIFS($F$33:$F$1494,$A$33:$A$1494,A1229)</f>
        <v>14.2166666666667</v>
      </c>
      <c r="H1229" s="213" t="n">
        <v>13.1</v>
      </c>
      <c r="I1229" s="213" t="n">
        <f aca="false">AVERAGEIFS($H$33:$H$1494,$A$33:$A$1494,A1229)</f>
        <v>13.1833333333333</v>
      </c>
      <c r="L1229" s="215" t="n">
        <v>40658</v>
      </c>
      <c r="M1229" s="213" t="n">
        <v>22.7</v>
      </c>
      <c r="N1229" s="213" t="n">
        <v>25.95</v>
      </c>
      <c r="O1229" s="213" t="n">
        <v>14.2166666666667</v>
      </c>
      <c r="P1229" s="213" t="n">
        <v>13.1833333333333</v>
      </c>
    </row>
    <row r="1230" customFormat="false" ht="12.75" hidden="false" customHeight="false" outlineLevel="0" collapsed="false">
      <c r="A1230" s="215" t="n">
        <v>40658</v>
      </c>
      <c r="B1230" s="213" t="n">
        <v>22.7</v>
      </c>
      <c r="C1230" s="213" t="n">
        <f aca="false">AVERAGEIFS($B$33:$B$1494,$A$33:$A$1494,A1230)</f>
        <v>22.7</v>
      </c>
      <c r="D1230" s="213" t="n">
        <v>26</v>
      </c>
      <c r="E1230" s="213" t="n">
        <f aca="false">AVERAGEIFS($D$33:$D$1494,$A$33:$A$1494,A1230)</f>
        <v>25.95</v>
      </c>
      <c r="F1230" s="213" t="n">
        <v>13.9</v>
      </c>
      <c r="G1230" s="213" t="n">
        <f aca="false">AVERAGEIFS($F$33:$F$1494,$A$33:$A$1494,A1230)</f>
        <v>14.2166666666667</v>
      </c>
      <c r="H1230" s="213" t="n">
        <v>13</v>
      </c>
      <c r="I1230" s="213" t="n">
        <f aca="false">AVERAGEIFS($H$33:$H$1494,$A$33:$A$1494,A1230)</f>
        <v>13.1833333333333</v>
      </c>
      <c r="L1230" s="215" t="n">
        <v>40658</v>
      </c>
      <c r="M1230" s="213" t="n">
        <v>22.7</v>
      </c>
      <c r="N1230" s="213" t="n">
        <v>25.95</v>
      </c>
      <c r="O1230" s="213" t="n">
        <v>14.2166666666667</v>
      </c>
      <c r="P1230" s="213" t="n">
        <v>13.1833333333333</v>
      </c>
    </row>
    <row r="1231" customFormat="false" ht="12.75" hidden="false" customHeight="false" outlineLevel="0" collapsed="false">
      <c r="A1231" s="215" t="n">
        <v>40658</v>
      </c>
      <c r="B1231" s="213" t="n">
        <v>22.6</v>
      </c>
      <c r="C1231" s="213" t="n">
        <f aca="false">AVERAGEIFS($B$33:$B$1494,$A$33:$A$1494,A1231)</f>
        <v>22.7</v>
      </c>
      <c r="D1231" s="213" t="n">
        <v>25.9</v>
      </c>
      <c r="E1231" s="213" t="n">
        <f aca="false">AVERAGEIFS($D$33:$D$1494,$A$33:$A$1494,A1231)</f>
        <v>25.95</v>
      </c>
      <c r="F1231" s="213" t="n">
        <v>15.1</v>
      </c>
      <c r="G1231" s="213" t="n">
        <f aca="false">AVERAGEIFS($F$33:$F$1494,$A$33:$A$1494,A1231)</f>
        <v>14.2166666666667</v>
      </c>
      <c r="H1231" s="213" t="n">
        <v>13.1</v>
      </c>
      <c r="I1231" s="213" t="n">
        <f aca="false">AVERAGEIFS($H$33:$H$1494,$A$33:$A$1494,A1231)</f>
        <v>13.1833333333333</v>
      </c>
      <c r="L1231" s="215" t="n">
        <v>40658</v>
      </c>
      <c r="M1231" s="213" t="n">
        <v>22.7</v>
      </c>
      <c r="N1231" s="213" t="n">
        <v>25.95</v>
      </c>
      <c r="O1231" s="213" t="n">
        <v>14.2166666666667</v>
      </c>
      <c r="P1231" s="213" t="n">
        <v>13.1833333333333</v>
      </c>
    </row>
    <row r="1232" customFormat="false" ht="12.75" hidden="false" customHeight="false" outlineLevel="0" collapsed="false">
      <c r="A1232" s="215" t="n">
        <v>40658</v>
      </c>
      <c r="B1232" s="213" t="n">
        <v>22.7</v>
      </c>
      <c r="C1232" s="213" t="n">
        <f aca="false">AVERAGEIFS($B$33:$B$1494,$A$33:$A$1494,A1232)</f>
        <v>22.7</v>
      </c>
      <c r="D1232" s="213" t="n">
        <v>25.8</v>
      </c>
      <c r="E1232" s="213" t="n">
        <f aca="false">AVERAGEIFS($D$33:$D$1494,$A$33:$A$1494,A1232)</f>
        <v>25.95</v>
      </c>
      <c r="F1232" s="213" t="n">
        <v>15.3</v>
      </c>
      <c r="G1232" s="213" t="n">
        <f aca="false">AVERAGEIFS($F$33:$F$1494,$A$33:$A$1494,A1232)</f>
        <v>14.2166666666667</v>
      </c>
      <c r="H1232" s="213" t="n">
        <v>13.4</v>
      </c>
      <c r="I1232" s="213" t="n">
        <f aca="false">AVERAGEIFS($H$33:$H$1494,$A$33:$A$1494,A1232)</f>
        <v>13.1833333333333</v>
      </c>
      <c r="L1232" s="215" t="n">
        <v>40658</v>
      </c>
      <c r="M1232" s="213" t="n">
        <v>22.7</v>
      </c>
      <c r="N1232" s="213" t="n">
        <v>25.95</v>
      </c>
      <c r="O1232" s="213" t="n">
        <v>14.2166666666667</v>
      </c>
      <c r="P1232" s="213" t="n">
        <v>13.1833333333333</v>
      </c>
    </row>
    <row r="1233" customFormat="false" ht="12.75" hidden="false" customHeight="false" outlineLevel="0" collapsed="false">
      <c r="A1233" s="215" t="n">
        <v>40659</v>
      </c>
      <c r="B1233" s="213" t="n">
        <v>22.7</v>
      </c>
      <c r="C1233" s="213" t="n">
        <f aca="false">AVERAGEIFS($B$33:$B$1494,$A$33:$A$1494,A1233)</f>
        <v>22.6666666666667</v>
      </c>
      <c r="D1233" s="213" t="n">
        <v>25.9</v>
      </c>
      <c r="E1233" s="213" t="n">
        <f aca="false">AVERAGEIFS($D$33:$D$1494,$A$33:$A$1494,A1233)</f>
        <v>25.8666666666667</v>
      </c>
      <c r="F1233" s="213" t="n">
        <v>14.5</v>
      </c>
      <c r="G1233" s="213" t="n">
        <f aca="false">AVERAGEIFS($F$33:$F$1494,$A$33:$A$1494,A1233)</f>
        <v>14.65</v>
      </c>
      <c r="H1233" s="213" t="n">
        <v>13.5</v>
      </c>
      <c r="I1233" s="213" t="n">
        <f aca="false">AVERAGEIFS($H$33:$H$1494,$A$33:$A$1494,A1233)</f>
        <v>13.4666666666667</v>
      </c>
      <c r="L1233" s="215" t="n">
        <v>40659</v>
      </c>
      <c r="M1233" s="213" t="n">
        <v>22.6666666666667</v>
      </c>
      <c r="N1233" s="213" t="n">
        <v>25.8666666666667</v>
      </c>
      <c r="O1233" s="213" t="n">
        <v>14.65</v>
      </c>
      <c r="P1233" s="213" t="n">
        <v>13.4666666666667</v>
      </c>
    </row>
    <row r="1234" customFormat="false" ht="12.75" hidden="false" customHeight="false" outlineLevel="0" collapsed="false">
      <c r="A1234" s="215" t="n">
        <v>40659</v>
      </c>
      <c r="B1234" s="213" t="n">
        <v>22.7</v>
      </c>
      <c r="C1234" s="213" t="n">
        <f aca="false">AVERAGEIFS($B$33:$B$1494,$A$33:$A$1494,A1234)</f>
        <v>22.6666666666667</v>
      </c>
      <c r="D1234" s="213" t="n">
        <v>25.9</v>
      </c>
      <c r="E1234" s="213" t="n">
        <f aca="false">AVERAGEIFS($D$33:$D$1494,$A$33:$A$1494,A1234)</f>
        <v>25.8666666666667</v>
      </c>
      <c r="F1234" s="213" t="n">
        <v>14.2</v>
      </c>
      <c r="G1234" s="213" t="n">
        <f aca="false">AVERAGEIFS($F$33:$F$1494,$A$33:$A$1494,A1234)</f>
        <v>14.65</v>
      </c>
      <c r="H1234" s="213" t="n">
        <v>13.5</v>
      </c>
      <c r="I1234" s="213" t="n">
        <f aca="false">AVERAGEIFS($H$33:$H$1494,$A$33:$A$1494,A1234)</f>
        <v>13.4666666666667</v>
      </c>
      <c r="L1234" s="215" t="n">
        <v>40659</v>
      </c>
      <c r="M1234" s="213" t="n">
        <v>22.6666666666667</v>
      </c>
      <c r="N1234" s="213" t="n">
        <v>25.8666666666667</v>
      </c>
      <c r="O1234" s="213" t="n">
        <v>14.65</v>
      </c>
      <c r="P1234" s="213" t="n">
        <v>13.4666666666667</v>
      </c>
    </row>
    <row r="1235" customFormat="false" ht="12.75" hidden="false" customHeight="false" outlineLevel="0" collapsed="false">
      <c r="A1235" s="215" t="n">
        <v>40659</v>
      </c>
      <c r="B1235" s="213" t="n">
        <v>22.7</v>
      </c>
      <c r="C1235" s="213" t="n">
        <f aca="false">AVERAGEIFS($B$33:$B$1494,$A$33:$A$1494,A1235)</f>
        <v>22.6666666666667</v>
      </c>
      <c r="D1235" s="213" t="n">
        <v>25.9</v>
      </c>
      <c r="E1235" s="213" t="n">
        <f aca="false">AVERAGEIFS($D$33:$D$1494,$A$33:$A$1494,A1235)</f>
        <v>25.8666666666667</v>
      </c>
      <c r="F1235" s="213" t="n">
        <v>13.9</v>
      </c>
      <c r="G1235" s="213" t="n">
        <f aca="false">AVERAGEIFS($F$33:$F$1494,$A$33:$A$1494,A1235)</f>
        <v>14.65</v>
      </c>
      <c r="H1235" s="213" t="n">
        <v>13.4</v>
      </c>
      <c r="I1235" s="213" t="n">
        <f aca="false">AVERAGEIFS($H$33:$H$1494,$A$33:$A$1494,A1235)</f>
        <v>13.4666666666667</v>
      </c>
      <c r="L1235" s="215" t="n">
        <v>40659</v>
      </c>
      <c r="M1235" s="213" t="n">
        <v>22.6666666666667</v>
      </c>
      <c r="N1235" s="213" t="n">
        <v>25.8666666666667</v>
      </c>
      <c r="O1235" s="213" t="n">
        <v>14.65</v>
      </c>
      <c r="P1235" s="213" t="n">
        <v>13.4666666666667</v>
      </c>
    </row>
    <row r="1236" customFormat="false" ht="12.75" hidden="false" customHeight="false" outlineLevel="0" collapsed="false">
      <c r="A1236" s="215" t="n">
        <v>40659</v>
      </c>
      <c r="B1236" s="213" t="n">
        <v>22.7</v>
      </c>
      <c r="C1236" s="213" t="n">
        <f aca="false">AVERAGEIFS($B$33:$B$1494,$A$33:$A$1494,A1236)</f>
        <v>22.6666666666667</v>
      </c>
      <c r="D1236" s="213" t="n">
        <v>25.9</v>
      </c>
      <c r="E1236" s="213" t="n">
        <f aca="false">AVERAGEIFS($D$33:$D$1494,$A$33:$A$1494,A1236)</f>
        <v>25.8666666666667</v>
      </c>
      <c r="F1236" s="213" t="n">
        <v>14.2</v>
      </c>
      <c r="G1236" s="213" t="n">
        <f aca="false">AVERAGEIFS($F$33:$F$1494,$A$33:$A$1494,A1236)</f>
        <v>14.65</v>
      </c>
      <c r="H1236" s="213" t="n">
        <v>13.3</v>
      </c>
      <c r="I1236" s="213" t="n">
        <f aca="false">AVERAGEIFS($H$33:$H$1494,$A$33:$A$1494,A1236)</f>
        <v>13.4666666666667</v>
      </c>
      <c r="L1236" s="215" t="n">
        <v>40659</v>
      </c>
      <c r="M1236" s="213" t="n">
        <v>22.6666666666667</v>
      </c>
      <c r="N1236" s="213" t="n">
        <v>25.8666666666667</v>
      </c>
      <c r="O1236" s="213" t="n">
        <v>14.65</v>
      </c>
      <c r="P1236" s="213" t="n">
        <v>13.4666666666667</v>
      </c>
    </row>
    <row r="1237" customFormat="false" ht="12.75" hidden="false" customHeight="false" outlineLevel="0" collapsed="false">
      <c r="A1237" s="215" t="n">
        <v>40659</v>
      </c>
      <c r="B1237" s="213" t="n">
        <v>22.6</v>
      </c>
      <c r="C1237" s="213" t="n">
        <f aca="false">AVERAGEIFS($B$33:$B$1494,$A$33:$A$1494,A1237)</f>
        <v>22.6666666666667</v>
      </c>
      <c r="D1237" s="213" t="n">
        <v>25.8</v>
      </c>
      <c r="E1237" s="213" t="n">
        <f aca="false">AVERAGEIFS($D$33:$D$1494,$A$33:$A$1494,A1237)</f>
        <v>25.8666666666667</v>
      </c>
      <c r="F1237" s="213" t="n">
        <v>15.4</v>
      </c>
      <c r="G1237" s="213" t="n">
        <f aca="false">AVERAGEIFS($F$33:$F$1494,$A$33:$A$1494,A1237)</f>
        <v>14.65</v>
      </c>
      <c r="H1237" s="213" t="n">
        <v>13.4</v>
      </c>
      <c r="I1237" s="213" t="n">
        <f aca="false">AVERAGEIFS($H$33:$H$1494,$A$33:$A$1494,A1237)</f>
        <v>13.4666666666667</v>
      </c>
      <c r="L1237" s="215" t="n">
        <v>40659</v>
      </c>
      <c r="M1237" s="213" t="n">
        <v>22.6666666666667</v>
      </c>
      <c r="N1237" s="213" t="n">
        <v>25.8666666666667</v>
      </c>
      <c r="O1237" s="213" t="n">
        <v>14.65</v>
      </c>
      <c r="P1237" s="213" t="n">
        <v>13.4666666666667</v>
      </c>
    </row>
    <row r="1238" customFormat="false" ht="12.75" hidden="false" customHeight="false" outlineLevel="0" collapsed="false">
      <c r="A1238" s="215" t="n">
        <v>40659</v>
      </c>
      <c r="B1238" s="213" t="n">
        <v>22.6</v>
      </c>
      <c r="C1238" s="213" t="n">
        <f aca="false">AVERAGEIFS($B$33:$B$1494,$A$33:$A$1494,A1238)</f>
        <v>22.6666666666667</v>
      </c>
      <c r="D1238" s="213" t="n">
        <v>25.8</v>
      </c>
      <c r="E1238" s="213" t="n">
        <f aca="false">AVERAGEIFS($D$33:$D$1494,$A$33:$A$1494,A1238)</f>
        <v>25.8666666666667</v>
      </c>
      <c r="F1238" s="213" t="n">
        <v>15.7</v>
      </c>
      <c r="G1238" s="213" t="n">
        <f aca="false">AVERAGEIFS($F$33:$F$1494,$A$33:$A$1494,A1238)</f>
        <v>14.65</v>
      </c>
      <c r="H1238" s="213" t="n">
        <v>13.7</v>
      </c>
      <c r="I1238" s="213" t="n">
        <f aca="false">AVERAGEIFS($H$33:$H$1494,$A$33:$A$1494,A1238)</f>
        <v>13.4666666666667</v>
      </c>
      <c r="L1238" s="215" t="n">
        <v>40659</v>
      </c>
      <c r="M1238" s="213" t="n">
        <v>22.6666666666667</v>
      </c>
      <c r="N1238" s="213" t="n">
        <v>25.8666666666667</v>
      </c>
      <c r="O1238" s="213" t="n">
        <v>14.65</v>
      </c>
      <c r="P1238" s="213" t="n">
        <v>13.4666666666667</v>
      </c>
    </row>
    <row r="1239" customFormat="false" ht="12.75" hidden="false" customHeight="false" outlineLevel="0" collapsed="false">
      <c r="A1239" s="215" t="n">
        <v>40660</v>
      </c>
      <c r="B1239" s="213" t="n">
        <v>22.6</v>
      </c>
      <c r="C1239" s="213" t="n">
        <f aca="false">AVERAGEIFS($B$33:$B$1494,$A$33:$A$1494,A1239)</f>
        <v>22.5666666666667</v>
      </c>
      <c r="D1239" s="213" t="n">
        <v>25.8</v>
      </c>
      <c r="E1239" s="213" t="n">
        <f aca="false">AVERAGEIFS($D$33:$D$1494,$A$33:$A$1494,A1239)</f>
        <v>25.75</v>
      </c>
      <c r="F1239" s="213" t="n">
        <v>15.2</v>
      </c>
      <c r="G1239" s="213" t="n">
        <f aca="false">AVERAGEIFS($F$33:$F$1494,$A$33:$A$1494,A1239)</f>
        <v>15.0333333333333</v>
      </c>
      <c r="H1239" s="213" t="n">
        <v>13.9</v>
      </c>
      <c r="I1239" s="213" t="n">
        <f aca="false">AVERAGEIFS($H$33:$H$1494,$A$33:$A$1494,A1239)</f>
        <v>13.8</v>
      </c>
      <c r="L1239" s="215" t="n">
        <v>40660</v>
      </c>
      <c r="M1239" s="213" t="n">
        <v>22.5666666666667</v>
      </c>
      <c r="N1239" s="213" t="n">
        <v>25.75</v>
      </c>
      <c r="O1239" s="213" t="n">
        <v>15.0333333333333</v>
      </c>
      <c r="P1239" s="213" t="n">
        <v>13.8</v>
      </c>
    </row>
    <row r="1240" customFormat="false" ht="12.75" hidden="false" customHeight="false" outlineLevel="0" collapsed="false">
      <c r="A1240" s="215" t="n">
        <v>40660</v>
      </c>
      <c r="B1240" s="213" t="n">
        <v>22.6</v>
      </c>
      <c r="C1240" s="213" t="n">
        <f aca="false">AVERAGEIFS($B$33:$B$1494,$A$33:$A$1494,A1240)</f>
        <v>22.5666666666667</v>
      </c>
      <c r="D1240" s="213" t="n">
        <v>25.8</v>
      </c>
      <c r="E1240" s="213" t="n">
        <f aca="false">AVERAGEIFS($D$33:$D$1494,$A$33:$A$1494,A1240)</f>
        <v>25.75</v>
      </c>
      <c r="F1240" s="213" t="n">
        <v>14.6</v>
      </c>
      <c r="G1240" s="213" t="n">
        <f aca="false">AVERAGEIFS($F$33:$F$1494,$A$33:$A$1494,A1240)</f>
        <v>15.0333333333333</v>
      </c>
      <c r="H1240" s="213" t="n">
        <v>13.9</v>
      </c>
      <c r="I1240" s="213" t="n">
        <f aca="false">AVERAGEIFS($H$33:$H$1494,$A$33:$A$1494,A1240)</f>
        <v>13.8</v>
      </c>
      <c r="L1240" s="215" t="n">
        <v>40660</v>
      </c>
      <c r="M1240" s="213" t="n">
        <v>22.5666666666667</v>
      </c>
      <c r="N1240" s="213" t="n">
        <v>25.75</v>
      </c>
      <c r="O1240" s="213" t="n">
        <v>15.0333333333333</v>
      </c>
      <c r="P1240" s="213" t="n">
        <v>13.8</v>
      </c>
    </row>
    <row r="1241" customFormat="false" ht="12.75" hidden="false" customHeight="false" outlineLevel="0" collapsed="false">
      <c r="A1241" s="215" t="n">
        <v>40660</v>
      </c>
      <c r="B1241" s="213" t="n">
        <v>22.6</v>
      </c>
      <c r="C1241" s="213" t="n">
        <f aca="false">AVERAGEIFS($B$33:$B$1494,$A$33:$A$1494,A1241)</f>
        <v>22.5666666666667</v>
      </c>
      <c r="D1241" s="213" t="n">
        <v>25.8</v>
      </c>
      <c r="E1241" s="213" t="n">
        <f aca="false">AVERAGEIFS($D$33:$D$1494,$A$33:$A$1494,A1241)</f>
        <v>25.75</v>
      </c>
      <c r="F1241" s="213" t="n">
        <v>14.2</v>
      </c>
      <c r="G1241" s="213" t="n">
        <f aca="false">AVERAGEIFS($F$33:$F$1494,$A$33:$A$1494,A1241)</f>
        <v>15.0333333333333</v>
      </c>
      <c r="H1241" s="213" t="n">
        <v>13.7</v>
      </c>
      <c r="I1241" s="213" t="n">
        <f aca="false">AVERAGEIFS($H$33:$H$1494,$A$33:$A$1494,A1241)</f>
        <v>13.8</v>
      </c>
      <c r="L1241" s="215" t="n">
        <v>40660</v>
      </c>
      <c r="M1241" s="213" t="n">
        <v>22.5666666666667</v>
      </c>
      <c r="N1241" s="213" t="n">
        <v>25.75</v>
      </c>
      <c r="O1241" s="213" t="n">
        <v>15.0333333333333</v>
      </c>
      <c r="P1241" s="213" t="n">
        <v>13.8</v>
      </c>
    </row>
    <row r="1242" customFormat="false" ht="12.75" hidden="false" customHeight="false" outlineLevel="0" collapsed="false">
      <c r="A1242" s="215" t="n">
        <v>40660</v>
      </c>
      <c r="B1242" s="213" t="n">
        <v>22.6</v>
      </c>
      <c r="C1242" s="213" t="n">
        <f aca="false">AVERAGEIFS($B$33:$B$1494,$A$33:$A$1494,A1242)</f>
        <v>22.5666666666667</v>
      </c>
      <c r="D1242" s="213" t="n">
        <v>25.8</v>
      </c>
      <c r="E1242" s="213" t="n">
        <f aca="false">AVERAGEIFS($D$33:$D$1494,$A$33:$A$1494,A1242)</f>
        <v>25.75</v>
      </c>
      <c r="F1242" s="213" t="n">
        <v>14.5</v>
      </c>
      <c r="G1242" s="213" t="n">
        <f aca="false">AVERAGEIFS($F$33:$F$1494,$A$33:$A$1494,A1242)</f>
        <v>15.0333333333333</v>
      </c>
      <c r="H1242" s="213" t="n">
        <v>13.6</v>
      </c>
      <c r="I1242" s="213" t="n">
        <f aca="false">AVERAGEIFS($H$33:$H$1494,$A$33:$A$1494,A1242)</f>
        <v>13.8</v>
      </c>
      <c r="L1242" s="215" t="n">
        <v>40660</v>
      </c>
      <c r="M1242" s="213" t="n">
        <v>22.5666666666667</v>
      </c>
      <c r="N1242" s="213" t="n">
        <v>25.75</v>
      </c>
      <c r="O1242" s="213" t="n">
        <v>15.0333333333333</v>
      </c>
      <c r="P1242" s="213" t="n">
        <v>13.8</v>
      </c>
    </row>
    <row r="1243" customFormat="false" ht="12.75" hidden="false" customHeight="false" outlineLevel="0" collapsed="false">
      <c r="A1243" s="215" t="n">
        <v>40660</v>
      </c>
      <c r="B1243" s="213" t="n">
        <v>22.5</v>
      </c>
      <c r="C1243" s="213" t="n">
        <f aca="false">AVERAGEIFS($B$33:$B$1494,$A$33:$A$1494,A1243)</f>
        <v>22.5666666666667</v>
      </c>
      <c r="D1243" s="213" t="n">
        <v>25.7</v>
      </c>
      <c r="E1243" s="213" t="n">
        <f aca="false">AVERAGEIFS($D$33:$D$1494,$A$33:$A$1494,A1243)</f>
        <v>25.75</v>
      </c>
      <c r="F1243" s="213" t="n">
        <v>15.7</v>
      </c>
      <c r="G1243" s="213" t="n">
        <f aca="false">AVERAGEIFS($F$33:$F$1494,$A$33:$A$1494,A1243)</f>
        <v>15.0333333333333</v>
      </c>
      <c r="H1243" s="213" t="n">
        <v>13.7</v>
      </c>
      <c r="I1243" s="213" t="n">
        <f aca="false">AVERAGEIFS($H$33:$H$1494,$A$33:$A$1494,A1243)</f>
        <v>13.8</v>
      </c>
      <c r="L1243" s="215" t="n">
        <v>40660</v>
      </c>
      <c r="M1243" s="213" t="n">
        <v>22.5666666666667</v>
      </c>
      <c r="N1243" s="213" t="n">
        <v>25.75</v>
      </c>
      <c r="O1243" s="213" t="n">
        <v>15.0333333333333</v>
      </c>
      <c r="P1243" s="213" t="n">
        <v>13.8</v>
      </c>
    </row>
    <row r="1244" customFormat="false" ht="12.75" hidden="false" customHeight="false" outlineLevel="0" collapsed="false">
      <c r="A1244" s="215" t="n">
        <v>40660</v>
      </c>
      <c r="B1244" s="213" t="n">
        <v>22.5</v>
      </c>
      <c r="C1244" s="213" t="n">
        <f aca="false">AVERAGEIFS($B$33:$B$1494,$A$33:$A$1494,A1244)</f>
        <v>22.5666666666667</v>
      </c>
      <c r="D1244" s="213" t="n">
        <v>25.6</v>
      </c>
      <c r="E1244" s="213" t="n">
        <f aca="false">AVERAGEIFS($D$33:$D$1494,$A$33:$A$1494,A1244)</f>
        <v>25.75</v>
      </c>
      <c r="F1244" s="213" t="n">
        <v>16</v>
      </c>
      <c r="G1244" s="213" t="n">
        <f aca="false">AVERAGEIFS($F$33:$F$1494,$A$33:$A$1494,A1244)</f>
        <v>15.0333333333333</v>
      </c>
      <c r="H1244" s="213" t="n">
        <v>14</v>
      </c>
      <c r="I1244" s="213" t="n">
        <f aca="false">AVERAGEIFS($H$33:$H$1494,$A$33:$A$1494,A1244)</f>
        <v>13.8</v>
      </c>
      <c r="L1244" s="215" t="n">
        <v>40660</v>
      </c>
      <c r="M1244" s="213" t="n">
        <v>22.5666666666667</v>
      </c>
      <c r="N1244" s="213" t="n">
        <v>25.75</v>
      </c>
      <c r="O1244" s="213" t="n">
        <v>15.0333333333333</v>
      </c>
      <c r="P1244" s="213" t="n">
        <v>13.8</v>
      </c>
    </row>
    <row r="1245" customFormat="false" ht="12.75" hidden="false" customHeight="false" outlineLevel="0" collapsed="false">
      <c r="A1245" s="215" t="n">
        <v>40661</v>
      </c>
      <c r="B1245" s="213" t="n">
        <v>22.5</v>
      </c>
      <c r="C1245" s="213" t="n">
        <f aca="false">AVERAGEIFS($B$33:$B$1494,$A$33:$A$1494,A1245)</f>
        <v>22.35</v>
      </c>
      <c r="D1245" s="213" t="n">
        <v>25.6</v>
      </c>
      <c r="E1245" s="213" t="n">
        <f aca="false">AVERAGEIFS($D$33:$D$1494,$A$33:$A$1494,A1245)</f>
        <v>25.5</v>
      </c>
      <c r="F1245" s="213" t="n">
        <v>15.2</v>
      </c>
      <c r="G1245" s="213" t="n">
        <f aca="false">AVERAGEIFS($F$33:$F$1494,$A$33:$A$1494,A1245)</f>
        <v>14.5166666666667</v>
      </c>
      <c r="H1245" s="213" t="n">
        <v>14.1</v>
      </c>
      <c r="I1245" s="213" t="n">
        <f aca="false">AVERAGEIFS($H$33:$H$1494,$A$33:$A$1494,A1245)</f>
        <v>13.7333333333333</v>
      </c>
      <c r="L1245" s="215" t="n">
        <v>40661</v>
      </c>
      <c r="M1245" s="213" t="n">
        <v>22.35</v>
      </c>
      <c r="N1245" s="213" t="n">
        <v>25.5</v>
      </c>
      <c r="O1245" s="213" t="n">
        <v>14.5166666666667</v>
      </c>
      <c r="P1245" s="213" t="n">
        <v>13.7333333333333</v>
      </c>
    </row>
    <row r="1246" customFormat="false" ht="12.75" hidden="false" customHeight="false" outlineLevel="0" collapsed="false">
      <c r="A1246" s="215" t="n">
        <v>40661</v>
      </c>
      <c r="B1246" s="213" t="n">
        <v>22.4</v>
      </c>
      <c r="C1246" s="213" t="n">
        <f aca="false">AVERAGEIFS($B$33:$B$1494,$A$33:$A$1494,A1246)</f>
        <v>22.35</v>
      </c>
      <c r="D1246" s="213" t="n">
        <v>25.6</v>
      </c>
      <c r="E1246" s="213" t="n">
        <f aca="false">AVERAGEIFS($D$33:$D$1494,$A$33:$A$1494,A1246)</f>
        <v>25.5</v>
      </c>
      <c r="F1246" s="213" t="n">
        <v>14.1</v>
      </c>
      <c r="G1246" s="213" t="n">
        <f aca="false">AVERAGEIFS($F$33:$F$1494,$A$33:$A$1494,A1246)</f>
        <v>14.5166666666667</v>
      </c>
      <c r="H1246" s="213" t="n">
        <v>14</v>
      </c>
      <c r="I1246" s="213" t="n">
        <f aca="false">AVERAGEIFS($H$33:$H$1494,$A$33:$A$1494,A1246)</f>
        <v>13.7333333333333</v>
      </c>
      <c r="L1246" s="215" t="n">
        <v>40661</v>
      </c>
      <c r="M1246" s="213" t="n">
        <v>22.35</v>
      </c>
      <c r="N1246" s="213" t="n">
        <v>25.5</v>
      </c>
      <c r="O1246" s="213" t="n">
        <v>14.5166666666667</v>
      </c>
      <c r="P1246" s="213" t="n">
        <v>13.7333333333333</v>
      </c>
    </row>
    <row r="1247" customFormat="false" ht="12.75" hidden="false" customHeight="false" outlineLevel="0" collapsed="false">
      <c r="A1247" s="215" t="n">
        <v>40661</v>
      </c>
      <c r="B1247" s="213" t="n">
        <v>22.4</v>
      </c>
      <c r="C1247" s="213" t="n">
        <f aca="false">AVERAGEIFS($B$33:$B$1494,$A$33:$A$1494,A1247)</f>
        <v>22.35</v>
      </c>
      <c r="D1247" s="213" t="n">
        <v>25.6</v>
      </c>
      <c r="E1247" s="213" t="n">
        <f aca="false">AVERAGEIFS($D$33:$D$1494,$A$33:$A$1494,A1247)</f>
        <v>25.5</v>
      </c>
      <c r="F1247" s="213" t="n">
        <v>13.2</v>
      </c>
      <c r="G1247" s="213" t="n">
        <f aca="false">AVERAGEIFS($F$33:$F$1494,$A$33:$A$1494,A1247)</f>
        <v>14.5166666666667</v>
      </c>
      <c r="H1247" s="213" t="n">
        <v>13.7</v>
      </c>
      <c r="I1247" s="213" t="n">
        <f aca="false">AVERAGEIFS($H$33:$H$1494,$A$33:$A$1494,A1247)</f>
        <v>13.7333333333333</v>
      </c>
      <c r="L1247" s="215" t="n">
        <v>40661</v>
      </c>
      <c r="M1247" s="213" t="n">
        <v>22.35</v>
      </c>
      <c r="N1247" s="213" t="n">
        <v>25.5</v>
      </c>
      <c r="O1247" s="213" t="n">
        <v>14.5166666666667</v>
      </c>
      <c r="P1247" s="213" t="n">
        <v>13.7333333333333</v>
      </c>
    </row>
    <row r="1248" customFormat="false" ht="12.75" hidden="false" customHeight="false" outlineLevel="0" collapsed="false">
      <c r="A1248" s="215" t="n">
        <v>40661</v>
      </c>
      <c r="B1248" s="213" t="n">
        <v>22.3</v>
      </c>
      <c r="C1248" s="213" t="n">
        <f aca="false">AVERAGEIFS($B$33:$B$1494,$A$33:$A$1494,A1248)</f>
        <v>22.35</v>
      </c>
      <c r="D1248" s="213" t="n">
        <v>25.5</v>
      </c>
      <c r="E1248" s="213" t="n">
        <f aca="false">AVERAGEIFS($D$33:$D$1494,$A$33:$A$1494,A1248)</f>
        <v>25.5</v>
      </c>
      <c r="F1248" s="213" t="n">
        <v>13.8</v>
      </c>
      <c r="G1248" s="213" t="n">
        <f aca="false">AVERAGEIFS($F$33:$F$1494,$A$33:$A$1494,A1248)</f>
        <v>14.5166666666667</v>
      </c>
      <c r="H1248" s="213" t="n">
        <v>13.4</v>
      </c>
      <c r="I1248" s="213" t="n">
        <f aca="false">AVERAGEIFS($H$33:$H$1494,$A$33:$A$1494,A1248)</f>
        <v>13.7333333333333</v>
      </c>
      <c r="L1248" s="215" t="n">
        <v>40661</v>
      </c>
      <c r="M1248" s="213" t="n">
        <v>22.35</v>
      </c>
      <c r="N1248" s="213" t="n">
        <v>25.5</v>
      </c>
      <c r="O1248" s="213" t="n">
        <v>14.5166666666667</v>
      </c>
      <c r="P1248" s="213" t="n">
        <v>13.7333333333333</v>
      </c>
    </row>
    <row r="1249" customFormat="false" ht="12.75" hidden="false" customHeight="false" outlineLevel="0" collapsed="false">
      <c r="A1249" s="215" t="n">
        <v>40661</v>
      </c>
      <c r="B1249" s="213" t="n">
        <v>22.3</v>
      </c>
      <c r="C1249" s="213" t="n">
        <f aca="false">AVERAGEIFS($B$33:$B$1494,$A$33:$A$1494,A1249)</f>
        <v>22.35</v>
      </c>
      <c r="D1249" s="213" t="n">
        <v>25.4</v>
      </c>
      <c r="E1249" s="213" t="n">
        <f aca="false">AVERAGEIFS($D$33:$D$1494,$A$33:$A$1494,A1249)</f>
        <v>25.5</v>
      </c>
      <c r="F1249" s="213" t="n">
        <v>15.2</v>
      </c>
      <c r="G1249" s="213" t="n">
        <f aca="false">AVERAGEIFS($F$33:$F$1494,$A$33:$A$1494,A1249)</f>
        <v>14.5166666666667</v>
      </c>
      <c r="H1249" s="213" t="n">
        <v>13.5</v>
      </c>
      <c r="I1249" s="213" t="n">
        <f aca="false">AVERAGEIFS($H$33:$H$1494,$A$33:$A$1494,A1249)</f>
        <v>13.7333333333333</v>
      </c>
      <c r="L1249" s="215" t="n">
        <v>40661</v>
      </c>
      <c r="M1249" s="213" t="n">
        <v>22.35</v>
      </c>
      <c r="N1249" s="213" t="n">
        <v>25.5</v>
      </c>
      <c r="O1249" s="213" t="n">
        <v>14.5166666666667</v>
      </c>
      <c r="P1249" s="213" t="n">
        <v>13.7333333333333</v>
      </c>
    </row>
    <row r="1250" customFormat="false" ht="12.75" hidden="false" customHeight="false" outlineLevel="0" collapsed="false">
      <c r="A1250" s="215" t="n">
        <v>40661</v>
      </c>
      <c r="B1250" s="213" t="n">
        <v>22.2</v>
      </c>
      <c r="C1250" s="213" t="n">
        <f aca="false">AVERAGEIFS($B$33:$B$1494,$A$33:$A$1494,A1250)</f>
        <v>22.35</v>
      </c>
      <c r="D1250" s="213" t="n">
        <v>25.3</v>
      </c>
      <c r="E1250" s="213" t="n">
        <f aca="false">AVERAGEIFS($D$33:$D$1494,$A$33:$A$1494,A1250)</f>
        <v>25.5</v>
      </c>
      <c r="F1250" s="213" t="n">
        <v>15.6</v>
      </c>
      <c r="G1250" s="213" t="n">
        <f aca="false">AVERAGEIFS($F$33:$F$1494,$A$33:$A$1494,A1250)</f>
        <v>14.5166666666667</v>
      </c>
      <c r="H1250" s="213" t="n">
        <v>13.7</v>
      </c>
      <c r="I1250" s="213" t="n">
        <f aca="false">AVERAGEIFS($H$33:$H$1494,$A$33:$A$1494,A1250)</f>
        <v>13.7333333333333</v>
      </c>
      <c r="L1250" s="215" t="n">
        <v>40661</v>
      </c>
      <c r="M1250" s="213" t="n">
        <v>22.35</v>
      </c>
      <c r="N1250" s="213" t="n">
        <v>25.5</v>
      </c>
      <c r="O1250" s="213" t="n">
        <v>14.5166666666667</v>
      </c>
      <c r="P1250" s="213" t="n">
        <v>13.7333333333333</v>
      </c>
    </row>
    <row r="1251" customFormat="false" ht="12.75" hidden="false" customHeight="false" outlineLevel="0" collapsed="false">
      <c r="A1251" s="215" t="n">
        <v>40662</v>
      </c>
      <c r="B1251" s="213" t="n">
        <v>22.2</v>
      </c>
      <c r="C1251" s="213" t="n">
        <f aca="false">AVERAGEIFS($B$33:$B$1494,$A$33:$A$1494,A1251)</f>
        <v>22.1</v>
      </c>
      <c r="D1251" s="213" t="n">
        <v>25.2</v>
      </c>
      <c r="E1251" s="213" t="n">
        <f aca="false">AVERAGEIFS($D$33:$D$1494,$A$33:$A$1494,A1251)</f>
        <v>25.1333333333333</v>
      </c>
      <c r="F1251" s="213" t="n">
        <v>14.4</v>
      </c>
      <c r="G1251" s="213" t="n">
        <f aca="false">AVERAGEIFS($F$33:$F$1494,$A$33:$A$1494,A1251)</f>
        <v>13.9833333333333</v>
      </c>
      <c r="H1251" s="213" t="n">
        <v>13.9</v>
      </c>
      <c r="I1251" s="213" t="n">
        <f aca="false">AVERAGEIFS($H$33:$H$1494,$A$33:$A$1494,A1251)</f>
        <v>13.4666666666667</v>
      </c>
      <c r="L1251" s="215" t="n">
        <v>40662</v>
      </c>
      <c r="M1251" s="213" t="n">
        <v>22.1</v>
      </c>
      <c r="N1251" s="213" t="n">
        <v>25.1333333333333</v>
      </c>
      <c r="O1251" s="213" t="n">
        <v>13.9833333333333</v>
      </c>
      <c r="P1251" s="213" t="n">
        <v>13.4666666666667</v>
      </c>
    </row>
    <row r="1252" customFormat="false" ht="12.75" hidden="false" customHeight="false" outlineLevel="0" collapsed="false">
      <c r="A1252" s="215" t="n">
        <v>40662</v>
      </c>
      <c r="B1252" s="213" t="n">
        <v>22.2</v>
      </c>
      <c r="C1252" s="213" t="n">
        <f aca="false">AVERAGEIFS($B$33:$B$1494,$A$33:$A$1494,A1252)</f>
        <v>22.1</v>
      </c>
      <c r="D1252" s="213" t="n">
        <v>25.2</v>
      </c>
      <c r="E1252" s="213" t="n">
        <f aca="false">AVERAGEIFS($D$33:$D$1494,$A$33:$A$1494,A1252)</f>
        <v>25.1333333333333</v>
      </c>
      <c r="F1252" s="213" t="n">
        <v>13.4</v>
      </c>
      <c r="G1252" s="213" t="n">
        <f aca="false">AVERAGEIFS($F$33:$F$1494,$A$33:$A$1494,A1252)</f>
        <v>13.9833333333333</v>
      </c>
      <c r="H1252" s="213" t="n">
        <v>13.7</v>
      </c>
      <c r="I1252" s="213" t="n">
        <f aca="false">AVERAGEIFS($H$33:$H$1494,$A$33:$A$1494,A1252)</f>
        <v>13.4666666666667</v>
      </c>
      <c r="L1252" s="215" t="n">
        <v>40662</v>
      </c>
      <c r="M1252" s="213" t="n">
        <v>22.1</v>
      </c>
      <c r="N1252" s="213" t="n">
        <v>25.1333333333333</v>
      </c>
      <c r="O1252" s="213" t="n">
        <v>13.9833333333333</v>
      </c>
      <c r="P1252" s="213" t="n">
        <v>13.4666666666667</v>
      </c>
    </row>
    <row r="1253" customFormat="false" ht="12.75" hidden="false" customHeight="false" outlineLevel="0" collapsed="false">
      <c r="A1253" s="215" t="n">
        <v>40662</v>
      </c>
      <c r="B1253" s="213" t="n">
        <v>22.1</v>
      </c>
      <c r="C1253" s="213" t="n">
        <f aca="false">AVERAGEIFS($B$33:$B$1494,$A$33:$A$1494,A1253)</f>
        <v>22.1</v>
      </c>
      <c r="D1253" s="213" t="n">
        <v>25.2</v>
      </c>
      <c r="E1253" s="213" t="n">
        <f aca="false">AVERAGEIFS($D$33:$D$1494,$A$33:$A$1494,A1253)</f>
        <v>25.1333333333333</v>
      </c>
      <c r="F1253" s="213" t="n">
        <v>12.5</v>
      </c>
      <c r="G1253" s="213" t="n">
        <f aca="false">AVERAGEIFS($F$33:$F$1494,$A$33:$A$1494,A1253)</f>
        <v>13.9833333333333</v>
      </c>
      <c r="H1253" s="213" t="n">
        <v>13.4</v>
      </c>
      <c r="I1253" s="213" t="n">
        <f aca="false">AVERAGEIFS($H$33:$H$1494,$A$33:$A$1494,A1253)</f>
        <v>13.4666666666667</v>
      </c>
      <c r="L1253" s="215" t="n">
        <v>40662</v>
      </c>
      <c r="M1253" s="213" t="n">
        <v>22.1</v>
      </c>
      <c r="N1253" s="213" t="n">
        <v>25.1333333333333</v>
      </c>
      <c r="O1253" s="213" t="n">
        <v>13.9833333333333</v>
      </c>
      <c r="P1253" s="213" t="n">
        <v>13.4666666666667</v>
      </c>
    </row>
    <row r="1254" customFormat="false" ht="12.75" hidden="false" customHeight="false" outlineLevel="0" collapsed="false">
      <c r="A1254" s="215" t="n">
        <v>40662</v>
      </c>
      <c r="B1254" s="213" t="n">
        <v>22.1</v>
      </c>
      <c r="C1254" s="213" t="n">
        <f aca="false">AVERAGEIFS($B$33:$B$1494,$A$33:$A$1494,A1254)</f>
        <v>22.1</v>
      </c>
      <c r="D1254" s="213" t="n">
        <v>25.2</v>
      </c>
      <c r="E1254" s="213" t="n">
        <f aca="false">AVERAGEIFS($D$33:$D$1494,$A$33:$A$1494,A1254)</f>
        <v>25.1333333333333</v>
      </c>
      <c r="F1254" s="213" t="n">
        <v>13.3</v>
      </c>
      <c r="G1254" s="213" t="n">
        <f aca="false">AVERAGEIFS($F$33:$F$1494,$A$33:$A$1494,A1254)</f>
        <v>13.9833333333333</v>
      </c>
      <c r="H1254" s="213" t="n">
        <v>13.1</v>
      </c>
      <c r="I1254" s="213" t="n">
        <f aca="false">AVERAGEIFS($H$33:$H$1494,$A$33:$A$1494,A1254)</f>
        <v>13.4666666666667</v>
      </c>
      <c r="L1254" s="215" t="n">
        <v>40662</v>
      </c>
      <c r="M1254" s="213" t="n">
        <v>22.1</v>
      </c>
      <c r="N1254" s="213" t="n">
        <v>25.1333333333333</v>
      </c>
      <c r="O1254" s="213" t="n">
        <v>13.9833333333333</v>
      </c>
      <c r="P1254" s="213" t="n">
        <v>13.4666666666667</v>
      </c>
    </row>
    <row r="1255" customFormat="false" ht="12.75" hidden="false" customHeight="false" outlineLevel="0" collapsed="false">
      <c r="A1255" s="215" t="n">
        <v>40662</v>
      </c>
      <c r="B1255" s="213" t="n">
        <v>22</v>
      </c>
      <c r="C1255" s="213" t="n">
        <f aca="false">AVERAGEIFS($B$33:$B$1494,$A$33:$A$1494,A1255)</f>
        <v>22.1</v>
      </c>
      <c r="D1255" s="213" t="n">
        <v>25.1</v>
      </c>
      <c r="E1255" s="213" t="n">
        <f aca="false">AVERAGEIFS($D$33:$D$1494,$A$33:$A$1494,A1255)</f>
        <v>25.1333333333333</v>
      </c>
      <c r="F1255" s="213" t="n">
        <v>14.9</v>
      </c>
      <c r="G1255" s="213" t="n">
        <f aca="false">AVERAGEIFS($F$33:$F$1494,$A$33:$A$1494,A1255)</f>
        <v>13.9833333333333</v>
      </c>
      <c r="H1255" s="213" t="n">
        <v>13.2</v>
      </c>
      <c r="I1255" s="213" t="n">
        <f aca="false">AVERAGEIFS($H$33:$H$1494,$A$33:$A$1494,A1255)</f>
        <v>13.4666666666667</v>
      </c>
      <c r="L1255" s="215" t="n">
        <v>40662</v>
      </c>
      <c r="M1255" s="213" t="n">
        <v>22.1</v>
      </c>
      <c r="N1255" s="213" t="n">
        <v>25.1333333333333</v>
      </c>
      <c r="O1255" s="213" t="n">
        <v>13.9833333333333</v>
      </c>
      <c r="P1255" s="213" t="n">
        <v>13.4666666666667</v>
      </c>
    </row>
    <row r="1256" customFormat="false" ht="12.75" hidden="false" customHeight="false" outlineLevel="0" collapsed="false">
      <c r="A1256" s="215" t="n">
        <v>40662</v>
      </c>
      <c r="B1256" s="213" t="n">
        <v>22</v>
      </c>
      <c r="C1256" s="213" t="n">
        <f aca="false">AVERAGEIFS($B$33:$B$1494,$A$33:$A$1494,A1256)</f>
        <v>22.1</v>
      </c>
      <c r="D1256" s="213" t="n">
        <v>24.9</v>
      </c>
      <c r="E1256" s="213" t="n">
        <f aca="false">AVERAGEIFS($D$33:$D$1494,$A$33:$A$1494,A1256)</f>
        <v>25.1333333333333</v>
      </c>
      <c r="F1256" s="213" t="n">
        <v>15.4</v>
      </c>
      <c r="G1256" s="213" t="n">
        <f aca="false">AVERAGEIFS($F$33:$F$1494,$A$33:$A$1494,A1256)</f>
        <v>13.9833333333333</v>
      </c>
      <c r="H1256" s="213" t="n">
        <v>13.5</v>
      </c>
      <c r="I1256" s="213" t="n">
        <f aca="false">AVERAGEIFS($H$33:$H$1494,$A$33:$A$1494,A1256)</f>
        <v>13.4666666666667</v>
      </c>
      <c r="L1256" s="215" t="n">
        <v>40662</v>
      </c>
      <c r="M1256" s="213" t="n">
        <v>22.1</v>
      </c>
      <c r="N1256" s="213" t="n">
        <v>25.1333333333333</v>
      </c>
      <c r="O1256" s="213" t="n">
        <v>13.9833333333333</v>
      </c>
      <c r="P1256" s="213" t="n">
        <v>13.4666666666667</v>
      </c>
    </row>
    <row r="1257" customFormat="false" ht="12.75" hidden="false" customHeight="false" outlineLevel="0" collapsed="false">
      <c r="A1257" s="215" t="n">
        <v>40663</v>
      </c>
      <c r="B1257" s="213" t="n">
        <v>22</v>
      </c>
      <c r="C1257" s="213" t="n">
        <f aca="false">AVERAGEIFS($B$33:$B$1494,$A$33:$A$1494,A1257)</f>
        <v>21.9166666666667</v>
      </c>
      <c r="D1257" s="213" t="n">
        <v>24.9</v>
      </c>
      <c r="E1257" s="213" t="n">
        <f aca="false">AVERAGEIFS($D$33:$D$1494,$A$33:$A$1494,A1257)</f>
        <v>24.8</v>
      </c>
      <c r="F1257" s="213" t="n">
        <v>14.7</v>
      </c>
      <c r="G1257" s="213" t="n">
        <f aca="false">AVERAGEIFS($F$33:$F$1494,$A$33:$A$1494,A1257)</f>
        <v>14.7833333333333</v>
      </c>
      <c r="H1257" s="213" t="n">
        <v>13.7</v>
      </c>
      <c r="I1257" s="213" t="n">
        <f aca="false">AVERAGEIFS($H$33:$H$1494,$A$33:$A$1494,A1257)</f>
        <v>13.65</v>
      </c>
      <c r="L1257" s="215" t="n">
        <v>40663</v>
      </c>
      <c r="M1257" s="213" t="n">
        <v>21.9166666666667</v>
      </c>
      <c r="N1257" s="213" t="n">
        <v>24.8</v>
      </c>
      <c r="O1257" s="213" t="n">
        <v>14.7833333333333</v>
      </c>
      <c r="P1257" s="213" t="n">
        <v>13.65</v>
      </c>
    </row>
    <row r="1258" customFormat="false" ht="12.75" hidden="false" customHeight="false" outlineLevel="0" collapsed="false">
      <c r="A1258" s="215" t="n">
        <v>40663</v>
      </c>
      <c r="B1258" s="213" t="n">
        <v>22</v>
      </c>
      <c r="C1258" s="213" t="n">
        <f aca="false">AVERAGEIFS($B$33:$B$1494,$A$33:$A$1494,A1258)</f>
        <v>21.9166666666667</v>
      </c>
      <c r="D1258" s="213" t="n">
        <v>24.9</v>
      </c>
      <c r="E1258" s="213" t="n">
        <f aca="false">AVERAGEIFS($D$33:$D$1494,$A$33:$A$1494,A1258)</f>
        <v>24.8</v>
      </c>
      <c r="F1258" s="213" t="n">
        <v>14</v>
      </c>
      <c r="G1258" s="213" t="n">
        <f aca="false">AVERAGEIFS($F$33:$F$1494,$A$33:$A$1494,A1258)</f>
        <v>14.7833333333333</v>
      </c>
      <c r="H1258" s="213" t="n">
        <v>13.7</v>
      </c>
      <c r="I1258" s="213" t="n">
        <f aca="false">AVERAGEIFS($H$33:$H$1494,$A$33:$A$1494,A1258)</f>
        <v>13.65</v>
      </c>
      <c r="L1258" s="215" t="n">
        <v>40663</v>
      </c>
      <c r="M1258" s="213" t="n">
        <v>21.9166666666667</v>
      </c>
      <c r="N1258" s="213" t="n">
        <v>24.8</v>
      </c>
      <c r="O1258" s="213" t="n">
        <v>14.7833333333333</v>
      </c>
      <c r="P1258" s="213" t="n">
        <v>13.65</v>
      </c>
    </row>
    <row r="1259" customFormat="false" ht="12.75" hidden="false" customHeight="false" outlineLevel="0" collapsed="false">
      <c r="A1259" s="215" t="n">
        <v>40663</v>
      </c>
      <c r="B1259" s="213" t="n">
        <v>21.9</v>
      </c>
      <c r="C1259" s="213" t="n">
        <f aca="false">AVERAGEIFS($B$33:$B$1494,$A$33:$A$1494,A1259)</f>
        <v>21.9166666666667</v>
      </c>
      <c r="D1259" s="213" t="n">
        <v>24.9</v>
      </c>
      <c r="E1259" s="213" t="n">
        <f aca="false">AVERAGEIFS($D$33:$D$1494,$A$33:$A$1494,A1259)</f>
        <v>24.8</v>
      </c>
      <c r="F1259" s="213" t="n">
        <v>13.5</v>
      </c>
      <c r="G1259" s="213" t="n">
        <f aca="false">AVERAGEIFS($F$33:$F$1494,$A$33:$A$1494,A1259)</f>
        <v>14.7833333333333</v>
      </c>
      <c r="H1259" s="213" t="n">
        <v>13.5</v>
      </c>
      <c r="I1259" s="213" t="n">
        <f aca="false">AVERAGEIFS($H$33:$H$1494,$A$33:$A$1494,A1259)</f>
        <v>13.65</v>
      </c>
      <c r="L1259" s="215" t="n">
        <v>40663</v>
      </c>
      <c r="M1259" s="213" t="n">
        <v>21.9166666666667</v>
      </c>
      <c r="N1259" s="213" t="n">
        <v>24.8</v>
      </c>
      <c r="O1259" s="213" t="n">
        <v>14.7833333333333</v>
      </c>
      <c r="P1259" s="213" t="n">
        <v>13.65</v>
      </c>
    </row>
    <row r="1260" customFormat="false" ht="12.75" hidden="false" customHeight="false" outlineLevel="0" collapsed="false">
      <c r="A1260" s="215" t="n">
        <v>40663</v>
      </c>
      <c r="B1260" s="213" t="n">
        <v>21.9</v>
      </c>
      <c r="C1260" s="213" t="n">
        <f aca="false">AVERAGEIFS($B$33:$B$1494,$A$33:$A$1494,A1260)</f>
        <v>21.9166666666667</v>
      </c>
      <c r="D1260" s="213" t="n">
        <v>24.8</v>
      </c>
      <c r="E1260" s="213" t="n">
        <f aca="false">AVERAGEIFS($D$33:$D$1494,$A$33:$A$1494,A1260)</f>
        <v>24.8</v>
      </c>
      <c r="F1260" s="213" t="n">
        <v>14.3</v>
      </c>
      <c r="G1260" s="213" t="n">
        <f aca="false">AVERAGEIFS($F$33:$F$1494,$A$33:$A$1494,A1260)</f>
        <v>14.7833333333333</v>
      </c>
      <c r="H1260" s="213" t="n">
        <v>13.4</v>
      </c>
      <c r="I1260" s="213" t="n">
        <f aca="false">AVERAGEIFS($H$33:$H$1494,$A$33:$A$1494,A1260)</f>
        <v>13.65</v>
      </c>
      <c r="L1260" s="215" t="n">
        <v>40663</v>
      </c>
      <c r="M1260" s="213" t="n">
        <v>21.9166666666667</v>
      </c>
      <c r="N1260" s="213" t="n">
        <v>24.8</v>
      </c>
      <c r="O1260" s="213" t="n">
        <v>14.7833333333333</v>
      </c>
      <c r="P1260" s="213" t="n">
        <v>13.65</v>
      </c>
    </row>
    <row r="1261" customFormat="false" ht="12.75" hidden="false" customHeight="false" outlineLevel="0" collapsed="false">
      <c r="A1261" s="215" t="n">
        <v>40663</v>
      </c>
      <c r="B1261" s="213" t="n">
        <v>21.9</v>
      </c>
      <c r="C1261" s="213" t="n">
        <f aca="false">AVERAGEIFS($B$33:$B$1494,$A$33:$A$1494,A1261)</f>
        <v>21.9166666666667</v>
      </c>
      <c r="D1261" s="213" t="n">
        <v>24.7</v>
      </c>
      <c r="E1261" s="213" t="n">
        <f aca="false">AVERAGEIFS($D$33:$D$1494,$A$33:$A$1494,A1261)</f>
        <v>24.8</v>
      </c>
      <c r="F1261" s="213" t="n">
        <v>16</v>
      </c>
      <c r="G1261" s="213" t="n">
        <f aca="false">AVERAGEIFS($F$33:$F$1494,$A$33:$A$1494,A1261)</f>
        <v>14.7833333333333</v>
      </c>
      <c r="H1261" s="213" t="n">
        <v>13.6</v>
      </c>
      <c r="I1261" s="213" t="n">
        <f aca="false">AVERAGEIFS($H$33:$H$1494,$A$33:$A$1494,A1261)</f>
        <v>13.65</v>
      </c>
      <c r="L1261" s="215" t="n">
        <v>40663</v>
      </c>
      <c r="M1261" s="213" t="n">
        <v>21.9166666666667</v>
      </c>
      <c r="N1261" s="213" t="n">
        <v>24.8</v>
      </c>
      <c r="O1261" s="213" t="n">
        <v>14.7833333333333</v>
      </c>
      <c r="P1261" s="213" t="n">
        <v>13.65</v>
      </c>
    </row>
    <row r="1262" customFormat="false" ht="12.75" hidden="false" customHeight="false" outlineLevel="0" collapsed="false">
      <c r="A1262" s="215" t="n">
        <v>40663</v>
      </c>
      <c r="B1262" s="213" t="n">
        <v>21.8</v>
      </c>
      <c r="C1262" s="213" t="n">
        <f aca="false">AVERAGEIFS($B$33:$B$1494,$A$33:$A$1494,A1262)</f>
        <v>21.9166666666667</v>
      </c>
      <c r="D1262" s="213" t="n">
        <v>24.6</v>
      </c>
      <c r="E1262" s="213" t="n">
        <f aca="false">AVERAGEIFS($D$33:$D$1494,$A$33:$A$1494,A1262)</f>
        <v>24.8</v>
      </c>
      <c r="F1262" s="213" t="n">
        <v>16.2</v>
      </c>
      <c r="G1262" s="213" t="n">
        <f aca="false">AVERAGEIFS($F$33:$F$1494,$A$33:$A$1494,A1262)</f>
        <v>14.7833333333333</v>
      </c>
      <c r="H1262" s="213" t="n">
        <v>14</v>
      </c>
      <c r="I1262" s="213" t="n">
        <f aca="false">AVERAGEIFS($H$33:$H$1494,$A$33:$A$1494,A1262)</f>
        <v>13.65</v>
      </c>
      <c r="L1262" s="215" t="n">
        <v>40663</v>
      </c>
      <c r="M1262" s="213" t="n">
        <v>21.9166666666667</v>
      </c>
      <c r="N1262" s="213" t="n">
        <v>24.8</v>
      </c>
      <c r="O1262" s="213" t="n">
        <v>14.7833333333333</v>
      </c>
      <c r="P1262" s="213" t="n">
        <v>13.65</v>
      </c>
    </row>
    <row r="1263" customFormat="false" ht="12.75" hidden="false" customHeight="false" outlineLevel="0" collapsed="false">
      <c r="A1263" s="215" t="n">
        <v>40664</v>
      </c>
      <c r="B1263" s="213" t="n">
        <v>21.8</v>
      </c>
      <c r="C1263" s="213" t="n">
        <f aca="false">AVERAGEIFS($B$33:$B$1494,$A$33:$A$1494,A1263)</f>
        <v>21.75</v>
      </c>
      <c r="D1263" s="213" t="n">
        <v>24.6</v>
      </c>
      <c r="E1263" s="213" t="n">
        <f aca="false">AVERAGEIFS($D$33:$D$1494,$A$33:$A$1494,A1263)</f>
        <v>24.5</v>
      </c>
      <c r="F1263" s="213" t="n">
        <v>15.4</v>
      </c>
      <c r="G1263" s="213" t="n">
        <f aca="false">AVERAGEIFS($F$33:$F$1494,$A$33:$A$1494,A1263)</f>
        <v>15.3</v>
      </c>
      <c r="H1263" s="213" t="n">
        <v>14.2</v>
      </c>
      <c r="I1263" s="213" t="n">
        <f aca="false">AVERAGEIFS($H$33:$H$1494,$A$33:$A$1494,A1263)</f>
        <v>14.0333333333333</v>
      </c>
      <c r="L1263" s="215" t="n">
        <v>40664</v>
      </c>
      <c r="M1263" s="213" t="n">
        <v>21.75</v>
      </c>
      <c r="N1263" s="213" t="n">
        <v>24.5</v>
      </c>
      <c r="O1263" s="213" t="n">
        <v>15.3</v>
      </c>
      <c r="P1263" s="213" t="n">
        <v>14.0333333333333</v>
      </c>
    </row>
    <row r="1264" customFormat="false" ht="12.75" hidden="false" customHeight="false" outlineLevel="0" collapsed="false">
      <c r="A1264" s="215" t="n">
        <v>40664</v>
      </c>
      <c r="B1264" s="213" t="n">
        <v>21.8</v>
      </c>
      <c r="C1264" s="213" t="n">
        <f aca="false">AVERAGEIFS($B$33:$B$1494,$A$33:$A$1494,A1264)</f>
        <v>21.75</v>
      </c>
      <c r="D1264" s="213" t="n">
        <v>24.6</v>
      </c>
      <c r="E1264" s="213" t="n">
        <f aca="false">AVERAGEIFS($D$33:$D$1494,$A$33:$A$1494,A1264)</f>
        <v>24.5</v>
      </c>
      <c r="F1264" s="213" t="n">
        <v>14.7</v>
      </c>
      <c r="G1264" s="213" t="n">
        <f aca="false">AVERAGEIFS($F$33:$F$1494,$A$33:$A$1494,A1264)</f>
        <v>15.3</v>
      </c>
      <c r="H1264" s="213" t="n">
        <v>14.1</v>
      </c>
      <c r="I1264" s="213" t="n">
        <f aca="false">AVERAGEIFS($H$33:$H$1494,$A$33:$A$1494,A1264)</f>
        <v>14.0333333333333</v>
      </c>
      <c r="L1264" s="215" t="n">
        <v>40664</v>
      </c>
      <c r="M1264" s="213" t="n">
        <v>21.75</v>
      </c>
      <c r="N1264" s="213" t="n">
        <v>24.5</v>
      </c>
      <c r="O1264" s="213" t="n">
        <v>15.3</v>
      </c>
      <c r="P1264" s="213" t="n">
        <v>14.0333333333333</v>
      </c>
    </row>
    <row r="1265" customFormat="false" ht="12.75" hidden="false" customHeight="false" outlineLevel="0" collapsed="false">
      <c r="A1265" s="215" t="n">
        <v>40664</v>
      </c>
      <c r="B1265" s="213" t="n">
        <v>21.8</v>
      </c>
      <c r="C1265" s="213" t="n">
        <f aca="false">AVERAGEIFS($B$33:$B$1494,$A$33:$A$1494,A1265)</f>
        <v>21.75</v>
      </c>
      <c r="D1265" s="213" t="n">
        <v>24.6</v>
      </c>
      <c r="E1265" s="213" t="n">
        <f aca="false">AVERAGEIFS($D$33:$D$1494,$A$33:$A$1494,A1265)</f>
        <v>24.5</v>
      </c>
      <c r="F1265" s="213" t="n">
        <v>13.7</v>
      </c>
      <c r="G1265" s="213" t="n">
        <f aca="false">AVERAGEIFS($F$33:$F$1494,$A$33:$A$1494,A1265)</f>
        <v>15.3</v>
      </c>
      <c r="H1265" s="213" t="n">
        <v>13.9</v>
      </c>
      <c r="I1265" s="213" t="n">
        <f aca="false">AVERAGEIFS($H$33:$H$1494,$A$33:$A$1494,A1265)</f>
        <v>14.0333333333333</v>
      </c>
      <c r="L1265" s="215" t="n">
        <v>40664</v>
      </c>
      <c r="M1265" s="213" t="n">
        <v>21.75</v>
      </c>
      <c r="N1265" s="213" t="n">
        <v>24.5</v>
      </c>
      <c r="O1265" s="213" t="n">
        <v>15.3</v>
      </c>
      <c r="P1265" s="213" t="n">
        <v>14.0333333333333</v>
      </c>
    </row>
    <row r="1266" customFormat="false" ht="12.75" hidden="false" customHeight="false" outlineLevel="0" collapsed="false">
      <c r="A1266" s="215" t="n">
        <v>40664</v>
      </c>
      <c r="B1266" s="213" t="n">
        <v>21.7</v>
      </c>
      <c r="C1266" s="213" t="n">
        <f aca="false">AVERAGEIFS($B$33:$B$1494,$A$33:$A$1494,A1266)</f>
        <v>21.75</v>
      </c>
      <c r="D1266" s="213" t="n">
        <v>24.5</v>
      </c>
      <c r="E1266" s="213" t="n">
        <f aca="false">AVERAGEIFS($D$33:$D$1494,$A$33:$A$1494,A1266)</f>
        <v>24.5</v>
      </c>
      <c r="F1266" s="213" t="n">
        <v>14.7</v>
      </c>
      <c r="G1266" s="213" t="n">
        <f aca="false">AVERAGEIFS($F$33:$F$1494,$A$33:$A$1494,A1266)</f>
        <v>15.3</v>
      </c>
      <c r="H1266" s="213" t="n">
        <v>13.7</v>
      </c>
      <c r="I1266" s="213" t="n">
        <f aca="false">AVERAGEIFS($H$33:$H$1494,$A$33:$A$1494,A1266)</f>
        <v>14.0333333333333</v>
      </c>
      <c r="L1266" s="215" t="n">
        <v>40664</v>
      </c>
      <c r="M1266" s="213" t="n">
        <v>21.75</v>
      </c>
      <c r="N1266" s="213" t="n">
        <v>24.5</v>
      </c>
      <c r="O1266" s="213" t="n">
        <v>15.3</v>
      </c>
      <c r="P1266" s="213" t="n">
        <v>14.0333333333333</v>
      </c>
    </row>
    <row r="1267" customFormat="false" ht="12.75" hidden="false" customHeight="false" outlineLevel="0" collapsed="false">
      <c r="A1267" s="215" t="n">
        <v>40664</v>
      </c>
      <c r="B1267" s="213" t="n">
        <v>21.7</v>
      </c>
      <c r="C1267" s="213" t="n">
        <f aca="false">AVERAGEIFS($B$33:$B$1494,$A$33:$A$1494,A1267)</f>
        <v>21.75</v>
      </c>
      <c r="D1267" s="213" t="n">
        <v>24.4</v>
      </c>
      <c r="E1267" s="213" t="n">
        <f aca="false">AVERAGEIFS($D$33:$D$1494,$A$33:$A$1494,A1267)</f>
        <v>24.5</v>
      </c>
      <c r="F1267" s="213" t="n">
        <v>16.5</v>
      </c>
      <c r="G1267" s="213" t="n">
        <f aca="false">AVERAGEIFS($F$33:$F$1494,$A$33:$A$1494,A1267)</f>
        <v>15.3</v>
      </c>
      <c r="H1267" s="213" t="n">
        <v>13.9</v>
      </c>
      <c r="I1267" s="213" t="n">
        <f aca="false">AVERAGEIFS($H$33:$H$1494,$A$33:$A$1494,A1267)</f>
        <v>14.0333333333333</v>
      </c>
      <c r="L1267" s="215" t="n">
        <v>40664</v>
      </c>
      <c r="M1267" s="213" t="n">
        <v>21.75</v>
      </c>
      <c r="N1267" s="213" t="n">
        <v>24.5</v>
      </c>
      <c r="O1267" s="213" t="n">
        <v>15.3</v>
      </c>
      <c r="P1267" s="213" t="n">
        <v>14.0333333333333</v>
      </c>
    </row>
    <row r="1268" customFormat="false" ht="12.75" hidden="false" customHeight="false" outlineLevel="0" collapsed="false">
      <c r="A1268" s="215" t="n">
        <v>40664</v>
      </c>
      <c r="B1268" s="213" t="n">
        <v>21.7</v>
      </c>
      <c r="C1268" s="213" t="n">
        <f aca="false">AVERAGEIFS($B$33:$B$1494,$A$33:$A$1494,A1268)</f>
        <v>21.75</v>
      </c>
      <c r="D1268" s="213" t="n">
        <v>24.3</v>
      </c>
      <c r="E1268" s="213" t="n">
        <f aca="false">AVERAGEIFS($D$33:$D$1494,$A$33:$A$1494,A1268)</f>
        <v>24.5</v>
      </c>
      <c r="F1268" s="213" t="n">
        <v>16.8</v>
      </c>
      <c r="G1268" s="213" t="n">
        <f aca="false">AVERAGEIFS($F$33:$F$1494,$A$33:$A$1494,A1268)</f>
        <v>15.3</v>
      </c>
      <c r="H1268" s="213" t="n">
        <v>14.4</v>
      </c>
      <c r="I1268" s="213" t="n">
        <f aca="false">AVERAGEIFS($H$33:$H$1494,$A$33:$A$1494,A1268)</f>
        <v>14.0333333333333</v>
      </c>
      <c r="L1268" s="215" t="n">
        <v>40664</v>
      </c>
      <c r="M1268" s="213" t="n">
        <v>21.75</v>
      </c>
      <c r="N1268" s="213" t="n">
        <v>24.5</v>
      </c>
      <c r="O1268" s="213" t="n">
        <v>15.3</v>
      </c>
      <c r="P1268" s="213" t="n">
        <v>14.0333333333333</v>
      </c>
    </row>
    <row r="1269" customFormat="false" ht="12.75" hidden="false" customHeight="false" outlineLevel="0" collapsed="false">
      <c r="A1269" s="215" t="n">
        <v>40665</v>
      </c>
      <c r="B1269" s="213" t="n">
        <v>21.7</v>
      </c>
      <c r="C1269" s="213" t="n">
        <f aca="false">AVERAGEIFS($B$33:$B$1494,$A$33:$A$1494,A1269)</f>
        <v>21.6166666666667</v>
      </c>
      <c r="D1269" s="213" t="n">
        <v>24.3</v>
      </c>
      <c r="E1269" s="213" t="n">
        <f aca="false">AVERAGEIFS($D$33:$D$1494,$A$33:$A$1494,A1269)</f>
        <v>24.2333333333333</v>
      </c>
      <c r="F1269" s="213" t="n">
        <v>16.1</v>
      </c>
      <c r="G1269" s="213" t="n">
        <f aca="false">AVERAGEIFS($F$33:$F$1494,$A$33:$A$1494,A1269)</f>
        <v>15.8333333333333</v>
      </c>
      <c r="H1269" s="213" t="n">
        <v>14.6</v>
      </c>
      <c r="I1269" s="213" t="n">
        <f aca="false">AVERAGEIFS($H$33:$H$1494,$A$33:$A$1494,A1269)</f>
        <v>14.5166666666667</v>
      </c>
      <c r="L1269" s="215" t="n">
        <v>40665</v>
      </c>
      <c r="M1269" s="213" t="n">
        <v>21.6166666666667</v>
      </c>
      <c r="N1269" s="213" t="n">
        <v>24.2333333333333</v>
      </c>
      <c r="O1269" s="213" t="n">
        <v>15.8333333333333</v>
      </c>
      <c r="P1269" s="213" t="n">
        <v>14.5166666666667</v>
      </c>
    </row>
    <row r="1270" customFormat="false" ht="12.75" hidden="false" customHeight="false" outlineLevel="0" collapsed="false">
      <c r="A1270" s="215" t="n">
        <v>40665</v>
      </c>
      <c r="B1270" s="213" t="n">
        <v>21.6</v>
      </c>
      <c r="C1270" s="213" t="n">
        <f aca="false">AVERAGEIFS($B$33:$B$1494,$A$33:$A$1494,A1270)</f>
        <v>21.6166666666667</v>
      </c>
      <c r="D1270" s="213" t="n">
        <v>24.3</v>
      </c>
      <c r="E1270" s="213" t="n">
        <f aca="false">AVERAGEIFS($D$33:$D$1494,$A$33:$A$1494,A1270)</f>
        <v>24.2333333333333</v>
      </c>
      <c r="F1270" s="213" t="n">
        <v>15.4</v>
      </c>
      <c r="G1270" s="213" t="n">
        <f aca="false">AVERAGEIFS($F$33:$F$1494,$A$33:$A$1494,A1270)</f>
        <v>15.8333333333333</v>
      </c>
      <c r="H1270" s="213" t="n">
        <v>14.6</v>
      </c>
      <c r="I1270" s="213" t="n">
        <f aca="false">AVERAGEIFS($H$33:$H$1494,$A$33:$A$1494,A1270)</f>
        <v>14.5166666666667</v>
      </c>
      <c r="L1270" s="215" t="n">
        <v>40665</v>
      </c>
      <c r="M1270" s="213" t="n">
        <v>21.6166666666667</v>
      </c>
      <c r="N1270" s="213" t="n">
        <v>24.2333333333333</v>
      </c>
      <c r="O1270" s="213" t="n">
        <v>15.8333333333333</v>
      </c>
      <c r="P1270" s="213" t="n">
        <v>14.5166666666667</v>
      </c>
    </row>
    <row r="1271" customFormat="false" ht="12.75" hidden="false" customHeight="false" outlineLevel="0" collapsed="false">
      <c r="A1271" s="215" t="n">
        <v>40665</v>
      </c>
      <c r="B1271" s="213" t="n">
        <v>21.6</v>
      </c>
      <c r="C1271" s="213" t="n">
        <f aca="false">AVERAGEIFS($B$33:$B$1494,$A$33:$A$1494,A1271)</f>
        <v>21.6166666666667</v>
      </c>
      <c r="D1271" s="213" t="n">
        <v>24.3</v>
      </c>
      <c r="E1271" s="213" t="n">
        <f aca="false">AVERAGEIFS($D$33:$D$1494,$A$33:$A$1494,A1271)</f>
        <v>24.2333333333333</v>
      </c>
      <c r="F1271" s="213" t="n">
        <v>15</v>
      </c>
      <c r="G1271" s="213" t="n">
        <f aca="false">AVERAGEIFS($F$33:$F$1494,$A$33:$A$1494,A1271)</f>
        <v>15.8333333333333</v>
      </c>
      <c r="H1271" s="213" t="n">
        <v>14.5</v>
      </c>
      <c r="I1271" s="213" t="n">
        <f aca="false">AVERAGEIFS($H$33:$H$1494,$A$33:$A$1494,A1271)</f>
        <v>14.5166666666667</v>
      </c>
      <c r="L1271" s="215" t="n">
        <v>40665</v>
      </c>
      <c r="M1271" s="213" t="n">
        <v>21.6166666666667</v>
      </c>
      <c r="N1271" s="213" t="n">
        <v>24.2333333333333</v>
      </c>
      <c r="O1271" s="213" t="n">
        <v>15.8333333333333</v>
      </c>
      <c r="P1271" s="213" t="n">
        <v>14.5166666666667</v>
      </c>
    </row>
    <row r="1272" customFormat="false" ht="12.75" hidden="false" customHeight="false" outlineLevel="0" collapsed="false">
      <c r="A1272" s="215" t="n">
        <v>40665</v>
      </c>
      <c r="B1272" s="213" t="n">
        <v>21.6</v>
      </c>
      <c r="C1272" s="213" t="n">
        <f aca="false">AVERAGEIFS($B$33:$B$1494,$A$33:$A$1494,A1272)</f>
        <v>21.6166666666667</v>
      </c>
      <c r="D1272" s="213" t="n">
        <v>24.2</v>
      </c>
      <c r="E1272" s="213" t="n">
        <f aca="false">AVERAGEIFS($D$33:$D$1494,$A$33:$A$1494,A1272)</f>
        <v>24.2333333333333</v>
      </c>
      <c r="F1272" s="213" t="n">
        <v>15.3</v>
      </c>
      <c r="G1272" s="213" t="n">
        <f aca="false">AVERAGEIFS($F$33:$F$1494,$A$33:$A$1494,A1272)</f>
        <v>15.8333333333333</v>
      </c>
      <c r="H1272" s="213" t="n">
        <v>14.3</v>
      </c>
      <c r="I1272" s="213" t="n">
        <f aca="false">AVERAGEIFS($H$33:$H$1494,$A$33:$A$1494,A1272)</f>
        <v>14.5166666666667</v>
      </c>
      <c r="L1272" s="215" t="n">
        <v>40665</v>
      </c>
      <c r="M1272" s="213" t="n">
        <v>21.6166666666667</v>
      </c>
      <c r="N1272" s="213" t="n">
        <v>24.2333333333333</v>
      </c>
      <c r="O1272" s="213" t="n">
        <v>15.8333333333333</v>
      </c>
      <c r="P1272" s="213" t="n">
        <v>14.5166666666667</v>
      </c>
    </row>
    <row r="1273" customFormat="false" ht="12.75" hidden="false" customHeight="false" outlineLevel="0" collapsed="false">
      <c r="A1273" s="215" t="n">
        <v>40665</v>
      </c>
      <c r="B1273" s="213" t="n">
        <v>21.6</v>
      </c>
      <c r="C1273" s="213" t="n">
        <f aca="false">AVERAGEIFS($B$33:$B$1494,$A$33:$A$1494,A1273)</f>
        <v>21.6166666666667</v>
      </c>
      <c r="D1273" s="213" t="n">
        <v>24.2</v>
      </c>
      <c r="E1273" s="213" t="n">
        <f aca="false">AVERAGEIFS($D$33:$D$1494,$A$33:$A$1494,A1273)</f>
        <v>24.2333333333333</v>
      </c>
      <c r="F1273" s="213" t="n">
        <v>16.5</v>
      </c>
      <c r="G1273" s="213" t="n">
        <f aca="false">AVERAGEIFS($F$33:$F$1494,$A$33:$A$1494,A1273)</f>
        <v>15.8333333333333</v>
      </c>
      <c r="H1273" s="213" t="n">
        <v>14.4</v>
      </c>
      <c r="I1273" s="213" t="n">
        <f aca="false">AVERAGEIFS($H$33:$H$1494,$A$33:$A$1494,A1273)</f>
        <v>14.5166666666667</v>
      </c>
      <c r="L1273" s="215" t="n">
        <v>40665</v>
      </c>
      <c r="M1273" s="213" t="n">
        <v>21.6166666666667</v>
      </c>
      <c r="N1273" s="213" t="n">
        <v>24.2333333333333</v>
      </c>
      <c r="O1273" s="213" t="n">
        <v>15.8333333333333</v>
      </c>
      <c r="P1273" s="213" t="n">
        <v>14.5166666666667</v>
      </c>
    </row>
    <row r="1274" customFormat="false" ht="12.75" hidden="false" customHeight="false" outlineLevel="0" collapsed="false">
      <c r="A1274" s="215" t="n">
        <v>40665</v>
      </c>
      <c r="B1274" s="213" t="n">
        <v>21.6</v>
      </c>
      <c r="C1274" s="213" t="n">
        <f aca="false">AVERAGEIFS($B$33:$B$1494,$A$33:$A$1494,A1274)</f>
        <v>21.6166666666667</v>
      </c>
      <c r="D1274" s="213" t="n">
        <v>24.1</v>
      </c>
      <c r="E1274" s="213" t="n">
        <f aca="false">AVERAGEIFS($D$33:$D$1494,$A$33:$A$1494,A1274)</f>
        <v>24.2333333333333</v>
      </c>
      <c r="F1274" s="213" t="n">
        <v>16.7</v>
      </c>
      <c r="G1274" s="213" t="n">
        <f aca="false">AVERAGEIFS($F$33:$F$1494,$A$33:$A$1494,A1274)</f>
        <v>15.8333333333333</v>
      </c>
      <c r="H1274" s="213" t="n">
        <v>14.7</v>
      </c>
      <c r="I1274" s="213" t="n">
        <f aca="false">AVERAGEIFS($H$33:$H$1494,$A$33:$A$1494,A1274)</f>
        <v>14.5166666666667</v>
      </c>
      <c r="L1274" s="215" t="n">
        <v>40665</v>
      </c>
      <c r="M1274" s="213" t="n">
        <v>21.6166666666667</v>
      </c>
      <c r="N1274" s="213" t="n">
        <v>24.2333333333333</v>
      </c>
      <c r="O1274" s="213" t="n">
        <v>15.8333333333333</v>
      </c>
      <c r="P1274" s="213" t="n">
        <v>14.5166666666667</v>
      </c>
    </row>
    <row r="1275" customFormat="false" ht="12.75" hidden="false" customHeight="false" outlineLevel="0" collapsed="false">
      <c r="A1275" s="215" t="n">
        <v>40666</v>
      </c>
      <c r="B1275" s="213" t="n">
        <v>21.5</v>
      </c>
      <c r="C1275" s="213" t="n">
        <f aca="false">AVERAGEIFS($B$33:$B$1494,$A$33:$A$1494,A1275)</f>
        <v>21.5166666666667</v>
      </c>
      <c r="D1275" s="213" t="n">
        <v>24.1</v>
      </c>
      <c r="E1275" s="213" t="n">
        <f aca="false">AVERAGEIFS($D$33:$D$1494,$A$33:$A$1494,A1275)</f>
        <v>24.0666666666667</v>
      </c>
      <c r="F1275" s="213" t="n">
        <v>15.9</v>
      </c>
      <c r="G1275" s="213" t="n">
        <f aca="false">AVERAGEIFS($F$33:$F$1494,$A$33:$A$1494,A1275)</f>
        <v>15.5833333333333</v>
      </c>
      <c r="H1275" s="213" t="n">
        <v>14.8</v>
      </c>
      <c r="I1275" s="213" t="n">
        <f aca="false">AVERAGEIFS($H$33:$H$1494,$A$33:$A$1494,A1275)</f>
        <v>14.5833333333333</v>
      </c>
      <c r="L1275" s="215" t="n">
        <v>40666</v>
      </c>
      <c r="M1275" s="213" t="n">
        <v>21.5166666666667</v>
      </c>
      <c r="N1275" s="213" t="n">
        <v>24.0666666666667</v>
      </c>
      <c r="O1275" s="213" t="n">
        <v>15.5833333333333</v>
      </c>
      <c r="P1275" s="213" t="n">
        <v>14.5833333333333</v>
      </c>
    </row>
    <row r="1276" customFormat="false" ht="12.75" hidden="false" customHeight="false" outlineLevel="0" collapsed="false">
      <c r="A1276" s="215" t="n">
        <v>40666</v>
      </c>
      <c r="B1276" s="213" t="n">
        <v>21.6</v>
      </c>
      <c r="C1276" s="213" t="n">
        <f aca="false">AVERAGEIFS($B$33:$B$1494,$A$33:$A$1494,A1276)</f>
        <v>21.5166666666667</v>
      </c>
      <c r="D1276" s="213" t="n">
        <v>24.1</v>
      </c>
      <c r="E1276" s="213" t="n">
        <f aca="false">AVERAGEIFS($D$33:$D$1494,$A$33:$A$1494,A1276)</f>
        <v>24.0666666666667</v>
      </c>
      <c r="F1276" s="213" t="n">
        <v>15.4</v>
      </c>
      <c r="G1276" s="213" t="n">
        <f aca="false">AVERAGEIFS($F$33:$F$1494,$A$33:$A$1494,A1276)</f>
        <v>15.5833333333333</v>
      </c>
      <c r="H1276" s="213" t="n">
        <v>14.7</v>
      </c>
      <c r="I1276" s="213" t="n">
        <f aca="false">AVERAGEIFS($H$33:$H$1494,$A$33:$A$1494,A1276)</f>
        <v>14.5833333333333</v>
      </c>
      <c r="L1276" s="215" t="n">
        <v>40666</v>
      </c>
      <c r="M1276" s="213" t="n">
        <v>21.5166666666667</v>
      </c>
      <c r="N1276" s="213" t="n">
        <v>24.0666666666667</v>
      </c>
      <c r="O1276" s="213" t="n">
        <v>15.5833333333333</v>
      </c>
      <c r="P1276" s="213" t="n">
        <v>14.5833333333333</v>
      </c>
    </row>
    <row r="1277" customFormat="false" ht="12.75" hidden="false" customHeight="false" outlineLevel="0" collapsed="false">
      <c r="A1277" s="215" t="n">
        <v>40666</v>
      </c>
      <c r="B1277" s="213" t="n">
        <v>21.5</v>
      </c>
      <c r="C1277" s="213" t="n">
        <f aca="false">AVERAGEIFS($B$33:$B$1494,$A$33:$A$1494,A1277)</f>
        <v>21.5166666666667</v>
      </c>
      <c r="D1277" s="213" t="n">
        <v>24.1</v>
      </c>
      <c r="E1277" s="213" t="n">
        <f aca="false">AVERAGEIFS($D$33:$D$1494,$A$33:$A$1494,A1277)</f>
        <v>24.0666666666667</v>
      </c>
      <c r="F1277" s="213" t="n">
        <v>15</v>
      </c>
      <c r="G1277" s="213" t="n">
        <f aca="false">AVERAGEIFS($F$33:$F$1494,$A$33:$A$1494,A1277)</f>
        <v>15.5833333333333</v>
      </c>
      <c r="H1277" s="213" t="n">
        <v>14.6</v>
      </c>
      <c r="I1277" s="213" t="n">
        <f aca="false">AVERAGEIFS($H$33:$H$1494,$A$33:$A$1494,A1277)</f>
        <v>14.5833333333333</v>
      </c>
      <c r="L1277" s="215" t="n">
        <v>40666</v>
      </c>
      <c r="M1277" s="213" t="n">
        <v>21.5166666666667</v>
      </c>
      <c r="N1277" s="213" t="n">
        <v>24.0666666666667</v>
      </c>
      <c r="O1277" s="213" t="n">
        <v>15.5833333333333</v>
      </c>
      <c r="P1277" s="213" t="n">
        <v>14.5833333333333</v>
      </c>
    </row>
    <row r="1278" customFormat="false" ht="12.75" hidden="false" customHeight="false" outlineLevel="0" collapsed="false">
      <c r="A1278" s="215" t="n">
        <v>40666</v>
      </c>
      <c r="B1278" s="213" t="n">
        <v>21.5</v>
      </c>
      <c r="C1278" s="213" t="n">
        <f aca="false">AVERAGEIFS($B$33:$B$1494,$A$33:$A$1494,A1278)</f>
        <v>21.5166666666667</v>
      </c>
      <c r="D1278" s="213" t="n">
        <v>24.1</v>
      </c>
      <c r="E1278" s="213" t="n">
        <f aca="false">AVERAGEIFS($D$33:$D$1494,$A$33:$A$1494,A1278)</f>
        <v>24.0666666666667</v>
      </c>
      <c r="F1278" s="213" t="n">
        <v>15.2</v>
      </c>
      <c r="G1278" s="213" t="n">
        <f aca="false">AVERAGEIFS($F$33:$F$1494,$A$33:$A$1494,A1278)</f>
        <v>15.5833333333333</v>
      </c>
      <c r="H1278" s="213" t="n">
        <v>14.4</v>
      </c>
      <c r="I1278" s="213" t="n">
        <f aca="false">AVERAGEIFS($H$33:$H$1494,$A$33:$A$1494,A1278)</f>
        <v>14.5833333333333</v>
      </c>
      <c r="L1278" s="215" t="n">
        <v>40666</v>
      </c>
      <c r="M1278" s="213" t="n">
        <v>21.5166666666667</v>
      </c>
      <c r="N1278" s="213" t="n">
        <v>24.0666666666667</v>
      </c>
      <c r="O1278" s="213" t="n">
        <v>15.5833333333333</v>
      </c>
      <c r="P1278" s="213" t="n">
        <v>14.5833333333333</v>
      </c>
    </row>
    <row r="1279" customFormat="false" ht="12.75" hidden="false" customHeight="false" outlineLevel="0" collapsed="false">
      <c r="A1279" s="215" t="n">
        <v>40666</v>
      </c>
      <c r="B1279" s="213" t="n">
        <v>21.5</v>
      </c>
      <c r="C1279" s="213" t="n">
        <f aca="false">AVERAGEIFS($B$33:$B$1494,$A$33:$A$1494,A1279)</f>
        <v>21.5166666666667</v>
      </c>
      <c r="D1279" s="213" t="n">
        <v>24</v>
      </c>
      <c r="E1279" s="213" t="n">
        <f aca="false">AVERAGEIFS($D$33:$D$1494,$A$33:$A$1494,A1279)</f>
        <v>24.0666666666667</v>
      </c>
      <c r="F1279" s="213" t="n">
        <v>15.9</v>
      </c>
      <c r="G1279" s="213" t="n">
        <f aca="false">AVERAGEIFS($F$33:$F$1494,$A$33:$A$1494,A1279)</f>
        <v>15.5833333333333</v>
      </c>
      <c r="H1279" s="213" t="n">
        <v>14.4</v>
      </c>
      <c r="I1279" s="213" t="n">
        <f aca="false">AVERAGEIFS($H$33:$H$1494,$A$33:$A$1494,A1279)</f>
        <v>14.5833333333333</v>
      </c>
      <c r="L1279" s="215" t="n">
        <v>40666</v>
      </c>
      <c r="M1279" s="213" t="n">
        <v>21.5166666666667</v>
      </c>
      <c r="N1279" s="213" t="n">
        <v>24.0666666666667</v>
      </c>
      <c r="O1279" s="213" t="n">
        <v>15.5833333333333</v>
      </c>
      <c r="P1279" s="213" t="n">
        <v>14.5833333333333</v>
      </c>
    </row>
    <row r="1280" customFormat="false" ht="12.75" hidden="false" customHeight="false" outlineLevel="0" collapsed="false">
      <c r="A1280" s="215" t="n">
        <v>40666</v>
      </c>
      <c r="B1280" s="213" t="n">
        <v>21.5</v>
      </c>
      <c r="C1280" s="213" t="n">
        <f aca="false">AVERAGEIFS($B$33:$B$1494,$A$33:$A$1494,A1280)</f>
        <v>21.5166666666667</v>
      </c>
      <c r="D1280" s="213" t="n">
        <v>24</v>
      </c>
      <c r="E1280" s="213" t="n">
        <f aca="false">AVERAGEIFS($D$33:$D$1494,$A$33:$A$1494,A1280)</f>
        <v>24.0666666666667</v>
      </c>
      <c r="F1280" s="213" t="n">
        <v>16.1</v>
      </c>
      <c r="G1280" s="213" t="n">
        <f aca="false">AVERAGEIFS($F$33:$F$1494,$A$33:$A$1494,A1280)</f>
        <v>15.5833333333333</v>
      </c>
      <c r="H1280" s="213" t="n">
        <v>14.6</v>
      </c>
      <c r="I1280" s="213" t="n">
        <f aca="false">AVERAGEIFS($H$33:$H$1494,$A$33:$A$1494,A1280)</f>
        <v>14.5833333333333</v>
      </c>
      <c r="L1280" s="215" t="n">
        <v>40666</v>
      </c>
      <c r="M1280" s="213" t="n">
        <v>21.5166666666667</v>
      </c>
      <c r="N1280" s="213" t="n">
        <v>24.0666666666667</v>
      </c>
      <c r="O1280" s="213" t="n">
        <v>15.5833333333333</v>
      </c>
      <c r="P1280" s="213" t="n">
        <v>14.5833333333333</v>
      </c>
    </row>
    <row r="1281" customFormat="false" ht="12.75" hidden="false" customHeight="false" outlineLevel="0" collapsed="false">
      <c r="A1281" s="215" t="n">
        <v>40667</v>
      </c>
      <c r="B1281" s="213" t="n">
        <v>21.5</v>
      </c>
      <c r="C1281" s="213" t="n">
        <f aca="false">AVERAGEIFS($B$33:$B$1494,$A$33:$A$1494,A1281)</f>
        <v>21.4333333333333</v>
      </c>
      <c r="D1281" s="213" t="n">
        <v>24</v>
      </c>
      <c r="E1281" s="213" t="n">
        <f aca="false">AVERAGEIFS($D$33:$D$1494,$A$33:$A$1494,A1281)</f>
        <v>23.95</v>
      </c>
      <c r="F1281" s="213" t="n">
        <v>15.4</v>
      </c>
      <c r="G1281" s="213" t="n">
        <f aca="false">AVERAGEIFS($F$33:$F$1494,$A$33:$A$1494,A1281)</f>
        <v>15.0666666666667</v>
      </c>
      <c r="H1281" s="213" t="n">
        <v>14.6</v>
      </c>
      <c r="I1281" s="213" t="n">
        <f aca="false">AVERAGEIFS($H$33:$H$1494,$A$33:$A$1494,A1281)</f>
        <v>14.2833333333333</v>
      </c>
      <c r="L1281" s="215" t="n">
        <v>40667</v>
      </c>
      <c r="M1281" s="213" t="n">
        <v>21.4333333333333</v>
      </c>
      <c r="N1281" s="213" t="n">
        <v>23.95</v>
      </c>
      <c r="O1281" s="213" t="n">
        <v>15.0666666666667</v>
      </c>
      <c r="P1281" s="213" t="n">
        <v>14.2833333333333</v>
      </c>
    </row>
    <row r="1282" customFormat="false" ht="12.75" hidden="false" customHeight="false" outlineLevel="0" collapsed="false">
      <c r="A1282" s="215" t="n">
        <v>40667</v>
      </c>
      <c r="B1282" s="213" t="n">
        <v>21.5</v>
      </c>
      <c r="C1282" s="213" t="n">
        <f aca="false">AVERAGEIFS($B$33:$B$1494,$A$33:$A$1494,A1282)</f>
        <v>21.4333333333333</v>
      </c>
      <c r="D1282" s="213" t="n">
        <v>24</v>
      </c>
      <c r="E1282" s="213" t="n">
        <f aca="false">AVERAGEIFS($D$33:$D$1494,$A$33:$A$1494,A1282)</f>
        <v>23.95</v>
      </c>
      <c r="F1282" s="213" t="n">
        <v>14.6</v>
      </c>
      <c r="G1282" s="213" t="n">
        <f aca="false">AVERAGEIFS($F$33:$F$1494,$A$33:$A$1494,A1282)</f>
        <v>15.0666666666667</v>
      </c>
      <c r="H1282" s="213" t="n">
        <v>14.5</v>
      </c>
      <c r="I1282" s="213" t="n">
        <f aca="false">AVERAGEIFS($H$33:$H$1494,$A$33:$A$1494,A1282)</f>
        <v>14.2833333333333</v>
      </c>
      <c r="L1282" s="215" t="n">
        <v>40667</v>
      </c>
      <c r="M1282" s="213" t="n">
        <v>21.4333333333333</v>
      </c>
      <c r="N1282" s="213" t="n">
        <v>23.95</v>
      </c>
      <c r="O1282" s="213" t="n">
        <v>15.0666666666667</v>
      </c>
      <c r="P1282" s="213" t="n">
        <v>14.2833333333333</v>
      </c>
    </row>
    <row r="1283" customFormat="false" ht="12.75" hidden="false" customHeight="false" outlineLevel="0" collapsed="false">
      <c r="A1283" s="215" t="n">
        <v>40667</v>
      </c>
      <c r="B1283" s="213" t="n">
        <v>21.4</v>
      </c>
      <c r="C1283" s="213" t="n">
        <f aca="false">AVERAGEIFS($B$33:$B$1494,$A$33:$A$1494,A1283)</f>
        <v>21.4333333333333</v>
      </c>
      <c r="D1283" s="213" t="n">
        <v>24</v>
      </c>
      <c r="E1283" s="213" t="n">
        <f aca="false">AVERAGEIFS($D$33:$D$1494,$A$33:$A$1494,A1283)</f>
        <v>23.95</v>
      </c>
      <c r="F1283" s="213" t="n">
        <v>14</v>
      </c>
      <c r="G1283" s="213" t="n">
        <f aca="false">AVERAGEIFS($F$33:$F$1494,$A$33:$A$1494,A1283)</f>
        <v>15.0666666666667</v>
      </c>
      <c r="H1283" s="213" t="n">
        <v>14.2</v>
      </c>
      <c r="I1283" s="213" t="n">
        <f aca="false">AVERAGEIFS($H$33:$H$1494,$A$33:$A$1494,A1283)</f>
        <v>14.2833333333333</v>
      </c>
      <c r="L1283" s="215" t="n">
        <v>40667</v>
      </c>
      <c r="M1283" s="213" t="n">
        <v>21.4333333333333</v>
      </c>
      <c r="N1283" s="213" t="n">
        <v>23.95</v>
      </c>
      <c r="O1283" s="213" t="n">
        <v>15.0666666666667</v>
      </c>
      <c r="P1283" s="213" t="n">
        <v>14.2833333333333</v>
      </c>
    </row>
    <row r="1284" customFormat="false" ht="12.75" hidden="false" customHeight="false" outlineLevel="0" collapsed="false">
      <c r="A1284" s="215" t="n">
        <v>40667</v>
      </c>
      <c r="B1284" s="213" t="n">
        <v>21.4</v>
      </c>
      <c r="C1284" s="213" t="n">
        <f aca="false">AVERAGEIFS($B$33:$B$1494,$A$33:$A$1494,A1284)</f>
        <v>21.4333333333333</v>
      </c>
      <c r="D1284" s="213" t="n">
        <v>24</v>
      </c>
      <c r="E1284" s="213" t="n">
        <f aca="false">AVERAGEIFS($D$33:$D$1494,$A$33:$A$1494,A1284)</f>
        <v>23.95</v>
      </c>
      <c r="F1284" s="213" t="n">
        <v>14.5</v>
      </c>
      <c r="G1284" s="213" t="n">
        <f aca="false">AVERAGEIFS($F$33:$F$1494,$A$33:$A$1494,A1284)</f>
        <v>15.0666666666667</v>
      </c>
      <c r="H1284" s="213" t="n">
        <v>14</v>
      </c>
      <c r="I1284" s="213" t="n">
        <f aca="false">AVERAGEIFS($H$33:$H$1494,$A$33:$A$1494,A1284)</f>
        <v>14.2833333333333</v>
      </c>
      <c r="L1284" s="215" t="n">
        <v>40667</v>
      </c>
      <c r="M1284" s="213" t="n">
        <v>21.4333333333333</v>
      </c>
      <c r="N1284" s="213" t="n">
        <v>23.95</v>
      </c>
      <c r="O1284" s="213" t="n">
        <v>15.0666666666667</v>
      </c>
      <c r="P1284" s="213" t="n">
        <v>14.2833333333333</v>
      </c>
    </row>
    <row r="1285" customFormat="false" ht="12.75" hidden="false" customHeight="false" outlineLevel="0" collapsed="false">
      <c r="A1285" s="215" t="n">
        <v>40667</v>
      </c>
      <c r="B1285" s="213" t="n">
        <v>21.4</v>
      </c>
      <c r="C1285" s="213" t="n">
        <f aca="false">AVERAGEIFS($B$33:$B$1494,$A$33:$A$1494,A1285)</f>
        <v>21.4333333333333</v>
      </c>
      <c r="D1285" s="213" t="n">
        <v>23.9</v>
      </c>
      <c r="E1285" s="213" t="n">
        <f aca="false">AVERAGEIFS($D$33:$D$1494,$A$33:$A$1494,A1285)</f>
        <v>23.95</v>
      </c>
      <c r="F1285" s="213" t="n">
        <v>15.7</v>
      </c>
      <c r="G1285" s="213" t="n">
        <f aca="false">AVERAGEIFS($F$33:$F$1494,$A$33:$A$1494,A1285)</f>
        <v>15.0666666666667</v>
      </c>
      <c r="H1285" s="213" t="n">
        <v>14.1</v>
      </c>
      <c r="I1285" s="213" t="n">
        <f aca="false">AVERAGEIFS($H$33:$H$1494,$A$33:$A$1494,A1285)</f>
        <v>14.2833333333333</v>
      </c>
      <c r="L1285" s="215" t="n">
        <v>40667</v>
      </c>
      <c r="M1285" s="213" t="n">
        <v>21.4333333333333</v>
      </c>
      <c r="N1285" s="213" t="n">
        <v>23.95</v>
      </c>
      <c r="O1285" s="213" t="n">
        <v>15.0666666666667</v>
      </c>
      <c r="P1285" s="213" t="n">
        <v>14.2833333333333</v>
      </c>
    </row>
    <row r="1286" customFormat="false" ht="12.75" hidden="false" customHeight="false" outlineLevel="0" collapsed="false">
      <c r="A1286" s="215" t="n">
        <v>40667</v>
      </c>
      <c r="B1286" s="213" t="n">
        <v>21.4</v>
      </c>
      <c r="C1286" s="213" t="n">
        <f aca="false">AVERAGEIFS($B$33:$B$1494,$A$33:$A$1494,A1286)</f>
        <v>21.4333333333333</v>
      </c>
      <c r="D1286" s="213" t="n">
        <v>23.8</v>
      </c>
      <c r="E1286" s="213" t="n">
        <f aca="false">AVERAGEIFS($D$33:$D$1494,$A$33:$A$1494,A1286)</f>
        <v>23.95</v>
      </c>
      <c r="F1286" s="213" t="n">
        <v>16.2</v>
      </c>
      <c r="G1286" s="213" t="n">
        <f aca="false">AVERAGEIFS($F$33:$F$1494,$A$33:$A$1494,A1286)</f>
        <v>15.0666666666667</v>
      </c>
      <c r="H1286" s="213" t="n">
        <v>14.3</v>
      </c>
      <c r="I1286" s="213" t="n">
        <f aca="false">AVERAGEIFS($H$33:$H$1494,$A$33:$A$1494,A1286)</f>
        <v>14.2833333333333</v>
      </c>
      <c r="L1286" s="215" t="n">
        <v>40667</v>
      </c>
      <c r="M1286" s="213" t="n">
        <v>21.4333333333333</v>
      </c>
      <c r="N1286" s="213" t="n">
        <v>23.95</v>
      </c>
      <c r="O1286" s="213" t="n">
        <v>15.0666666666667</v>
      </c>
      <c r="P1286" s="213" t="n">
        <v>14.2833333333333</v>
      </c>
    </row>
    <row r="1287" customFormat="false" ht="12.75" hidden="false" customHeight="false" outlineLevel="0" collapsed="false">
      <c r="A1287" s="215" t="n">
        <v>40668</v>
      </c>
      <c r="B1287" s="213" t="n">
        <v>21.4</v>
      </c>
      <c r="C1287" s="213" t="n">
        <f aca="false">AVERAGEIFS($B$33:$B$1494,$A$33:$A$1494,A1287)</f>
        <v>21.2833333333333</v>
      </c>
      <c r="D1287" s="213" t="n">
        <v>23.8</v>
      </c>
      <c r="E1287" s="213" t="n">
        <f aca="false">AVERAGEIFS($D$33:$D$1494,$A$33:$A$1494,A1287)</f>
        <v>23.75</v>
      </c>
      <c r="F1287" s="213" t="n">
        <v>15.2</v>
      </c>
      <c r="G1287" s="213" t="n">
        <f aca="false">AVERAGEIFS($F$33:$F$1494,$A$33:$A$1494,A1287)</f>
        <v>15.1333333333333</v>
      </c>
      <c r="H1287" s="213" t="n">
        <v>14.5</v>
      </c>
      <c r="I1287" s="213" t="n">
        <f aca="false">AVERAGEIFS($H$33:$H$1494,$A$33:$A$1494,A1287)</f>
        <v>14.2</v>
      </c>
      <c r="L1287" s="215" t="n">
        <v>40668</v>
      </c>
      <c r="M1287" s="213" t="n">
        <v>21.2833333333333</v>
      </c>
      <c r="N1287" s="213" t="n">
        <v>23.75</v>
      </c>
      <c r="O1287" s="213" t="n">
        <v>15.1333333333333</v>
      </c>
      <c r="P1287" s="213" t="n">
        <v>14.2</v>
      </c>
    </row>
    <row r="1288" customFormat="false" ht="12.75" hidden="false" customHeight="false" outlineLevel="0" collapsed="false">
      <c r="A1288" s="215" t="n">
        <v>40668</v>
      </c>
      <c r="B1288" s="213" t="n">
        <v>21.3</v>
      </c>
      <c r="C1288" s="213" t="n">
        <f aca="false">AVERAGEIFS($B$33:$B$1494,$A$33:$A$1494,A1288)</f>
        <v>21.2833333333333</v>
      </c>
      <c r="D1288" s="213" t="n">
        <v>23.8</v>
      </c>
      <c r="E1288" s="213" t="n">
        <f aca="false">AVERAGEIFS($D$33:$D$1494,$A$33:$A$1494,A1288)</f>
        <v>23.75</v>
      </c>
      <c r="F1288" s="213" t="n">
        <v>14.2</v>
      </c>
      <c r="G1288" s="213" t="n">
        <f aca="false">AVERAGEIFS($F$33:$F$1494,$A$33:$A$1494,A1288)</f>
        <v>15.1333333333333</v>
      </c>
      <c r="H1288" s="213" t="n">
        <v>14.4</v>
      </c>
      <c r="I1288" s="213" t="n">
        <f aca="false">AVERAGEIFS($H$33:$H$1494,$A$33:$A$1494,A1288)</f>
        <v>14.2</v>
      </c>
      <c r="L1288" s="215" t="n">
        <v>40668</v>
      </c>
      <c r="M1288" s="213" t="n">
        <v>21.2833333333333</v>
      </c>
      <c r="N1288" s="213" t="n">
        <v>23.75</v>
      </c>
      <c r="O1288" s="213" t="n">
        <v>15.1333333333333</v>
      </c>
      <c r="P1288" s="213" t="n">
        <v>14.2</v>
      </c>
    </row>
    <row r="1289" customFormat="false" ht="12.75" hidden="false" customHeight="false" outlineLevel="0" collapsed="false">
      <c r="A1289" s="215" t="n">
        <v>40668</v>
      </c>
      <c r="B1289" s="213" t="n">
        <v>21.3</v>
      </c>
      <c r="C1289" s="213" t="n">
        <f aca="false">AVERAGEIFS($B$33:$B$1494,$A$33:$A$1494,A1289)</f>
        <v>21.2833333333333</v>
      </c>
      <c r="D1289" s="213" t="n">
        <v>23.8</v>
      </c>
      <c r="E1289" s="213" t="n">
        <f aca="false">AVERAGEIFS($D$33:$D$1494,$A$33:$A$1494,A1289)</f>
        <v>23.75</v>
      </c>
      <c r="F1289" s="213" t="n">
        <v>13.3</v>
      </c>
      <c r="G1289" s="213" t="n">
        <f aca="false">AVERAGEIFS($F$33:$F$1494,$A$33:$A$1494,A1289)</f>
        <v>15.1333333333333</v>
      </c>
      <c r="H1289" s="213" t="n">
        <v>14</v>
      </c>
      <c r="I1289" s="213" t="n">
        <f aca="false">AVERAGEIFS($H$33:$H$1494,$A$33:$A$1494,A1289)</f>
        <v>14.2</v>
      </c>
      <c r="L1289" s="215" t="n">
        <v>40668</v>
      </c>
      <c r="M1289" s="213" t="n">
        <v>21.2833333333333</v>
      </c>
      <c r="N1289" s="213" t="n">
        <v>23.75</v>
      </c>
      <c r="O1289" s="213" t="n">
        <v>15.1333333333333</v>
      </c>
      <c r="P1289" s="213" t="n">
        <v>14.2</v>
      </c>
    </row>
    <row r="1290" customFormat="false" ht="12.75" hidden="false" customHeight="false" outlineLevel="0" collapsed="false">
      <c r="A1290" s="215" t="n">
        <v>40668</v>
      </c>
      <c r="B1290" s="213" t="n">
        <v>21.2</v>
      </c>
      <c r="C1290" s="213" t="n">
        <f aca="false">AVERAGEIFS($B$33:$B$1494,$A$33:$A$1494,A1290)</f>
        <v>21.2833333333333</v>
      </c>
      <c r="D1290" s="213" t="n">
        <v>23.8</v>
      </c>
      <c r="E1290" s="213" t="n">
        <f aca="false">AVERAGEIFS($D$33:$D$1494,$A$33:$A$1494,A1290)</f>
        <v>23.75</v>
      </c>
      <c r="F1290" s="213" t="n">
        <v>14.4</v>
      </c>
      <c r="G1290" s="213" t="n">
        <f aca="false">AVERAGEIFS($F$33:$F$1494,$A$33:$A$1494,A1290)</f>
        <v>15.1333333333333</v>
      </c>
      <c r="H1290" s="213" t="n">
        <v>13.8</v>
      </c>
      <c r="I1290" s="213" t="n">
        <f aca="false">AVERAGEIFS($H$33:$H$1494,$A$33:$A$1494,A1290)</f>
        <v>14.2</v>
      </c>
      <c r="L1290" s="215" t="n">
        <v>40668</v>
      </c>
      <c r="M1290" s="213" t="n">
        <v>21.2833333333333</v>
      </c>
      <c r="N1290" s="213" t="n">
        <v>23.75</v>
      </c>
      <c r="O1290" s="213" t="n">
        <v>15.1333333333333</v>
      </c>
      <c r="P1290" s="213" t="n">
        <v>14.2</v>
      </c>
    </row>
    <row r="1291" customFormat="false" ht="12.75" hidden="false" customHeight="false" outlineLevel="0" collapsed="false">
      <c r="A1291" s="215" t="n">
        <v>40668</v>
      </c>
      <c r="B1291" s="213" t="n">
        <v>21.2</v>
      </c>
      <c r="C1291" s="213" t="n">
        <f aca="false">AVERAGEIFS($B$33:$B$1494,$A$33:$A$1494,A1291)</f>
        <v>21.2833333333333</v>
      </c>
      <c r="D1291" s="213" t="n">
        <v>23.7</v>
      </c>
      <c r="E1291" s="213" t="n">
        <f aca="false">AVERAGEIFS($D$33:$D$1494,$A$33:$A$1494,A1291)</f>
        <v>23.75</v>
      </c>
      <c r="F1291" s="213" t="n">
        <v>16.6</v>
      </c>
      <c r="G1291" s="213" t="n">
        <f aca="false">AVERAGEIFS($F$33:$F$1494,$A$33:$A$1494,A1291)</f>
        <v>15.1333333333333</v>
      </c>
      <c r="H1291" s="213" t="n">
        <v>14</v>
      </c>
      <c r="I1291" s="213" t="n">
        <f aca="false">AVERAGEIFS($H$33:$H$1494,$A$33:$A$1494,A1291)</f>
        <v>14.2</v>
      </c>
      <c r="L1291" s="215" t="n">
        <v>40668</v>
      </c>
      <c r="M1291" s="213" t="n">
        <v>21.2833333333333</v>
      </c>
      <c r="N1291" s="213" t="n">
        <v>23.75</v>
      </c>
      <c r="O1291" s="213" t="n">
        <v>15.1333333333333</v>
      </c>
      <c r="P1291" s="213" t="n">
        <v>14.2</v>
      </c>
    </row>
    <row r="1292" customFormat="false" ht="12.75" hidden="false" customHeight="false" outlineLevel="0" collapsed="false">
      <c r="A1292" s="215" t="n">
        <v>40668</v>
      </c>
      <c r="B1292" s="213" t="n">
        <v>21.3</v>
      </c>
      <c r="C1292" s="213" t="n">
        <f aca="false">AVERAGEIFS($B$33:$B$1494,$A$33:$A$1494,A1292)</f>
        <v>21.2833333333333</v>
      </c>
      <c r="D1292" s="213" t="n">
        <v>23.6</v>
      </c>
      <c r="E1292" s="213" t="n">
        <f aca="false">AVERAGEIFS($D$33:$D$1494,$A$33:$A$1494,A1292)</f>
        <v>23.75</v>
      </c>
      <c r="F1292" s="213" t="n">
        <v>17.1</v>
      </c>
      <c r="G1292" s="213" t="n">
        <f aca="false">AVERAGEIFS($F$33:$F$1494,$A$33:$A$1494,A1292)</f>
        <v>15.1333333333333</v>
      </c>
      <c r="H1292" s="213" t="n">
        <v>14.5</v>
      </c>
      <c r="I1292" s="213" t="n">
        <f aca="false">AVERAGEIFS($H$33:$H$1494,$A$33:$A$1494,A1292)</f>
        <v>14.2</v>
      </c>
      <c r="L1292" s="215" t="n">
        <v>40668</v>
      </c>
      <c r="M1292" s="213" t="n">
        <v>21.2833333333333</v>
      </c>
      <c r="N1292" s="213" t="n">
        <v>23.75</v>
      </c>
      <c r="O1292" s="213" t="n">
        <v>15.1333333333333</v>
      </c>
      <c r="P1292" s="213" t="n">
        <v>14.2</v>
      </c>
    </row>
    <row r="1293" customFormat="false" ht="12.75" hidden="false" customHeight="false" outlineLevel="0" collapsed="false">
      <c r="A1293" s="215" t="n">
        <v>40669</v>
      </c>
      <c r="B1293" s="213" t="n">
        <v>21.3</v>
      </c>
      <c r="C1293" s="213" t="n">
        <f aca="false">AVERAGEIFS($B$33:$B$1494,$A$33:$A$1494,A1293)</f>
        <v>21.2166666666667</v>
      </c>
      <c r="D1293" s="213" t="n">
        <v>23.6</v>
      </c>
      <c r="E1293" s="213" t="n">
        <f aca="false">AVERAGEIFS($D$33:$D$1494,$A$33:$A$1494,A1293)</f>
        <v>23.6</v>
      </c>
      <c r="F1293" s="213" t="n">
        <v>16.3</v>
      </c>
      <c r="G1293" s="213" t="n">
        <f aca="false">AVERAGEIFS($F$33:$F$1494,$A$33:$A$1494,A1293)</f>
        <v>16.4</v>
      </c>
      <c r="H1293" s="213" t="n">
        <v>14.8</v>
      </c>
      <c r="I1293" s="213" t="n">
        <f aca="false">AVERAGEIFS($H$33:$H$1494,$A$33:$A$1494,A1293)</f>
        <v>14.8333333333333</v>
      </c>
      <c r="L1293" s="215" t="n">
        <v>40669</v>
      </c>
      <c r="M1293" s="213" t="n">
        <v>21.2166666666667</v>
      </c>
      <c r="N1293" s="213" t="n">
        <v>23.6</v>
      </c>
      <c r="O1293" s="213" t="n">
        <v>16.4</v>
      </c>
      <c r="P1293" s="213" t="n">
        <v>14.8333333333333</v>
      </c>
    </row>
    <row r="1294" customFormat="false" ht="12.75" hidden="false" customHeight="false" outlineLevel="0" collapsed="false">
      <c r="A1294" s="215" t="n">
        <v>40669</v>
      </c>
      <c r="B1294" s="213" t="n">
        <v>21.2</v>
      </c>
      <c r="C1294" s="213" t="n">
        <f aca="false">AVERAGEIFS($B$33:$B$1494,$A$33:$A$1494,A1294)</f>
        <v>21.2166666666667</v>
      </c>
      <c r="D1294" s="213" t="n">
        <v>23.7</v>
      </c>
      <c r="E1294" s="213" t="n">
        <f aca="false">AVERAGEIFS($D$33:$D$1494,$A$33:$A$1494,A1294)</f>
        <v>23.6</v>
      </c>
      <c r="F1294" s="213" t="n">
        <v>15.6</v>
      </c>
      <c r="G1294" s="213" t="n">
        <f aca="false">AVERAGEIFS($F$33:$F$1494,$A$33:$A$1494,A1294)</f>
        <v>16.4</v>
      </c>
      <c r="H1294" s="213" t="n">
        <v>14.8</v>
      </c>
      <c r="I1294" s="213" t="n">
        <f aca="false">AVERAGEIFS($H$33:$H$1494,$A$33:$A$1494,A1294)</f>
        <v>14.8333333333333</v>
      </c>
      <c r="L1294" s="215" t="n">
        <v>40669</v>
      </c>
      <c r="M1294" s="213" t="n">
        <v>21.2166666666667</v>
      </c>
      <c r="N1294" s="213" t="n">
        <v>23.6</v>
      </c>
      <c r="O1294" s="213" t="n">
        <v>16.4</v>
      </c>
      <c r="P1294" s="213" t="n">
        <v>14.8333333333333</v>
      </c>
    </row>
    <row r="1295" customFormat="false" ht="12.75" hidden="false" customHeight="false" outlineLevel="0" collapsed="false">
      <c r="A1295" s="215" t="n">
        <v>40669</v>
      </c>
      <c r="B1295" s="213" t="n">
        <v>21.2</v>
      </c>
      <c r="C1295" s="213" t="n">
        <f aca="false">AVERAGEIFS($B$33:$B$1494,$A$33:$A$1494,A1295)</f>
        <v>21.2166666666667</v>
      </c>
      <c r="D1295" s="213" t="n">
        <v>23.6</v>
      </c>
      <c r="E1295" s="213" t="n">
        <f aca="false">AVERAGEIFS($D$33:$D$1494,$A$33:$A$1494,A1295)</f>
        <v>23.6</v>
      </c>
      <c r="F1295" s="213" t="n">
        <v>15.2</v>
      </c>
      <c r="G1295" s="213" t="n">
        <f aca="false">AVERAGEIFS($F$33:$F$1494,$A$33:$A$1494,A1295)</f>
        <v>16.4</v>
      </c>
      <c r="H1295" s="213" t="n">
        <v>14.7</v>
      </c>
      <c r="I1295" s="213" t="n">
        <f aca="false">AVERAGEIFS($H$33:$H$1494,$A$33:$A$1494,A1295)</f>
        <v>14.8333333333333</v>
      </c>
      <c r="L1295" s="215" t="n">
        <v>40669</v>
      </c>
      <c r="M1295" s="213" t="n">
        <v>21.2166666666667</v>
      </c>
      <c r="N1295" s="213" t="n">
        <v>23.6</v>
      </c>
      <c r="O1295" s="213" t="n">
        <v>16.4</v>
      </c>
      <c r="P1295" s="213" t="n">
        <v>14.8333333333333</v>
      </c>
    </row>
    <row r="1296" customFormat="false" ht="12.75" hidden="false" customHeight="false" outlineLevel="0" collapsed="false">
      <c r="A1296" s="215" t="n">
        <v>40669</v>
      </c>
      <c r="B1296" s="213" t="n">
        <v>21.2</v>
      </c>
      <c r="C1296" s="213" t="n">
        <f aca="false">AVERAGEIFS($B$33:$B$1494,$A$33:$A$1494,A1296)</f>
        <v>21.2166666666667</v>
      </c>
      <c r="D1296" s="213" t="n">
        <v>23.6</v>
      </c>
      <c r="E1296" s="213" t="n">
        <f aca="false">AVERAGEIFS($D$33:$D$1494,$A$33:$A$1494,A1296)</f>
        <v>23.6</v>
      </c>
      <c r="F1296" s="213" t="n">
        <v>16</v>
      </c>
      <c r="G1296" s="213" t="n">
        <f aca="false">AVERAGEIFS($F$33:$F$1494,$A$33:$A$1494,A1296)</f>
        <v>16.4</v>
      </c>
      <c r="H1296" s="213" t="n">
        <v>14.6</v>
      </c>
      <c r="I1296" s="213" t="n">
        <f aca="false">AVERAGEIFS($H$33:$H$1494,$A$33:$A$1494,A1296)</f>
        <v>14.8333333333333</v>
      </c>
      <c r="L1296" s="215" t="n">
        <v>40669</v>
      </c>
      <c r="M1296" s="213" t="n">
        <v>21.2166666666667</v>
      </c>
      <c r="N1296" s="213" t="n">
        <v>23.6</v>
      </c>
      <c r="O1296" s="213" t="n">
        <v>16.4</v>
      </c>
      <c r="P1296" s="213" t="n">
        <v>14.8333333333333</v>
      </c>
    </row>
    <row r="1297" customFormat="false" ht="12.75" hidden="false" customHeight="false" outlineLevel="0" collapsed="false">
      <c r="A1297" s="215" t="n">
        <v>40669</v>
      </c>
      <c r="B1297" s="213" t="n">
        <v>21.2</v>
      </c>
      <c r="C1297" s="213" t="n">
        <f aca="false">AVERAGEIFS($B$33:$B$1494,$A$33:$A$1494,A1297)</f>
        <v>21.2166666666667</v>
      </c>
      <c r="D1297" s="213" t="n">
        <v>23.6</v>
      </c>
      <c r="E1297" s="213" t="n">
        <f aca="false">AVERAGEIFS($D$33:$D$1494,$A$33:$A$1494,A1297)</f>
        <v>23.6</v>
      </c>
      <c r="F1297" s="213" t="n">
        <v>17.6</v>
      </c>
      <c r="G1297" s="213" t="n">
        <f aca="false">AVERAGEIFS($F$33:$F$1494,$A$33:$A$1494,A1297)</f>
        <v>16.4</v>
      </c>
      <c r="H1297" s="213" t="n">
        <v>14.8</v>
      </c>
      <c r="I1297" s="213" t="n">
        <f aca="false">AVERAGEIFS($H$33:$H$1494,$A$33:$A$1494,A1297)</f>
        <v>14.8333333333333</v>
      </c>
      <c r="L1297" s="215" t="n">
        <v>40669</v>
      </c>
      <c r="M1297" s="213" t="n">
        <v>21.2166666666667</v>
      </c>
      <c r="N1297" s="213" t="n">
        <v>23.6</v>
      </c>
      <c r="O1297" s="213" t="n">
        <v>16.4</v>
      </c>
      <c r="P1297" s="213" t="n">
        <v>14.8333333333333</v>
      </c>
    </row>
    <row r="1298" customFormat="false" ht="12.75" hidden="false" customHeight="false" outlineLevel="0" collapsed="false">
      <c r="A1298" s="215" t="n">
        <v>40669</v>
      </c>
      <c r="B1298" s="213" t="n">
        <v>21.2</v>
      </c>
      <c r="C1298" s="213" t="n">
        <f aca="false">AVERAGEIFS($B$33:$B$1494,$A$33:$A$1494,A1298)</f>
        <v>21.2166666666667</v>
      </c>
      <c r="D1298" s="213" t="n">
        <v>23.5</v>
      </c>
      <c r="E1298" s="213" t="n">
        <f aca="false">AVERAGEIFS($D$33:$D$1494,$A$33:$A$1494,A1298)</f>
        <v>23.6</v>
      </c>
      <c r="F1298" s="213" t="n">
        <v>17.7</v>
      </c>
      <c r="G1298" s="213" t="n">
        <f aca="false">AVERAGEIFS($F$33:$F$1494,$A$33:$A$1494,A1298)</f>
        <v>16.4</v>
      </c>
      <c r="H1298" s="213" t="n">
        <v>15.3</v>
      </c>
      <c r="I1298" s="213" t="n">
        <f aca="false">AVERAGEIFS($H$33:$H$1494,$A$33:$A$1494,A1298)</f>
        <v>14.8333333333333</v>
      </c>
      <c r="L1298" s="215" t="n">
        <v>40669</v>
      </c>
      <c r="M1298" s="213" t="n">
        <v>21.2166666666667</v>
      </c>
      <c r="N1298" s="213" t="n">
        <v>23.6</v>
      </c>
      <c r="O1298" s="213" t="n">
        <v>16.4</v>
      </c>
      <c r="P1298" s="213" t="n">
        <v>14.8333333333333</v>
      </c>
    </row>
    <row r="1299" customFormat="false" ht="12.75" hidden="false" customHeight="false" outlineLevel="0" collapsed="false">
      <c r="A1299" s="215" t="n">
        <v>40670</v>
      </c>
      <c r="B1299" s="213" t="n">
        <v>21.2</v>
      </c>
      <c r="C1299" s="213" t="n">
        <f aca="false">AVERAGEIFS($B$33:$B$1494,$A$33:$A$1494,A1299)</f>
        <v>21.1333333333333</v>
      </c>
      <c r="D1299" s="213" t="n">
        <v>23.5</v>
      </c>
      <c r="E1299" s="213" t="n">
        <f aca="false">AVERAGEIFS($D$33:$D$1494,$A$33:$A$1494,A1299)</f>
        <v>23.4833333333333</v>
      </c>
      <c r="F1299" s="213" t="n">
        <v>16.7</v>
      </c>
      <c r="G1299" s="213" t="n">
        <f aca="false">AVERAGEIFS($F$33:$F$1494,$A$33:$A$1494,A1299)</f>
        <v>16.1666666666667</v>
      </c>
      <c r="H1299" s="213" t="n">
        <v>15.4</v>
      </c>
      <c r="I1299" s="213" t="n">
        <f aca="false">AVERAGEIFS($H$33:$H$1494,$A$33:$A$1494,A1299)</f>
        <v>15.2</v>
      </c>
      <c r="L1299" s="215" t="n">
        <v>40670</v>
      </c>
      <c r="M1299" s="213" t="n">
        <v>21.1333333333333</v>
      </c>
      <c r="N1299" s="213" t="n">
        <v>23.4833333333333</v>
      </c>
      <c r="O1299" s="213" t="n">
        <v>16.1666666666667</v>
      </c>
      <c r="P1299" s="213" t="n">
        <v>15.2</v>
      </c>
    </row>
    <row r="1300" customFormat="false" ht="12.75" hidden="false" customHeight="false" outlineLevel="0" collapsed="false">
      <c r="A1300" s="215" t="n">
        <v>40670</v>
      </c>
      <c r="B1300" s="213" t="n">
        <v>21.2</v>
      </c>
      <c r="C1300" s="213" t="n">
        <f aca="false">AVERAGEIFS($B$33:$B$1494,$A$33:$A$1494,A1300)</f>
        <v>21.1333333333333</v>
      </c>
      <c r="D1300" s="213" t="n">
        <v>23.5</v>
      </c>
      <c r="E1300" s="213" t="n">
        <f aca="false">AVERAGEIFS($D$33:$D$1494,$A$33:$A$1494,A1300)</f>
        <v>23.4833333333333</v>
      </c>
      <c r="F1300" s="213" t="n">
        <v>16.2</v>
      </c>
      <c r="G1300" s="213" t="n">
        <f aca="false">AVERAGEIFS($F$33:$F$1494,$A$33:$A$1494,A1300)</f>
        <v>16.1666666666667</v>
      </c>
      <c r="H1300" s="213" t="n">
        <v>15.4</v>
      </c>
      <c r="I1300" s="213" t="n">
        <f aca="false">AVERAGEIFS($H$33:$H$1494,$A$33:$A$1494,A1300)</f>
        <v>15.2</v>
      </c>
      <c r="L1300" s="215" t="n">
        <v>40670</v>
      </c>
      <c r="M1300" s="213" t="n">
        <v>21.1333333333333</v>
      </c>
      <c r="N1300" s="213" t="n">
        <v>23.4833333333333</v>
      </c>
      <c r="O1300" s="213" t="n">
        <v>16.1666666666667</v>
      </c>
      <c r="P1300" s="213" t="n">
        <v>15.2</v>
      </c>
    </row>
    <row r="1301" customFormat="false" ht="12.75" hidden="false" customHeight="false" outlineLevel="0" collapsed="false">
      <c r="A1301" s="215" t="n">
        <v>40670</v>
      </c>
      <c r="B1301" s="213" t="n">
        <v>21.1</v>
      </c>
      <c r="C1301" s="213" t="n">
        <f aca="false">AVERAGEIFS($B$33:$B$1494,$A$33:$A$1494,A1301)</f>
        <v>21.1333333333333</v>
      </c>
      <c r="D1301" s="213" t="n">
        <v>23.5</v>
      </c>
      <c r="E1301" s="213" t="n">
        <f aca="false">AVERAGEIFS($D$33:$D$1494,$A$33:$A$1494,A1301)</f>
        <v>23.4833333333333</v>
      </c>
      <c r="F1301" s="213" t="n">
        <v>15.8</v>
      </c>
      <c r="G1301" s="213" t="n">
        <f aca="false">AVERAGEIFS($F$33:$F$1494,$A$33:$A$1494,A1301)</f>
        <v>16.1666666666667</v>
      </c>
      <c r="H1301" s="213" t="n">
        <v>15.2</v>
      </c>
      <c r="I1301" s="213" t="n">
        <f aca="false">AVERAGEIFS($H$33:$H$1494,$A$33:$A$1494,A1301)</f>
        <v>15.2</v>
      </c>
      <c r="L1301" s="215" t="n">
        <v>40670</v>
      </c>
      <c r="M1301" s="213" t="n">
        <v>21.1333333333333</v>
      </c>
      <c r="N1301" s="213" t="n">
        <v>23.4833333333333</v>
      </c>
      <c r="O1301" s="213" t="n">
        <v>16.1666666666667</v>
      </c>
      <c r="P1301" s="213" t="n">
        <v>15.2</v>
      </c>
    </row>
    <row r="1302" customFormat="false" ht="12.75" hidden="false" customHeight="false" outlineLevel="0" collapsed="false">
      <c r="A1302" s="215" t="n">
        <v>40670</v>
      </c>
      <c r="B1302" s="213" t="n">
        <v>21.1</v>
      </c>
      <c r="C1302" s="213" t="n">
        <f aca="false">AVERAGEIFS($B$33:$B$1494,$A$33:$A$1494,A1302)</f>
        <v>21.1333333333333</v>
      </c>
      <c r="D1302" s="213" t="n">
        <v>23.5</v>
      </c>
      <c r="E1302" s="213" t="n">
        <f aca="false">AVERAGEIFS($D$33:$D$1494,$A$33:$A$1494,A1302)</f>
        <v>23.4833333333333</v>
      </c>
      <c r="F1302" s="213" t="n">
        <v>16.1</v>
      </c>
      <c r="G1302" s="213" t="n">
        <f aca="false">AVERAGEIFS($F$33:$F$1494,$A$33:$A$1494,A1302)</f>
        <v>16.1666666666667</v>
      </c>
      <c r="H1302" s="213" t="n">
        <v>15.1</v>
      </c>
      <c r="I1302" s="213" t="n">
        <f aca="false">AVERAGEIFS($H$33:$H$1494,$A$33:$A$1494,A1302)</f>
        <v>15.2</v>
      </c>
      <c r="L1302" s="215" t="n">
        <v>40670</v>
      </c>
      <c r="M1302" s="213" t="n">
        <v>21.1333333333333</v>
      </c>
      <c r="N1302" s="213" t="n">
        <v>23.4833333333333</v>
      </c>
      <c r="O1302" s="213" t="n">
        <v>16.1666666666667</v>
      </c>
      <c r="P1302" s="213" t="n">
        <v>15.2</v>
      </c>
    </row>
    <row r="1303" customFormat="false" ht="12.75" hidden="false" customHeight="false" outlineLevel="0" collapsed="false">
      <c r="A1303" s="215" t="n">
        <v>40670</v>
      </c>
      <c r="B1303" s="213" t="n">
        <v>21.1</v>
      </c>
      <c r="C1303" s="213" t="n">
        <f aca="false">AVERAGEIFS($B$33:$B$1494,$A$33:$A$1494,A1303)</f>
        <v>21.1333333333333</v>
      </c>
      <c r="D1303" s="213" t="n">
        <v>23.5</v>
      </c>
      <c r="E1303" s="213" t="n">
        <f aca="false">AVERAGEIFS($D$33:$D$1494,$A$33:$A$1494,A1303)</f>
        <v>23.4833333333333</v>
      </c>
      <c r="F1303" s="213" t="n">
        <v>16</v>
      </c>
      <c r="G1303" s="213" t="n">
        <f aca="false">AVERAGEIFS($F$33:$F$1494,$A$33:$A$1494,A1303)</f>
        <v>16.1666666666667</v>
      </c>
      <c r="H1303" s="213" t="n">
        <v>15.1</v>
      </c>
      <c r="I1303" s="213" t="n">
        <f aca="false">AVERAGEIFS($H$33:$H$1494,$A$33:$A$1494,A1303)</f>
        <v>15.2</v>
      </c>
      <c r="L1303" s="215" t="n">
        <v>40670</v>
      </c>
      <c r="M1303" s="213" t="n">
        <v>21.1333333333333</v>
      </c>
      <c r="N1303" s="213" t="n">
        <v>23.4833333333333</v>
      </c>
      <c r="O1303" s="213" t="n">
        <v>16.1666666666667</v>
      </c>
      <c r="P1303" s="213" t="n">
        <v>15.2</v>
      </c>
    </row>
    <row r="1304" customFormat="false" ht="12.75" hidden="false" customHeight="false" outlineLevel="0" collapsed="false">
      <c r="A1304" s="215" t="n">
        <v>40670</v>
      </c>
      <c r="B1304" s="213" t="n">
        <v>21.1</v>
      </c>
      <c r="C1304" s="213" t="n">
        <f aca="false">AVERAGEIFS($B$33:$B$1494,$A$33:$A$1494,A1304)</f>
        <v>21.1333333333333</v>
      </c>
      <c r="D1304" s="213" t="n">
        <v>23.4</v>
      </c>
      <c r="E1304" s="213" t="n">
        <f aca="false">AVERAGEIFS($D$33:$D$1494,$A$33:$A$1494,A1304)</f>
        <v>23.4833333333333</v>
      </c>
      <c r="F1304" s="213" t="n">
        <v>16.2</v>
      </c>
      <c r="G1304" s="213" t="n">
        <f aca="false">AVERAGEIFS($F$33:$F$1494,$A$33:$A$1494,A1304)</f>
        <v>16.1666666666667</v>
      </c>
      <c r="H1304" s="213" t="n">
        <v>15</v>
      </c>
      <c r="I1304" s="213" t="n">
        <f aca="false">AVERAGEIFS($H$33:$H$1494,$A$33:$A$1494,A1304)</f>
        <v>15.2</v>
      </c>
      <c r="L1304" s="215" t="n">
        <v>40670</v>
      </c>
      <c r="M1304" s="213" t="n">
        <v>21.1333333333333</v>
      </c>
      <c r="N1304" s="213" t="n">
        <v>23.4833333333333</v>
      </c>
      <c r="O1304" s="213" t="n">
        <v>16.1666666666667</v>
      </c>
      <c r="P1304" s="213" t="n">
        <v>15.2</v>
      </c>
    </row>
    <row r="1305" customFormat="false" ht="12.75" hidden="false" customHeight="false" outlineLevel="0" collapsed="false">
      <c r="A1305" s="215" t="n">
        <v>40671</v>
      </c>
      <c r="B1305" s="213" t="n">
        <v>21.1</v>
      </c>
      <c r="C1305" s="213" t="n">
        <f aca="false">AVERAGEIFS($B$33:$B$1494,$A$33:$A$1494,A1305)</f>
        <v>21.05</v>
      </c>
      <c r="D1305" s="213" t="n">
        <v>23.4</v>
      </c>
      <c r="E1305" s="213" t="n">
        <f aca="false">AVERAGEIFS($D$33:$D$1494,$A$33:$A$1494,A1305)</f>
        <v>23.3666666666667</v>
      </c>
      <c r="F1305" s="213" t="n">
        <v>16</v>
      </c>
      <c r="G1305" s="213" t="n">
        <f aca="false">AVERAGEIFS($F$33:$F$1494,$A$33:$A$1494,A1305)</f>
        <v>16.5</v>
      </c>
      <c r="H1305" s="213" t="n">
        <v>15.1</v>
      </c>
      <c r="I1305" s="213" t="n">
        <f aca="false">AVERAGEIFS($H$33:$H$1494,$A$33:$A$1494,A1305)</f>
        <v>15.05</v>
      </c>
      <c r="L1305" s="215" t="n">
        <v>40671</v>
      </c>
      <c r="M1305" s="213" t="n">
        <v>21.05</v>
      </c>
      <c r="N1305" s="213" t="n">
        <v>23.3666666666667</v>
      </c>
      <c r="O1305" s="213" t="n">
        <v>16.5</v>
      </c>
      <c r="P1305" s="213" t="n">
        <v>15.05</v>
      </c>
    </row>
    <row r="1306" customFormat="false" ht="12.75" hidden="false" customHeight="false" outlineLevel="0" collapsed="false">
      <c r="A1306" s="215" t="n">
        <v>40671</v>
      </c>
      <c r="B1306" s="213" t="n">
        <v>21.1</v>
      </c>
      <c r="C1306" s="213" t="n">
        <f aca="false">AVERAGEIFS($B$33:$B$1494,$A$33:$A$1494,A1306)</f>
        <v>21.05</v>
      </c>
      <c r="D1306" s="213" t="n">
        <v>23.4</v>
      </c>
      <c r="E1306" s="213" t="n">
        <f aca="false">AVERAGEIFS($D$33:$D$1494,$A$33:$A$1494,A1306)</f>
        <v>23.3666666666667</v>
      </c>
      <c r="F1306" s="213" t="n">
        <v>15.6</v>
      </c>
      <c r="G1306" s="213" t="n">
        <f aca="false">AVERAGEIFS($F$33:$F$1494,$A$33:$A$1494,A1306)</f>
        <v>16.5</v>
      </c>
      <c r="H1306" s="213" t="n">
        <v>15</v>
      </c>
      <c r="I1306" s="213" t="n">
        <f aca="false">AVERAGEIFS($H$33:$H$1494,$A$33:$A$1494,A1306)</f>
        <v>15.05</v>
      </c>
      <c r="L1306" s="215" t="n">
        <v>40671</v>
      </c>
      <c r="M1306" s="213" t="n">
        <v>21.05</v>
      </c>
      <c r="N1306" s="213" t="n">
        <v>23.3666666666667</v>
      </c>
      <c r="O1306" s="213" t="n">
        <v>16.5</v>
      </c>
      <c r="P1306" s="213" t="n">
        <v>15.05</v>
      </c>
    </row>
    <row r="1307" customFormat="false" ht="12.75" hidden="false" customHeight="false" outlineLevel="0" collapsed="false">
      <c r="A1307" s="215" t="n">
        <v>40671</v>
      </c>
      <c r="B1307" s="213" t="n">
        <v>21</v>
      </c>
      <c r="C1307" s="213" t="n">
        <f aca="false">AVERAGEIFS($B$33:$B$1494,$A$33:$A$1494,A1307)</f>
        <v>21.05</v>
      </c>
      <c r="D1307" s="213" t="n">
        <v>23.4</v>
      </c>
      <c r="E1307" s="213" t="n">
        <f aca="false">AVERAGEIFS($D$33:$D$1494,$A$33:$A$1494,A1307)</f>
        <v>23.3666666666667</v>
      </c>
      <c r="F1307" s="213" t="n">
        <v>15.3</v>
      </c>
      <c r="G1307" s="213" t="n">
        <f aca="false">AVERAGEIFS($F$33:$F$1494,$A$33:$A$1494,A1307)</f>
        <v>16.5</v>
      </c>
      <c r="H1307" s="213" t="n">
        <v>14.9</v>
      </c>
      <c r="I1307" s="213" t="n">
        <f aca="false">AVERAGEIFS($H$33:$H$1494,$A$33:$A$1494,A1307)</f>
        <v>15.05</v>
      </c>
      <c r="L1307" s="215" t="n">
        <v>40671</v>
      </c>
      <c r="M1307" s="213" t="n">
        <v>21.05</v>
      </c>
      <c r="N1307" s="213" t="n">
        <v>23.3666666666667</v>
      </c>
      <c r="O1307" s="213" t="n">
        <v>16.5</v>
      </c>
      <c r="P1307" s="213" t="n">
        <v>15.05</v>
      </c>
    </row>
    <row r="1308" customFormat="false" ht="12.75" hidden="false" customHeight="false" outlineLevel="0" collapsed="false">
      <c r="A1308" s="215" t="n">
        <v>40671</v>
      </c>
      <c r="B1308" s="213" t="n">
        <v>21</v>
      </c>
      <c r="C1308" s="213" t="n">
        <f aca="false">AVERAGEIFS($B$33:$B$1494,$A$33:$A$1494,A1308)</f>
        <v>21.05</v>
      </c>
      <c r="D1308" s="213" t="n">
        <v>23.4</v>
      </c>
      <c r="E1308" s="213" t="n">
        <f aca="false">AVERAGEIFS($D$33:$D$1494,$A$33:$A$1494,A1308)</f>
        <v>23.3666666666667</v>
      </c>
      <c r="F1308" s="213" t="n">
        <v>16</v>
      </c>
      <c r="G1308" s="213" t="n">
        <f aca="false">AVERAGEIFS($F$33:$F$1494,$A$33:$A$1494,A1308)</f>
        <v>16.5</v>
      </c>
      <c r="H1308" s="213" t="n">
        <v>14.8</v>
      </c>
      <c r="I1308" s="213" t="n">
        <f aca="false">AVERAGEIFS($H$33:$H$1494,$A$33:$A$1494,A1308)</f>
        <v>15.05</v>
      </c>
      <c r="L1308" s="215" t="n">
        <v>40671</v>
      </c>
      <c r="M1308" s="213" t="n">
        <v>21.05</v>
      </c>
      <c r="N1308" s="213" t="n">
        <v>23.3666666666667</v>
      </c>
      <c r="O1308" s="213" t="n">
        <v>16.5</v>
      </c>
      <c r="P1308" s="213" t="n">
        <v>15.05</v>
      </c>
    </row>
    <row r="1309" customFormat="false" ht="12.75" hidden="false" customHeight="false" outlineLevel="0" collapsed="false">
      <c r="A1309" s="215" t="n">
        <v>40671</v>
      </c>
      <c r="B1309" s="213" t="n">
        <v>21</v>
      </c>
      <c r="C1309" s="213" t="n">
        <f aca="false">AVERAGEIFS($B$33:$B$1494,$A$33:$A$1494,A1309)</f>
        <v>21.05</v>
      </c>
      <c r="D1309" s="213" t="n">
        <v>23.3</v>
      </c>
      <c r="E1309" s="213" t="n">
        <f aca="false">AVERAGEIFS($D$33:$D$1494,$A$33:$A$1494,A1309)</f>
        <v>23.3666666666667</v>
      </c>
      <c r="F1309" s="213" t="n">
        <v>17.8</v>
      </c>
      <c r="G1309" s="213" t="n">
        <f aca="false">AVERAGEIFS($F$33:$F$1494,$A$33:$A$1494,A1309)</f>
        <v>16.5</v>
      </c>
      <c r="H1309" s="213" t="n">
        <v>15</v>
      </c>
      <c r="I1309" s="213" t="n">
        <f aca="false">AVERAGEIFS($H$33:$H$1494,$A$33:$A$1494,A1309)</f>
        <v>15.05</v>
      </c>
      <c r="L1309" s="215" t="n">
        <v>40671</v>
      </c>
      <c r="M1309" s="213" t="n">
        <v>21.05</v>
      </c>
      <c r="N1309" s="213" t="n">
        <v>23.3666666666667</v>
      </c>
      <c r="O1309" s="213" t="n">
        <v>16.5</v>
      </c>
      <c r="P1309" s="213" t="n">
        <v>15.05</v>
      </c>
    </row>
    <row r="1310" customFormat="false" ht="12.75" hidden="false" customHeight="false" outlineLevel="0" collapsed="false">
      <c r="A1310" s="215" t="n">
        <v>40671</v>
      </c>
      <c r="B1310" s="213" t="n">
        <v>21.1</v>
      </c>
      <c r="C1310" s="213" t="n">
        <f aca="false">AVERAGEIFS($B$33:$B$1494,$A$33:$A$1494,A1310)</f>
        <v>21.05</v>
      </c>
      <c r="D1310" s="213" t="n">
        <v>23.3</v>
      </c>
      <c r="E1310" s="213" t="n">
        <f aca="false">AVERAGEIFS($D$33:$D$1494,$A$33:$A$1494,A1310)</f>
        <v>23.3666666666667</v>
      </c>
      <c r="F1310" s="213" t="n">
        <v>18.3</v>
      </c>
      <c r="G1310" s="213" t="n">
        <f aca="false">AVERAGEIFS($F$33:$F$1494,$A$33:$A$1494,A1310)</f>
        <v>16.5</v>
      </c>
      <c r="H1310" s="213" t="n">
        <v>15.5</v>
      </c>
      <c r="I1310" s="213" t="n">
        <f aca="false">AVERAGEIFS($H$33:$H$1494,$A$33:$A$1494,A1310)</f>
        <v>15.05</v>
      </c>
      <c r="L1310" s="215" t="n">
        <v>40671</v>
      </c>
      <c r="M1310" s="213" t="n">
        <v>21.05</v>
      </c>
      <c r="N1310" s="213" t="n">
        <v>23.3666666666667</v>
      </c>
      <c r="O1310" s="213" t="n">
        <v>16.5</v>
      </c>
      <c r="P1310" s="213" t="n">
        <v>15.05</v>
      </c>
    </row>
    <row r="1311" customFormat="false" ht="12.75" hidden="false" customHeight="false" outlineLevel="0" collapsed="false">
      <c r="A1311" s="215" t="n">
        <v>40672</v>
      </c>
      <c r="B1311" s="213" t="n">
        <v>21.1</v>
      </c>
      <c r="C1311" s="213" t="n">
        <f aca="false">AVERAGEIFS($B$33:$B$1494,$A$33:$A$1494,A1311)</f>
        <v>21.0166666666667</v>
      </c>
      <c r="D1311" s="213" t="n">
        <v>23.3</v>
      </c>
      <c r="E1311" s="213" t="n">
        <f aca="false">AVERAGEIFS($D$33:$D$1494,$A$33:$A$1494,A1311)</f>
        <v>23.2333333333333</v>
      </c>
      <c r="F1311" s="213" t="n">
        <v>17.4</v>
      </c>
      <c r="G1311" s="213" t="n">
        <f aca="false">AVERAGEIFS($F$33:$F$1494,$A$33:$A$1494,A1311)</f>
        <v>17.3333333333333</v>
      </c>
      <c r="H1311" s="213" t="n">
        <v>15.8</v>
      </c>
      <c r="I1311" s="213" t="n">
        <f aca="false">AVERAGEIFS($H$33:$H$1494,$A$33:$A$1494,A1311)</f>
        <v>15.6333333333333</v>
      </c>
      <c r="L1311" s="215" t="n">
        <v>40672</v>
      </c>
      <c r="M1311" s="213" t="n">
        <v>21.0166666666667</v>
      </c>
      <c r="N1311" s="213" t="n">
        <v>23.2333333333333</v>
      </c>
      <c r="O1311" s="213" t="n">
        <v>17.3333333333333</v>
      </c>
      <c r="P1311" s="213" t="n">
        <v>15.6333333333333</v>
      </c>
    </row>
    <row r="1312" customFormat="false" ht="12.75" hidden="false" customHeight="false" outlineLevel="0" collapsed="false">
      <c r="A1312" s="215" t="n">
        <v>40672</v>
      </c>
      <c r="B1312" s="213" t="n">
        <v>21</v>
      </c>
      <c r="C1312" s="213" t="n">
        <f aca="false">AVERAGEIFS($B$33:$B$1494,$A$33:$A$1494,A1312)</f>
        <v>21.0166666666667</v>
      </c>
      <c r="D1312" s="213" t="n">
        <v>23.3</v>
      </c>
      <c r="E1312" s="213" t="n">
        <f aca="false">AVERAGEIFS($D$33:$D$1494,$A$33:$A$1494,A1312)</f>
        <v>23.2333333333333</v>
      </c>
      <c r="F1312" s="213" t="n">
        <v>16.4</v>
      </c>
      <c r="G1312" s="213" t="n">
        <f aca="false">AVERAGEIFS($F$33:$F$1494,$A$33:$A$1494,A1312)</f>
        <v>17.3333333333333</v>
      </c>
      <c r="H1312" s="213" t="n">
        <v>15.7</v>
      </c>
      <c r="I1312" s="213" t="n">
        <f aca="false">AVERAGEIFS($H$33:$H$1494,$A$33:$A$1494,A1312)</f>
        <v>15.6333333333333</v>
      </c>
      <c r="L1312" s="215" t="n">
        <v>40672</v>
      </c>
      <c r="M1312" s="213" t="n">
        <v>21.0166666666667</v>
      </c>
      <c r="N1312" s="213" t="n">
        <v>23.2333333333333</v>
      </c>
      <c r="O1312" s="213" t="n">
        <v>17.3333333333333</v>
      </c>
      <c r="P1312" s="213" t="n">
        <v>15.6333333333333</v>
      </c>
    </row>
    <row r="1313" customFormat="false" ht="12.75" hidden="false" customHeight="false" outlineLevel="0" collapsed="false">
      <c r="A1313" s="215" t="n">
        <v>40672</v>
      </c>
      <c r="B1313" s="213" t="n">
        <v>21</v>
      </c>
      <c r="C1313" s="213" t="n">
        <f aca="false">AVERAGEIFS($B$33:$B$1494,$A$33:$A$1494,A1313)</f>
        <v>21.0166666666667</v>
      </c>
      <c r="D1313" s="213" t="n">
        <v>23.3</v>
      </c>
      <c r="E1313" s="213" t="n">
        <f aca="false">AVERAGEIFS($D$33:$D$1494,$A$33:$A$1494,A1313)</f>
        <v>23.2333333333333</v>
      </c>
      <c r="F1313" s="213" t="n">
        <v>15.4</v>
      </c>
      <c r="G1313" s="213" t="n">
        <f aca="false">AVERAGEIFS($F$33:$F$1494,$A$33:$A$1494,A1313)</f>
        <v>17.3333333333333</v>
      </c>
      <c r="H1313" s="213" t="n">
        <v>15.5</v>
      </c>
      <c r="I1313" s="213" t="n">
        <f aca="false">AVERAGEIFS($H$33:$H$1494,$A$33:$A$1494,A1313)</f>
        <v>15.6333333333333</v>
      </c>
      <c r="L1313" s="215" t="n">
        <v>40672</v>
      </c>
      <c r="M1313" s="213" t="n">
        <v>21.0166666666667</v>
      </c>
      <c r="N1313" s="213" t="n">
        <v>23.2333333333333</v>
      </c>
      <c r="O1313" s="213" t="n">
        <v>17.3333333333333</v>
      </c>
      <c r="P1313" s="213" t="n">
        <v>15.6333333333333</v>
      </c>
    </row>
    <row r="1314" customFormat="false" ht="12.75" hidden="false" customHeight="false" outlineLevel="0" collapsed="false">
      <c r="A1314" s="215" t="n">
        <v>40672</v>
      </c>
      <c r="B1314" s="213" t="n">
        <v>21</v>
      </c>
      <c r="C1314" s="213" t="n">
        <f aca="false">AVERAGEIFS($B$33:$B$1494,$A$33:$A$1494,A1314)</f>
        <v>21.0166666666667</v>
      </c>
      <c r="D1314" s="213" t="n">
        <v>23.2</v>
      </c>
      <c r="E1314" s="213" t="n">
        <f aca="false">AVERAGEIFS($D$33:$D$1494,$A$33:$A$1494,A1314)</f>
        <v>23.2333333333333</v>
      </c>
      <c r="F1314" s="213" t="n">
        <v>16.5</v>
      </c>
      <c r="G1314" s="213" t="n">
        <f aca="false">AVERAGEIFS($F$33:$F$1494,$A$33:$A$1494,A1314)</f>
        <v>17.3333333333333</v>
      </c>
      <c r="H1314" s="213" t="n">
        <v>15.2</v>
      </c>
      <c r="I1314" s="213" t="n">
        <f aca="false">AVERAGEIFS($H$33:$H$1494,$A$33:$A$1494,A1314)</f>
        <v>15.6333333333333</v>
      </c>
      <c r="L1314" s="215" t="n">
        <v>40672</v>
      </c>
      <c r="M1314" s="213" t="n">
        <v>21.0166666666667</v>
      </c>
      <c r="N1314" s="213" t="n">
        <v>23.2333333333333</v>
      </c>
      <c r="O1314" s="213" t="n">
        <v>17.3333333333333</v>
      </c>
      <c r="P1314" s="213" t="n">
        <v>15.6333333333333</v>
      </c>
    </row>
    <row r="1315" customFormat="false" ht="12.75" hidden="false" customHeight="false" outlineLevel="0" collapsed="false">
      <c r="A1315" s="215" t="n">
        <v>40672</v>
      </c>
      <c r="B1315" s="213" t="n">
        <v>21</v>
      </c>
      <c r="C1315" s="213" t="n">
        <f aca="false">AVERAGEIFS($B$33:$B$1494,$A$33:$A$1494,A1315)</f>
        <v>21.0166666666667</v>
      </c>
      <c r="D1315" s="213" t="n">
        <v>23.2</v>
      </c>
      <c r="E1315" s="213" t="n">
        <f aca="false">AVERAGEIFS($D$33:$D$1494,$A$33:$A$1494,A1315)</f>
        <v>23.2333333333333</v>
      </c>
      <c r="F1315" s="213" t="n">
        <v>18.9</v>
      </c>
      <c r="G1315" s="213" t="n">
        <f aca="false">AVERAGEIFS($F$33:$F$1494,$A$33:$A$1494,A1315)</f>
        <v>17.3333333333333</v>
      </c>
      <c r="H1315" s="213" t="n">
        <v>15.5</v>
      </c>
      <c r="I1315" s="213" t="n">
        <f aca="false">AVERAGEIFS($H$33:$H$1494,$A$33:$A$1494,A1315)</f>
        <v>15.6333333333333</v>
      </c>
      <c r="L1315" s="215" t="n">
        <v>40672</v>
      </c>
      <c r="M1315" s="213" t="n">
        <v>21.0166666666667</v>
      </c>
      <c r="N1315" s="213" t="n">
        <v>23.2333333333333</v>
      </c>
      <c r="O1315" s="213" t="n">
        <v>17.3333333333333</v>
      </c>
      <c r="P1315" s="213" t="n">
        <v>15.6333333333333</v>
      </c>
    </row>
    <row r="1316" customFormat="false" ht="12.75" hidden="false" customHeight="false" outlineLevel="0" collapsed="false">
      <c r="A1316" s="215" t="n">
        <v>40672</v>
      </c>
      <c r="B1316" s="213" t="n">
        <v>21</v>
      </c>
      <c r="C1316" s="213" t="n">
        <f aca="false">AVERAGEIFS($B$33:$B$1494,$A$33:$A$1494,A1316)</f>
        <v>21.0166666666667</v>
      </c>
      <c r="D1316" s="213" t="n">
        <v>23.1</v>
      </c>
      <c r="E1316" s="213" t="n">
        <f aca="false">AVERAGEIFS($D$33:$D$1494,$A$33:$A$1494,A1316)</f>
        <v>23.2333333333333</v>
      </c>
      <c r="F1316" s="213" t="n">
        <v>19.4</v>
      </c>
      <c r="G1316" s="213" t="n">
        <f aca="false">AVERAGEIFS($F$33:$F$1494,$A$33:$A$1494,A1316)</f>
        <v>17.3333333333333</v>
      </c>
      <c r="H1316" s="213" t="n">
        <v>16.1</v>
      </c>
      <c r="I1316" s="213" t="n">
        <f aca="false">AVERAGEIFS($H$33:$H$1494,$A$33:$A$1494,A1316)</f>
        <v>15.6333333333333</v>
      </c>
      <c r="L1316" s="215" t="n">
        <v>40672</v>
      </c>
      <c r="M1316" s="213" t="n">
        <v>21.0166666666667</v>
      </c>
      <c r="N1316" s="213" t="n">
        <v>23.2333333333333</v>
      </c>
      <c r="O1316" s="213" t="n">
        <v>17.3333333333333</v>
      </c>
      <c r="P1316" s="213" t="n">
        <v>15.6333333333333</v>
      </c>
    </row>
    <row r="1317" customFormat="false" ht="12.75" hidden="false" customHeight="false" outlineLevel="0" collapsed="false">
      <c r="A1317" s="215" t="n">
        <v>40673</v>
      </c>
      <c r="B1317" s="213" t="n">
        <v>21</v>
      </c>
      <c r="C1317" s="213" t="n">
        <f aca="false">AVERAGEIFS($B$33:$B$1494,$A$33:$A$1494,A1317)</f>
        <v>20.95</v>
      </c>
      <c r="D1317" s="213" t="n">
        <v>23.2</v>
      </c>
      <c r="E1317" s="213" t="n">
        <f aca="false">AVERAGEIFS($D$33:$D$1494,$A$33:$A$1494,A1317)</f>
        <v>23.1333333333333</v>
      </c>
      <c r="F1317" s="213" t="n">
        <v>18.2</v>
      </c>
      <c r="G1317" s="213" t="n">
        <f aca="false">AVERAGEIFS($F$33:$F$1494,$A$33:$A$1494,A1317)</f>
        <v>17.8666666666667</v>
      </c>
      <c r="H1317" s="213" t="n">
        <v>16.4</v>
      </c>
      <c r="I1317" s="213" t="n">
        <f aca="false">AVERAGEIFS($H$33:$H$1494,$A$33:$A$1494,A1317)</f>
        <v>16.1833333333333</v>
      </c>
      <c r="L1317" s="215" t="n">
        <v>40673</v>
      </c>
      <c r="M1317" s="213" t="n">
        <v>20.95</v>
      </c>
      <c r="N1317" s="213" t="n">
        <v>23.1333333333333</v>
      </c>
      <c r="O1317" s="213" t="n">
        <v>17.8666666666667</v>
      </c>
      <c r="P1317" s="213" t="n">
        <v>16.1833333333333</v>
      </c>
    </row>
    <row r="1318" customFormat="false" ht="12.75" hidden="false" customHeight="false" outlineLevel="0" collapsed="false">
      <c r="A1318" s="215" t="n">
        <v>40673</v>
      </c>
      <c r="B1318" s="213" t="n">
        <v>21</v>
      </c>
      <c r="C1318" s="213" t="n">
        <f aca="false">AVERAGEIFS($B$33:$B$1494,$A$33:$A$1494,A1318)</f>
        <v>20.95</v>
      </c>
      <c r="D1318" s="213" t="n">
        <v>23.2</v>
      </c>
      <c r="E1318" s="213" t="n">
        <f aca="false">AVERAGEIFS($D$33:$D$1494,$A$33:$A$1494,A1318)</f>
        <v>23.1333333333333</v>
      </c>
      <c r="F1318" s="213" t="n">
        <v>17.1</v>
      </c>
      <c r="G1318" s="213" t="n">
        <f aca="false">AVERAGEIFS($F$33:$F$1494,$A$33:$A$1494,A1318)</f>
        <v>17.8666666666667</v>
      </c>
      <c r="H1318" s="213" t="n">
        <v>16.3</v>
      </c>
      <c r="I1318" s="213" t="n">
        <f aca="false">AVERAGEIFS($H$33:$H$1494,$A$33:$A$1494,A1318)</f>
        <v>16.1833333333333</v>
      </c>
      <c r="L1318" s="215" t="n">
        <v>40673</v>
      </c>
      <c r="M1318" s="213" t="n">
        <v>20.95</v>
      </c>
      <c r="N1318" s="213" t="n">
        <v>23.1333333333333</v>
      </c>
      <c r="O1318" s="213" t="n">
        <v>17.8666666666667</v>
      </c>
      <c r="P1318" s="213" t="n">
        <v>16.1833333333333</v>
      </c>
    </row>
    <row r="1319" customFormat="false" ht="12.75" hidden="false" customHeight="false" outlineLevel="0" collapsed="false">
      <c r="A1319" s="215" t="n">
        <v>40673</v>
      </c>
      <c r="B1319" s="213" t="n">
        <v>20.9</v>
      </c>
      <c r="C1319" s="213" t="n">
        <f aca="false">AVERAGEIFS($B$33:$B$1494,$A$33:$A$1494,A1319)</f>
        <v>20.95</v>
      </c>
      <c r="D1319" s="213" t="n">
        <v>23.2</v>
      </c>
      <c r="E1319" s="213" t="n">
        <f aca="false">AVERAGEIFS($D$33:$D$1494,$A$33:$A$1494,A1319)</f>
        <v>23.1333333333333</v>
      </c>
      <c r="F1319" s="213" t="n">
        <v>16.5</v>
      </c>
      <c r="G1319" s="213" t="n">
        <f aca="false">AVERAGEIFS($F$33:$F$1494,$A$33:$A$1494,A1319)</f>
        <v>17.8666666666667</v>
      </c>
      <c r="H1319" s="213" t="n">
        <v>16.1</v>
      </c>
      <c r="I1319" s="213" t="n">
        <f aca="false">AVERAGEIFS($H$33:$H$1494,$A$33:$A$1494,A1319)</f>
        <v>16.1833333333333</v>
      </c>
      <c r="L1319" s="215" t="n">
        <v>40673</v>
      </c>
      <c r="M1319" s="213" t="n">
        <v>20.95</v>
      </c>
      <c r="N1319" s="213" t="n">
        <v>23.1333333333333</v>
      </c>
      <c r="O1319" s="213" t="n">
        <v>17.8666666666667</v>
      </c>
      <c r="P1319" s="213" t="n">
        <v>16.1833333333333</v>
      </c>
    </row>
    <row r="1320" customFormat="false" ht="12.75" hidden="false" customHeight="false" outlineLevel="0" collapsed="false">
      <c r="A1320" s="215" t="n">
        <v>40673</v>
      </c>
      <c r="B1320" s="213" t="n">
        <v>20.9</v>
      </c>
      <c r="C1320" s="213" t="n">
        <f aca="false">AVERAGEIFS($B$33:$B$1494,$A$33:$A$1494,A1320)</f>
        <v>20.95</v>
      </c>
      <c r="D1320" s="213" t="n">
        <v>23.1</v>
      </c>
      <c r="E1320" s="213" t="n">
        <f aca="false">AVERAGEIFS($D$33:$D$1494,$A$33:$A$1494,A1320)</f>
        <v>23.1333333333333</v>
      </c>
      <c r="F1320" s="213" t="n">
        <v>16.9</v>
      </c>
      <c r="G1320" s="213" t="n">
        <f aca="false">AVERAGEIFS($F$33:$F$1494,$A$33:$A$1494,A1320)</f>
        <v>17.8666666666667</v>
      </c>
      <c r="H1320" s="213" t="n">
        <v>15.9</v>
      </c>
      <c r="I1320" s="213" t="n">
        <f aca="false">AVERAGEIFS($H$33:$H$1494,$A$33:$A$1494,A1320)</f>
        <v>16.1833333333333</v>
      </c>
      <c r="L1320" s="215" t="n">
        <v>40673</v>
      </c>
      <c r="M1320" s="213" t="n">
        <v>20.95</v>
      </c>
      <c r="N1320" s="213" t="n">
        <v>23.1333333333333</v>
      </c>
      <c r="O1320" s="213" t="n">
        <v>17.8666666666667</v>
      </c>
      <c r="P1320" s="213" t="n">
        <v>16.1833333333333</v>
      </c>
    </row>
    <row r="1321" customFormat="false" ht="12.75" hidden="false" customHeight="false" outlineLevel="0" collapsed="false">
      <c r="A1321" s="215" t="n">
        <v>40673</v>
      </c>
      <c r="B1321" s="213" t="n">
        <v>20.9</v>
      </c>
      <c r="C1321" s="213" t="n">
        <f aca="false">AVERAGEIFS($B$33:$B$1494,$A$33:$A$1494,A1321)</f>
        <v>20.95</v>
      </c>
      <c r="D1321" s="213" t="n">
        <v>23.1</v>
      </c>
      <c r="E1321" s="213" t="n">
        <f aca="false">AVERAGEIFS($D$33:$D$1494,$A$33:$A$1494,A1321)</f>
        <v>23.1333333333333</v>
      </c>
      <c r="F1321" s="213" t="n">
        <v>19</v>
      </c>
      <c r="G1321" s="213" t="n">
        <f aca="false">AVERAGEIFS($F$33:$F$1494,$A$33:$A$1494,A1321)</f>
        <v>17.8666666666667</v>
      </c>
      <c r="H1321" s="213" t="n">
        <v>16</v>
      </c>
      <c r="I1321" s="213" t="n">
        <f aca="false">AVERAGEIFS($H$33:$H$1494,$A$33:$A$1494,A1321)</f>
        <v>16.1833333333333</v>
      </c>
      <c r="L1321" s="215" t="n">
        <v>40673</v>
      </c>
      <c r="M1321" s="213" t="n">
        <v>20.95</v>
      </c>
      <c r="N1321" s="213" t="n">
        <v>23.1333333333333</v>
      </c>
      <c r="O1321" s="213" t="n">
        <v>17.8666666666667</v>
      </c>
      <c r="P1321" s="213" t="n">
        <v>16.1833333333333</v>
      </c>
    </row>
    <row r="1322" customFormat="false" ht="12.75" hidden="false" customHeight="false" outlineLevel="0" collapsed="false">
      <c r="A1322" s="215" t="n">
        <v>40673</v>
      </c>
      <c r="B1322" s="213" t="n">
        <v>21</v>
      </c>
      <c r="C1322" s="213" t="n">
        <f aca="false">AVERAGEIFS($B$33:$B$1494,$A$33:$A$1494,A1322)</f>
        <v>20.95</v>
      </c>
      <c r="D1322" s="213" t="n">
        <v>23</v>
      </c>
      <c r="E1322" s="213" t="n">
        <f aca="false">AVERAGEIFS($D$33:$D$1494,$A$33:$A$1494,A1322)</f>
        <v>23.1333333333333</v>
      </c>
      <c r="F1322" s="213" t="n">
        <v>19.5</v>
      </c>
      <c r="G1322" s="213" t="n">
        <f aca="false">AVERAGEIFS($F$33:$F$1494,$A$33:$A$1494,A1322)</f>
        <v>17.8666666666667</v>
      </c>
      <c r="H1322" s="213" t="n">
        <v>16.4</v>
      </c>
      <c r="I1322" s="213" t="n">
        <f aca="false">AVERAGEIFS($H$33:$H$1494,$A$33:$A$1494,A1322)</f>
        <v>16.1833333333333</v>
      </c>
      <c r="L1322" s="215" t="n">
        <v>40673</v>
      </c>
      <c r="M1322" s="213" t="n">
        <v>20.95</v>
      </c>
      <c r="N1322" s="213" t="n">
        <v>23.1333333333333</v>
      </c>
      <c r="O1322" s="213" t="n">
        <v>17.8666666666667</v>
      </c>
      <c r="P1322" s="213" t="n">
        <v>16.1833333333333</v>
      </c>
    </row>
    <row r="1323" customFormat="false" ht="12.75" hidden="false" customHeight="false" outlineLevel="0" collapsed="false">
      <c r="A1323" s="215" t="n">
        <v>40674</v>
      </c>
      <c r="B1323" s="213" t="n">
        <v>20.9</v>
      </c>
      <c r="C1323" s="213" t="n">
        <f aca="false">AVERAGEIFS($B$33:$B$1494,$A$33:$A$1494,A1323)</f>
        <v>20.8666666666667</v>
      </c>
      <c r="D1323" s="213" t="n">
        <v>23</v>
      </c>
      <c r="E1323" s="213" t="n">
        <f aca="false">AVERAGEIFS($D$33:$D$1494,$A$33:$A$1494,A1323)</f>
        <v>22.9833333333333</v>
      </c>
      <c r="F1323" s="213" t="n">
        <v>18.4</v>
      </c>
      <c r="G1323" s="213" t="n">
        <f aca="false">AVERAGEIFS($F$33:$F$1494,$A$33:$A$1494,A1323)</f>
        <v>18.0333333333333</v>
      </c>
      <c r="H1323" s="213" t="n">
        <v>16.7</v>
      </c>
      <c r="I1323" s="213" t="n">
        <f aca="false">AVERAGEIFS($H$33:$H$1494,$A$33:$A$1494,A1323)</f>
        <v>16.4166666666667</v>
      </c>
      <c r="L1323" s="215" t="n">
        <v>40674</v>
      </c>
      <c r="M1323" s="213" t="n">
        <v>20.8666666666667</v>
      </c>
      <c r="N1323" s="213" t="n">
        <v>22.9833333333333</v>
      </c>
      <c r="O1323" s="213" t="n">
        <v>18.0333333333333</v>
      </c>
      <c r="P1323" s="213" t="n">
        <v>16.4166666666667</v>
      </c>
    </row>
    <row r="1324" customFormat="false" ht="12.75" hidden="false" customHeight="false" outlineLevel="0" collapsed="false">
      <c r="A1324" s="215" t="n">
        <v>40674</v>
      </c>
      <c r="B1324" s="213" t="n">
        <v>20.9</v>
      </c>
      <c r="C1324" s="213" t="n">
        <f aca="false">AVERAGEIFS($B$33:$B$1494,$A$33:$A$1494,A1324)</f>
        <v>20.8666666666667</v>
      </c>
      <c r="D1324" s="213" t="n">
        <v>23</v>
      </c>
      <c r="E1324" s="213" t="n">
        <f aca="false">AVERAGEIFS($D$33:$D$1494,$A$33:$A$1494,A1324)</f>
        <v>22.9833333333333</v>
      </c>
      <c r="F1324" s="213" t="n">
        <v>17.1</v>
      </c>
      <c r="G1324" s="213" t="n">
        <f aca="false">AVERAGEIFS($F$33:$F$1494,$A$33:$A$1494,A1324)</f>
        <v>18.0333333333333</v>
      </c>
      <c r="H1324" s="213" t="n">
        <v>16.6</v>
      </c>
      <c r="I1324" s="213" t="n">
        <f aca="false">AVERAGEIFS($H$33:$H$1494,$A$33:$A$1494,A1324)</f>
        <v>16.4166666666667</v>
      </c>
      <c r="L1324" s="215" t="n">
        <v>40674</v>
      </c>
      <c r="M1324" s="213" t="n">
        <v>20.8666666666667</v>
      </c>
      <c r="N1324" s="213" t="n">
        <v>22.9833333333333</v>
      </c>
      <c r="O1324" s="213" t="n">
        <v>18.0333333333333</v>
      </c>
      <c r="P1324" s="213" t="n">
        <v>16.4166666666667</v>
      </c>
    </row>
    <row r="1325" customFormat="false" ht="12.75" hidden="false" customHeight="false" outlineLevel="0" collapsed="false">
      <c r="A1325" s="215" t="n">
        <v>40674</v>
      </c>
      <c r="B1325" s="213" t="n">
        <v>20.9</v>
      </c>
      <c r="C1325" s="213" t="n">
        <f aca="false">AVERAGEIFS($B$33:$B$1494,$A$33:$A$1494,A1325)</f>
        <v>20.8666666666667</v>
      </c>
      <c r="D1325" s="213" t="n">
        <v>23</v>
      </c>
      <c r="E1325" s="213" t="n">
        <f aca="false">AVERAGEIFS($D$33:$D$1494,$A$33:$A$1494,A1325)</f>
        <v>22.9833333333333</v>
      </c>
      <c r="F1325" s="213" t="n">
        <v>15.9</v>
      </c>
      <c r="G1325" s="213" t="n">
        <f aca="false">AVERAGEIFS($F$33:$F$1494,$A$33:$A$1494,A1325)</f>
        <v>18.0333333333333</v>
      </c>
      <c r="H1325" s="213" t="n">
        <v>16.3</v>
      </c>
      <c r="I1325" s="213" t="n">
        <f aca="false">AVERAGEIFS($H$33:$H$1494,$A$33:$A$1494,A1325)</f>
        <v>16.4166666666667</v>
      </c>
      <c r="L1325" s="215" t="n">
        <v>40674</v>
      </c>
      <c r="M1325" s="213" t="n">
        <v>20.8666666666667</v>
      </c>
      <c r="N1325" s="213" t="n">
        <v>22.9833333333333</v>
      </c>
      <c r="O1325" s="213" t="n">
        <v>18.0333333333333</v>
      </c>
      <c r="P1325" s="213" t="n">
        <v>16.4166666666667</v>
      </c>
    </row>
    <row r="1326" customFormat="false" ht="12.75" hidden="false" customHeight="false" outlineLevel="0" collapsed="false">
      <c r="A1326" s="215" t="n">
        <v>40674</v>
      </c>
      <c r="B1326" s="213" t="n">
        <v>20.8</v>
      </c>
      <c r="C1326" s="213" t="n">
        <f aca="false">AVERAGEIFS($B$33:$B$1494,$A$33:$A$1494,A1326)</f>
        <v>20.8666666666667</v>
      </c>
      <c r="D1326" s="213" t="n">
        <v>23</v>
      </c>
      <c r="E1326" s="213" t="n">
        <f aca="false">AVERAGEIFS($D$33:$D$1494,$A$33:$A$1494,A1326)</f>
        <v>22.9833333333333</v>
      </c>
      <c r="F1326" s="213" t="n">
        <v>17.1</v>
      </c>
      <c r="G1326" s="213" t="n">
        <f aca="false">AVERAGEIFS($F$33:$F$1494,$A$33:$A$1494,A1326)</f>
        <v>18.0333333333333</v>
      </c>
      <c r="H1326" s="213" t="n">
        <v>16</v>
      </c>
      <c r="I1326" s="213" t="n">
        <f aca="false">AVERAGEIFS($H$33:$H$1494,$A$33:$A$1494,A1326)</f>
        <v>16.4166666666667</v>
      </c>
      <c r="L1326" s="215" t="n">
        <v>40674</v>
      </c>
      <c r="M1326" s="213" t="n">
        <v>20.8666666666667</v>
      </c>
      <c r="N1326" s="213" t="n">
        <v>22.9833333333333</v>
      </c>
      <c r="O1326" s="213" t="n">
        <v>18.0333333333333</v>
      </c>
      <c r="P1326" s="213" t="n">
        <v>16.4166666666667</v>
      </c>
    </row>
    <row r="1327" customFormat="false" ht="12.75" hidden="false" customHeight="false" outlineLevel="0" collapsed="false">
      <c r="A1327" s="215" t="n">
        <v>40674</v>
      </c>
      <c r="B1327" s="213" t="n">
        <v>20.8</v>
      </c>
      <c r="C1327" s="213" t="n">
        <f aca="false">AVERAGEIFS($B$33:$B$1494,$A$33:$A$1494,A1327)</f>
        <v>20.8666666666667</v>
      </c>
      <c r="D1327" s="213" t="n">
        <v>23</v>
      </c>
      <c r="E1327" s="213" t="n">
        <f aca="false">AVERAGEIFS($D$33:$D$1494,$A$33:$A$1494,A1327)</f>
        <v>22.9833333333333</v>
      </c>
      <c r="F1327" s="213" t="n">
        <v>19.5</v>
      </c>
      <c r="G1327" s="213" t="n">
        <f aca="false">AVERAGEIFS($F$33:$F$1494,$A$33:$A$1494,A1327)</f>
        <v>18.0333333333333</v>
      </c>
      <c r="H1327" s="213" t="n">
        <v>16.2</v>
      </c>
      <c r="I1327" s="213" t="n">
        <f aca="false">AVERAGEIFS($H$33:$H$1494,$A$33:$A$1494,A1327)</f>
        <v>16.4166666666667</v>
      </c>
      <c r="L1327" s="215" t="n">
        <v>40674</v>
      </c>
      <c r="M1327" s="213" t="n">
        <v>20.8666666666667</v>
      </c>
      <c r="N1327" s="213" t="n">
        <v>22.9833333333333</v>
      </c>
      <c r="O1327" s="213" t="n">
        <v>18.0333333333333</v>
      </c>
      <c r="P1327" s="213" t="n">
        <v>16.4166666666667</v>
      </c>
    </row>
    <row r="1328" customFormat="false" ht="12.75" hidden="false" customHeight="false" outlineLevel="0" collapsed="false">
      <c r="A1328" s="215" t="n">
        <v>40674</v>
      </c>
      <c r="B1328" s="213" t="n">
        <v>20.9</v>
      </c>
      <c r="C1328" s="213" t="n">
        <f aca="false">AVERAGEIFS($B$33:$B$1494,$A$33:$A$1494,A1328)</f>
        <v>20.8666666666667</v>
      </c>
      <c r="D1328" s="213" t="n">
        <v>22.9</v>
      </c>
      <c r="E1328" s="213" t="n">
        <f aca="false">AVERAGEIFS($D$33:$D$1494,$A$33:$A$1494,A1328)</f>
        <v>22.9833333333333</v>
      </c>
      <c r="F1328" s="213" t="n">
        <v>20.2</v>
      </c>
      <c r="G1328" s="213" t="n">
        <f aca="false">AVERAGEIFS($F$33:$F$1494,$A$33:$A$1494,A1328)</f>
        <v>18.0333333333333</v>
      </c>
      <c r="H1328" s="213" t="n">
        <v>16.7</v>
      </c>
      <c r="I1328" s="213" t="n">
        <f aca="false">AVERAGEIFS($H$33:$H$1494,$A$33:$A$1494,A1328)</f>
        <v>16.4166666666667</v>
      </c>
      <c r="L1328" s="215" t="n">
        <v>40674</v>
      </c>
      <c r="M1328" s="213" t="n">
        <v>20.8666666666667</v>
      </c>
      <c r="N1328" s="213" t="n">
        <v>22.9833333333333</v>
      </c>
      <c r="O1328" s="213" t="n">
        <v>18.0333333333333</v>
      </c>
      <c r="P1328" s="213" t="n">
        <v>16.4166666666667</v>
      </c>
    </row>
    <row r="1329" customFormat="false" ht="12.75" hidden="false" customHeight="false" outlineLevel="0" collapsed="false">
      <c r="A1329" s="215" t="n">
        <v>40675</v>
      </c>
      <c r="B1329" s="213" t="n">
        <v>20.9</v>
      </c>
      <c r="C1329" s="213" t="n">
        <f aca="false">AVERAGEIFS($B$33:$B$1494,$A$33:$A$1494,A1329)</f>
        <v>20.8166666666667</v>
      </c>
      <c r="D1329" s="213" t="n">
        <v>23</v>
      </c>
      <c r="E1329" s="213" t="n">
        <f aca="false">AVERAGEIFS($D$33:$D$1494,$A$33:$A$1494,A1329)</f>
        <v>22.9166666666667</v>
      </c>
      <c r="F1329" s="213" t="n">
        <v>19</v>
      </c>
      <c r="G1329" s="213" t="n">
        <f aca="false">AVERAGEIFS($F$33:$F$1494,$A$33:$A$1494,A1329)</f>
        <v>18.3166666666667</v>
      </c>
      <c r="H1329" s="213" t="n">
        <v>17.1</v>
      </c>
      <c r="I1329" s="213" t="n">
        <f aca="false">AVERAGEIFS($H$33:$H$1494,$A$33:$A$1494,A1329)</f>
        <v>16.85</v>
      </c>
      <c r="L1329" s="215" t="n">
        <v>40675</v>
      </c>
      <c r="M1329" s="213" t="n">
        <v>20.8166666666667</v>
      </c>
      <c r="N1329" s="213" t="n">
        <v>22.9166666666667</v>
      </c>
      <c r="O1329" s="213" t="n">
        <v>18.3166666666667</v>
      </c>
      <c r="P1329" s="213" t="n">
        <v>16.85</v>
      </c>
    </row>
    <row r="1330" customFormat="false" ht="12.75" hidden="false" customHeight="false" outlineLevel="0" collapsed="false">
      <c r="A1330" s="215" t="n">
        <v>40675</v>
      </c>
      <c r="B1330" s="213" t="n">
        <v>20.8</v>
      </c>
      <c r="C1330" s="213" t="n">
        <f aca="false">AVERAGEIFS($B$33:$B$1494,$A$33:$A$1494,A1330)</f>
        <v>20.8166666666667</v>
      </c>
      <c r="D1330" s="213" t="n">
        <v>22.9</v>
      </c>
      <c r="E1330" s="213" t="n">
        <f aca="false">AVERAGEIFS($D$33:$D$1494,$A$33:$A$1494,A1330)</f>
        <v>22.9166666666667</v>
      </c>
      <c r="F1330" s="213" t="n">
        <v>18.3</v>
      </c>
      <c r="G1330" s="213" t="n">
        <f aca="false">AVERAGEIFS($F$33:$F$1494,$A$33:$A$1494,A1330)</f>
        <v>18.3166666666667</v>
      </c>
      <c r="H1330" s="213" t="n">
        <v>17</v>
      </c>
      <c r="I1330" s="213" t="n">
        <f aca="false">AVERAGEIFS($H$33:$H$1494,$A$33:$A$1494,A1330)</f>
        <v>16.85</v>
      </c>
      <c r="L1330" s="215" t="n">
        <v>40675</v>
      </c>
      <c r="M1330" s="213" t="n">
        <v>20.8166666666667</v>
      </c>
      <c r="N1330" s="213" t="n">
        <v>22.9166666666667</v>
      </c>
      <c r="O1330" s="213" t="n">
        <v>18.3166666666667</v>
      </c>
      <c r="P1330" s="213" t="n">
        <v>16.85</v>
      </c>
    </row>
    <row r="1331" customFormat="false" ht="12.75" hidden="false" customHeight="false" outlineLevel="0" collapsed="false">
      <c r="A1331" s="215" t="n">
        <v>40675</v>
      </c>
      <c r="B1331" s="213" t="n">
        <v>20.8</v>
      </c>
      <c r="C1331" s="213" t="n">
        <f aca="false">AVERAGEIFS($B$33:$B$1494,$A$33:$A$1494,A1331)</f>
        <v>20.8166666666667</v>
      </c>
      <c r="D1331" s="213" t="n">
        <v>22.9</v>
      </c>
      <c r="E1331" s="213" t="n">
        <f aca="false">AVERAGEIFS($D$33:$D$1494,$A$33:$A$1494,A1331)</f>
        <v>22.9166666666667</v>
      </c>
      <c r="F1331" s="213" t="n">
        <v>17.7</v>
      </c>
      <c r="G1331" s="213" t="n">
        <f aca="false">AVERAGEIFS($F$33:$F$1494,$A$33:$A$1494,A1331)</f>
        <v>18.3166666666667</v>
      </c>
      <c r="H1331" s="213" t="n">
        <v>16.9</v>
      </c>
      <c r="I1331" s="213" t="n">
        <f aca="false">AVERAGEIFS($H$33:$H$1494,$A$33:$A$1494,A1331)</f>
        <v>16.85</v>
      </c>
      <c r="L1331" s="215" t="n">
        <v>40675</v>
      </c>
      <c r="M1331" s="213" t="n">
        <v>20.8166666666667</v>
      </c>
      <c r="N1331" s="213" t="n">
        <v>22.9166666666667</v>
      </c>
      <c r="O1331" s="213" t="n">
        <v>18.3166666666667</v>
      </c>
      <c r="P1331" s="213" t="n">
        <v>16.85</v>
      </c>
    </row>
    <row r="1332" customFormat="false" ht="12.75" hidden="false" customHeight="false" outlineLevel="0" collapsed="false">
      <c r="A1332" s="215" t="n">
        <v>40675</v>
      </c>
      <c r="B1332" s="213" t="n">
        <v>20.8</v>
      </c>
      <c r="C1332" s="213" t="n">
        <f aca="false">AVERAGEIFS($B$33:$B$1494,$A$33:$A$1494,A1332)</f>
        <v>20.8166666666667</v>
      </c>
      <c r="D1332" s="213" t="n">
        <v>22.9</v>
      </c>
      <c r="E1332" s="213" t="n">
        <f aca="false">AVERAGEIFS($D$33:$D$1494,$A$33:$A$1494,A1332)</f>
        <v>22.9166666666667</v>
      </c>
      <c r="F1332" s="213" t="n">
        <v>18</v>
      </c>
      <c r="G1332" s="213" t="n">
        <f aca="false">AVERAGEIFS($F$33:$F$1494,$A$33:$A$1494,A1332)</f>
        <v>18.3166666666667</v>
      </c>
      <c r="H1332" s="213" t="n">
        <v>16.7</v>
      </c>
      <c r="I1332" s="213" t="n">
        <f aca="false">AVERAGEIFS($H$33:$H$1494,$A$33:$A$1494,A1332)</f>
        <v>16.85</v>
      </c>
      <c r="L1332" s="215" t="n">
        <v>40675</v>
      </c>
      <c r="M1332" s="213" t="n">
        <v>20.8166666666667</v>
      </c>
      <c r="N1332" s="213" t="n">
        <v>22.9166666666667</v>
      </c>
      <c r="O1332" s="213" t="n">
        <v>18.3166666666667</v>
      </c>
      <c r="P1332" s="213" t="n">
        <v>16.85</v>
      </c>
    </row>
    <row r="1333" customFormat="false" ht="12.75" hidden="false" customHeight="false" outlineLevel="0" collapsed="false">
      <c r="A1333" s="215" t="n">
        <v>40675</v>
      </c>
      <c r="B1333" s="213" t="n">
        <v>20.8</v>
      </c>
      <c r="C1333" s="213" t="n">
        <f aca="false">AVERAGEIFS($B$33:$B$1494,$A$33:$A$1494,A1333)</f>
        <v>20.8166666666667</v>
      </c>
      <c r="D1333" s="213" t="n">
        <v>22.9</v>
      </c>
      <c r="E1333" s="213" t="n">
        <f aca="false">AVERAGEIFS($D$33:$D$1494,$A$33:$A$1494,A1333)</f>
        <v>22.9166666666667</v>
      </c>
      <c r="F1333" s="213" t="n">
        <v>18.4</v>
      </c>
      <c r="G1333" s="213" t="n">
        <f aca="false">AVERAGEIFS($F$33:$F$1494,$A$33:$A$1494,A1333)</f>
        <v>18.3166666666667</v>
      </c>
      <c r="H1333" s="213" t="n">
        <v>16.7</v>
      </c>
      <c r="I1333" s="213" t="n">
        <f aca="false">AVERAGEIFS($H$33:$H$1494,$A$33:$A$1494,A1333)</f>
        <v>16.85</v>
      </c>
      <c r="L1333" s="215" t="n">
        <v>40675</v>
      </c>
      <c r="M1333" s="213" t="n">
        <v>20.8166666666667</v>
      </c>
      <c r="N1333" s="213" t="n">
        <v>22.9166666666667</v>
      </c>
      <c r="O1333" s="213" t="n">
        <v>18.3166666666667</v>
      </c>
      <c r="P1333" s="213" t="n">
        <v>16.85</v>
      </c>
    </row>
    <row r="1334" customFormat="false" ht="12.75" hidden="false" customHeight="false" outlineLevel="0" collapsed="false">
      <c r="A1334" s="215" t="n">
        <v>40675</v>
      </c>
      <c r="B1334" s="213" t="n">
        <v>20.8</v>
      </c>
      <c r="C1334" s="213" t="n">
        <f aca="false">AVERAGEIFS($B$33:$B$1494,$A$33:$A$1494,A1334)</f>
        <v>20.8166666666667</v>
      </c>
      <c r="D1334" s="213" t="n">
        <v>22.9</v>
      </c>
      <c r="E1334" s="213" t="n">
        <f aca="false">AVERAGEIFS($D$33:$D$1494,$A$33:$A$1494,A1334)</f>
        <v>22.9166666666667</v>
      </c>
      <c r="F1334" s="213" t="n">
        <v>18.5</v>
      </c>
      <c r="G1334" s="213" t="n">
        <f aca="false">AVERAGEIFS($F$33:$F$1494,$A$33:$A$1494,A1334)</f>
        <v>18.3166666666667</v>
      </c>
      <c r="H1334" s="213" t="n">
        <v>16.7</v>
      </c>
      <c r="I1334" s="213" t="n">
        <f aca="false">AVERAGEIFS($H$33:$H$1494,$A$33:$A$1494,A1334)</f>
        <v>16.85</v>
      </c>
      <c r="L1334" s="215" t="n">
        <v>40675</v>
      </c>
      <c r="M1334" s="213" t="n">
        <v>20.8166666666667</v>
      </c>
      <c r="N1334" s="213" t="n">
        <v>22.9166666666667</v>
      </c>
      <c r="O1334" s="213" t="n">
        <v>18.3166666666667</v>
      </c>
      <c r="P1334" s="213" t="n">
        <v>16.85</v>
      </c>
    </row>
    <row r="1335" customFormat="false" ht="12.75" hidden="false" customHeight="false" outlineLevel="0" collapsed="false">
      <c r="A1335" s="215" t="n">
        <v>40676</v>
      </c>
      <c r="B1335" s="213" t="n">
        <v>20.8</v>
      </c>
      <c r="C1335" s="213" t="n">
        <f aca="false">AVERAGEIFS($B$33:$B$1494,$A$33:$A$1494,A1335)</f>
        <v>20.8</v>
      </c>
      <c r="D1335" s="213" t="n">
        <v>22.9</v>
      </c>
      <c r="E1335" s="213" t="n">
        <f aca="false">AVERAGEIFS($D$33:$D$1494,$A$33:$A$1494,A1335)</f>
        <v>22.85</v>
      </c>
      <c r="F1335" s="213" t="n">
        <v>18.1</v>
      </c>
      <c r="G1335" s="213" t="n">
        <f aca="false">AVERAGEIFS($F$33:$F$1494,$A$33:$A$1494,A1335)</f>
        <v>18.6666666666667</v>
      </c>
      <c r="H1335" s="213" t="n">
        <v>16.8</v>
      </c>
      <c r="I1335" s="213" t="n">
        <f aca="false">AVERAGEIFS($H$33:$H$1494,$A$33:$A$1494,A1335)</f>
        <v>16.7833333333333</v>
      </c>
      <c r="L1335" s="215" t="n">
        <v>40676</v>
      </c>
      <c r="M1335" s="213" t="n">
        <v>20.8</v>
      </c>
      <c r="N1335" s="213" t="n">
        <v>22.85</v>
      </c>
      <c r="O1335" s="213" t="n">
        <v>18.6666666666667</v>
      </c>
      <c r="P1335" s="213" t="n">
        <v>16.7833333333333</v>
      </c>
    </row>
    <row r="1336" customFormat="false" ht="12.75" hidden="false" customHeight="false" outlineLevel="0" collapsed="false">
      <c r="A1336" s="215" t="n">
        <v>40676</v>
      </c>
      <c r="B1336" s="213" t="n">
        <v>20.8</v>
      </c>
      <c r="C1336" s="213" t="n">
        <f aca="false">AVERAGEIFS($B$33:$B$1494,$A$33:$A$1494,A1336)</f>
        <v>20.8</v>
      </c>
      <c r="D1336" s="213" t="n">
        <v>22.9</v>
      </c>
      <c r="E1336" s="213" t="n">
        <f aca="false">AVERAGEIFS($D$33:$D$1494,$A$33:$A$1494,A1336)</f>
        <v>22.85</v>
      </c>
      <c r="F1336" s="213" t="n">
        <v>17.6</v>
      </c>
      <c r="G1336" s="213" t="n">
        <f aca="false">AVERAGEIFS($F$33:$F$1494,$A$33:$A$1494,A1336)</f>
        <v>18.6666666666667</v>
      </c>
      <c r="H1336" s="213" t="n">
        <v>16.7</v>
      </c>
      <c r="I1336" s="213" t="n">
        <f aca="false">AVERAGEIFS($H$33:$H$1494,$A$33:$A$1494,A1336)</f>
        <v>16.7833333333333</v>
      </c>
      <c r="L1336" s="215" t="n">
        <v>40676</v>
      </c>
      <c r="M1336" s="213" t="n">
        <v>20.8</v>
      </c>
      <c r="N1336" s="213" t="n">
        <v>22.85</v>
      </c>
      <c r="O1336" s="213" t="n">
        <v>18.6666666666667</v>
      </c>
      <c r="P1336" s="213" t="n">
        <v>16.7833333333333</v>
      </c>
    </row>
    <row r="1337" customFormat="false" ht="12.75" hidden="false" customHeight="false" outlineLevel="0" collapsed="false">
      <c r="A1337" s="215" t="n">
        <v>40676</v>
      </c>
      <c r="B1337" s="213" t="n">
        <v>20.8</v>
      </c>
      <c r="C1337" s="213" t="n">
        <f aca="false">AVERAGEIFS($B$33:$B$1494,$A$33:$A$1494,A1337)</f>
        <v>20.8</v>
      </c>
      <c r="D1337" s="213" t="n">
        <v>22.9</v>
      </c>
      <c r="E1337" s="213" t="n">
        <f aca="false">AVERAGEIFS($D$33:$D$1494,$A$33:$A$1494,A1337)</f>
        <v>22.85</v>
      </c>
      <c r="F1337" s="213" t="n">
        <v>17.3</v>
      </c>
      <c r="G1337" s="213" t="n">
        <f aca="false">AVERAGEIFS($F$33:$F$1494,$A$33:$A$1494,A1337)</f>
        <v>18.6666666666667</v>
      </c>
      <c r="H1337" s="213" t="n">
        <v>16.6</v>
      </c>
      <c r="I1337" s="213" t="n">
        <f aca="false">AVERAGEIFS($H$33:$H$1494,$A$33:$A$1494,A1337)</f>
        <v>16.7833333333333</v>
      </c>
      <c r="L1337" s="215" t="n">
        <v>40676</v>
      </c>
      <c r="M1337" s="213" t="n">
        <v>20.8</v>
      </c>
      <c r="N1337" s="213" t="n">
        <v>22.85</v>
      </c>
      <c r="O1337" s="213" t="n">
        <v>18.6666666666667</v>
      </c>
      <c r="P1337" s="213" t="n">
        <v>16.7833333333333</v>
      </c>
    </row>
    <row r="1338" customFormat="false" ht="12.75" hidden="false" customHeight="false" outlineLevel="0" collapsed="false">
      <c r="A1338" s="215" t="n">
        <v>40676</v>
      </c>
      <c r="B1338" s="213" t="n">
        <v>20.8</v>
      </c>
      <c r="C1338" s="213" t="n">
        <f aca="false">AVERAGEIFS($B$33:$B$1494,$A$33:$A$1494,A1338)</f>
        <v>20.8</v>
      </c>
      <c r="D1338" s="213" t="n">
        <v>22.8</v>
      </c>
      <c r="E1338" s="213" t="n">
        <f aca="false">AVERAGEIFS($D$33:$D$1494,$A$33:$A$1494,A1338)</f>
        <v>22.85</v>
      </c>
      <c r="F1338" s="213" t="n">
        <v>18.2</v>
      </c>
      <c r="G1338" s="213" t="n">
        <f aca="false">AVERAGEIFS($F$33:$F$1494,$A$33:$A$1494,A1338)</f>
        <v>18.6666666666667</v>
      </c>
      <c r="H1338" s="213" t="n">
        <v>16.5</v>
      </c>
      <c r="I1338" s="213" t="n">
        <f aca="false">AVERAGEIFS($H$33:$H$1494,$A$33:$A$1494,A1338)</f>
        <v>16.7833333333333</v>
      </c>
      <c r="L1338" s="215" t="n">
        <v>40676</v>
      </c>
      <c r="M1338" s="213" t="n">
        <v>20.8</v>
      </c>
      <c r="N1338" s="213" t="n">
        <v>22.85</v>
      </c>
      <c r="O1338" s="213" t="n">
        <v>18.6666666666667</v>
      </c>
      <c r="P1338" s="213" t="n">
        <v>16.7833333333333</v>
      </c>
    </row>
    <row r="1339" customFormat="false" ht="12.75" hidden="false" customHeight="false" outlineLevel="0" collapsed="false">
      <c r="A1339" s="215" t="n">
        <v>40676</v>
      </c>
      <c r="B1339" s="213" t="n">
        <v>20.8</v>
      </c>
      <c r="C1339" s="213" t="n">
        <f aca="false">AVERAGEIFS($B$33:$B$1494,$A$33:$A$1494,A1339)</f>
        <v>20.8</v>
      </c>
      <c r="D1339" s="213" t="n">
        <v>22.8</v>
      </c>
      <c r="E1339" s="213" t="n">
        <f aca="false">AVERAGEIFS($D$33:$D$1494,$A$33:$A$1494,A1339)</f>
        <v>22.85</v>
      </c>
      <c r="F1339" s="213" t="n">
        <v>20.2</v>
      </c>
      <c r="G1339" s="213" t="n">
        <f aca="false">AVERAGEIFS($F$33:$F$1494,$A$33:$A$1494,A1339)</f>
        <v>18.6666666666667</v>
      </c>
      <c r="H1339" s="213" t="n">
        <v>16.8</v>
      </c>
      <c r="I1339" s="213" t="n">
        <f aca="false">AVERAGEIFS($H$33:$H$1494,$A$33:$A$1494,A1339)</f>
        <v>16.7833333333333</v>
      </c>
      <c r="L1339" s="215" t="n">
        <v>40676</v>
      </c>
      <c r="M1339" s="213" t="n">
        <v>20.8</v>
      </c>
      <c r="N1339" s="213" t="n">
        <v>22.85</v>
      </c>
      <c r="O1339" s="213" t="n">
        <v>18.6666666666667</v>
      </c>
      <c r="P1339" s="213" t="n">
        <v>16.7833333333333</v>
      </c>
    </row>
    <row r="1340" customFormat="false" ht="12.75" hidden="false" customHeight="false" outlineLevel="0" collapsed="false">
      <c r="A1340" s="215" t="n">
        <v>40676</v>
      </c>
      <c r="B1340" s="213" t="n">
        <v>20.8</v>
      </c>
      <c r="C1340" s="213" t="n">
        <f aca="false">AVERAGEIFS($B$33:$B$1494,$A$33:$A$1494,A1340)</f>
        <v>20.8</v>
      </c>
      <c r="D1340" s="213" t="n">
        <v>22.8</v>
      </c>
      <c r="E1340" s="213" t="n">
        <f aca="false">AVERAGEIFS($D$33:$D$1494,$A$33:$A$1494,A1340)</f>
        <v>22.85</v>
      </c>
      <c r="F1340" s="213" t="n">
        <v>20.6</v>
      </c>
      <c r="G1340" s="213" t="n">
        <f aca="false">AVERAGEIFS($F$33:$F$1494,$A$33:$A$1494,A1340)</f>
        <v>18.6666666666667</v>
      </c>
      <c r="H1340" s="213" t="n">
        <v>17.3</v>
      </c>
      <c r="I1340" s="213" t="n">
        <f aca="false">AVERAGEIFS($H$33:$H$1494,$A$33:$A$1494,A1340)</f>
        <v>16.7833333333333</v>
      </c>
      <c r="L1340" s="215" t="n">
        <v>40676</v>
      </c>
      <c r="M1340" s="213" t="n">
        <v>20.8</v>
      </c>
      <c r="N1340" s="213" t="n">
        <v>22.85</v>
      </c>
      <c r="O1340" s="213" t="n">
        <v>18.6666666666667</v>
      </c>
      <c r="P1340" s="213" t="n">
        <v>16.7833333333333</v>
      </c>
    </row>
    <row r="1341" customFormat="false" ht="12.75" hidden="false" customHeight="false" outlineLevel="0" collapsed="false">
      <c r="A1341" s="215" t="n">
        <v>40677</v>
      </c>
      <c r="B1341" s="213" t="n">
        <v>20.8</v>
      </c>
      <c r="C1341" s="213" t="n">
        <f aca="false">AVERAGEIFS($B$33:$B$1494,$A$33:$A$1494,A1341)</f>
        <v>20.7666666666667</v>
      </c>
      <c r="D1341" s="213" t="n">
        <v>22.8</v>
      </c>
      <c r="E1341" s="213" t="n">
        <f aca="false">AVERAGEIFS($D$33:$D$1494,$A$33:$A$1494,A1341)</f>
        <v>22.8</v>
      </c>
      <c r="F1341" s="213" t="n">
        <v>19.6</v>
      </c>
      <c r="G1341" s="213" t="n">
        <f aca="false">AVERAGEIFS($F$33:$F$1494,$A$33:$A$1494,A1341)</f>
        <v>17.9166666666667</v>
      </c>
      <c r="H1341" s="213" t="n">
        <v>17.6</v>
      </c>
      <c r="I1341" s="213" t="n">
        <f aca="false">AVERAGEIFS($H$33:$H$1494,$A$33:$A$1494,A1341)</f>
        <v>17.15</v>
      </c>
      <c r="L1341" s="215" t="n">
        <v>40677</v>
      </c>
      <c r="M1341" s="213" t="n">
        <v>20.7666666666667</v>
      </c>
      <c r="N1341" s="213" t="n">
        <v>22.8</v>
      </c>
      <c r="O1341" s="213" t="n">
        <v>17.9166666666667</v>
      </c>
      <c r="P1341" s="213" t="n">
        <v>17.15</v>
      </c>
    </row>
    <row r="1342" customFormat="false" ht="12.75" hidden="false" customHeight="false" outlineLevel="0" collapsed="false">
      <c r="A1342" s="215" t="n">
        <v>40677</v>
      </c>
      <c r="B1342" s="213" t="n">
        <v>20.8</v>
      </c>
      <c r="C1342" s="213" t="n">
        <f aca="false">AVERAGEIFS($B$33:$B$1494,$A$33:$A$1494,A1342)</f>
        <v>20.7666666666667</v>
      </c>
      <c r="D1342" s="213" t="n">
        <v>22.8</v>
      </c>
      <c r="E1342" s="213" t="n">
        <f aca="false">AVERAGEIFS($D$33:$D$1494,$A$33:$A$1494,A1342)</f>
        <v>22.8</v>
      </c>
      <c r="F1342" s="213" t="n">
        <v>18.6</v>
      </c>
      <c r="G1342" s="213" t="n">
        <f aca="false">AVERAGEIFS($F$33:$F$1494,$A$33:$A$1494,A1342)</f>
        <v>17.9166666666667</v>
      </c>
      <c r="H1342" s="213" t="n">
        <v>17.6</v>
      </c>
      <c r="I1342" s="213" t="n">
        <f aca="false">AVERAGEIFS($H$33:$H$1494,$A$33:$A$1494,A1342)</f>
        <v>17.15</v>
      </c>
      <c r="L1342" s="215" t="n">
        <v>40677</v>
      </c>
      <c r="M1342" s="213" t="n">
        <v>20.7666666666667</v>
      </c>
      <c r="N1342" s="213" t="n">
        <v>22.8</v>
      </c>
      <c r="O1342" s="213" t="n">
        <v>17.9166666666667</v>
      </c>
      <c r="P1342" s="213" t="n">
        <v>17.15</v>
      </c>
    </row>
    <row r="1343" customFormat="false" ht="12.75" hidden="false" customHeight="false" outlineLevel="0" collapsed="false">
      <c r="A1343" s="215" t="n">
        <v>40677</v>
      </c>
      <c r="B1343" s="213" t="n">
        <v>20.7</v>
      </c>
      <c r="C1343" s="213" t="n">
        <f aca="false">AVERAGEIFS($B$33:$B$1494,$A$33:$A$1494,A1343)</f>
        <v>20.7666666666667</v>
      </c>
      <c r="D1343" s="213" t="n">
        <v>22.8</v>
      </c>
      <c r="E1343" s="213" t="n">
        <f aca="false">AVERAGEIFS($D$33:$D$1494,$A$33:$A$1494,A1343)</f>
        <v>22.8</v>
      </c>
      <c r="F1343" s="213" t="n">
        <v>17.9</v>
      </c>
      <c r="G1343" s="213" t="n">
        <f aca="false">AVERAGEIFS($F$33:$F$1494,$A$33:$A$1494,A1343)</f>
        <v>17.9166666666667</v>
      </c>
      <c r="H1343" s="213" t="n">
        <v>17.3</v>
      </c>
      <c r="I1343" s="213" t="n">
        <f aca="false">AVERAGEIFS($H$33:$H$1494,$A$33:$A$1494,A1343)</f>
        <v>17.15</v>
      </c>
      <c r="L1343" s="215" t="n">
        <v>40677</v>
      </c>
      <c r="M1343" s="213" t="n">
        <v>20.7666666666667</v>
      </c>
      <c r="N1343" s="213" t="n">
        <v>22.8</v>
      </c>
      <c r="O1343" s="213" t="n">
        <v>17.9166666666667</v>
      </c>
      <c r="P1343" s="213" t="n">
        <v>17.15</v>
      </c>
    </row>
    <row r="1344" customFormat="false" ht="12.75" hidden="false" customHeight="false" outlineLevel="0" collapsed="false">
      <c r="A1344" s="215" t="n">
        <v>40677</v>
      </c>
      <c r="B1344" s="213" t="n">
        <v>20.8</v>
      </c>
      <c r="C1344" s="213" t="n">
        <f aca="false">AVERAGEIFS($B$33:$B$1494,$A$33:$A$1494,A1344)</f>
        <v>20.7666666666667</v>
      </c>
      <c r="D1344" s="213" t="n">
        <v>22.8</v>
      </c>
      <c r="E1344" s="213" t="n">
        <f aca="false">AVERAGEIFS($D$33:$D$1494,$A$33:$A$1494,A1344)</f>
        <v>22.8</v>
      </c>
      <c r="F1344" s="213" t="n">
        <v>17.5</v>
      </c>
      <c r="G1344" s="213" t="n">
        <f aca="false">AVERAGEIFS($F$33:$F$1494,$A$33:$A$1494,A1344)</f>
        <v>17.9166666666667</v>
      </c>
      <c r="H1344" s="213" t="n">
        <v>17</v>
      </c>
      <c r="I1344" s="213" t="n">
        <f aca="false">AVERAGEIFS($H$33:$H$1494,$A$33:$A$1494,A1344)</f>
        <v>17.15</v>
      </c>
      <c r="L1344" s="215" t="n">
        <v>40677</v>
      </c>
      <c r="M1344" s="213" t="n">
        <v>20.7666666666667</v>
      </c>
      <c r="N1344" s="213" t="n">
        <v>22.8</v>
      </c>
      <c r="O1344" s="213" t="n">
        <v>17.9166666666667</v>
      </c>
      <c r="P1344" s="213" t="n">
        <v>17.15</v>
      </c>
    </row>
    <row r="1345" customFormat="false" ht="12.75" hidden="false" customHeight="false" outlineLevel="0" collapsed="false">
      <c r="A1345" s="215" t="n">
        <v>40677</v>
      </c>
      <c r="B1345" s="213" t="n">
        <v>20.8</v>
      </c>
      <c r="C1345" s="213" t="n">
        <f aca="false">AVERAGEIFS($B$33:$B$1494,$A$33:$A$1494,A1345)</f>
        <v>20.7666666666667</v>
      </c>
      <c r="D1345" s="213" t="n">
        <v>22.8</v>
      </c>
      <c r="E1345" s="213" t="n">
        <f aca="false">AVERAGEIFS($D$33:$D$1494,$A$33:$A$1494,A1345)</f>
        <v>22.8</v>
      </c>
      <c r="F1345" s="213" t="n">
        <v>17.1</v>
      </c>
      <c r="G1345" s="213" t="n">
        <f aca="false">AVERAGEIFS($F$33:$F$1494,$A$33:$A$1494,A1345)</f>
        <v>17.9166666666667</v>
      </c>
      <c r="H1345" s="213" t="n">
        <v>16.8</v>
      </c>
      <c r="I1345" s="213" t="n">
        <f aca="false">AVERAGEIFS($H$33:$H$1494,$A$33:$A$1494,A1345)</f>
        <v>17.15</v>
      </c>
      <c r="L1345" s="215" t="n">
        <v>40677</v>
      </c>
      <c r="M1345" s="213" t="n">
        <v>20.7666666666667</v>
      </c>
      <c r="N1345" s="213" t="n">
        <v>22.8</v>
      </c>
      <c r="O1345" s="213" t="n">
        <v>17.9166666666667</v>
      </c>
      <c r="P1345" s="213" t="n">
        <v>17.15</v>
      </c>
    </row>
    <row r="1346" customFormat="false" ht="12.75" hidden="false" customHeight="false" outlineLevel="0" collapsed="false">
      <c r="A1346" s="215" t="n">
        <v>40677</v>
      </c>
      <c r="B1346" s="213" t="n">
        <v>20.7</v>
      </c>
      <c r="C1346" s="213" t="n">
        <f aca="false">AVERAGEIFS($B$33:$B$1494,$A$33:$A$1494,A1346)</f>
        <v>20.7666666666667</v>
      </c>
      <c r="D1346" s="213" t="n">
        <v>22.8</v>
      </c>
      <c r="E1346" s="213" t="n">
        <f aca="false">AVERAGEIFS($D$33:$D$1494,$A$33:$A$1494,A1346)</f>
        <v>22.8</v>
      </c>
      <c r="F1346" s="213" t="n">
        <v>16.8</v>
      </c>
      <c r="G1346" s="213" t="n">
        <f aca="false">AVERAGEIFS($F$33:$F$1494,$A$33:$A$1494,A1346)</f>
        <v>17.9166666666667</v>
      </c>
      <c r="H1346" s="213" t="n">
        <v>16.6</v>
      </c>
      <c r="I1346" s="213" t="n">
        <f aca="false">AVERAGEIFS($H$33:$H$1494,$A$33:$A$1494,A1346)</f>
        <v>17.15</v>
      </c>
      <c r="L1346" s="215" t="n">
        <v>40677</v>
      </c>
      <c r="M1346" s="213" t="n">
        <v>20.7666666666667</v>
      </c>
      <c r="N1346" s="213" t="n">
        <v>22.8</v>
      </c>
      <c r="O1346" s="213" t="n">
        <v>17.9166666666667</v>
      </c>
      <c r="P1346" s="213" t="n">
        <v>17.15</v>
      </c>
    </row>
    <row r="1347" customFormat="false" ht="12.75" hidden="false" customHeight="false" outlineLevel="0" collapsed="false">
      <c r="A1347" s="215" t="n">
        <v>40678</v>
      </c>
      <c r="B1347" s="213" t="n">
        <v>20.8</v>
      </c>
      <c r="C1347" s="213" t="n">
        <f aca="false">AVERAGEIFS($B$33:$B$1494,$A$33:$A$1494,A1347)</f>
        <v>20.7</v>
      </c>
      <c r="D1347" s="213" t="n">
        <v>22.8</v>
      </c>
      <c r="E1347" s="213" t="n">
        <f aca="false">AVERAGEIFS($D$33:$D$1494,$A$33:$A$1494,A1347)</f>
        <v>22.75</v>
      </c>
      <c r="F1347" s="213" t="n">
        <v>16.2</v>
      </c>
      <c r="G1347" s="213" t="n">
        <f aca="false">AVERAGEIFS($F$33:$F$1494,$A$33:$A$1494,A1347)</f>
        <v>15.6166666666667</v>
      </c>
      <c r="H1347" s="213" t="n">
        <v>16.3</v>
      </c>
      <c r="I1347" s="213" t="n">
        <f aca="false">AVERAGEIFS($H$33:$H$1494,$A$33:$A$1494,A1347)</f>
        <v>15.65</v>
      </c>
      <c r="L1347" s="215" t="n">
        <v>40678</v>
      </c>
      <c r="M1347" s="213" t="n">
        <v>20.7</v>
      </c>
      <c r="N1347" s="213" t="n">
        <v>22.75</v>
      </c>
      <c r="O1347" s="213" t="n">
        <v>15.6166666666667</v>
      </c>
      <c r="P1347" s="213" t="n">
        <v>15.65</v>
      </c>
    </row>
    <row r="1348" customFormat="false" ht="12.75" hidden="false" customHeight="false" outlineLevel="0" collapsed="false">
      <c r="A1348" s="215" t="n">
        <v>40678</v>
      </c>
      <c r="B1348" s="213" t="n">
        <v>20.7</v>
      </c>
      <c r="C1348" s="213" t="n">
        <f aca="false">AVERAGEIFS($B$33:$B$1494,$A$33:$A$1494,A1348)</f>
        <v>20.7</v>
      </c>
      <c r="D1348" s="213" t="n">
        <v>22.8</v>
      </c>
      <c r="E1348" s="213" t="n">
        <f aca="false">AVERAGEIFS($D$33:$D$1494,$A$33:$A$1494,A1348)</f>
        <v>22.75</v>
      </c>
      <c r="F1348" s="213" t="n">
        <v>15.3</v>
      </c>
      <c r="G1348" s="213" t="n">
        <f aca="false">AVERAGEIFS($F$33:$F$1494,$A$33:$A$1494,A1348)</f>
        <v>15.6166666666667</v>
      </c>
      <c r="H1348" s="213" t="n">
        <v>16</v>
      </c>
      <c r="I1348" s="213" t="n">
        <f aca="false">AVERAGEIFS($H$33:$H$1494,$A$33:$A$1494,A1348)</f>
        <v>15.65</v>
      </c>
      <c r="L1348" s="215" t="n">
        <v>40678</v>
      </c>
      <c r="M1348" s="213" t="n">
        <v>20.7</v>
      </c>
      <c r="N1348" s="213" t="n">
        <v>22.75</v>
      </c>
      <c r="O1348" s="213" t="n">
        <v>15.6166666666667</v>
      </c>
      <c r="P1348" s="213" t="n">
        <v>15.65</v>
      </c>
    </row>
    <row r="1349" customFormat="false" ht="12.75" hidden="false" customHeight="false" outlineLevel="0" collapsed="false">
      <c r="A1349" s="215" t="n">
        <v>40678</v>
      </c>
      <c r="B1349" s="213" t="n">
        <v>20.7</v>
      </c>
      <c r="C1349" s="213" t="n">
        <f aca="false">AVERAGEIFS($B$33:$B$1494,$A$33:$A$1494,A1349)</f>
        <v>20.7</v>
      </c>
      <c r="D1349" s="213" t="n">
        <v>22.8</v>
      </c>
      <c r="E1349" s="213" t="n">
        <f aca="false">AVERAGEIFS($D$33:$D$1494,$A$33:$A$1494,A1349)</f>
        <v>22.75</v>
      </c>
      <c r="F1349" s="213" t="n">
        <v>14.6</v>
      </c>
      <c r="G1349" s="213" t="n">
        <f aca="false">AVERAGEIFS($F$33:$F$1494,$A$33:$A$1494,A1349)</f>
        <v>15.6166666666667</v>
      </c>
      <c r="H1349" s="213" t="n">
        <v>15.6</v>
      </c>
      <c r="I1349" s="213" t="n">
        <f aca="false">AVERAGEIFS($H$33:$H$1494,$A$33:$A$1494,A1349)</f>
        <v>15.65</v>
      </c>
      <c r="L1349" s="215" t="n">
        <v>40678</v>
      </c>
      <c r="M1349" s="213" t="n">
        <v>20.7</v>
      </c>
      <c r="N1349" s="213" t="n">
        <v>22.75</v>
      </c>
      <c r="O1349" s="213" t="n">
        <v>15.6166666666667</v>
      </c>
      <c r="P1349" s="213" t="n">
        <v>15.65</v>
      </c>
    </row>
    <row r="1350" customFormat="false" ht="12.75" hidden="false" customHeight="false" outlineLevel="0" collapsed="false">
      <c r="A1350" s="215" t="n">
        <v>40678</v>
      </c>
      <c r="B1350" s="213" t="n">
        <v>20.6</v>
      </c>
      <c r="C1350" s="213" t="n">
        <f aca="false">AVERAGEIFS($B$33:$B$1494,$A$33:$A$1494,A1350)</f>
        <v>20.7</v>
      </c>
      <c r="D1350" s="213" t="n">
        <v>22.7</v>
      </c>
      <c r="E1350" s="213" t="n">
        <f aca="false">AVERAGEIFS($D$33:$D$1494,$A$33:$A$1494,A1350)</f>
        <v>22.75</v>
      </c>
      <c r="F1350" s="213" t="n">
        <v>15.2</v>
      </c>
      <c r="G1350" s="213" t="n">
        <f aca="false">AVERAGEIFS($F$33:$F$1494,$A$33:$A$1494,A1350)</f>
        <v>15.6166666666667</v>
      </c>
      <c r="H1350" s="213" t="n">
        <v>15.3</v>
      </c>
      <c r="I1350" s="213" t="n">
        <f aca="false">AVERAGEIFS($H$33:$H$1494,$A$33:$A$1494,A1350)</f>
        <v>15.65</v>
      </c>
      <c r="L1350" s="215" t="n">
        <v>40678</v>
      </c>
      <c r="M1350" s="213" t="n">
        <v>20.7</v>
      </c>
      <c r="N1350" s="213" t="n">
        <v>22.75</v>
      </c>
      <c r="O1350" s="213" t="n">
        <v>15.6166666666667</v>
      </c>
      <c r="P1350" s="213" t="n">
        <v>15.65</v>
      </c>
    </row>
    <row r="1351" customFormat="false" ht="12.75" hidden="false" customHeight="false" outlineLevel="0" collapsed="false">
      <c r="A1351" s="215" t="n">
        <v>40678</v>
      </c>
      <c r="B1351" s="213" t="n">
        <v>20.7</v>
      </c>
      <c r="C1351" s="213" t="n">
        <f aca="false">AVERAGEIFS($B$33:$B$1494,$A$33:$A$1494,A1351)</f>
        <v>20.7</v>
      </c>
      <c r="D1351" s="213" t="n">
        <v>22.7</v>
      </c>
      <c r="E1351" s="213" t="n">
        <f aca="false">AVERAGEIFS($D$33:$D$1494,$A$33:$A$1494,A1351)</f>
        <v>22.75</v>
      </c>
      <c r="F1351" s="213" t="n">
        <v>16.2</v>
      </c>
      <c r="G1351" s="213" t="n">
        <f aca="false">AVERAGEIFS($F$33:$F$1494,$A$33:$A$1494,A1351)</f>
        <v>15.6166666666667</v>
      </c>
      <c r="H1351" s="213" t="n">
        <v>15.3</v>
      </c>
      <c r="I1351" s="213" t="n">
        <f aca="false">AVERAGEIFS($H$33:$H$1494,$A$33:$A$1494,A1351)</f>
        <v>15.65</v>
      </c>
      <c r="L1351" s="215" t="n">
        <v>40678</v>
      </c>
      <c r="M1351" s="213" t="n">
        <v>20.7</v>
      </c>
      <c r="N1351" s="213" t="n">
        <v>22.75</v>
      </c>
      <c r="O1351" s="213" t="n">
        <v>15.6166666666667</v>
      </c>
      <c r="P1351" s="213" t="n">
        <v>15.65</v>
      </c>
    </row>
    <row r="1352" customFormat="false" ht="12.75" hidden="false" customHeight="false" outlineLevel="0" collapsed="false">
      <c r="A1352" s="215" t="n">
        <v>40678</v>
      </c>
      <c r="B1352" s="213" t="n">
        <v>20.7</v>
      </c>
      <c r="C1352" s="213" t="n">
        <f aca="false">AVERAGEIFS($B$33:$B$1494,$A$33:$A$1494,A1352)</f>
        <v>20.7</v>
      </c>
      <c r="D1352" s="213" t="n">
        <v>22.7</v>
      </c>
      <c r="E1352" s="213" t="n">
        <f aca="false">AVERAGEIFS($D$33:$D$1494,$A$33:$A$1494,A1352)</f>
        <v>22.75</v>
      </c>
      <c r="F1352" s="213" t="n">
        <v>16.2</v>
      </c>
      <c r="G1352" s="213" t="n">
        <f aca="false">AVERAGEIFS($F$33:$F$1494,$A$33:$A$1494,A1352)</f>
        <v>15.6166666666667</v>
      </c>
      <c r="H1352" s="213" t="n">
        <v>15.4</v>
      </c>
      <c r="I1352" s="213" t="n">
        <f aca="false">AVERAGEIFS($H$33:$H$1494,$A$33:$A$1494,A1352)</f>
        <v>15.65</v>
      </c>
      <c r="L1352" s="215" t="n">
        <v>40678</v>
      </c>
      <c r="M1352" s="213" t="n">
        <v>20.7</v>
      </c>
      <c r="N1352" s="213" t="n">
        <v>22.75</v>
      </c>
      <c r="O1352" s="213" t="n">
        <v>15.6166666666667</v>
      </c>
      <c r="P1352" s="213" t="n">
        <v>15.65</v>
      </c>
    </row>
    <row r="1353" customFormat="false" ht="12.75" hidden="false" customHeight="false" outlineLevel="0" collapsed="false">
      <c r="A1353" s="215" t="n">
        <v>40679</v>
      </c>
      <c r="B1353" s="213" t="n">
        <v>20.7</v>
      </c>
      <c r="C1353" s="213" t="n">
        <f aca="false">AVERAGEIFS($B$33:$B$1494,$A$33:$A$1494,A1353)</f>
        <v>20.6333333333333</v>
      </c>
      <c r="D1353" s="213" t="n">
        <v>22.7</v>
      </c>
      <c r="E1353" s="213" t="n">
        <f aca="false">AVERAGEIFS($D$33:$D$1494,$A$33:$A$1494,A1353)</f>
        <v>22.6833333333333</v>
      </c>
      <c r="F1353" s="213" t="n">
        <v>15</v>
      </c>
      <c r="G1353" s="213" t="n">
        <f aca="false">AVERAGEIFS($F$33:$F$1494,$A$33:$A$1494,A1353)</f>
        <v>14.8666666666667</v>
      </c>
      <c r="H1353" s="213" t="n">
        <v>15.4</v>
      </c>
      <c r="I1353" s="213" t="n">
        <f aca="false">AVERAGEIFS($H$33:$H$1494,$A$33:$A$1494,A1353)</f>
        <v>14.8166666666667</v>
      </c>
      <c r="L1353" s="215" t="n">
        <v>40679</v>
      </c>
      <c r="M1353" s="213" t="n">
        <v>20.6333333333333</v>
      </c>
      <c r="N1353" s="213" t="n">
        <v>22.6833333333333</v>
      </c>
      <c r="O1353" s="213" t="n">
        <v>14.8666666666667</v>
      </c>
      <c r="P1353" s="213" t="n">
        <v>14.8166666666667</v>
      </c>
    </row>
    <row r="1354" customFormat="false" ht="12.75" hidden="false" customHeight="false" outlineLevel="0" collapsed="false">
      <c r="A1354" s="215" t="n">
        <v>40679</v>
      </c>
      <c r="B1354" s="213" t="n">
        <v>20.6</v>
      </c>
      <c r="C1354" s="213" t="n">
        <f aca="false">AVERAGEIFS($B$33:$B$1494,$A$33:$A$1494,A1354)</f>
        <v>20.6333333333333</v>
      </c>
      <c r="D1354" s="213" t="n">
        <v>22.7</v>
      </c>
      <c r="E1354" s="213" t="n">
        <f aca="false">AVERAGEIFS($D$33:$D$1494,$A$33:$A$1494,A1354)</f>
        <v>22.6833333333333</v>
      </c>
      <c r="F1354" s="213" t="n">
        <v>13.8</v>
      </c>
      <c r="G1354" s="213" t="n">
        <f aca="false">AVERAGEIFS($F$33:$F$1494,$A$33:$A$1494,A1354)</f>
        <v>14.8666666666667</v>
      </c>
      <c r="H1354" s="213" t="n">
        <v>15.1</v>
      </c>
      <c r="I1354" s="213" t="n">
        <f aca="false">AVERAGEIFS($H$33:$H$1494,$A$33:$A$1494,A1354)</f>
        <v>14.8166666666667</v>
      </c>
      <c r="L1354" s="215" t="n">
        <v>40679</v>
      </c>
      <c r="M1354" s="213" t="n">
        <v>20.6333333333333</v>
      </c>
      <c r="N1354" s="213" t="n">
        <v>22.6833333333333</v>
      </c>
      <c r="O1354" s="213" t="n">
        <v>14.8666666666667</v>
      </c>
      <c r="P1354" s="213" t="n">
        <v>14.8166666666667</v>
      </c>
    </row>
    <row r="1355" customFormat="false" ht="12.75" hidden="false" customHeight="false" outlineLevel="0" collapsed="false">
      <c r="A1355" s="215" t="n">
        <v>40679</v>
      </c>
      <c r="B1355" s="213" t="n">
        <v>20.6</v>
      </c>
      <c r="C1355" s="213" t="n">
        <f aca="false">AVERAGEIFS($B$33:$B$1494,$A$33:$A$1494,A1355)</f>
        <v>20.6333333333333</v>
      </c>
      <c r="D1355" s="213" t="n">
        <v>22.7</v>
      </c>
      <c r="E1355" s="213" t="n">
        <f aca="false">AVERAGEIFS($D$33:$D$1494,$A$33:$A$1494,A1355)</f>
        <v>22.6833333333333</v>
      </c>
      <c r="F1355" s="213" t="n">
        <v>13</v>
      </c>
      <c r="G1355" s="213" t="n">
        <f aca="false">AVERAGEIFS($F$33:$F$1494,$A$33:$A$1494,A1355)</f>
        <v>14.8666666666667</v>
      </c>
      <c r="H1355" s="213" t="n">
        <v>14.6</v>
      </c>
      <c r="I1355" s="213" t="n">
        <f aca="false">AVERAGEIFS($H$33:$H$1494,$A$33:$A$1494,A1355)</f>
        <v>14.8166666666667</v>
      </c>
      <c r="L1355" s="215" t="n">
        <v>40679</v>
      </c>
      <c r="M1355" s="213" t="n">
        <v>20.6333333333333</v>
      </c>
      <c r="N1355" s="213" t="n">
        <v>22.6833333333333</v>
      </c>
      <c r="O1355" s="213" t="n">
        <v>14.8666666666667</v>
      </c>
      <c r="P1355" s="213" t="n">
        <v>14.8166666666667</v>
      </c>
    </row>
    <row r="1356" customFormat="false" ht="12.75" hidden="false" customHeight="false" outlineLevel="0" collapsed="false">
      <c r="A1356" s="215" t="n">
        <v>40679</v>
      </c>
      <c r="B1356" s="213" t="n">
        <v>20.6</v>
      </c>
      <c r="C1356" s="213" t="n">
        <f aca="false">AVERAGEIFS($B$33:$B$1494,$A$33:$A$1494,A1356)</f>
        <v>20.6333333333333</v>
      </c>
      <c r="D1356" s="213" t="n">
        <v>22.7</v>
      </c>
      <c r="E1356" s="213" t="n">
        <f aca="false">AVERAGEIFS($D$33:$D$1494,$A$33:$A$1494,A1356)</f>
        <v>22.6833333333333</v>
      </c>
      <c r="F1356" s="213" t="n">
        <v>14.2</v>
      </c>
      <c r="G1356" s="213" t="n">
        <f aca="false">AVERAGEIFS($F$33:$F$1494,$A$33:$A$1494,A1356)</f>
        <v>14.8666666666667</v>
      </c>
      <c r="H1356" s="213" t="n">
        <v>14.3</v>
      </c>
      <c r="I1356" s="213" t="n">
        <f aca="false">AVERAGEIFS($H$33:$H$1494,$A$33:$A$1494,A1356)</f>
        <v>14.8166666666667</v>
      </c>
      <c r="L1356" s="215" t="n">
        <v>40679</v>
      </c>
      <c r="M1356" s="213" t="n">
        <v>20.6333333333333</v>
      </c>
      <c r="N1356" s="213" t="n">
        <v>22.6833333333333</v>
      </c>
      <c r="O1356" s="213" t="n">
        <v>14.8666666666667</v>
      </c>
      <c r="P1356" s="213" t="n">
        <v>14.8166666666667</v>
      </c>
    </row>
    <row r="1357" customFormat="false" ht="12.75" hidden="false" customHeight="false" outlineLevel="0" collapsed="false">
      <c r="A1357" s="215" t="n">
        <v>40679</v>
      </c>
      <c r="B1357" s="213" t="n">
        <v>20.6</v>
      </c>
      <c r="C1357" s="213" t="n">
        <f aca="false">AVERAGEIFS($B$33:$B$1494,$A$33:$A$1494,A1357)</f>
        <v>20.6333333333333</v>
      </c>
      <c r="D1357" s="213" t="n">
        <v>22.6</v>
      </c>
      <c r="E1357" s="213" t="n">
        <f aca="false">AVERAGEIFS($D$33:$D$1494,$A$33:$A$1494,A1357)</f>
        <v>22.6833333333333</v>
      </c>
      <c r="F1357" s="213" t="n">
        <v>16.3</v>
      </c>
      <c r="G1357" s="213" t="n">
        <f aca="false">AVERAGEIFS($F$33:$F$1494,$A$33:$A$1494,A1357)</f>
        <v>14.8666666666667</v>
      </c>
      <c r="H1357" s="213" t="n">
        <v>14.5</v>
      </c>
      <c r="I1357" s="213" t="n">
        <f aca="false">AVERAGEIFS($H$33:$H$1494,$A$33:$A$1494,A1357)</f>
        <v>14.8166666666667</v>
      </c>
      <c r="L1357" s="215" t="n">
        <v>40679</v>
      </c>
      <c r="M1357" s="213" t="n">
        <v>20.6333333333333</v>
      </c>
      <c r="N1357" s="213" t="n">
        <v>22.6833333333333</v>
      </c>
      <c r="O1357" s="213" t="n">
        <v>14.8666666666667</v>
      </c>
      <c r="P1357" s="213" t="n">
        <v>14.8166666666667</v>
      </c>
    </row>
    <row r="1358" customFormat="false" ht="12.75" hidden="false" customHeight="false" outlineLevel="0" collapsed="false">
      <c r="A1358" s="215" t="n">
        <v>40679</v>
      </c>
      <c r="B1358" s="213" t="n">
        <v>20.7</v>
      </c>
      <c r="C1358" s="213" t="n">
        <f aca="false">AVERAGEIFS($B$33:$B$1494,$A$33:$A$1494,A1358)</f>
        <v>20.6333333333333</v>
      </c>
      <c r="D1358" s="213" t="n">
        <v>22.7</v>
      </c>
      <c r="E1358" s="213" t="n">
        <f aca="false">AVERAGEIFS($D$33:$D$1494,$A$33:$A$1494,A1358)</f>
        <v>22.6833333333333</v>
      </c>
      <c r="F1358" s="213" t="n">
        <v>16.9</v>
      </c>
      <c r="G1358" s="213" t="n">
        <f aca="false">AVERAGEIFS($F$33:$F$1494,$A$33:$A$1494,A1358)</f>
        <v>14.8666666666667</v>
      </c>
      <c r="H1358" s="213" t="n">
        <v>15</v>
      </c>
      <c r="I1358" s="213" t="n">
        <f aca="false">AVERAGEIFS($H$33:$H$1494,$A$33:$A$1494,A1358)</f>
        <v>14.8166666666667</v>
      </c>
      <c r="L1358" s="215" t="n">
        <v>40679</v>
      </c>
      <c r="M1358" s="213" t="n">
        <v>20.6333333333333</v>
      </c>
      <c r="N1358" s="213" t="n">
        <v>22.6833333333333</v>
      </c>
      <c r="O1358" s="213" t="n">
        <v>14.8666666666667</v>
      </c>
      <c r="P1358" s="213" t="n">
        <v>14.8166666666667</v>
      </c>
    </row>
    <row r="1359" customFormat="false" ht="12.75" hidden="false" customHeight="false" outlineLevel="0" collapsed="false">
      <c r="A1359" s="215" t="n">
        <v>40680</v>
      </c>
      <c r="B1359" s="213" t="n">
        <v>20.7</v>
      </c>
      <c r="C1359" s="213" t="n">
        <f aca="false">AVERAGEIFS($B$33:$B$1494,$A$33:$A$1494,A1359)</f>
        <v>20.65</v>
      </c>
      <c r="D1359" s="213" t="n">
        <v>22.7</v>
      </c>
      <c r="E1359" s="213" t="n">
        <f aca="false">AVERAGEIFS($D$33:$D$1494,$A$33:$A$1494,A1359)</f>
        <v>22.7</v>
      </c>
      <c r="F1359" s="213" t="n">
        <v>15.9</v>
      </c>
      <c r="G1359" s="213" t="n">
        <f aca="false">AVERAGEIFS($F$33:$F$1494,$A$33:$A$1494,A1359)</f>
        <v>15.9166666666667</v>
      </c>
      <c r="H1359" s="213" t="n">
        <v>15.3</v>
      </c>
      <c r="I1359" s="213" t="n">
        <f aca="false">AVERAGEIFS($H$33:$H$1494,$A$33:$A$1494,A1359)</f>
        <v>15</v>
      </c>
      <c r="L1359" s="215" t="n">
        <v>40680</v>
      </c>
      <c r="M1359" s="213" t="n">
        <v>20.65</v>
      </c>
      <c r="N1359" s="213" t="n">
        <v>22.7</v>
      </c>
      <c r="O1359" s="213" t="n">
        <v>15.9166666666667</v>
      </c>
      <c r="P1359" s="213" t="n">
        <v>15</v>
      </c>
    </row>
    <row r="1360" customFormat="false" ht="12.75" hidden="false" customHeight="false" outlineLevel="0" collapsed="false">
      <c r="A1360" s="215" t="n">
        <v>40680</v>
      </c>
      <c r="B1360" s="213" t="n">
        <v>20.7</v>
      </c>
      <c r="C1360" s="213" t="n">
        <f aca="false">AVERAGEIFS($B$33:$B$1494,$A$33:$A$1494,A1360)</f>
        <v>20.65</v>
      </c>
      <c r="D1360" s="213" t="n">
        <v>22.7</v>
      </c>
      <c r="E1360" s="213" t="n">
        <f aca="false">AVERAGEIFS($D$33:$D$1494,$A$33:$A$1494,A1360)</f>
        <v>22.7</v>
      </c>
      <c r="F1360" s="213" t="n">
        <v>14.6</v>
      </c>
      <c r="G1360" s="213" t="n">
        <f aca="false">AVERAGEIFS($F$33:$F$1494,$A$33:$A$1494,A1360)</f>
        <v>15.9166666666667</v>
      </c>
      <c r="H1360" s="213" t="n">
        <v>15.1</v>
      </c>
      <c r="I1360" s="213" t="n">
        <f aca="false">AVERAGEIFS($H$33:$H$1494,$A$33:$A$1494,A1360)</f>
        <v>15</v>
      </c>
      <c r="L1360" s="215" t="n">
        <v>40680</v>
      </c>
      <c r="M1360" s="213" t="n">
        <v>20.65</v>
      </c>
      <c r="N1360" s="213" t="n">
        <v>22.7</v>
      </c>
      <c r="O1360" s="213" t="n">
        <v>15.9166666666667</v>
      </c>
      <c r="P1360" s="213" t="n">
        <v>15</v>
      </c>
    </row>
    <row r="1361" customFormat="false" ht="12.75" hidden="false" customHeight="false" outlineLevel="0" collapsed="false">
      <c r="A1361" s="215" t="n">
        <v>40680</v>
      </c>
      <c r="B1361" s="213" t="n">
        <v>20.6</v>
      </c>
      <c r="C1361" s="213" t="n">
        <f aca="false">AVERAGEIFS($B$33:$B$1494,$A$33:$A$1494,A1361)</f>
        <v>20.65</v>
      </c>
      <c r="D1361" s="213" t="n">
        <v>22.7</v>
      </c>
      <c r="E1361" s="213" t="n">
        <f aca="false">AVERAGEIFS($D$33:$D$1494,$A$33:$A$1494,A1361)</f>
        <v>22.7</v>
      </c>
      <c r="F1361" s="213" t="n">
        <v>13.7</v>
      </c>
      <c r="G1361" s="213" t="n">
        <f aca="false">AVERAGEIFS($F$33:$F$1494,$A$33:$A$1494,A1361)</f>
        <v>15.9166666666667</v>
      </c>
      <c r="H1361" s="213" t="n">
        <v>14.8</v>
      </c>
      <c r="I1361" s="213" t="n">
        <f aca="false">AVERAGEIFS($H$33:$H$1494,$A$33:$A$1494,A1361)</f>
        <v>15</v>
      </c>
      <c r="L1361" s="215" t="n">
        <v>40680</v>
      </c>
      <c r="M1361" s="213" t="n">
        <v>20.65</v>
      </c>
      <c r="N1361" s="213" t="n">
        <v>22.7</v>
      </c>
      <c r="O1361" s="213" t="n">
        <v>15.9166666666667</v>
      </c>
      <c r="P1361" s="213" t="n">
        <v>15</v>
      </c>
    </row>
    <row r="1362" customFormat="false" ht="12.75" hidden="false" customHeight="false" outlineLevel="0" collapsed="false">
      <c r="A1362" s="215" t="n">
        <v>40680</v>
      </c>
      <c r="B1362" s="213" t="n">
        <v>20.6</v>
      </c>
      <c r="C1362" s="213" t="n">
        <f aca="false">AVERAGEIFS($B$33:$B$1494,$A$33:$A$1494,A1362)</f>
        <v>20.65</v>
      </c>
      <c r="D1362" s="213" t="n">
        <v>22.7</v>
      </c>
      <c r="E1362" s="213" t="n">
        <f aca="false">AVERAGEIFS($D$33:$D$1494,$A$33:$A$1494,A1362)</f>
        <v>22.7</v>
      </c>
      <c r="F1362" s="213" t="n">
        <v>15.2</v>
      </c>
      <c r="G1362" s="213" t="n">
        <f aca="false">AVERAGEIFS($F$33:$F$1494,$A$33:$A$1494,A1362)</f>
        <v>15.9166666666667</v>
      </c>
      <c r="H1362" s="213" t="n">
        <v>14.5</v>
      </c>
      <c r="I1362" s="213" t="n">
        <f aca="false">AVERAGEIFS($H$33:$H$1494,$A$33:$A$1494,A1362)</f>
        <v>15</v>
      </c>
      <c r="L1362" s="215" t="n">
        <v>40680</v>
      </c>
      <c r="M1362" s="213" t="n">
        <v>20.65</v>
      </c>
      <c r="N1362" s="213" t="n">
        <v>22.7</v>
      </c>
      <c r="O1362" s="213" t="n">
        <v>15.9166666666667</v>
      </c>
      <c r="P1362" s="213" t="n">
        <v>15</v>
      </c>
    </row>
    <row r="1363" customFormat="false" ht="12.75" hidden="false" customHeight="false" outlineLevel="0" collapsed="false">
      <c r="A1363" s="215" t="n">
        <v>40680</v>
      </c>
      <c r="B1363" s="213" t="n">
        <v>20.6</v>
      </c>
      <c r="C1363" s="213" t="n">
        <f aca="false">AVERAGEIFS($B$33:$B$1494,$A$33:$A$1494,A1363)</f>
        <v>20.65</v>
      </c>
      <c r="D1363" s="213" t="n">
        <v>22.7</v>
      </c>
      <c r="E1363" s="213" t="n">
        <f aca="false">AVERAGEIFS($D$33:$D$1494,$A$33:$A$1494,A1363)</f>
        <v>22.7</v>
      </c>
      <c r="F1363" s="213" t="n">
        <v>17.7</v>
      </c>
      <c r="G1363" s="213" t="n">
        <f aca="false">AVERAGEIFS($F$33:$F$1494,$A$33:$A$1494,A1363)</f>
        <v>15.9166666666667</v>
      </c>
      <c r="H1363" s="213" t="n">
        <v>14.8</v>
      </c>
      <c r="I1363" s="213" t="n">
        <f aca="false">AVERAGEIFS($H$33:$H$1494,$A$33:$A$1494,A1363)</f>
        <v>15</v>
      </c>
      <c r="L1363" s="215" t="n">
        <v>40680</v>
      </c>
      <c r="M1363" s="213" t="n">
        <v>20.65</v>
      </c>
      <c r="N1363" s="213" t="n">
        <v>22.7</v>
      </c>
      <c r="O1363" s="213" t="n">
        <v>15.9166666666667</v>
      </c>
      <c r="P1363" s="213" t="n">
        <v>15</v>
      </c>
    </row>
    <row r="1364" customFormat="false" ht="12.75" hidden="false" customHeight="false" outlineLevel="0" collapsed="false">
      <c r="A1364" s="215" t="n">
        <v>40680</v>
      </c>
      <c r="B1364" s="213" t="n">
        <v>20.7</v>
      </c>
      <c r="C1364" s="213" t="n">
        <f aca="false">AVERAGEIFS($B$33:$B$1494,$A$33:$A$1494,A1364)</f>
        <v>20.65</v>
      </c>
      <c r="D1364" s="213" t="n">
        <v>22.7</v>
      </c>
      <c r="E1364" s="213" t="n">
        <f aca="false">AVERAGEIFS($D$33:$D$1494,$A$33:$A$1494,A1364)</f>
        <v>22.7</v>
      </c>
      <c r="F1364" s="213" t="n">
        <v>18.4</v>
      </c>
      <c r="G1364" s="213" t="n">
        <f aca="false">AVERAGEIFS($F$33:$F$1494,$A$33:$A$1494,A1364)</f>
        <v>15.9166666666667</v>
      </c>
      <c r="H1364" s="213" t="n">
        <v>15.5</v>
      </c>
      <c r="I1364" s="213" t="n">
        <f aca="false">AVERAGEIFS($H$33:$H$1494,$A$33:$A$1494,A1364)</f>
        <v>15</v>
      </c>
      <c r="L1364" s="215" t="n">
        <v>40680</v>
      </c>
      <c r="M1364" s="213" t="n">
        <v>20.65</v>
      </c>
      <c r="N1364" s="213" t="n">
        <v>22.7</v>
      </c>
      <c r="O1364" s="213" t="n">
        <v>15.9166666666667</v>
      </c>
      <c r="P1364" s="213" t="n">
        <v>15</v>
      </c>
    </row>
    <row r="1365" customFormat="false" ht="12.75" hidden="false" customHeight="false" outlineLevel="0" collapsed="false">
      <c r="A1365" s="215" t="n">
        <v>40681</v>
      </c>
      <c r="B1365" s="213" t="n">
        <v>20.7</v>
      </c>
      <c r="C1365" s="213" t="n">
        <f aca="false">AVERAGEIFS($B$33:$B$1494,$A$33:$A$1494,A1365)</f>
        <v>20.6833333333333</v>
      </c>
      <c r="D1365" s="213" t="n">
        <v>22.7</v>
      </c>
      <c r="E1365" s="213" t="n">
        <f aca="false">AVERAGEIFS($D$33:$D$1494,$A$33:$A$1494,A1365)</f>
        <v>22.75</v>
      </c>
      <c r="F1365" s="213" t="n">
        <v>17.1</v>
      </c>
      <c r="G1365" s="213" t="n">
        <f aca="false">AVERAGEIFS($F$33:$F$1494,$A$33:$A$1494,A1365)</f>
        <v>17.2166666666667</v>
      </c>
      <c r="H1365" s="213" t="n">
        <v>15.9</v>
      </c>
      <c r="I1365" s="213" t="n">
        <f aca="false">AVERAGEIFS($H$33:$H$1494,$A$33:$A$1494,A1365)</f>
        <v>15.7333333333333</v>
      </c>
      <c r="L1365" s="215" t="n">
        <v>40681</v>
      </c>
      <c r="M1365" s="213" t="n">
        <v>20.6833333333333</v>
      </c>
      <c r="N1365" s="213" t="n">
        <v>22.75</v>
      </c>
      <c r="O1365" s="213" t="n">
        <v>17.2166666666667</v>
      </c>
      <c r="P1365" s="213" t="n">
        <v>15.7333333333333</v>
      </c>
    </row>
    <row r="1366" customFormat="false" ht="12.75" hidden="false" customHeight="false" outlineLevel="0" collapsed="false">
      <c r="A1366" s="215" t="n">
        <v>40681</v>
      </c>
      <c r="B1366" s="213" t="n">
        <v>20.7</v>
      </c>
      <c r="C1366" s="213" t="n">
        <f aca="false">AVERAGEIFS($B$33:$B$1494,$A$33:$A$1494,A1366)</f>
        <v>20.6833333333333</v>
      </c>
      <c r="D1366" s="213" t="n">
        <v>22.7</v>
      </c>
      <c r="E1366" s="213" t="n">
        <f aca="false">AVERAGEIFS($D$33:$D$1494,$A$33:$A$1494,A1366)</f>
        <v>22.75</v>
      </c>
      <c r="F1366" s="213" t="n">
        <v>15.9</v>
      </c>
      <c r="G1366" s="213" t="n">
        <f aca="false">AVERAGEIFS($F$33:$F$1494,$A$33:$A$1494,A1366)</f>
        <v>17.2166666666667</v>
      </c>
      <c r="H1366" s="213" t="n">
        <v>15.8</v>
      </c>
      <c r="I1366" s="213" t="n">
        <f aca="false">AVERAGEIFS($H$33:$H$1494,$A$33:$A$1494,A1366)</f>
        <v>15.7333333333333</v>
      </c>
      <c r="L1366" s="215" t="n">
        <v>40681</v>
      </c>
      <c r="M1366" s="213" t="n">
        <v>20.6833333333333</v>
      </c>
      <c r="N1366" s="213" t="n">
        <v>22.75</v>
      </c>
      <c r="O1366" s="213" t="n">
        <v>17.2166666666667</v>
      </c>
      <c r="P1366" s="213" t="n">
        <v>15.7333333333333</v>
      </c>
    </row>
    <row r="1367" customFormat="false" ht="12.75" hidden="false" customHeight="false" outlineLevel="0" collapsed="false">
      <c r="A1367" s="215" t="n">
        <v>40681</v>
      </c>
      <c r="B1367" s="213" t="n">
        <v>20.6</v>
      </c>
      <c r="C1367" s="213" t="n">
        <f aca="false">AVERAGEIFS($B$33:$B$1494,$A$33:$A$1494,A1367)</f>
        <v>20.6833333333333</v>
      </c>
      <c r="D1367" s="213" t="n">
        <v>22.7</v>
      </c>
      <c r="E1367" s="213" t="n">
        <f aca="false">AVERAGEIFS($D$33:$D$1494,$A$33:$A$1494,A1367)</f>
        <v>22.75</v>
      </c>
      <c r="F1367" s="213" t="n">
        <v>15.1</v>
      </c>
      <c r="G1367" s="213" t="n">
        <f aca="false">AVERAGEIFS($F$33:$F$1494,$A$33:$A$1494,A1367)</f>
        <v>17.2166666666667</v>
      </c>
      <c r="H1367" s="213" t="n">
        <v>15.5</v>
      </c>
      <c r="I1367" s="213" t="n">
        <f aca="false">AVERAGEIFS($H$33:$H$1494,$A$33:$A$1494,A1367)</f>
        <v>15.7333333333333</v>
      </c>
      <c r="L1367" s="215" t="n">
        <v>40681</v>
      </c>
      <c r="M1367" s="213" t="n">
        <v>20.6833333333333</v>
      </c>
      <c r="N1367" s="213" t="n">
        <v>22.75</v>
      </c>
      <c r="O1367" s="213" t="n">
        <v>17.2166666666667</v>
      </c>
      <c r="P1367" s="213" t="n">
        <v>15.7333333333333</v>
      </c>
    </row>
    <row r="1368" customFormat="false" ht="12.75" hidden="false" customHeight="false" outlineLevel="0" collapsed="false">
      <c r="A1368" s="215" t="n">
        <v>40681</v>
      </c>
      <c r="B1368" s="213" t="n">
        <v>20.6</v>
      </c>
      <c r="C1368" s="213" t="n">
        <f aca="false">AVERAGEIFS($B$33:$B$1494,$A$33:$A$1494,A1368)</f>
        <v>20.6833333333333</v>
      </c>
      <c r="D1368" s="213" t="n">
        <v>22.8</v>
      </c>
      <c r="E1368" s="213" t="n">
        <f aca="false">AVERAGEIFS($D$33:$D$1494,$A$33:$A$1494,A1368)</f>
        <v>22.75</v>
      </c>
      <c r="F1368" s="213" t="n">
        <v>16.5</v>
      </c>
      <c r="G1368" s="213" t="n">
        <f aca="false">AVERAGEIFS($F$33:$F$1494,$A$33:$A$1494,A1368)</f>
        <v>17.2166666666667</v>
      </c>
      <c r="H1368" s="213" t="n">
        <v>15.3</v>
      </c>
      <c r="I1368" s="213" t="n">
        <f aca="false">AVERAGEIFS($H$33:$H$1494,$A$33:$A$1494,A1368)</f>
        <v>15.7333333333333</v>
      </c>
      <c r="L1368" s="215" t="n">
        <v>40681</v>
      </c>
      <c r="M1368" s="213" t="n">
        <v>20.6833333333333</v>
      </c>
      <c r="N1368" s="213" t="n">
        <v>22.75</v>
      </c>
      <c r="O1368" s="213" t="n">
        <v>17.2166666666667</v>
      </c>
      <c r="P1368" s="213" t="n">
        <v>15.7333333333333</v>
      </c>
    </row>
    <row r="1369" customFormat="false" ht="12.75" hidden="false" customHeight="false" outlineLevel="0" collapsed="false">
      <c r="A1369" s="215" t="n">
        <v>40681</v>
      </c>
      <c r="B1369" s="213" t="n">
        <v>20.7</v>
      </c>
      <c r="C1369" s="213" t="n">
        <f aca="false">AVERAGEIFS($B$33:$B$1494,$A$33:$A$1494,A1369)</f>
        <v>20.6833333333333</v>
      </c>
      <c r="D1369" s="213" t="n">
        <v>22.8</v>
      </c>
      <c r="E1369" s="213" t="n">
        <f aca="false">AVERAGEIFS($D$33:$D$1494,$A$33:$A$1494,A1369)</f>
        <v>22.75</v>
      </c>
      <c r="F1369" s="213" t="n">
        <v>19.1</v>
      </c>
      <c r="G1369" s="213" t="n">
        <f aca="false">AVERAGEIFS($F$33:$F$1494,$A$33:$A$1494,A1369)</f>
        <v>17.2166666666667</v>
      </c>
      <c r="H1369" s="213" t="n">
        <v>15.6</v>
      </c>
      <c r="I1369" s="213" t="n">
        <f aca="false">AVERAGEIFS($H$33:$H$1494,$A$33:$A$1494,A1369)</f>
        <v>15.7333333333333</v>
      </c>
      <c r="L1369" s="215" t="n">
        <v>40681</v>
      </c>
      <c r="M1369" s="213" t="n">
        <v>20.6833333333333</v>
      </c>
      <c r="N1369" s="213" t="n">
        <v>22.75</v>
      </c>
      <c r="O1369" s="213" t="n">
        <v>17.2166666666667</v>
      </c>
      <c r="P1369" s="213" t="n">
        <v>15.7333333333333</v>
      </c>
    </row>
    <row r="1370" customFormat="false" ht="12.75" hidden="false" customHeight="false" outlineLevel="0" collapsed="false">
      <c r="A1370" s="215" t="n">
        <v>40681</v>
      </c>
      <c r="B1370" s="213" t="n">
        <v>20.8</v>
      </c>
      <c r="C1370" s="213" t="n">
        <f aca="false">AVERAGEIFS($B$33:$B$1494,$A$33:$A$1494,A1370)</f>
        <v>20.6833333333333</v>
      </c>
      <c r="D1370" s="213" t="n">
        <v>22.8</v>
      </c>
      <c r="E1370" s="213" t="n">
        <f aca="false">AVERAGEIFS($D$33:$D$1494,$A$33:$A$1494,A1370)</f>
        <v>22.75</v>
      </c>
      <c r="F1370" s="213" t="n">
        <v>19.6</v>
      </c>
      <c r="G1370" s="213" t="n">
        <f aca="false">AVERAGEIFS($F$33:$F$1494,$A$33:$A$1494,A1370)</f>
        <v>17.2166666666667</v>
      </c>
      <c r="H1370" s="213" t="n">
        <v>16.3</v>
      </c>
      <c r="I1370" s="213" t="n">
        <f aca="false">AVERAGEIFS($H$33:$H$1494,$A$33:$A$1494,A1370)</f>
        <v>15.7333333333333</v>
      </c>
      <c r="L1370" s="215" t="n">
        <v>40681</v>
      </c>
      <c r="M1370" s="213" t="n">
        <v>20.6833333333333</v>
      </c>
      <c r="N1370" s="213" t="n">
        <v>22.75</v>
      </c>
      <c r="O1370" s="213" t="n">
        <v>17.2166666666667</v>
      </c>
      <c r="P1370" s="213" t="n">
        <v>15.7333333333333</v>
      </c>
    </row>
    <row r="1371" customFormat="false" ht="12.75" hidden="false" customHeight="false" outlineLevel="0" collapsed="false">
      <c r="A1371" s="215" t="n">
        <v>40682</v>
      </c>
      <c r="B1371" s="213" t="n">
        <v>20.8</v>
      </c>
      <c r="C1371" s="213" t="n">
        <f aca="false">AVERAGEIFS($B$33:$B$1494,$A$33:$A$1494,A1371)</f>
        <v>20.75</v>
      </c>
      <c r="D1371" s="213" t="n">
        <v>22.8</v>
      </c>
      <c r="E1371" s="213" t="n">
        <f aca="false">AVERAGEIFS($D$33:$D$1494,$A$33:$A$1494,A1371)</f>
        <v>22.8</v>
      </c>
      <c r="F1371" s="213" t="n">
        <v>18.3</v>
      </c>
      <c r="G1371" s="213" t="n">
        <f aca="false">AVERAGEIFS($F$33:$F$1494,$A$33:$A$1494,A1371)</f>
        <v>18.2166666666667</v>
      </c>
      <c r="H1371" s="213" t="n">
        <v>16.6</v>
      </c>
      <c r="I1371" s="213" t="n">
        <f aca="false">AVERAGEIFS($H$33:$H$1494,$A$33:$A$1494,A1371)</f>
        <v>16.4833333333333</v>
      </c>
      <c r="L1371" s="215" t="n">
        <v>40682</v>
      </c>
      <c r="M1371" s="213" t="n">
        <v>20.75</v>
      </c>
      <c r="N1371" s="213" t="n">
        <v>22.8</v>
      </c>
      <c r="O1371" s="213" t="n">
        <v>18.2166666666667</v>
      </c>
      <c r="P1371" s="213" t="n">
        <v>16.4833333333333</v>
      </c>
    </row>
    <row r="1372" customFormat="false" ht="12.75" hidden="false" customHeight="false" outlineLevel="0" collapsed="false">
      <c r="A1372" s="215" t="n">
        <v>40682</v>
      </c>
      <c r="B1372" s="213" t="n">
        <v>20.8</v>
      </c>
      <c r="C1372" s="213" t="n">
        <f aca="false">AVERAGEIFS($B$33:$B$1494,$A$33:$A$1494,A1372)</f>
        <v>20.75</v>
      </c>
      <c r="D1372" s="213" t="n">
        <v>22.8</v>
      </c>
      <c r="E1372" s="213" t="n">
        <f aca="false">AVERAGEIFS($D$33:$D$1494,$A$33:$A$1494,A1372)</f>
        <v>22.8</v>
      </c>
      <c r="F1372" s="213" t="n">
        <v>17.2</v>
      </c>
      <c r="G1372" s="213" t="n">
        <f aca="false">AVERAGEIFS($F$33:$F$1494,$A$33:$A$1494,A1372)</f>
        <v>18.2166666666667</v>
      </c>
      <c r="H1372" s="213" t="n">
        <v>16.6</v>
      </c>
      <c r="I1372" s="213" t="n">
        <f aca="false">AVERAGEIFS($H$33:$H$1494,$A$33:$A$1494,A1372)</f>
        <v>16.4833333333333</v>
      </c>
      <c r="L1372" s="215" t="n">
        <v>40682</v>
      </c>
      <c r="M1372" s="213" t="n">
        <v>20.75</v>
      </c>
      <c r="N1372" s="213" t="n">
        <v>22.8</v>
      </c>
      <c r="O1372" s="213" t="n">
        <v>18.2166666666667</v>
      </c>
      <c r="P1372" s="213" t="n">
        <v>16.4833333333333</v>
      </c>
    </row>
    <row r="1373" customFormat="false" ht="12.75" hidden="false" customHeight="false" outlineLevel="0" collapsed="false">
      <c r="A1373" s="215" t="n">
        <v>40682</v>
      </c>
      <c r="B1373" s="213" t="n">
        <v>20.7</v>
      </c>
      <c r="C1373" s="213" t="n">
        <f aca="false">AVERAGEIFS($B$33:$B$1494,$A$33:$A$1494,A1373)</f>
        <v>20.75</v>
      </c>
      <c r="D1373" s="213" t="n">
        <v>22.8</v>
      </c>
      <c r="E1373" s="213" t="n">
        <f aca="false">AVERAGEIFS($D$33:$D$1494,$A$33:$A$1494,A1373)</f>
        <v>22.8</v>
      </c>
      <c r="F1373" s="213" t="n">
        <v>16.4</v>
      </c>
      <c r="G1373" s="213" t="n">
        <f aca="false">AVERAGEIFS($F$33:$F$1494,$A$33:$A$1494,A1373)</f>
        <v>18.2166666666667</v>
      </c>
      <c r="H1373" s="213" t="n">
        <v>16.3</v>
      </c>
      <c r="I1373" s="213" t="n">
        <f aca="false">AVERAGEIFS($H$33:$H$1494,$A$33:$A$1494,A1373)</f>
        <v>16.4833333333333</v>
      </c>
      <c r="L1373" s="215" t="n">
        <v>40682</v>
      </c>
      <c r="M1373" s="213" t="n">
        <v>20.75</v>
      </c>
      <c r="N1373" s="213" t="n">
        <v>22.8</v>
      </c>
      <c r="O1373" s="213" t="n">
        <v>18.2166666666667</v>
      </c>
      <c r="P1373" s="213" t="n">
        <v>16.4833333333333</v>
      </c>
    </row>
    <row r="1374" customFormat="false" ht="12.75" hidden="false" customHeight="false" outlineLevel="0" collapsed="false">
      <c r="A1374" s="215" t="n">
        <v>40682</v>
      </c>
      <c r="B1374" s="213" t="n">
        <v>20.7</v>
      </c>
      <c r="C1374" s="213" t="n">
        <f aca="false">AVERAGEIFS($B$33:$B$1494,$A$33:$A$1494,A1374)</f>
        <v>20.75</v>
      </c>
      <c r="D1374" s="213" t="n">
        <v>22.8</v>
      </c>
      <c r="E1374" s="213" t="n">
        <f aca="false">AVERAGEIFS($D$33:$D$1494,$A$33:$A$1494,A1374)</f>
        <v>22.8</v>
      </c>
      <c r="F1374" s="213" t="n">
        <v>17.5</v>
      </c>
      <c r="G1374" s="213" t="n">
        <f aca="false">AVERAGEIFS($F$33:$F$1494,$A$33:$A$1494,A1374)</f>
        <v>18.2166666666667</v>
      </c>
      <c r="H1374" s="213" t="n">
        <v>16.1</v>
      </c>
      <c r="I1374" s="213" t="n">
        <f aca="false">AVERAGEIFS($H$33:$H$1494,$A$33:$A$1494,A1374)</f>
        <v>16.4833333333333</v>
      </c>
      <c r="L1374" s="215" t="n">
        <v>40682</v>
      </c>
      <c r="M1374" s="213" t="n">
        <v>20.75</v>
      </c>
      <c r="N1374" s="213" t="n">
        <v>22.8</v>
      </c>
      <c r="O1374" s="213" t="n">
        <v>18.2166666666667</v>
      </c>
      <c r="P1374" s="213" t="n">
        <v>16.4833333333333</v>
      </c>
    </row>
    <row r="1375" customFormat="false" ht="12.75" hidden="false" customHeight="false" outlineLevel="0" collapsed="false">
      <c r="A1375" s="215" t="n">
        <v>40682</v>
      </c>
      <c r="B1375" s="213" t="n">
        <v>20.7</v>
      </c>
      <c r="C1375" s="213" t="n">
        <f aca="false">AVERAGEIFS($B$33:$B$1494,$A$33:$A$1494,A1375)</f>
        <v>20.75</v>
      </c>
      <c r="D1375" s="213" t="n">
        <v>22.8</v>
      </c>
      <c r="E1375" s="213" t="n">
        <f aca="false">AVERAGEIFS($D$33:$D$1494,$A$33:$A$1494,A1375)</f>
        <v>22.8</v>
      </c>
      <c r="F1375" s="213" t="n">
        <v>19.8</v>
      </c>
      <c r="G1375" s="213" t="n">
        <f aca="false">AVERAGEIFS($F$33:$F$1494,$A$33:$A$1494,A1375)</f>
        <v>18.2166666666667</v>
      </c>
      <c r="H1375" s="213" t="n">
        <v>16.4</v>
      </c>
      <c r="I1375" s="213" t="n">
        <f aca="false">AVERAGEIFS($H$33:$H$1494,$A$33:$A$1494,A1375)</f>
        <v>16.4833333333333</v>
      </c>
      <c r="L1375" s="215" t="n">
        <v>40682</v>
      </c>
      <c r="M1375" s="213" t="n">
        <v>20.75</v>
      </c>
      <c r="N1375" s="213" t="n">
        <v>22.8</v>
      </c>
      <c r="O1375" s="213" t="n">
        <v>18.2166666666667</v>
      </c>
      <c r="P1375" s="213" t="n">
        <v>16.4833333333333</v>
      </c>
    </row>
    <row r="1376" customFormat="false" ht="12.75" hidden="false" customHeight="false" outlineLevel="0" collapsed="false">
      <c r="A1376" s="215" t="n">
        <v>40682</v>
      </c>
      <c r="B1376" s="213" t="n">
        <v>20.8</v>
      </c>
      <c r="C1376" s="213" t="n">
        <f aca="false">AVERAGEIFS($B$33:$B$1494,$A$33:$A$1494,A1376)</f>
        <v>20.75</v>
      </c>
      <c r="D1376" s="213" t="n">
        <v>22.8</v>
      </c>
      <c r="E1376" s="213" t="n">
        <f aca="false">AVERAGEIFS($D$33:$D$1494,$A$33:$A$1494,A1376)</f>
        <v>22.8</v>
      </c>
      <c r="F1376" s="213" t="n">
        <v>20.1</v>
      </c>
      <c r="G1376" s="213" t="n">
        <f aca="false">AVERAGEIFS($F$33:$F$1494,$A$33:$A$1494,A1376)</f>
        <v>18.2166666666667</v>
      </c>
      <c r="H1376" s="213" t="n">
        <v>16.9</v>
      </c>
      <c r="I1376" s="213" t="n">
        <f aca="false">AVERAGEIFS($H$33:$H$1494,$A$33:$A$1494,A1376)</f>
        <v>16.4833333333333</v>
      </c>
      <c r="L1376" s="215" t="n">
        <v>40682</v>
      </c>
      <c r="M1376" s="213" t="n">
        <v>20.75</v>
      </c>
      <c r="N1376" s="213" t="n">
        <v>22.8</v>
      </c>
      <c r="O1376" s="213" t="n">
        <v>18.2166666666667</v>
      </c>
      <c r="P1376" s="213" t="n">
        <v>16.4833333333333</v>
      </c>
    </row>
    <row r="1377" customFormat="false" ht="12.75" hidden="false" customHeight="false" outlineLevel="0" collapsed="false">
      <c r="A1377" s="215" t="n">
        <v>40683</v>
      </c>
      <c r="B1377" s="213" t="n">
        <v>20.8</v>
      </c>
      <c r="C1377" s="213" t="n">
        <f aca="false">AVERAGEIFS($B$33:$B$1494,$A$33:$A$1494,A1377)</f>
        <v>20.75</v>
      </c>
      <c r="D1377" s="213" t="n">
        <v>22.9</v>
      </c>
      <c r="E1377" s="213" t="n">
        <f aca="false">AVERAGEIFS($D$33:$D$1494,$A$33:$A$1494,A1377)</f>
        <v>22.9</v>
      </c>
      <c r="F1377" s="213" t="n">
        <v>18.6</v>
      </c>
      <c r="G1377" s="213" t="n">
        <f aca="false">AVERAGEIFS($F$33:$F$1494,$A$33:$A$1494,A1377)</f>
        <v>18.2666666666667</v>
      </c>
      <c r="H1377" s="213" t="n">
        <v>17.2</v>
      </c>
      <c r="I1377" s="213" t="n">
        <f aca="false">AVERAGEIFS($H$33:$H$1494,$A$33:$A$1494,A1377)</f>
        <v>16.8333333333333</v>
      </c>
      <c r="L1377" s="215" t="n">
        <v>40683</v>
      </c>
      <c r="M1377" s="213" t="n">
        <v>20.75</v>
      </c>
      <c r="N1377" s="213" t="n">
        <v>22.9</v>
      </c>
      <c r="O1377" s="213" t="n">
        <v>18.2666666666667</v>
      </c>
      <c r="P1377" s="213" t="n">
        <v>16.8333333333333</v>
      </c>
    </row>
    <row r="1378" customFormat="false" ht="12.75" hidden="false" customHeight="false" outlineLevel="0" collapsed="false">
      <c r="A1378" s="215" t="n">
        <v>40683</v>
      </c>
      <c r="B1378" s="213" t="n">
        <v>20.8</v>
      </c>
      <c r="C1378" s="213" t="n">
        <f aca="false">AVERAGEIFS($B$33:$B$1494,$A$33:$A$1494,A1378)</f>
        <v>20.75</v>
      </c>
      <c r="D1378" s="213" t="n">
        <v>22.9</v>
      </c>
      <c r="E1378" s="213" t="n">
        <f aca="false">AVERAGEIFS($D$33:$D$1494,$A$33:$A$1494,A1378)</f>
        <v>22.9</v>
      </c>
      <c r="F1378" s="213" t="n">
        <v>17.3</v>
      </c>
      <c r="G1378" s="213" t="n">
        <f aca="false">AVERAGEIFS($F$33:$F$1494,$A$33:$A$1494,A1378)</f>
        <v>18.2666666666667</v>
      </c>
      <c r="H1378" s="213" t="n">
        <v>17</v>
      </c>
      <c r="I1378" s="213" t="n">
        <f aca="false">AVERAGEIFS($H$33:$H$1494,$A$33:$A$1494,A1378)</f>
        <v>16.8333333333333</v>
      </c>
      <c r="L1378" s="215" t="n">
        <v>40683</v>
      </c>
      <c r="M1378" s="213" t="n">
        <v>20.75</v>
      </c>
      <c r="N1378" s="213" t="n">
        <v>22.9</v>
      </c>
      <c r="O1378" s="213" t="n">
        <v>18.2666666666667</v>
      </c>
      <c r="P1378" s="213" t="n">
        <v>16.8333333333333</v>
      </c>
    </row>
    <row r="1379" customFormat="false" ht="12.75" hidden="false" customHeight="false" outlineLevel="0" collapsed="false">
      <c r="A1379" s="215" t="n">
        <v>40683</v>
      </c>
      <c r="B1379" s="213" t="n">
        <v>20.7</v>
      </c>
      <c r="C1379" s="213" t="n">
        <f aca="false">AVERAGEIFS($B$33:$B$1494,$A$33:$A$1494,A1379)</f>
        <v>20.75</v>
      </c>
      <c r="D1379" s="213" t="n">
        <v>22.9</v>
      </c>
      <c r="E1379" s="213" t="n">
        <f aca="false">AVERAGEIFS($D$33:$D$1494,$A$33:$A$1494,A1379)</f>
        <v>22.9</v>
      </c>
      <c r="F1379" s="213" t="n">
        <v>16.2</v>
      </c>
      <c r="G1379" s="213" t="n">
        <f aca="false">AVERAGEIFS($F$33:$F$1494,$A$33:$A$1494,A1379)</f>
        <v>18.2666666666667</v>
      </c>
      <c r="H1379" s="213" t="n">
        <v>16.7</v>
      </c>
      <c r="I1379" s="213" t="n">
        <f aca="false">AVERAGEIFS($H$33:$H$1494,$A$33:$A$1494,A1379)</f>
        <v>16.8333333333333</v>
      </c>
      <c r="L1379" s="215" t="n">
        <v>40683</v>
      </c>
      <c r="M1379" s="213" t="n">
        <v>20.75</v>
      </c>
      <c r="N1379" s="213" t="n">
        <v>22.9</v>
      </c>
      <c r="O1379" s="213" t="n">
        <v>18.2666666666667</v>
      </c>
      <c r="P1379" s="213" t="n">
        <v>16.8333333333333</v>
      </c>
    </row>
    <row r="1380" customFormat="false" ht="12.75" hidden="false" customHeight="false" outlineLevel="0" collapsed="false">
      <c r="A1380" s="215" t="n">
        <v>40683</v>
      </c>
      <c r="B1380" s="213" t="n">
        <v>20.7</v>
      </c>
      <c r="C1380" s="213" t="n">
        <f aca="false">AVERAGEIFS($B$33:$B$1494,$A$33:$A$1494,A1380)</f>
        <v>20.75</v>
      </c>
      <c r="D1380" s="213" t="n">
        <v>22.9</v>
      </c>
      <c r="E1380" s="213" t="n">
        <f aca="false">AVERAGEIFS($D$33:$D$1494,$A$33:$A$1494,A1380)</f>
        <v>22.9</v>
      </c>
      <c r="F1380" s="213" t="n">
        <v>17.3</v>
      </c>
      <c r="G1380" s="213" t="n">
        <f aca="false">AVERAGEIFS($F$33:$F$1494,$A$33:$A$1494,A1380)</f>
        <v>18.2666666666667</v>
      </c>
      <c r="H1380" s="213" t="n">
        <v>16.4</v>
      </c>
      <c r="I1380" s="213" t="n">
        <f aca="false">AVERAGEIFS($H$33:$H$1494,$A$33:$A$1494,A1380)</f>
        <v>16.8333333333333</v>
      </c>
      <c r="L1380" s="215" t="n">
        <v>40683</v>
      </c>
      <c r="M1380" s="213" t="n">
        <v>20.75</v>
      </c>
      <c r="N1380" s="213" t="n">
        <v>22.9</v>
      </c>
      <c r="O1380" s="213" t="n">
        <v>18.2666666666667</v>
      </c>
      <c r="P1380" s="213" t="n">
        <v>16.8333333333333</v>
      </c>
    </row>
    <row r="1381" customFormat="false" ht="12.75" hidden="false" customHeight="false" outlineLevel="0" collapsed="false">
      <c r="A1381" s="215" t="n">
        <v>40683</v>
      </c>
      <c r="B1381" s="213" t="n">
        <v>20.7</v>
      </c>
      <c r="C1381" s="213" t="n">
        <f aca="false">AVERAGEIFS($B$33:$B$1494,$A$33:$A$1494,A1381)</f>
        <v>20.75</v>
      </c>
      <c r="D1381" s="213" t="n">
        <v>22.9</v>
      </c>
      <c r="E1381" s="213" t="n">
        <f aca="false">AVERAGEIFS($D$33:$D$1494,$A$33:$A$1494,A1381)</f>
        <v>22.9</v>
      </c>
      <c r="F1381" s="213" t="n">
        <v>19.8</v>
      </c>
      <c r="G1381" s="213" t="n">
        <f aca="false">AVERAGEIFS($F$33:$F$1494,$A$33:$A$1494,A1381)</f>
        <v>18.2666666666667</v>
      </c>
      <c r="H1381" s="213" t="n">
        <v>16.6</v>
      </c>
      <c r="I1381" s="213" t="n">
        <f aca="false">AVERAGEIFS($H$33:$H$1494,$A$33:$A$1494,A1381)</f>
        <v>16.8333333333333</v>
      </c>
      <c r="L1381" s="215" t="n">
        <v>40683</v>
      </c>
      <c r="M1381" s="213" t="n">
        <v>20.75</v>
      </c>
      <c r="N1381" s="213" t="n">
        <v>22.9</v>
      </c>
      <c r="O1381" s="213" t="n">
        <v>18.2666666666667</v>
      </c>
      <c r="P1381" s="213" t="n">
        <v>16.8333333333333</v>
      </c>
    </row>
    <row r="1382" customFormat="false" ht="12.75" hidden="false" customHeight="false" outlineLevel="0" collapsed="false">
      <c r="A1382" s="215" t="n">
        <v>40683</v>
      </c>
      <c r="B1382" s="213" t="n">
        <v>20.8</v>
      </c>
      <c r="C1382" s="213" t="n">
        <f aca="false">AVERAGEIFS($B$33:$B$1494,$A$33:$A$1494,A1382)</f>
        <v>20.75</v>
      </c>
      <c r="D1382" s="213" t="n">
        <v>22.9</v>
      </c>
      <c r="E1382" s="213" t="n">
        <f aca="false">AVERAGEIFS($D$33:$D$1494,$A$33:$A$1494,A1382)</f>
        <v>22.9</v>
      </c>
      <c r="F1382" s="213" t="n">
        <v>20.4</v>
      </c>
      <c r="G1382" s="213" t="n">
        <f aca="false">AVERAGEIFS($F$33:$F$1494,$A$33:$A$1494,A1382)</f>
        <v>18.2666666666667</v>
      </c>
      <c r="H1382" s="213" t="n">
        <v>17.1</v>
      </c>
      <c r="I1382" s="213" t="n">
        <f aca="false">AVERAGEIFS($H$33:$H$1494,$A$33:$A$1494,A1382)</f>
        <v>16.8333333333333</v>
      </c>
      <c r="L1382" s="215" t="n">
        <v>40683</v>
      </c>
      <c r="M1382" s="213" t="n">
        <v>20.75</v>
      </c>
      <c r="N1382" s="213" t="n">
        <v>22.9</v>
      </c>
      <c r="O1382" s="213" t="n">
        <v>18.2666666666667</v>
      </c>
      <c r="P1382" s="213" t="n">
        <v>16.8333333333333</v>
      </c>
    </row>
    <row r="1383" customFormat="false" ht="12.75" hidden="false" customHeight="false" outlineLevel="0" collapsed="false">
      <c r="A1383" s="215" t="n">
        <v>40684</v>
      </c>
      <c r="B1383" s="213" t="n">
        <v>20.8</v>
      </c>
      <c r="C1383" s="213" t="n">
        <f aca="false">AVERAGEIFS($B$33:$B$1494,$A$33:$A$1494,A1383)</f>
        <v>20.7666666666667</v>
      </c>
      <c r="D1383" s="213" t="n">
        <v>22.9</v>
      </c>
      <c r="E1383" s="213" t="n">
        <f aca="false">AVERAGEIFS($D$33:$D$1494,$A$33:$A$1494,A1383)</f>
        <v>22.9</v>
      </c>
      <c r="F1383" s="213" t="n">
        <v>19.3</v>
      </c>
      <c r="G1383" s="213" t="n">
        <f aca="false">AVERAGEIFS($F$33:$F$1494,$A$33:$A$1494,A1383)</f>
        <v>19.3166666666667</v>
      </c>
      <c r="H1383" s="213" t="n">
        <v>17.5</v>
      </c>
      <c r="I1383" s="213" t="n">
        <f aca="false">AVERAGEIFS($H$33:$H$1494,$A$33:$A$1494,A1383)</f>
        <v>17.35</v>
      </c>
      <c r="L1383" s="215" t="n">
        <v>40684</v>
      </c>
      <c r="M1383" s="213" t="n">
        <v>20.7666666666667</v>
      </c>
      <c r="N1383" s="213" t="n">
        <v>22.9</v>
      </c>
      <c r="O1383" s="213" t="n">
        <v>19.3166666666667</v>
      </c>
      <c r="P1383" s="213" t="n">
        <v>17.35</v>
      </c>
    </row>
    <row r="1384" customFormat="false" ht="12.75" hidden="false" customHeight="false" outlineLevel="0" collapsed="false">
      <c r="A1384" s="215" t="n">
        <v>40684</v>
      </c>
      <c r="B1384" s="213" t="n">
        <v>20.8</v>
      </c>
      <c r="C1384" s="213" t="n">
        <f aca="false">AVERAGEIFS($B$33:$B$1494,$A$33:$A$1494,A1384)</f>
        <v>20.7666666666667</v>
      </c>
      <c r="D1384" s="213" t="n">
        <v>22.9</v>
      </c>
      <c r="E1384" s="213" t="n">
        <f aca="false">AVERAGEIFS($D$33:$D$1494,$A$33:$A$1494,A1384)</f>
        <v>22.9</v>
      </c>
      <c r="F1384" s="213" t="n">
        <v>18.5</v>
      </c>
      <c r="G1384" s="213" t="n">
        <f aca="false">AVERAGEIFS($F$33:$F$1494,$A$33:$A$1494,A1384)</f>
        <v>19.3166666666667</v>
      </c>
      <c r="H1384" s="213" t="n">
        <v>17.4</v>
      </c>
      <c r="I1384" s="213" t="n">
        <f aca="false">AVERAGEIFS($H$33:$H$1494,$A$33:$A$1494,A1384)</f>
        <v>17.35</v>
      </c>
      <c r="L1384" s="215" t="n">
        <v>40684</v>
      </c>
      <c r="M1384" s="213" t="n">
        <v>20.7666666666667</v>
      </c>
      <c r="N1384" s="213" t="n">
        <v>22.9</v>
      </c>
      <c r="O1384" s="213" t="n">
        <v>19.3166666666667</v>
      </c>
      <c r="P1384" s="213" t="n">
        <v>17.35</v>
      </c>
    </row>
    <row r="1385" customFormat="false" ht="12.75" hidden="false" customHeight="false" outlineLevel="0" collapsed="false">
      <c r="A1385" s="215" t="n">
        <v>40684</v>
      </c>
      <c r="B1385" s="213" t="n">
        <v>20.7</v>
      </c>
      <c r="C1385" s="213" t="n">
        <f aca="false">AVERAGEIFS($B$33:$B$1494,$A$33:$A$1494,A1385)</f>
        <v>20.7666666666667</v>
      </c>
      <c r="D1385" s="213" t="n">
        <v>22.9</v>
      </c>
      <c r="E1385" s="213" t="n">
        <f aca="false">AVERAGEIFS($D$33:$D$1494,$A$33:$A$1494,A1385)</f>
        <v>22.9</v>
      </c>
      <c r="F1385" s="213" t="n">
        <v>17.7</v>
      </c>
      <c r="G1385" s="213" t="n">
        <f aca="false">AVERAGEIFS($F$33:$F$1494,$A$33:$A$1494,A1385)</f>
        <v>19.3166666666667</v>
      </c>
      <c r="H1385" s="213" t="n">
        <v>17.2</v>
      </c>
      <c r="I1385" s="213" t="n">
        <f aca="false">AVERAGEIFS($H$33:$H$1494,$A$33:$A$1494,A1385)</f>
        <v>17.35</v>
      </c>
      <c r="L1385" s="215" t="n">
        <v>40684</v>
      </c>
      <c r="M1385" s="213" t="n">
        <v>20.7666666666667</v>
      </c>
      <c r="N1385" s="213" t="n">
        <v>22.9</v>
      </c>
      <c r="O1385" s="213" t="n">
        <v>19.3166666666667</v>
      </c>
      <c r="P1385" s="213" t="n">
        <v>17.35</v>
      </c>
    </row>
    <row r="1386" customFormat="false" ht="12.75" hidden="false" customHeight="false" outlineLevel="0" collapsed="false">
      <c r="A1386" s="215" t="n">
        <v>40684</v>
      </c>
      <c r="B1386" s="213" t="n">
        <v>20.7</v>
      </c>
      <c r="C1386" s="213" t="n">
        <f aca="false">AVERAGEIFS($B$33:$B$1494,$A$33:$A$1494,A1386)</f>
        <v>20.7666666666667</v>
      </c>
      <c r="D1386" s="213" t="n">
        <v>22.9</v>
      </c>
      <c r="E1386" s="213" t="n">
        <f aca="false">AVERAGEIFS($D$33:$D$1494,$A$33:$A$1494,A1386)</f>
        <v>22.9</v>
      </c>
      <c r="F1386" s="213" t="n">
        <v>18.5</v>
      </c>
      <c r="G1386" s="213" t="n">
        <f aca="false">AVERAGEIFS($F$33:$F$1494,$A$33:$A$1494,A1386)</f>
        <v>19.3166666666667</v>
      </c>
      <c r="H1386" s="213" t="n">
        <v>17</v>
      </c>
      <c r="I1386" s="213" t="n">
        <f aca="false">AVERAGEIFS($H$33:$H$1494,$A$33:$A$1494,A1386)</f>
        <v>17.35</v>
      </c>
      <c r="L1386" s="215" t="n">
        <v>40684</v>
      </c>
      <c r="M1386" s="213" t="n">
        <v>20.7666666666667</v>
      </c>
      <c r="N1386" s="213" t="n">
        <v>22.9</v>
      </c>
      <c r="O1386" s="213" t="n">
        <v>19.3166666666667</v>
      </c>
      <c r="P1386" s="213" t="n">
        <v>17.35</v>
      </c>
    </row>
    <row r="1387" customFormat="false" ht="12.75" hidden="false" customHeight="false" outlineLevel="0" collapsed="false">
      <c r="A1387" s="215" t="n">
        <v>40684</v>
      </c>
      <c r="B1387" s="213" t="n">
        <v>20.8</v>
      </c>
      <c r="C1387" s="213" t="n">
        <f aca="false">AVERAGEIFS($B$33:$B$1494,$A$33:$A$1494,A1387)</f>
        <v>20.7666666666667</v>
      </c>
      <c r="D1387" s="213" t="n">
        <v>22.9</v>
      </c>
      <c r="E1387" s="213" t="n">
        <f aca="false">AVERAGEIFS($D$33:$D$1494,$A$33:$A$1494,A1387)</f>
        <v>22.9</v>
      </c>
      <c r="F1387" s="213" t="n">
        <v>20.7</v>
      </c>
      <c r="G1387" s="213" t="n">
        <f aca="false">AVERAGEIFS($F$33:$F$1494,$A$33:$A$1494,A1387)</f>
        <v>19.3166666666667</v>
      </c>
      <c r="H1387" s="213" t="n">
        <v>17.2</v>
      </c>
      <c r="I1387" s="213" t="n">
        <f aca="false">AVERAGEIFS($H$33:$H$1494,$A$33:$A$1494,A1387)</f>
        <v>17.35</v>
      </c>
      <c r="L1387" s="215" t="n">
        <v>40684</v>
      </c>
      <c r="M1387" s="213" t="n">
        <v>20.7666666666667</v>
      </c>
      <c r="N1387" s="213" t="n">
        <v>22.9</v>
      </c>
      <c r="O1387" s="213" t="n">
        <v>19.3166666666667</v>
      </c>
      <c r="P1387" s="213" t="n">
        <v>17.35</v>
      </c>
    </row>
    <row r="1388" customFormat="false" ht="12.75" hidden="false" customHeight="false" outlineLevel="0" collapsed="false">
      <c r="A1388" s="215" t="n">
        <v>40684</v>
      </c>
      <c r="B1388" s="213" t="n">
        <v>20.8</v>
      </c>
      <c r="C1388" s="213" t="n">
        <f aca="false">AVERAGEIFS($B$33:$B$1494,$A$33:$A$1494,A1388)</f>
        <v>20.7666666666667</v>
      </c>
      <c r="D1388" s="213" t="n">
        <v>22.9</v>
      </c>
      <c r="E1388" s="213" t="n">
        <f aca="false">AVERAGEIFS($D$33:$D$1494,$A$33:$A$1494,A1388)</f>
        <v>22.9</v>
      </c>
      <c r="F1388" s="213" t="n">
        <v>21.2</v>
      </c>
      <c r="G1388" s="213" t="n">
        <f aca="false">AVERAGEIFS($F$33:$F$1494,$A$33:$A$1494,A1388)</f>
        <v>19.3166666666667</v>
      </c>
      <c r="H1388" s="213" t="n">
        <v>17.8</v>
      </c>
      <c r="I1388" s="213" t="n">
        <f aca="false">AVERAGEIFS($H$33:$H$1494,$A$33:$A$1494,A1388)</f>
        <v>17.35</v>
      </c>
      <c r="L1388" s="215" t="n">
        <v>40684</v>
      </c>
      <c r="M1388" s="213" t="n">
        <v>20.7666666666667</v>
      </c>
      <c r="N1388" s="213" t="n">
        <v>22.9</v>
      </c>
      <c r="O1388" s="213" t="n">
        <v>19.3166666666667</v>
      </c>
      <c r="P1388" s="213" t="n">
        <v>17.35</v>
      </c>
    </row>
    <row r="1389" customFormat="false" ht="12.75" hidden="false" customHeight="false" outlineLevel="0" collapsed="false">
      <c r="A1389" s="215" t="n">
        <v>40685</v>
      </c>
      <c r="B1389" s="213" t="n">
        <v>20.8</v>
      </c>
      <c r="C1389" s="213" t="n">
        <f aca="false">AVERAGEIFS($B$33:$B$1494,$A$33:$A$1494,A1389)</f>
        <v>20.7666666666667</v>
      </c>
      <c r="D1389" s="213" t="n">
        <v>23</v>
      </c>
      <c r="E1389" s="213" t="n">
        <f aca="false">AVERAGEIFS($D$33:$D$1494,$A$33:$A$1494,A1389)</f>
        <v>22.95</v>
      </c>
      <c r="F1389" s="213" t="n">
        <v>19.9</v>
      </c>
      <c r="G1389" s="213" t="n">
        <f aca="false">AVERAGEIFS($F$33:$F$1494,$A$33:$A$1494,A1389)</f>
        <v>18.95</v>
      </c>
      <c r="H1389" s="213" t="n">
        <v>18.1</v>
      </c>
      <c r="I1389" s="213" t="n">
        <f aca="false">AVERAGEIFS($H$33:$H$1494,$A$33:$A$1494,A1389)</f>
        <v>17.7333333333333</v>
      </c>
      <c r="L1389" s="215" t="n">
        <v>40685</v>
      </c>
      <c r="M1389" s="213" t="n">
        <v>20.7666666666667</v>
      </c>
      <c r="N1389" s="213" t="n">
        <v>22.95</v>
      </c>
      <c r="O1389" s="213" t="n">
        <v>18.95</v>
      </c>
      <c r="P1389" s="213" t="n">
        <v>17.7333333333333</v>
      </c>
    </row>
    <row r="1390" customFormat="false" ht="12.75" hidden="false" customHeight="false" outlineLevel="0" collapsed="false">
      <c r="A1390" s="215" t="n">
        <v>40685</v>
      </c>
      <c r="B1390" s="213" t="n">
        <v>20.8</v>
      </c>
      <c r="C1390" s="213" t="n">
        <f aca="false">AVERAGEIFS($B$33:$B$1494,$A$33:$A$1494,A1390)</f>
        <v>20.7666666666667</v>
      </c>
      <c r="D1390" s="213" t="n">
        <v>23</v>
      </c>
      <c r="E1390" s="213" t="n">
        <f aca="false">AVERAGEIFS($D$33:$D$1494,$A$33:$A$1494,A1390)</f>
        <v>22.95</v>
      </c>
      <c r="F1390" s="213" t="n">
        <v>19.1</v>
      </c>
      <c r="G1390" s="213" t="n">
        <f aca="false">AVERAGEIFS($F$33:$F$1494,$A$33:$A$1494,A1390)</f>
        <v>18.95</v>
      </c>
      <c r="H1390" s="213" t="n">
        <v>18.1</v>
      </c>
      <c r="I1390" s="213" t="n">
        <f aca="false">AVERAGEIFS($H$33:$H$1494,$A$33:$A$1494,A1390)</f>
        <v>17.7333333333333</v>
      </c>
      <c r="L1390" s="215" t="n">
        <v>40685</v>
      </c>
      <c r="M1390" s="213" t="n">
        <v>20.7666666666667</v>
      </c>
      <c r="N1390" s="213" t="n">
        <v>22.95</v>
      </c>
      <c r="O1390" s="213" t="n">
        <v>18.95</v>
      </c>
      <c r="P1390" s="213" t="n">
        <v>17.7333333333333</v>
      </c>
    </row>
    <row r="1391" customFormat="false" ht="12.75" hidden="false" customHeight="false" outlineLevel="0" collapsed="false">
      <c r="A1391" s="215" t="n">
        <v>40685</v>
      </c>
      <c r="B1391" s="213" t="n">
        <v>20.8</v>
      </c>
      <c r="C1391" s="213" t="n">
        <f aca="false">AVERAGEIFS($B$33:$B$1494,$A$33:$A$1494,A1391)</f>
        <v>20.7666666666667</v>
      </c>
      <c r="D1391" s="213" t="n">
        <v>23</v>
      </c>
      <c r="E1391" s="213" t="n">
        <f aca="false">AVERAGEIFS($D$33:$D$1494,$A$33:$A$1494,A1391)</f>
        <v>22.95</v>
      </c>
      <c r="F1391" s="213" t="n">
        <v>18.3</v>
      </c>
      <c r="G1391" s="213" t="n">
        <f aca="false">AVERAGEIFS($F$33:$F$1494,$A$33:$A$1494,A1391)</f>
        <v>18.95</v>
      </c>
      <c r="H1391" s="213" t="n">
        <v>17.8</v>
      </c>
      <c r="I1391" s="213" t="n">
        <f aca="false">AVERAGEIFS($H$33:$H$1494,$A$33:$A$1494,A1391)</f>
        <v>17.7333333333333</v>
      </c>
      <c r="L1391" s="215" t="n">
        <v>40685</v>
      </c>
      <c r="M1391" s="213" t="n">
        <v>20.7666666666667</v>
      </c>
      <c r="N1391" s="213" t="n">
        <v>22.95</v>
      </c>
      <c r="O1391" s="213" t="n">
        <v>18.95</v>
      </c>
      <c r="P1391" s="213" t="n">
        <v>17.7333333333333</v>
      </c>
    </row>
    <row r="1392" customFormat="false" ht="12.75" hidden="false" customHeight="false" outlineLevel="0" collapsed="false">
      <c r="A1392" s="215" t="n">
        <v>40685</v>
      </c>
      <c r="B1392" s="213" t="n">
        <v>20.7</v>
      </c>
      <c r="C1392" s="213" t="n">
        <f aca="false">AVERAGEIFS($B$33:$B$1494,$A$33:$A$1494,A1392)</f>
        <v>20.7666666666667</v>
      </c>
      <c r="D1392" s="213" t="n">
        <v>22.9</v>
      </c>
      <c r="E1392" s="213" t="n">
        <f aca="false">AVERAGEIFS($D$33:$D$1494,$A$33:$A$1494,A1392)</f>
        <v>22.95</v>
      </c>
      <c r="F1392" s="213" t="n">
        <v>18.2</v>
      </c>
      <c r="G1392" s="213" t="n">
        <f aca="false">AVERAGEIFS($F$33:$F$1494,$A$33:$A$1494,A1392)</f>
        <v>18.95</v>
      </c>
      <c r="H1392" s="213" t="n">
        <v>17.5</v>
      </c>
      <c r="I1392" s="213" t="n">
        <f aca="false">AVERAGEIFS($H$33:$H$1494,$A$33:$A$1494,A1392)</f>
        <v>17.7333333333333</v>
      </c>
      <c r="L1392" s="215" t="n">
        <v>40685</v>
      </c>
      <c r="M1392" s="213" t="n">
        <v>20.7666666666667</v>
      </c>
      <c r="N1392" s="213" t="n">
        <v>22.95</v>
      </c>
      <c r="O1392" s="213" t="n">
        <v>18.95</v>
      </c>
      <c r="P1392" s="213" t="n">
        <v>17.7333333333333</v>
      </c>
    </row>
    <row r="1393" customFormat="false" ht="12.75" hidden="false" customHeight="false" outlineLevel="0" collapsed="false">
      <c r="A1393" s="215" t="n">
        <v>40685</v>
      </c>
      <c r="B1393" s="213" t="n">
        <v>20.7</v>
      </c>
      <c r="C1393" s="213" t="n">
        <f aca="false">AVERAGEIFS($B$33:$B$1494,$A$33:$A$1494,A1393)</f>
        <v>20.7666666666667</v>
      </c>
      <c r="D1393" s="213" t="n">
        <v>22.9</v>
      </c>
      <c r="E1393" s="213" t="n">
        <f aca="false">AVERAGEIFS($D$33:$D$1494,$A$33:$A$1494,A1393)</f>
        <v>22.95</v>
      </c>
      <c r="F1393" s="213" t="n">
        <v>19.1</v>
      </c>
      <c r="G1393" s="213" t="n">
        <f aca="false">AVERAGEIFS($F$33:$F$1494,$A$33:$A$1494,A1393)</f>
        <v>18.95</v>
      </c>
      <c r="H1393" s="213" t="n">
        <v>17.4</v>
      </c>
      <c r="I1393" s="213" t="n">
        <f aca="false">AVERAGEIFS($H$33:$H$1494,$A$33:$A$1494,A1393)</f>
        <v>17.7333333333333</v>
      </c>
      <c r="L1393" s="215" t="n">
        <v>40685</v>
      </c>
      <c r="M1393" s="213" t="n">
        <v>20.7666666666667</v>
      </c>
      <c r="N1393" s="213" t="n">
        <v>22.95</v>
      </c>
      <c r="O1393" s="213" t="n">
        <v>18.95</v>
      </c>
      <c r="P1393" s="213" t="n">
        <v>17.7333333333333</v>
      </c>
    </row>
    <row r="1394" customFormat="false" ht="12.75" hidden="false" customHeight="false" outlineLevel="0" collapsed="false">
      <c r="A1394" s="215" t="n">
        <v>40685</v>
      </c>
      <c r="B1394" s="213" t="n">
        <v>20.8</v>
      </c>
      <c r="C1394" s="213" t="n">
        <f aca="false">AVERAGEIFS($B$33:$B$1494,$A$33:$A$1494,A1394)</f>
        <v>20.7666666666667</v>
      </c>
      <c r="D1394" s="213" t="n">
        <v>22.9</v>
      </c>
      <c r="E1394" s="213" t="n">
        <f aca="false">AVERAGEIFS($D$33:$D$1494,$A$33:$A$1494,A1394)</f>
        <v>22.95</v>
      </c>
      <c r="F1394" s="213" t="n">
        <v>19.1</v>
      </c>
      <c r="G1394" s="213" t="n">
        <f aca="false">AVERAGEIFS($F$33:$F$1494,$A$33:$A$1494,A1394)</f>
        <v>18.95</v>
      </c>
      <c r="H1394" s="213" t="n">
        <v>17.5</v>
      </c>
      <c r="I1394" s="213" t="n">
        <f aca="false">AVERAGEIFS($H$33:$H$1494,$A$33:$A$1494,A1394)</f>
        <v>17.7333333333333</v>
      </c>
      <c r="L1394" s="215" t="n">
        <v>40685</v>
      </c>
      <c r="M1394" s="213" t="n">
        <v>20.7666666666667</v>
      </c>
      <c r="N1394" s="213" t="n">
        <v>22.95</v>
      </c>
      <c r="O1394" s="213" t="n">
        <v>18.95</v>
      </c>
      <c r="P1394" s="213" t="n">
        <v>17.7333333333333</v>
      </c>
    </row>
    <row r="1395" customFormat="false" ht="12.75" hidden="false" customHeight="false" outlineLevel="0" collapsed="false">
      <c r="A1395" s="215" t="n">
        <v>40686</v>
      </c>
      <c r="B1395" s="213" t="n">
        <v>20.7</v>
      </c>
      <c r="C1395" s="213" t="n">
        <f aca="false">AVERAGEIFS($B$33:$B$1494,$A$33:$A$1494,A1395)</f>
        <v>20.7</v>
      </c>
      <c r="D1395" s="213" t="n">
        <v>22.9</v>
      </c>
      <c r="E1395" s="213" t="n">
        <f aca="false">AVERAGEIFS($D$33:$D$1494,$A$33:$A$1494,A1395)</f>
        <v>22.9</v>
      </c>
      <c r="F1395" s="213" t="n">
        <v>18.3</v>
      </c>
      <c r="G1395" s="213" t="n">
        <f aca="false">AVERAGEIFS($F$33:$F$1494,$A$33:$A$1494,A1395)</f>
        <v>18.3833333333333</v>
      </c>
      <c r="H1395" s="213" t="n">
        <v>17.5</v>
      </c>
      <c r="I1395" s="213" t="n">
        <f aca="false">AVERAGEIFS($H$33:$H$1494,$A$33:$A$1494,A1395)</f>
        <v>17.1333333333333</v>
      </c>
      <c r="L1395" s="215" t="n">
        <v>40686</v>
      </c>
      <c r="M1395" s="213" t="n">
        <v>20.7</v>
      </c>
      <c r="N1395" s="213" t="n">
        <v>22.9</v>
      </c>
      <c r="O1395" s="213" t="n">
        <v>18.3833333333333</v>
      </c>
      <c r="P1395" s="213" t="n">
        <v>17.1333333333333</v>
      </c>
    </row>
    <row r="1396" customFormat="false" ht="12.75" hidden="false" customHeight="false" outlineLevel="0" collapsed="false">
      <c r="A1396" s="215" t="n">
        <v>40686</v>
      </c>
      <c r="B1396" s="213" t="n">
        <v>20.7</v>
      </c>
      <c r="C1396" s="213" t="n">
        <f aca="false">AVERAGEIFS($B$33:$B$1494,$A$33:$A$1494,A1396)</f>
        <v>20.7</v>
      </c>
      <c r="D1396" s="213" t="n">
        <v>22.9</v>
      </c>
      <c r="E1396" s="213" t="n">
        <f aca="false">AVERAGEIFS($D$33:$D$1494,$A$33:$A$1494,A1396)</f>
        <v>22.9</v>
      </c>
      <c r="F1396" s="213" t="n">
        <v>17.1</v>
      </c>
      <c r="G1396" s="213" t="n">
        <f aca="false">AVERAGEIFS($F$33:$F$1494,$A$33:$A$1494,A1396)</f>
        <v>18.3833333333333</v>
      </c>
      <c r="H1396" s="213" t="n">
        <v>17.3</v>
      </c>
      <c r="I1396" s="213" t="n">
        <f aca="false">AVERAGEIFS($H$33:$H$1494,$A$33:$A$1494,A1396)</f>
        <v>17.1333333333333</v>
      </c>
      <c r="L1396" s="215" t="n">
        <v>40686</v>
      </c>
      <c r="M1396" s="213" t="n">
        <v>20.7</v>
      </c>
      <c r="N1396" s="213" t="n">
        <v>22.9</v>
      </c>
      <c r="O1396" s="213" t="n">
        <v>18.3833333333333</v>
      </c>
      <c r="P1396" s="213" t="n">
        <v>17.1333333333333</v>
      </c>
    </row>
    <row r="1397" customFormat="false" ht="12.75" hidden="false" customHeight="false" outlineLevel="0" collapsed="false">
      <c r="A1397" s="215" t="n">
        <v>40686</v>
      </c>
      <c r="B1397" s="213" t="n">
        <v>20.7</v>
      </c>
      <c r="C1397" s="213" t="n">
        <f aca="false">AVERAGEIFS($B$33:$B$1494,$A$33:$A$1494,A1397)</f>
        <v>20.7</v>
      </c>
      <c r="D1397" s="213" t="n">
        <v>22.9</v>
      </c>
      <c r="E1397" s="213" t="n">
        <f aca="false">AVERAGEIFS($D$33:$D$1494,$A$33:$A$1494,A1397)</f>
        <v>22.9</v>
      </c>
      <c r="F1397" s="213" t="n">
        <v>16.2</v>
      </c>
      <c r="G1397" s="213" t="n">
        <f aca="false">AVERAGEIFS($F$33:$F$1494,$A$33:$A$1494,A1397)</f>
        <v>18.3833333333333</v>
      </c>
      <c r="H1397" s="213" t="n">
        <v>16.9</v>
      </c>
      <c r="I1397" s="213" t="n">
        <f aca="false">AVERAGEIFS($H$33:$H$1494,$A$33:$A$1494,A1397)</f>
        <v>17.1333333333333</v>
      </c>
      <c r="L1397" s="215" t="n">
        <v>40686</v>
      </c>
      <c r="M1397" s="213" t="n">
        <v>20.7</v>
      </c>
      <c r="N1397" s="213" t="n">
        <v>22.9</v>
      </c>
      <c r="O1397" s="213" t="n">
        <v>18.3833333333333</v>
      </c>
      <c r="P1397" s="213" t="n">
        <v>17.1333333333333</v>
      </c>
    </row>
    <row r="1398" customFormat="false" ht="12.75" hidden="false" customHeight="false" outlineLevel="0" collapsed="false">
      <c r="A1398" s="215" t="n">
        <v>40686</v>
      </c>
      <c r="B1398" s="213" t="n">
        <v>20.6</v>
      </c>
      <c r="C1398" s="213" t="n">
        <f aca="false">AVERAGEIFS($B$33:$B$1494,$A$33:$A$1494,A1398)</f>
        <v>20.7</v>
      </c>
      <c r="D1398" s="213" t="n">
        <v>22.9</v>
      </c>
      <c r="E1398" s="213" t="n">
        <f aca="false">AVERAGEIFS($D$33:$D$1494,$A$33:$A$1494,A1398)</f>
        <v>22.9</v>
      </c>
      <c r="F1398" s="213" t="n">
        <v>17.5</v>
      </c>
      <c r="G1398" s="213" t="n">
        <f aca="false">AVERAGEIFS($F$33:$F$1494,$A$33:$A$1494,A1398)</f>
        <v>18.3833333333333</v>
      </c>
      <c r="H1398" s="213" t="n">
        <v>16.6</v>
      </c>
      <c r="I1398" s="213" t="n">
        <f aca="false">AVERAGEIFS($H$33:$H$1494,$A$33:$A$1494,A1398)</f>
        <v>17.1333333333333</v>
      </c>
      <c r="L1398" s="215" t="n">
        <v>40686</v>
      </c>
      <c r="M1398" s="213" t="n">
        <v>20.7</v>
      </c>
      <c r="N1398" s="213" t="n">
        <v>22.9</v>
      </c>
      <c r="O1398" s="213" t="n">
        <v>18.3833333333333</v>
      </c>
      <c r="P1398" s="213" t="n">
        <v>17.1333333333333</v>
      </c>
    </row>
    <row r="1399" customFormat="false" ht="12.75" hidden="false" customHeight="false" outlineLevel="0" collapsed="false">
      <c r="A1399" s="215" t="n">
        <v>40686</v>
      </c>
      <c r="B1399" s="213" t="n">
        <v>20.7</v>
      </c>
      <c r="C1399" s="213" t="n">
        <f aca="false">AVERAGEIFS($B$33:$B$1494,$A$33:$A$1494,A1399)</f>
        <v>20.7</v>
      </c>
      <c r="D1399" s="213" t="n">
        <v>22.9</v>
      </c>
      <c r="E1399" s="213" t="n">
        <f aca="false">AVERAGEIFS($D$33:$D$1494,$A$33:$A$1494,A1399)</f>
        <v>22.9</v>
      </c>
      <c r="F1399" s="213" t="n">
        <v>20.1</v>
      </c>
      <c r="G1399" s="213" t="n">
        <f aca="false">AVERAGEIFS($F$33:$F$1494,$A$33:$A$1494,A1399)</f>
        <v>18.3833333333333</v>
      </c>
      <c r="H1399" s="213" t="n">
        <v>16.9</v>
      </c>
      <c r="I1399" s="213" t="n">
        <f aca="false">AVERAGEIFS($H$33:$H$1494,$A$33:$A$1494,A1399)</f>
        <v>17.1333333333333</v>
      </c>
      <c r="L1399" s="215" t="n">
        <v>40686</v>
      </c>
      <c r="M1399" s="213" t="n">
        <v>20.7</v>
      </c>
      <c r="N1399" s="213" t="n">
        <v>22.9</v>
      </c>
      <c r="O1399" s="213" t="n">
        <v>18.3833333333333</v>
      </c>
      <c r="P1399" s="213" t="n">
        <v>17.1333333333333</v>
      </c>
    </row>
    <row r="1400" customFormat="false" ht="12.75" hidden="false" customHeight="false" outlineLevel="0" collapsed="false">
      <c r="A1400" s="215" t="n">
        <v>40686</v>
      </c>
      <c r="B1400" s="213" t="n">
        <v>20.8</v>
      </c>
      <c r="C1400" s="213" t="n">
        <f aca="false">AVERAGEIFS($B$33:$B$1494,$A$33:$A$1494,A1400)</f>
        <v>20.7</v>
      </c>
      <c r="D1400" s="213" t="n">
        <v>22.9</v>
      </c>
      <c r="E1400" s="213" t="n">
        <f aca="false">AVERAGEIFS($D$33:$D$1494,$A$33:$A$1494,A1400)</f>
        <v>22.9</v>
      </c>
      <c r="F1400" s="213" t="n">
        <v>21.1</v>
      </c>
      <c r="G1400" s="213" t="n">
        <f aca="false">AVERAGEIFS($F$33:$F$1494,$A$33:$A$1494,A1400)</f>
        <v>18.3833333333333</v>
      </c>
      <c r="H1400" s="213" t="n">
        <v>17.6</v>
      </c>
      <c r="I1400" s="213" t="n">
        <f aca="false">AVERAGEIFS($H$33:$H$1494,$A$33:$A$1494,A1400)</f>
        <v>17.1333333333333</v>
      </c>
      <c r="L1400" s="215" t="n">
        <v>40686</v>
      </c>
      <c r="M1400" s="213" t="n">
        <v>20.7</v>
      </c>
      <c r="N1400" s="213" t="n">
        <v>22.9</v>
      </c>
      <c r="O1400" s="213" t="n">
        <v>18.3833333333333</v>
      </c>
      <c r="P1400" s="213" t="n">
        <v>17.1333333333333</v>
      </c>
    </row>
    <row r="1401" customFormat="false" ht="12.75" hidden="false" customHeight="false" outlineLevel="0" collapsed="false">
      <c r="A1401" s="215" t="n">
        <v>40687</v>
      </c>
      <c r="B1401" s="213" t="n">
        <v>20.8</v>
      </c>
      <c r="C1401" s="213" t="n">
        <f aca="false">AVERAGEIFS($B$33:$B$1494,$A$33:$A$1494,A1401)</f>
        <v>20.75</v>
      </c>
      <c r="D1401" s="213" t="n">
        <v>22.9</v>
      </c>
      <c r="E1401" s="213" t="n">
        <f aca="false">AVERAGEIFS($D$33:$D$1494,$A$33:$A$1494,A1401)</f>
        <v>22.9</v>
      </c>
      <c r="F1401" s="213" t="n">
        <v>19.5</v>
      </c>
      <c r="G1401" s="213" t="n">
        <f aca="false">AVERAGEIFS($F$33:$F$1494,$A$33:$A$1494,A1401)</f>
        <v>19.3166666666667</v>
      </c>
      <c r="H1401" s="213" t="n">
        <v>18</v>
      </c>
      <c r="I1401" s="213" t="n">
        <f aca="false">AVERAGEIFS($H$33:$H$1494,$A$33:$A$1494,A1401)</f>
        <v>17.6666666666667</v>
      </c>
      <c r="L1401" s="215" t="n">
        <v>40687</v>
      </c>
      <c r="M1401" s="213" t="n">
        <v>20.75</v>
      </c>
      <c r="N1401" s="213" t="n">
        <v>22.9</v>
      </c>
      <c r="O1401" s="213" t="n">
        <v>19.3166666666667</v>
      </c>
      <c r="P1401" s="213" t="n">
        <v>17.6666666666667</v>
      </c>
    </row>
    <row r="1402" customFormat="false" ht="12.75" hidden="false" customHeight="false" outlineLevel="0" collapsed="false">
      <c r="A1402" s="215" t="n">
        <v>40687</v>
      </c>
      <c r="B1402" s="213" t="n">
        <v>20.8</v>
      </c>
      <c r="C1402" s="213" t="n">
        <f aca="false">AVERAGEIFS($B$33:$B$1494,$A$33:$A$1494,A1402)</f>
        <v>20.75</v>
      </c>
      <c r="D1402" s="213" t="n">
        <v>22.9</v>
      </c>
      <c r="E1402" s="213" t="n">
        <f aca="false">AVERAGEIFS($D$33:$D$1494,$A$33:$A$1494,A1402)</f>
        <v>22.9</v>
      </c>
      <c r="F1402" s="213" t="n">
        <v>18.1</v>
      </c>
      <c r="G1402" s="213" t="n">
        <f aca="false">AVERAGEIFS($F$33:$F$1494,$A$33:$A$1494,A1402)</f>
        <v>19.3166666666667</v>
      </c>
      <c r="H1402" s="213" t="n">
        <v>17.8</v>
      </c>
      <c r="I1402" s="213" t="n">
        <f aca="false">AVERAGEIFS($H$33:$H$1494,$A$33:$A$1494,A1402)</f>
        <v>17.6666666666667</v>
      </c>
      <c r="L1402" s="215" t="n">
        <v>40687</v>
      </c>
      <c r="M1402" s="213" t="n">
        <v>20.75</v>
      </c>
      <c r="N1402" s="213" t="n">
        <v>22.9</v>
      </c>
      <c r="O1402" s="213" t="n">
        <v>19.3166666666667</v>
      </c>
      <c r="P1402" s="213" t="n">
        <v>17.6666666666667</v>
      </c>
    </row>
    <row r="1403" customFormat="false" ht="12.75" hidden="false" customHeight="false" outlineLevel="0" collapsed="false">
      <c r="A1403" s="215" t="n">
        <v>40687</v>
      </c>
      <c r="B1403" s="213" t="n">
        <v>20.7</v>
      </c>
      <c r="C1403" s="213" t="n">
        <f aca="false">AVERAGEIFS($B$33:$B$1494,$A$33:$A$1494,A1403)</f>
        <v>20.75</v>
      </c>
      <c r="D1403" s="213" t="n">
        <v>22.9</v>
      </c>
      <c r="E1403" s="213" t="n">
        <f aca="false">AVERAGEIFS($D$33:$D$1494,$A$33:$A$1494,A1403)</f>
        <v>22.9</v>
      </c>
      <c r="F1403" s="213" t="n">
        <v>17.6</v>
      </c>
      <c r="G1403" s="213" t="n">
        <f aca="false">AVERAGEIFS($F$33:$F$1494,$A$33:$A$1494,A1403)</f>
        <v>19.3166666666667</v>
      </c>
      <c r="H1403" s="213" t="n">
        <v>17.5</v>
      </c>
      <c r="I1403" s="213" t="n">
        <f aca="false">AVERAGEIFS($H$33:$H$1494,$A$33:$A$1494,A1403)</f>
        <v>17.6666666666667</v>
      </c>
      <c r="L1403" s="215" t="n">
        <v>40687</v>
      </c>
      <c r="M1403" s="213" t="n">
        <v>20.75</v>
      </c>
      <c r="N1403" s="213" t="n">
        <v>22.9</v>
      </c>
      <c r="O1403" s="213" t="n">
        <v>19.3166666666667</v>
      </c>
      <c r="P1403" s="213" t="n">
        <v>17.6666666666667</v>
      </c>
    </row>
    <row r="1404" customFormat="false" ht="12.75" hidden="false" customHeight="false" outlineLevel="0" collapsed="false">
      <c r="A1404" s="215" t="n">
        <v>40687</v>
      </c>
      <c r="B1404" s="213" t="n">
        <v>20.7</v>
      </c>
      <c r="C1404" s="213" t="n">
        <f aca="false">AVERAGEIFS($B$33:$B$1494,$A$33:$A$1494,A1404)</f>
        <v>20.75</v>
      </c>
      <c r="D1404" s="213" t="n">
        <v>22.9</v>
      </c>
      <c r="E1404" s="213" t="n">
        <f aca="false">AVERAGEIFS($D$33:$D$1494,$A$33:$A$1494,A1404)</f>
        <v>22.9</v>
      </c>
      <c r="F1404" s="213" t="n">
        <v>18.4</v>
      </c>
      <c r="G1404" s="213" t="n">
        <f aca="false">AVERAGEIFS($F$33:$F$1494,$A$33:$A$1494,A1404)</f>
        <v>19.3166666666667</v>
      </c>
      <c r="H1404" s="213" t="n">
        <v>17.2</v>
      </c>
      <c r="I1404" s="213" t="n">
        <f aca="false">AVERAGEIFS($H$33:$H$1494,$A$33:$A$1494,A1404)</f>
        <v>17.6666666666667</v>
      </c>
      <c r="L1404" s="215" t="n">
        <v>40687</v>
      </c>
      <c r="M1404" s="213" t="n">
        <v>20.75</v>
      </c>
      <c r="N1404" s="213" t="n">
        <v>22.9</v>
      </c>
      <c r="O1404" s="213" t="n">
        <v>19.3166666666667</v>
      </c>
      <c r="P1404" s="213" t="n">
        <v>17.6666666666667</v>
      </c>
    </row>
    <row r="1405" customFormat="false" ht="12.75" hidden="false" customHeight="false" outlineLevel="0" collapsed="false">
      <c r="A1405" s="215" t="n">
        <v>40687</v>
      </c>
      <c r="B1405" s="213" t="n">
        <v>20.7</v>
      </c>
      <c r="C1405" s="213" t="n">
        <f aca="false">AVERAGEIFS($B$33:$B$1494,$A$33:$A$1494,A1405)</f>
        <v>20.75</v>
      </c>
      <c r="D1405" s="213" t="n">
        <v>22.9</v>
      </c>
      <c r="E1405" s="213" t="n">
        <f aca="false">AVERAGEIFS($D$33:$D$1494,$A$33:$A$1494,A1405)</f>
        <v>22.9</v>
      </c>
      <c r="F1405" s="213" t="n">
        <v>20.8</v>
      </c>
      <c r="G1405" s="213" t="n">
        <f aca="false">AVERAGEIFS($F$33:$F$1494,$A$33:$A$1494,A1405)</f>
        <v>19.3166666666667</v>
      </c>
      <c r="H1405" s="213" t="n">
        <v>17.5</v>
      </c>
      <c r="I1405" s="213" t="n">
        <f aca="false">AVERAGEIFS($H$33:$H$1494,$A$33:$A$1494,A1405)</f>
        <v>17.6666666666667</v>
      </c>
      <c r="L1405" s="215" t="n">
        <v>40687</v>
      </c>
      <c r="M1405" s="213" t="n">
        <v>20.75</v>
      </c>
      <c r="N1405" s="213" t="n">
        <v>22.9</v>
      </c>
      <c r="O1405" s="213" t="n">
        <v>19.3166666666667</v>
      </c>
      <c r="P1405" s="213" t="n">
        <v>17.6666666666667</v>
      </c>
    </row>
    <row r="1406" customFormat="false" ht="12.75" hidden="false" customHeight="false" outlineLevel="0" collapsed="false">
      <c r="A1406" s="215" t="n">
        <v>40687</v>
      </c>
      <c r="B1406" s="213" t="n">
        <v>20.8</v>
      </c>
      <c r="C1406" s="213" t="n">
        <f aca="false">AVERAGEIFS($B$33:$B$1494,$A$33:$A$1494,A1406)</f>
        <v>20.75</v>
      </c>
      <c r="D1406" s="213" t="n">
        <v>22.9</v>
      </c>
      <c r="E1406" s="213" t="n">
        <f aca="false">AVERAGEIFS($D$33:$D$1494,$A$33:$A$1494,A1406)</f>
        <v>22.9</v>
      </c>
      <c r="F1406" s="213" t="n">
        <v>21.5</v>
      </c>
      <c r="G1406" s="213" t="n">
        <f aca="false">AVERAGEIFS($F$33:$F$1494,$A$33:$A$1494,A1406)</f>
        <v>19.3166666666667</v>
      </c>
      <c r="H1406" s="213" t="n">
        <v>18</v>
      </c>
      <c r="I1406" s="213" t="n">
        <f aca="false">AVERAGEIFS($H$33:$H$1494,$A$33:$A$1494,A1406)</f>
        <v>17.6666666666667</v>
      </c>
      <c r="L1406" s="215" t="n">
        <v>40687</v>
      </c>
      <c r="M1406" s="213" t="n">
        <v>20.75</v>
      </c>
      <c r="N1406" s="213" t="n">
        <v>22.9</v>
      </c>
      <c r="O1406" s="213" t="n">
        <v>19.3166666666667</v>
      </c>
      <c r="P1406" s="213" t="n">
        <v>17.6666666666667</v>
      </c>
    </row>
    <row r="1407" customFormat="false" ht="12.75" hidden="false" customHeight="false" outlineLevel="0" collapsed="false">
      <c r="A1407" s="215" t="n">
        <v>40688</v>
      </c>
      <c r="B1407" s="213" t="n">
        <v>20.8</v>
      </c>
      <c r="C1407" s="213" t="n">
        <f aca="false">AVERAGEIFS($B$33:$B$1494,$A$33:$A$1494,A1407)</f>
        <v>20.7833333333333</v>
      </c>
      <c r="D1407" s="213" t="n">
        <v>23</v>
      </c>
      <c r="E1407" s="213" t="n">
        <f aca="false">AVERAGEIFS($D$33:$D$1494,$A$33:$A$1494,A1407)</f>
        <v>23</v>
      </c>
      <c r="F1407" s="213" t="n">
        <v>20.1</v>
      </c>
      <c r="G1407" s="213" t="n">
        <f aca="false">AVERAGEIFS($F$33:$F$1494,$A$33:$A$1494,A1407)</f>
        <v>20.2333333333333</v>
      </c>
      <c r="H1407" s="213" t="n">
        <v>18.4</v>
      </c>
      <c r="I1407" s="213" t="n">
        <f aca="false">AVERAGEIFS($H$33:$H$1494,$A$33:$A$1494,A1407)</f>
        <v>18.2166666666667</v>
      </c>
      <c r="L1407" s="215" t="n">
        <v>40688</v>
      </c>
      <c r="M1407" s="213" t="n">
        <v>20.7833333333333</v>
      </c>
      <c r="N1407" s="213" t="n">
        <v>23</v>
      </c>
      <c r="O1407" s="213" t="n">
        <v>20.2333333333333</v>
      </c>
      <c r="P1407" s="213" t="n">
        <v>18.2166666666667</v>
      </c>
    </row>
    <row r="1408" customFormat="false" ht="12.75" hidden="false" customHeight="false" outlineLevel="0" collapsed="false">
      <c r="A1408" s="215" t="n">
        <v>40688</v>
      </c>
      <c r="B1408" s="213" t="n">
        <v>20.8</v>
      </c>
      <c r="C1408" s="213" t="n">
        <f aca="false">AVERAGEIFS($B$33:$B$1494,$A$33:$A$1494,A1408)</f>
        <v>20.7833333333333</v>
      </c>
      <c r="D1408" s="213" t="n">
        <v>23</v>
      </c>
      <c r="E1408" s="213" t="n">
        <f aca="false">AVERAGEIFS($D$33:$D$1494,$A$33:$A$1494,A1408)</f>
        <v>23</v>
      </c>
      <c r="F1408" s="213" t="n">
        <v>19.1</v>
      </c>
      <c r="G1408" s="213" t="n">
        <f aca="false">AVERAGEIFS($F$33:$F$1494,$A$33:$A$1494,A1408)</f>
        <v>20.2333333333333</v>
      </c>
      <c r="H1408" s="213" t="n">
        <v>18.3</v>
      </c>
      <c r="I1408" s="213" t="n">
        <f aca="false">AVERAGEIFS($H$33:$H$1494,$A$33:$A$1494,A1408)</f>
        <v>18.2166666666667</v>
      </c>
      <c r="L1408" s="215" t="n">
        <v>40688</v>
      </c>
      <c r="M1408" s="213" t="n">
        <v>20.7833333333333</v>
      </c>
      <c r="N1408" s="213" t="n">
        <v>23</v>
      </c>
      <c r="O1408" s="213" t="n">
        <v>20.2333333333333</v>
      </c>
      <c r="P1408" s="213" t="n">
        <v>18.2166666666667</v>
      </c>
    </row>
    <row r="1409" customFormat="false" ht="12.75" hidden="false" customHeight="false" outlineLevel="0" collapsed="false">
      <c r="A1409" s="215" t="n">
        <v>40688</v>
      </c>
      <c r="B1409" s="213" t="n">
        <v>20.7</v>
      </c>
      <c r="C1409" s="213" t="n">
        <f aca="false">AVERAGEIFS($B$33:$B$1494,$A$33:$A$1494,A1409)</f>
        <v>20.7833333333333</v>
      </c>
      <c r="D1409" s="213" t="n">
        <v>23</v>
      </c>
      <c r="E1409" s="213" t="n">
        <f aca="false">AVERAGEIFS($D$33:$D$1494,$A$33:$A$1494,A1409)</f>
        <v>23</v>
      </c>
      <c r="F1409" s="213" t="n">
        <v>18.3</v>
      </c>
      <c r="G1409" s="213" t="n">
        <f aca="false">AVERAGEIFS($F$33:$F$1494,$A$33:$A$1494,A1409)</f>
        <v>20.2333333333333</v>
      </c>
      <c r="H1409" s="213" t="n">
        <v>18</v>
      </c>
      <c r="I1409" s="213" t="n">
        <f aca="false">AVERAGEIFS($H$33:$H$1494,$A$33:$A$1494,A1409)</f>
        <v>18.2166666666667</v>
      </c>
      <c r="L1409" s="215" t="n">
        <v>40688</v>
      </c>
      <c r="M1409" s="213" t="n">
        <v>20.7833333333333</v>
      </c>
      <c r="N1409" s="213" t="n">
        <v>23</v>
      </c>
      <c r="O1409" s="213" t="n">
        <v>20.2333333333333</v>
      </c>
      <c r="P1409" s="213" t="n">
        <v>18.2166666666667</v>
      </c>
    </row>
    <row r="1410" customFormat="false" ht="12.75" hidden="false" customHeight="false" outlineLevel="0" collapsed="false">
      <c r="A1410" s="215" t="n">
        <v>40688</v>
      </c>
      <c r="B1410" s="213" t="n">
        <v>20.7</v>
      </c>
      <c r="C1410" s="213" t="n">
        <f aca="false">AVERAGEIFS($B$33:$B$1494,$A$33:$A$1494,A1410)</f>
        <v>20.7833333333333</v>
      </c>
      <c r="D1410" s="213" t="n">
        <v>23</v>
      </c>
      <c r="E1410" s="213" t="n">
        <f aca="false">AVERAGEIFS($D$33:$D$1494,$A$33:$A$1494,A1410)</f>
        <v>23</v>
      </c>
      <c r="F1410" s="213" t="n">
        <v>19.3</v>
      </c>
      <c r="G1410" s="213" t="n">
        <f aca="false">AVERAGEIFS($F$33:$F$1494,$A$33:$A$1494,A1410)</f>
        <v>20.2333333333333</v>
      </c>
      <c r="H1410" s="213" t="n">
        <v>17.8</v>
      </c>
      <c r="I1410" s="213" t="n">
        <f aca="false">AVERAGEIFS($H$33:$H$1494,$A$33:$A$1494,A1410)</f>
        <v>18.2166666666667</v>
      </c>
      <c r="L1410" s="215" t="n">
        <v>40688</v>
      </c>
      <c r="M1410" s="213" t="n">
        <v>20.7833333333333</v>
      </c>
      <c r="N1410" s="213" t="n">
        <v>23</v>
      </c>
      <c r="O1410" s="213" t="n">
        <v>20.2333333333333</v>
      </c>
      <c r="P1410" s="213" t="n">
        <v>18.2166666666667</v>
      </c>
    </row>
    <row r="1411" customFormat="false" ht="12.75" hidden="false" customHeight="false" outlineLevel="0" collapsed="false">
      <c r="A1411" s="215" t="n">
        <v>40688</v>
      </c>
      <c r="B1411" s="213" t="n">
        <v>20.8</v>
      </c>
      <c r="C1411" s="213" t="n">
        <f aca="false">AVERAGEIFS($B$33:$B$1494,$A$33:$A$1494,A1411)</f>
        <v>20.7833333333333</v>
      </c>
      <c r="D1411" s="213" t="n">
        <v>23</v>
      </c>
      <c r="E1411" s="213" t="n">
        <f aca="false">AVERAGEIFS($D$33:$D$1494,$A$33:$A$1494,A1411)</f>
        <v>23</v>
      </c>
      <c r="F1411" s="213" t="n">
        <v>21.9</v>
      </c>
      <c r="G1411" s="213" t="n">
        <f aca="false">AVERAGEIFS($F$33:$F$1494,$A$33:$A$1494,A1411)</f>
        <v>20.2333333333333</v>
      </c>
      <c r="H1411" s="213" t="n">
        <v>18.1</v>
      </c>
      <c r="I1411" s="213" t="n">
        <f aca="false">AVERAGEIFS($H$33:$H$1494,$A$33:$A$1494,A1411)</f>
        <v>18.2166666666667</v>
      </c>
      <c r="L1411" s="215" t="n">
        <v>40688</v>
      </c>
      <c r="M1411" s="213" t="n">
        <v>20.7833333333333</v>
      </c>
      <c r="N1411" s="213" t="n">
        <v>23</v>
      </c>
      <c r="O1411" s="213" t="n">
        <v>20.2333333333333</v>
      </c>
      <c r="P1411" s="213" t="n">
        <v>18.2166666666667</v>
      </c>
    </row>
    <row r="1412" customFormat="false" ht="12.75" hidden="false" customHeight="false" outlineLevel="0" collapsed="false">
      <c r="A1412" s="215" t="n">
        <v>40688</v>
      </c>
      <c r="B1412" s="213" t="n">
        <v>20.9</v>
      </c>
      <c r="C1412" s="213" t="n">
        <f aca="false">AVERAGEIFS($B$33:$B$1494,$A$33:$A$1494,A1412)</f>
        <v>20.7833333333333</v>
      </c>
      <c r="D1412" s="213" t="n">
        <v>23</v>
      </c>
      <c r="E1412" s="213" t="n">
        <f aca="false">AVERAGEIFS($D$33:$D$1494,$A$33:$A$1494,A1412)</f>
        <v>23</v>
      </c>
      <c r="F1412" s="213" t="n">
        <v>22.7</v>
      </c>
      <c r="G1412" s="213" t="n">
        <f aca="false">AVERAGEIFS($F$33:$F$1494,$A$33:$A$1494,A1412)</f>
        <v>20.2333333333333</v>
      </c>
      <c r="H1412" s="213" t="n">
        <v>18.7</v>
      </c>
      <c r="I1412" s="213" t="n">
        <f aca="false">AVERAGEIFS($H$33:$H$1494,$A$33:$A$1494,A1412)</f>
        <v>18.2166666666667</v>
      </c>
      <c r="L1412" s="215" t="n">
        <v>40688</v>
      </c>
      <c r="M1412" s="213" t="n">
        <v>20.7833333333333</v>
      </c>
      <c r="N1412" s="213" t="n">
        <v>23</v>
      </c>
      <c r="O1412" s="213" t="n">
        <v>20.2333333333333</v>
      </c>
      <c r="P1412" s="213" t="n">
        <v>18.2166666666667</v>
      </c>
    </row>
    <row r="1413" customFormat="false" ht="12.75" hidden="false" customHeight="false" outlineLevel="0" collapsed="false">
      <c r="A1413" s="215" t="n">
        <v>40689</v>
      </c>
      <c r="B1413" s="213" t="n">
        <v>20.9</v>
      </c>
      <c r="C1413" s="213" t="n">
        <f aca="false">AVERAGEIFS($B$33:$B$1494,$A$33:$A$1494,A1413)</f>
        <v>20.8166666666667</v>
      </c>
      <c r="D1413" s="213" t="n">
        <v>23</v>
      </c>
      <c r="E1413" s="213" t="n">
        <f aca="false">AVERAGEIFS($D$33:$D$1494,$A$33:$A$1494,A1413)</f>
        <v>23</v>
      </c>
      <c r="F1413" s="213" t="n">
        <v>21</v>
      </c>
      <c r="G1413" s="213" t="n">
        <f aca="false">AVERAGEIFS($F$33:$F$1494,$A$33:$A$1494,A1413)</f>
        <v>19.8666666666667</v>
      </c>
      <c r="H1413" s="213" t="n">
        <v>19.1</v>
      </c>
      <c r="I1413" s="213" t="n">
        <f aca="false">AVERAGEIFS($H$33:$H$1494,$A$33:$A$1494,A1413)</f>
        <v>18.6833333333333</v>
      </c>
      <c r="L1413" s="215" t="n">
        <v>40689</v>
      </c>
      <c r="M1413" s="213" t="n">
        <v>20.8166666666667</v>
      </c>
      <c r="N1413" s="213" t="n">
        <v>23</v>
      </c>
      <c r="O1413" s="213" t="n">
        <v>19.8666666666667</v>
      </c>
      <c r="P1413" s="213" t="n">
        <v>18.6833333333333</v>
      </c>
    </row>
    <row r="1414" customFormat="false" ht="12.75" hidden="false" customHeight="false" outlineLevel="0" collapsed="false">
      <c r="A1414" s="215" t="n">
        <v>40689</v>
      </c>
      <c r="B1414" s="213" t="n">
        <v>20.8</v>
      </c>
      <c r="C1414" s="213" t="n">
        <f aca="false">AVERAGEIFS($B$33:$B$1494,$A$33:$A$1494,A1414)</f>
        <v>20.8166666666667</v>
      </c>
      <c r="D1414" s="213" t="n">
        <v>23</v>
      </c>
      <c r="E1414" s="213" t="n">
        <f aca="false">AVERAGEIFS($D$33:$D$1494,$A$33:$A$1494,A1414)</f>
        <v>23</v>
      </c>
      <c r="F1414" s="213" t="n">
        <v>19.7</v>
      </c>
      <c r="G1414" s="213" t="n">
        <f aca="false">AVERAGEIFS($F$33:$F$1494,$A$33:$A$1494,A1414)</f>
        <v>19.8666666666667</v>
      </c>
      <c r="H1414" s="213" t="n">
        <v>19</v>
      </c>
      <c r="I1414" s="213" t="n">
        <f aca="false">AVERAGEIFS($H$33:$H$1494,$A$33:$A$1494,A1414)</f>
        <v>18.6833333333333</v>
      </c>
      <c r="L1414" s="215" t="n">
        <v>40689</v>
      </c>
      <c r="M1414" s="213" t="n">
        <v>20.8166666666667</v>
      </c>
      <c r="N1414" s="213" t="n">
        <v>23</v>
      </c>
      <c r="O1414" s="213" t="n">
        <v>19.8666666666667</v>
      </c>
      <c r="P1414" s="213" t="n">
        <v>18.6833333333333</v>
      </c>
    </row>
    <row r="1415" customFormat="false" ht="12.75" hidden="false" customHeight="false" outlineLevel="0" collapsed="false">
      <c r="A1415" s="215" t="n">
        <v>40689</v>
      </c>
      <c r="B1415" s="213" t="n">
        <v>20.8</v>
      </c>
      <c r="C1415" s="213" t="n">
        <f aca="false">AVERAGEIFS($B$33:$B$1494,$A$33:$A$1494,A1415)</f>
        <v>20.8166666666667</v>
      </c>
      <c r="D1415" s="213" t="n">
        <v>23</v>
      </c>
      <c r="E1415" s="213" t="n">
        <f aca="false">AVERAGEIFS($D$33:$D$1494,$A$33:$A$1494,A1415)</f>
        <v>23</v>
      </c>
      <c r="F1415" s="213" t="n">
        <v>19.3</v>
      </c>
      <c r="G1415" s="213" t="n">
        <f aca="false">AVERAGEIFS($F$33:$F$1494,$A$33:$A$1494,A1415)</f>
        <v>19.8666666666667</v>
      </c>
      <c r="H1415" s="213" t="n">
        <v>18.7</v>
      </c>
      <c r="I1415" s="213" t="n">
        <f aca="false">AVERAGEIFS($H$33:$H$1494,$A$33:$A$1494,A1415)</f>
        <v>18.6833333333333</v>
      </c>
      <c r="L1415" s="215" t="n">
        <v>40689</v>
      </c>
      <c r="M1415" s="213" t="n">
        <v>20.8166666666667</v>
      </c>
      <c r="N1415" s="213" t="n">
        <v>23</v>
      </c>
      <c r="O1415" s="213" t="n">
        <v>19.8666666666667</v>
      </c>
      <c r="P1415" s="213" t="n">
        <v>18.6833333333333</v>
      </c>
    </row>
    <row r="1416" customFormat="false" ht="12.75" hidden="false" customHeight="false" outlineLevel="0" collapsed="false">
      <c r="A1416" s="215" t="n">
        <v>40689</v>
      </c>
      <c r="B1416" s="213" t="n">
        <v>20.8</v>
      </c>
      <c r="C1416" s="213" t="n">
        <f aca="false">AVERAGEIFS($B$33:$B$1494,$A$33:$A$1494,A1416)</f>
        <v>20.8166666666667</v>
      </c>
      <c r="D1416" s="213" t="n">
        <v>23</v>
      </c>
      <c r="E1416" s="213" t="n">
        <f aca="false">AVERAGEIFS($D$33:$D$1494,$A$33:$A$1494,A1416)</f>
        <v>23</v>
      </c>
      <c r="F1416" s="213" t="n">
        <v>19.6</v>
      </c>
      <c r="G1416" s="213" t="n">
        <f aca="false">AVERAGEIFS($F$33:$F$1494,$A$33:$A$1494,A1416)</f>
        <v>19.8666666666667</v>
      </c>
      <c r="H1416" s="213" t="n">
        <v>18.5</v>
      </c>
      <c r="I1416" s="213" t="n">
        <f aca="false">AVERAGEIFS($H$33:$H$1494,$A$33:$A$1494,A1416)</f>
        <v>18.6833333333333</v>
      </c>
      <c r="L1416" s="215" t="n">
        <v>40689</v>
      </c>
      <c r="M1416" s="213" t="n">
        <v>20.8166666666667</v>
      </c>
      <c r="N1416" s="213" t="n">
        <v>23</v>
      </c>
      <c r="O1416" s="213" t="n">
        <v>19.8666666666667</v>
      </c>
      <c r="P1416" s="213" t="n">
        <v>18.6833333333333</v>
      </c>
    </row>
    <row r="1417" customFormat="false" ht="12.75" hidden="false" customHeight="false" outlineLevel="0" collapsed="false">
      <c r="A1417" s="215" t="n">
        <v>40689</v>
      </c>
      <c r="B1417" s="213" t="n">
        <v>20.8</v>
      </c>
      <c r="C1417" s="213" t="n">
        <f aca="false">AVERAGEIFS($B$33:$B$1494,$A$33:$A$1494,A1417)</f>
        <v>20.8166666666667</v>
      </c>
      <c r="D1417" s="213" t="n">
        <v>23</v>
      </c>
      <c r="E1417" s="213" t="n">
        <f aca="false">AVERAGEIFS($D$33:$D$1494,$A$33:$A$1494,A1417)</f>
        <v>23</v>
      </c>
      <c r="F1417" s="213" t="n">
        <v>19.8</v>
      </c>
      <c r="G1417" s="213" t="n">
        <f aca="false">AVERAGEIFS($F$33:$F$1494,$A$33:$A$1494,A1417)</f>
        <v>19.8666666666667</v>
      </c>
      <c r="H1417" s="213" t="n">
        <v>18.4</v>
      </c>
      <c r="I1417" s="213" t="n">
        <f aca="false">AVERAGEIFS($H$33:$H$1494,$A$33:$A$1494,A1417)</f>
        <v>18.6833333333333</v>
      </c>
      <c r="L1417" s="215" t="n">
        <v>40689</v>
      </c>
      <c r="M1417" s="213" t="n">
        <v>20.8166666666667</v>
      </c>
      <c r="N1417" s="213" t="n">
        <v>23</v>
      </c>
      <c r="O1417" s="213" t="n">
        <v>19.8666666666667</v>
      </c>
      <c r="P1417" s="213" t="n">
        <v>18.6833333333333</v>
      </c>
    </row>
    <row r="1418" customFormat="false" ht="12.75" hidden="false" customHeight="false" outlineLevel="0" collapsed="false">
      <c r="A1418" s="215" t="n">
        <v>40689</v>
      </c>
      <c r="B1418" s="213" t="n">
        <v>20.8</v>
      </c>
      <c r="C1418" s="213" t="n">
        <f aca="false">AVERAGEIFS($B$33:$B$1494,$A$33:$A$1494,A1418)</f>
        <v>20.8166666666667</v>
      </c>
      <c r="D1418" s="213" t="n">
        <v>23</v>
      </c>
      <c r="E1418" s="213" t="n">
        <f aca="false">AVERAGEIFS($D$33:$D$1494,$A$33:$A$1494,A1418)</f>
        <v>23</v>
      </c>
      <c r="F1418" s="213" t="n">
        <v>19.8</v>
      </c>
      <c r="G1418" s="213" t="n">
        <f aca="false">AVERAGEIFS($F$33:$F$1494,$A$33:$A$1494,A1418)</f>
        <v>19.8666666666667</v>
      </c>
      <c r="H1418" s="213" t="n">
        <v>18.4</v>
      </c>
      <c r="I1418" s="213" t="n">
        <f aca="false">AVERAGEIFS($H$33:$H$1494,$A$33:$A$1494,A1418)</f>
        <v>18.6833333333333</v>
      </c>
      <c r="L1418" s="215" t="n">
        <v>40689</v>
      </c>
      <c r="M1418" s="213" t="n">
        <v>20.8166666666667</v>
      </c>
      <c r="N1418" s="213" t="n">
        <v>23</v>
      </c>
      <c r="O1418" s="213" t="n">
        <v>19.8666666666667</v>
      </c>
      <c r="P1418" s="213" t="n">
        <v>18.6833333333333</v>
      </c>
    </row>
    <row r="1419" customFormat="false" ht="12.75" hidden="false" customHeight="false" outlineLevel="0" collapsed="false">
      <c r="A1419" s="215" t="n">
        <v>40690</v>
      </c>
      <c r="B1419" s="213" t="n">
        <v>20.8</v>
      </c>
      <c r="C1419" s="213" t="n">
        <f aca="false">AVERAGEIFS($B$33:$B$1494,$A$33:$A$1494,A1419)</f>
        <v>20.7166666666667</v>
      </c>
      <c r="D1419" s="213" t="n">
        <v>23</v>
      </c>
      <c r="E1419" s="213" t="n">
        <f aca="false">AVERAGEIFS($D$33:$D$1494,$A$33:$A$1494,A1419)</f>
        <v>22.9333333333333</v>
      </c>
      <c r="F1419" s="213" t="n">
        <v>19.2</v>
      </c>
      <c r="G1419" s="213" t="n">
        <f aca="false">AVERAGEIFS($F$33:$F$1494,$A$33:$A$1494,A1419)</f>
        <v>18.55</v>
      </c>
      <c r="H1419" s="213" t="n">
        <v>18.4</v>
      </c>
      <c r="I1419" s="213" t="n">
        <f aca="false">AVERAGEIFS($H$33:$H$1494,$A$33:$A$1494,A1419)</f>
        <v>17.8833333333333</v>
      </c>
      <c r="L1419" s="215" t="n">
        <v>40690</v>
      </c>
      <c r="M1419" s="213" t="n">
        <v>20.7166666666667</v>
      </c>
      <c r="N1419" s="213" t="n">
        <v>22.9333333333333</v>
      </c>
      <c r="O1419" s="213" t="n">
        <v>18.55</v>
      </c>
      <c r="P1419" s="213" t="n">
        <v>17.8833333333333</v>
      </c>
    </row>
    <row r="1420" customFormat="false" ht="12.75" hidden="false" customHeight="false" outlineLevel="0" collapsed="false">
      <c r="A1420" s="215" t="n">
        <v>40690</v>
      </c>
      <c r="B1420" s="213" t="n">
        <v>20.7</v>
      </c>
      <c r="C1420" s="213" t="n">
        <f aca="false">AVERAGEIFS($B$33:$B$1494,$A$33:$A$1494,A1420)</f>
        <v>20.7166666666667</v>
      </c>
      <c r="D1420" s="213" t="n">
        <v>23</v>
      </c>
      <c r="E1420" s="213" t="n">
        <f aca="false">AVERAGEIFS($D$33:$D$1494,$A$33:$A$1494,A1420)</f>
        <v>22.9333333333333</v>
      </c>
      <c r="F1420" s="213" t="n">
        <v>18.5</v>
      </c>
      <c r="G1420" s="213" t="n">
        <f aca="false">AVERAGEIFS($F$33:$F$1494,$A$33:$A$1494,A1420)</f>
        <v>18.55</v>
      </c>
      <c r="H1420" s="213" t="n">
        <v>18.2</v>
      </c>
      <c r="I1420" s="213" t="n">
        <f aca="false">AVERAGEIFS($H$33:$H$1494,$A$33:$A$1494,A1420)</f>
        <v>17.8833333333333</v>
      </c>
      <c r="L1420" s="215" t="n">
        <v>40690</v>
      </c>
      <c r="M1420" s="213" t="n">
        <v>20.7166666666667</v>
      </c>
      <c r="N1420" s="213" t="n">
        <v>22.9333333333333</v>
      </c>
      <c r="O1420" s="213" t="n">
        <v>18.55</v>
      </c>
      <c r="P1420" s="213" t="n">
        <v>17.8833333333333</v>
      </c>
    </row>
    <row r="1421" customFormat="false" ht="12.75" hidden="false" customHeight="false" outlineLevel="0" collapsed="false">
      <c r="A1421" s="215" t="n">
        <v>40690</v>
      </c>
      <c r="B1421" s="213" t="n">
        <v>20.7</v>
      </c>
      <c r="C1421" s="213" t="n">
        <f aca="false">AVERAGEIFS($B$33:$B$1494,$A$33:$A$1494,A1421)</f>
        <v>20.7166666666667</v>
      </c>
      <c r="D1421" s="213" t="n">
        <v>22.9</v>
      </c>
      <c r="E1421" s="213" t="n">
        <f aca="false">AVERAGEIFS($D$33:$D$1494,$A$33:$A$1494,A1421)</f>
        <v>22.9333333333333</v>
      </c>
      <c r="F1421" s="213" t="n">
        <v>17.7</v>
      </c>
      <c r="G1421" s="213" t="n">
        <f aca="false">AVERAGEIFS($F$33:$F$1494,$A$33:$A$1494,A1421)</f>
        <v>18.55</v>
      </c>
      <c r="H1421" s="213" t="n">
        <v>17.9</v>
      </c>
      <c r="I1421" s="213" t="n">
        <f aca="false">AVERAGEIFS($H$33:$H$1494,$A$33:$A$1494,A1421)</f>
        <v>17.8833333333333</v>
      </c>
      <c r="L1421" s="215" t="n">
        <v>40690</v>
      </c>
      <c r="M1421" s="213" t="n">
        <v>20.7166666666667</v>
      </c>
      <c r="N1421" s="213" t="n">
        <v>22.9333333333333</v>
      </c>
      <c r="O1421" s="213" t="n">
        <v>18.55</v>
      </c>
      <c r="P1421" s="213" t="n">
        <v>17.8833333333333</v>
      </c>
    </row>
    <row r="1422" customFormat="false" ht="12.75" hidden="false" customHeight="false" outlineLevel="0" collapsed="false">
      <c r="A1422" s="215" t="n">
        <v>40690</v>
      </c>
      <c r="B1422" s="213" t="n">
        <v>20.7</v>
      </c>
      <c r="C1422" s="213" t="n">
        <f aca="false">AVERAGEIFS($B$33:$B$1494,$A$33:$A$1494,A1422)</f>
        <v>20.7166666666667</v>
      </c>
      <c r="D1422" s="213" t="n">
        <v>22.9</v>
      </c>
      <c r="E1422" s="213" t="n">
        <f aca="false">AVERAGEIFS($D$33:$D$1494,$A$33:$A$1494,A1422)</f>
        <v>22.9333333333333</v>
      </c>
      <c r="F1422" s="213" t="n">
        <v>17.9</v>
      </c>
      <c r="G1422" s="213" t="n">
        <f aca="false">AVERAGEIFS($F$33:$F$1494,$A$33:$A$1494,A1422)</f>
        <v>18.55</v>
      </c>
      <c r="H1422" s="213" t="n">
        <v>17.6</v>
      </c>
      <c r="I1422" s="213" t="n">
        <f aca="false">AVERAGEIFS($H$33:$H$1494,$A$33:$A$1494,A1422)</f>
        <v>17.8833333333333</v>
      </c>
      <c r="L1422" s="215" t="n">
        <v>40690</v>
      </c>
      <c r="M1422" s="213" t="n">
        <v>20.7166666666667</v>
      </c>
      <c r="N1422" s="213" t="n">
        <v>22.9333333333333</v>
      </c>
      <c r="O1422" s="213" t="n">
        <v>18.55</v>
      </c>
      <c r="P1422" s="213" t="n">
        <v>17.8833333333333</v>
      </c>
    </row>
    <row r="1423" customFormat="false" ht="12.75" hidden="false" customHeight="false" outlineLevel="0" collapsed="false">
      <c r="A1423" s="215" t="n">
        <v>40690</v>
      </c>
      <c r="B1423" s="213" t="n">
        <v>20.7</v>
      </c>
      <c r="C1423" s="213" t="n">
        <f aca="false">AVERAGEIFS($B$33:$B$1494,$A$33:$A$1494,A1423)</f>
        <v>20.7166666666667</v>
      </c>
      <c r="D1423" s="213" t="n">
        <v>22.9</v>
      </c>
      <c r="E1423" s="213" t="n">
        <f aca="false">AVERAGEIFS($D$33:$D$1494,$A$33:$A$1494,A1423)</f>
        <v>22.9333333333333</v>
      </c>
      <c r="F1423" s="213" t="n">
        <v>18.9</v>
      </c>
      <c r="G1423" s="213" t="n">
        <f aca="false">AVERAGEIFS($F$33:$F$1494,$A$33:$A$1494,A1423)</f>
        <v>18.55</v>
      </c>
      <c r="H1423" s="213" t="n">
        <v>17.5</v>
      </c>
      <c r="I1423" s="213" t="n">
        <f aca="false">AVERAGEIFS($H$33:$H$1494,$A$33:$A$1494,A1423)</f>
        <v>17.8833333333333</v>
      </c>
      <c r="L1423" s="215" t="n">
        <v>40690</v>
      </c>
      <c r="M1423" s="213" t="n">
        <v>20.7166666666667</v>
      </c>
      <c r="N1423" s="213" t="n">
        <v>22.9333333333333</v>
      </c>
      <c r="O1423" s="213" t="n">
        <v>18.55</v>
      </c>
      <c r="P1423" s="213" t="n">
        <v>17.8833333333333</v>
      </c>
    </row>
    <row r="1424" customFormat="false" ht="12.75" hidden="false" customHeight="false" outlineLevel="0" collapsed="false">
      <c r="A1424" s="215" t="n">
        <v>40690</v>
      </c>
      <c r="B1424" s="213" t="n">
        <v>20.7</v>
      </c>
      <c r="C1424" s="213" t="n">
        <f aca="false">AVERAGEIFS($B$33:$B$1494,$A$33:$A$1494,A1424)</f>
        <v>20.7166666666667</v>
      </c>
      <c r="D1424" s="213" t="n">
        <v>22.9</v>
      </c>
      <c r="E1424" s="213" t="n">
        <f aca="false">AVERAGEIFS($D$33:$D$1494,$A$33:$A$1494,A1424)</f>
        <v>22.9333333333333</v>
      </c>
      <c r="F1424" s="213" t="n">
        <v>19.1</v>
      </c>
      <c r="G1424" s="213" t="n">
        <f aca="false">AVERAGEIFS($F$33:$F$1494,$A$33:$A$1494,A1424)</f>
        <v>18.55</v>
      </c>
      <c r="H1424" s="213" t="n">
        <v>17.7</v>
      </c>
      <c r="I1424" s="213" t="n">
        <f aca="false">AVERAGEIFS($H$33:$H$1494,$A$33:$A$1494,A1424)</f>
        <v>17.8833333333333</v>
      </c>
      <c r="L1424" s="215" t="n">
        <v>40690</v>
      </c>
      <c r="M1424" s="213" t="n">
        <v>20.7166666666667</v>
      </c>
      <c r="N1424" s="213" t="n">
        <v>22.9333333333333</v>
      </c>
      <c r="O1424" s="213" t="n">
        <v>18.55</v>
      </c>
      <c r="P1424" s="213" t="n">
        <v>17.8833333333333</v>
      </c>
    </row>
    <row r="1425" customFormat="false" ht="12.75" hidden="false" customHeight="false" outlineLevel="0" collapsed="false">
      <c r="A1425" s="215" t="n">
        <v>40691</v>
      </c>
      <c r="B1425" s="213" t="n">
        <v>20.7</v>
      </c>
      <c r="C1425" s="213" t="n">
        <f aca="false">AVERAGEIFS($B$33:$B$1494,$A$33:$A$1494,A1425)</f>
        <v>20.6666666666667</v>
      </c>
      <c r="D1425" s="213" t="n">
        <v>22.9</v>
      </c>
      <c r="E1425" s="213" t="n">
        <f aca="false">AVERAGEIFS($D$33:$D$1494,$A$33:$A$1494,A1425)</f>
        <v>22.9</v>
      </c>
      <c r="F1425" s="213" t="n">
        <v>18</v>
      </c>
      <c r="G1425" s="213" t="n">
        <f aca="false">AVERAGEIFS($F$33:$F$1494,$A$33:$A$1494,A1425)</f>
        <v>18.1666666666667</v>
      </c>
      <c r="H1425" s="213" t="n">
        <v>17.8</v>
      </c>
      <c r="I1425" s="213" t="n">
        <f aca="false">AVERAGEIFS($H$33:$H$1494,$A$33:$A$1494,A1425)</f>
        <v>17.4</v>
      </c>
      <c r="L1425" s="215" t="n">
        <v>40691</v>
      </c>
      <c r="M1425" s="213" t="n">
        <v>20.6666666666667</v>
      </c>
      <c r="N1425" s="213" t="n">
        <v>22.9</v>
      </c>
      <c r="O1425" s="213" t="n">
        <v>18.1666666666667</v>
      </c>
      <c r="P1425" s="213" t="n">
        <v>17.4</v>
      </c>
    </row>
    <row r="1426" customFormat="false" ht="12.75" hidden="false" customHeight="false" outlineLevel="0" collapsed="false">
      <c r="A1426" s="215" t="n">
        <v>40691</v>
      </c>
      <c r="B1426" s="213" t="n">
        <v>20.7</v>
      </c>
      <c r="C1426" s="213" t="n">
        <f aca="false">AVERAGEIFS($B$33:$B$1494,$A$33:$A$1494,A1426)</f>
        <v>20.6666666666667</v>
      </c>
      <c r="D1426" s="213" t="n">
        <v>22.9</v>
      </c>
      <c r="E1426" s="213" t="n">
        <f aca="false">AVERAGEIFS($D$33:$D$1494,$A$33:$A$1494,A1426)</f>
        <v>22.9</v>
      </c>
      <c r="F1426" s="213" t="n">
        <v>17.2</v>
      </c>
      <c r="G1426" s="213" t="n">
        <f aca="false">AVERAGEIFS($F$33:$F$1494,$A$33:$A$1494,A1426)</f>
        <v>18.1666666666667</v>
      </c>
      <c r="H1426" s="213" t="n">
        <v>17.6</v>
      </c>
      <c r="I1426" s="213" t="n">
        <f aca="false">AVERAGEIFS($H$33:$H$1494,$A$33:$A$1494,A1426)</f>
        <v>17.4</v>
      </c>
      <c r="L1426" s="215" t="n">
        <v>40691</v>
      </c>
      <c r="M1426" s="213" t="n">
        <v>20.6666666666667</v>
      </c>
      <c r="N1426" s="213" t="n">
        <v>22.9</v>
      </c>
      <c r="O1426" s="213" t="n">
        <v>18.1666666666667</v>
      </c>
      <c r="P1426" s="213" t="n">
        <v>17.4</v>
      </c>
    </row>
    <row r="1427" customFormat="false" ht="12.75" hidden="false" customHeight="false" outlineLevel="0" collapsed="false">
      <c r="A1427" s="215" t="n">
        <v>40691</v>
      </c>
      <c r="B1427" s="213" t="n">
        <v>20.6</v>
      </c>
      <c r="C1427" s="213" t="n">
        <f aca="false">AVERAGEIFS($B$33:$B$1494,$A$33:$A$1494,A1427)</f>
        <v>20.6666666666667</v>
      </c>
      <c r="D1427" s="213" t="n">
        <v>22.9</v>
      </c>
      <c r="E1427" s="213" t="n">
        <f aca="false">AVERAGEIFS($D$33:$D$1494,$A$33:$A$1494,A1427)</f>
        <v>22.9</v>
      </c>
      <c r="F1427" s="213" t="n">
        <v>16.3</v>
      </c>
      <c r="G1427" s="213" t="n">
        <f aca="false">AVERAGEIFS($F$33:$F$1494,$A$33:$A$1494,A1427)</f>
        <v>18.1666666666667</v>
      </c>
      <c r="H1427" s="213" t="n">
        <v>17.3</v>
      </c>
      <c r="I1427" s="213" t="n">
        <f aca="false">AVERAGEIFS($H$33:$H$1494,$A$33:$A$1494,A1427)</f>
        <v>17.4</v>
      </c>
      <c r="L1427" s="215" t="n">
        <v>40691</v>
      </c>
      <c r="M1427" s="213" t="n">
        <v>20.6666666666667</v>
      </c>
      <c r="N1427" s="213" t="n">
        <v>22.9</v>
      </c>
      <c r="O1427" s="213" t="n">
        <v>18.1666666666667</v>
      </c>
      <c r="P1427" s="213" t="n">
        <v>17.4</v>
      </c>
    </row>
    <row r="1428" customFormat="false" ht="12.75" hidden="false" customHeight="false" outlineLevel="0" collapsed="false">
      <c r="A1428" s="215" t="n">
        <v>40691</v>
      </c>
      <c r="B1428" s="213" t="n">
        <v>20.6</v>
      </c>
      <c r="C1428" s="213" t="n">
        <f aca="false">AVERAGEIFS($B$33:$B$1494,$A$33:$A$1494,A1428)</f>
        <v>20.6666666666667</v>
      </c>
      <c r="D1428" s="213" t="n">
        <v>22.9</v>
      </c>
      <c r="E1428" s="213" t="n">
        <f aca="false">AVERAGEIFS($D$33:$D$1494,$A$33:$A$1494,A1428)</f>
        <v>22.9</v>
      </c>
      <c r="F1428" s="213" t="n">
        <v>17.4</v>
      </c>
      <c r="G1428" s="213" t="n">
        <f aca="false">AVERAGEIFS($F$33:$F$1494,$A$33:$A$1494,A1428)</f>
        <v>18.1666666666667</v>
      </c>
      <c r="H1428" s="213" t="n">
        <v>16.9</v>
      </c>
      <c r="I1428" s="213" t="n">
        <f aca="false">AVERAGEIFS($H$33:$H$1494,$A$33:$A$1494,A1428)</f>
        <v>17.4</v>
      </c>
      <c r="L1428" s="215" t="n">
        <v>40691</v>
      </c>
      <c r="M1428" s="213" t="n">
        <v>20.6666666666667</v>
      </c>
      <c r="N1428" s="213" t="n">
        <v>22.9</v>
      </c>
      <c r="O1428" s="213" t="n">
        <v>18.1666666666667</v>
      </c>
      <c r="P1428" s="213" t="n">
        <v>17.4</v>
      </c>
    </row>
    <row r="1429" customFormat="false" ht="12.75" hidden="false" customHeight="false" outlineLevel="0" collapsed="false">
      <c r="A1429" s="215" t="n">
        <v>40691</v>
      </c>
      <c r="B1429" s="213" t="n">
        <v>20.7</v>
      </c>
      <c r="C1429" s="213" t="n">
        <f aca="false">AVERAGEIFS($B$33:$B$1494,$A$33:$A$1494,A1429)</f>
        <v>20.6666666666667</v>
      </c>
      <c r="D1429" s="213" t="n">
        <v>22.9</v>
      </c>
      <c r="E1429" s="213" t="n">
        <f aca="false">AVERAGEIFS($D$33:$D$1494,$A$33:$A$1494,A1429)</f>
        <v>22.9</v>
      </c>
      <c r="F1429" s="213" t="n">
        <v>19.7</v>
      </c>
      <c r="G1429" s="213" t="n">
        <f aca="false">AVERAGEIFS($F$33:$F$1494,$A$33:$A$1494,A1429)</f>
        <v>18.1666666666667</v>
      </c>
      <c r="H1429" s="213" t="n">
        <v>17.1</v>
      </c>
      <c r="I1429" s="213" t="n">
        <f aca="false">AVERAGEIFS($H$33:$H$1494,$A$33:$A$1494,A1429)</f>
        <v>17.4</v>
      </c>
      <c r="L1429" s="215" t="n">
        <v>40691</v>
      </c>
      <c r="M1429" s="213" t="n">
        <v>20.6666666666667</v>
      </c>
      <c r="N1429" s="213" t="n">
        <v>22.9</v>
      </c>
      <c r="O1429" s="213" t="n">
        <v>18.1666666666667</v>
      </c>
      <c r="P1429" s="213" t="n">
        <v>17.4</v>
      </c>
    </row>
    <row r="1430" customFormat="false" ht="12.75" hidden="false" customHeight="false" outlineLevel="0" collapsed="false">
      <c r="A1430" s="215" t="n">
        <v>40691</v>
      </c>
      <c r="B1430" s="213" t="n">
        <v>20.7</v>
      </c>
      <c r="C1430" s="213" t="n">
        <f aca="false">AVERAGEIFS($B$33:$B$1494,$A$33:$A$1494,A1430)</f>
        <v>20.6666666666667</v>
      </c>
      <c r="D1430" s="213" t="n">
        <v>22.9</v>
      </c>
      <c r="E1430" s="213" t="n">
        <f aca="false">AVERAGEIFS($D$33:$D$1494,$A$33:$A$1494,A1430)</f>
        <v>22.9</v>
      </c>
      <c r="F1430" s="213" t="n">
        <v>20.4</v>
      </c>
      <c r="G1430" s="213" t="n">
        <f aca="false">AVERAGEIFS($F$33:$F$1494,$A$33:$A$1494,A1430)</f>
        <v>18.1666666666667</v>
      </c>
      <c r="H1430" s="213" t="n">
        <v>17.7</v>
      </c>
      <c r="I1430" s="213" t="n">
        <f aca="false">AVERAGEIFS($H$33:$H$1494,$A$33:$A$1494,A1430)</f>
        <v>17.4</v>
      </c>
      <c r="L1430" s="215" t="n">
        <v>40691</v>
      </c>
      <c r="M1430" s="213" t="n">
        <v>20.6666666666667</v>
      </c>
      <c r="N1430" s="213" t="n">
        <v>22.9</v>
      </c>
      <c r="O1430" s="213" t="n">
        <v>18.1666666666667</v>
      </c>
      <c r="P1430" s="213" t="n">
        <v>17.4</v>
      </c>
    </row>
    <row r="1431" customFormat="false" ht="12.75" hidden="false" customHeight="false" outlineLevel="0" collapsed="false">
      <c r="A1431" s="215" t="n">
        <v>40692</v>
      </c>
      <c r="B1431" s="213" t="n">
        <v>20.8</v>
      </c>
      <c r="C1431" s="213" t="n">
        <f aca="false">AVERAGEIFS($B$33:$B$1494,$A$33:$A$1494,A1431)</f>
        <v>20.7</v>
      </c>
      <c r="D1431" s="213" t="n">
        <v>22.9</v>
      </c>
      <c r="E1431" s="213" t="n">
        <f aca="false">AVERAGEIFS($D$33:$D$1494,$A$33:$A$1494,A1431)</f>
        <v>22.9</v>
      </c>
      <c r="F1431" s="213" t="n">
        <v>18.9</v>
      </c>
      <c r="G1431" s="213" t="n">
        <f aca="false">AVERAGEIFS($F$33:$F$1494,$A$33:$A$1494,A1431)</f>
        <v>18.9166666666667</v>
      </c>
      <c r="H1431" s="213" t="n">
        <v>18.1</v>
      </c>
      <c r="I1431" s="213" t="n">
        <f aca="false">AVERAGEIFS($H$33:$H$1494,$A$33:$A$1494,A1431)</f>
        <v>17.75</v>
      </c>
      <c r="L1431" s="215" t="n">
        <v>40692</v>
      </c>
      <c r="M1431" s="213" t="n">
        <v>20.7</v>
      </c>
      <c r="N1431" s="213" t="n">
        <v>22.9</v>
      </c>
      <c r="O1431" s="213" t="n">
        <v>18.9166666666667</v>
      </c>
      <c r="P1431" s="213" t="n">
        <v>17.75</v>
      </c>
    </row>
    <row r="1432" customFormat="false" ht="12.75" hidden="false" customHeight="false" outlineLevel="0" collapsed="false">
      <c r="A1432" s="215" t="n">
        <v>40692</v>
      </c>
      <c r="B1432" s="213" t="n">
        <v>20.7</v>
      </c>
      <c r="C1432" s="213" t="n">
        <f aca="false">AVERAGEIFS($B$33:$B$1494,$A$33:$A$1494,A1432)</f>
        <v>20.7</v>
      </c>
      <c r="D1432" s="213" t="n">
        <v>22.9</v>
      </c>
      <c r="E1432" s="213" t="n">
        <f aca="false">AVERAGEIFS($D$33:$D$1494,$A$33:$A$1494,A1432)</f>
        <v>22.9</v>
      </c>
      <c r="F1432" s="213" t="n">
        <v>17.3</v>
      </c>
      <c r="G1432" s="213" t="n">
        <f aca="false">AVERAGEIFS($F$33:$F$1494,$A$33:$A$1494,A1432)</f>
        <v>18.9166666666667</v>
      </c>
      <c r="H1432" s="213" t="n">
        <v>18</v>
      </c>
      <c r="I1432" s="213" t="n">
        <f aca="false">AVERAGEIFS($H$33:$H$1494,$A$33:$A$1494,A1432)</f>
        <v>17.75</v>
      </c>
      <c r="L1432" s="215" t="n">
        <v>40692</v>
      </c>
      <c r="M1432" s="213" t="n">
        <v>20.7</v>
      </c>
      <c r="N1432" s="213" t="n">
        <v>22.9</v>
      </c>
      <c r="O1432" s="213" t="n">
        <v>18.9166666666667</v>
      </c>
      <c r="P1432" s="213" t="n">
        <v>17.75</v>
      </c>
    </row>
    <row r="1433" customFormat="false" ht="12.75" hidden="false" customHeight="false" outlineLevel="0" collapsed="false">
      <c r="A1433" s="215" t="n">
        <v>40692</v>
      </c>
      <c r="B1433" s="213" t="n">
        <v>20.6</v>
      </c>
      <c r="C1433" s="213" t="n">
        <f aca="false">AVERAGEIFS($B$33:$B$1494,$A$33:$A$1494,A1433)</f>
        <v>20.7</v>
      </c>
      <c r="D1433" s="213" t="n">
        <v>22.9</v>
      </c>
      <c r="E1433" s="213" t="n">
        <f aca="false">AVERAGEIFS($D$33:$D$1494,$A$33:$A$1494,A1433)</f>
        <v>22.9</v>
      </c>
      <c r="F1433" s="213" t="n">
        <v>16.5</v>
      </c>
      <c r="G1433" s="213" t="n">
        <f aca="false">AVERAGEIFS($F$33:$F$1494,$A$33:$A$1494,A1433)</f>
        <v>18.9166666666667</v>
      </c>
      <c r="H1433" s="213" t="n">
        <v>17.5</v>
      </c>
      <c r="I1433" s="213" t="n">
        <f aca="false">AVERAGEIFS($H$33:$H$1494,$A$33:$A$1494,A1433)</f>
        <v>17.75</v>
      </c>
      <c r="L1433" s="215" t="n">
        <v>40692</v>
      </c>
      <c r="M1433" s="213" t="n">
        <v>20.7</v>
      </c>
      <c r="N1433" s="213" t="n">
        <v>22.9</v>
      </c>
      <c r="O1433" s="213" t="n">
        <v>18.9166666666667</v>
      </c>
      <c r="P1433" s="213" t="n">
        <v>17.75</v>
      </c>
    </row>
    <row r="1434" customFormat="false" ht="12.75" hidden="false" customHeight="false" outlineLevel="0" collapsed="false">
      <c r="A1434" s="215" t="n">
        <v>40692</v>
      </c>
      <c r="B1434" s="213" t="n">
        <v>20.6</v>
      </c>
      <c r="C1434" s="213" t="n">
        <f aca="false">AVERAGEIFS($B$33:$B$1494,$A$33:$A$1494,A1434)</f>
        <v>20.7</v>
      </c>
      <c r="D1434" s="213" t="n">
        <v>22.9</v>
      </c>
      <c r="E1434" s="213" t="n">
        <f aca="false">AVERAGEIFS($D$33:$D$1494,$A$33:$A$1494,A1434)</f>
        <v>22.9</v>
      </c>
      <c r="F1434" s="213" t="n">
        <v>18</v>
      </c>
      <c r="G1434" s="213" t="n">
        <f aca="false">AVERAGEIFS($F$33:$F$1494,$A$33:$A$1494,A1434)</f>
        <v>18.9166666666667</v>
      </c>
      <c r="H1434" s="213" t="n">
        <v>17.2</v>
      </c>
      <c r="I1434" s="213" t="n">
        <f aca="false">AVERAGEIFS($H$33:$H$1494,$A$33:$A$1494,A1434)</f>
        <v>17.75</v>
      </c>
      <c r="L1434" s="215" t="n">
        <v>40692</v>
      </c>
      <c r="M1434" s="213" t="n">
        <v>20.7</v>
      </c>
      <c r="N1434" s="213" t="n">
        <v>22.9</v>
      </c>
      <c r="O1434" s="213" t="n">
        <v>18.9166666666667</v>
      </c>
      <c r="P1434" s="213" t="n">
        <v>17.75</v>
      </c>
    </row>
    <row r="1435" customFormat="false" ht="12.75" hidden="false" customHeight="false" outlineLevel="0" collapsed="false">
      <c r="A1435" s="215" t="n">
        <v>40692</v>
      </c>
      <c r="B1435" s="213" t="n">
        <v>20.7</v>
      </c>
      <c r="C1435" s="213" t="n">
        <f aca="false">AVERAGEIFS($B$33:$B$1494,$A$33:$A$1494,A1435)</f>
        <v>20.7</v>
      </c>
      <c r="D1435" s="213" t="n">
        <v>22.9</v>
      </c>
      <c r="E1435" s="213" t="n">
        <f aca="false">AVERAGEIFS($D$33:$D$1494,$A$33:$A$1494,A1435)</f>
        <v>22.9</v>
      </c>
      <c r="F1435" s="213" t="n">
        <v>20.9</v>
      </c>
      <c r="G1435" s="213" t="n">
        <f aca="false">AVERAGEIFS($F$33:$F$1494,$A$33:$A$1494,A1435)</f>
        <v>18.9166666666667</v>
      </c>
      <c r="H1435" s="213" t="n">
        <v>17.5</v>
      </c>
      <c r="I1435" s="213" t="n">
        <f aca="false">AVERAGEIFS($H$33:$H$1494,$A$33:$A$1494,A1435)</f>
        <v>17.75</v>
      </c>
      <c r="L1435" s="215" t="n">
        <v>40692</v>
      </c>
      <c r="M1435" s="213" t="n">
        <v>20.7</v>
      </c>
      <c r="N1435" s="213" t="n">
        <v>22.9</v>
      </c>
      <c r="O1435" s="213" t="n">
        <v>18.9166666666667</v>
      </c>
      <c r="P1435" s="213" t="n">
        <v>17.75</v>
      </c>
    </row>
    <row r="1436" customFormat="false" ht="12.75" hidden="false" customHeight="false" outlineLevel="0" collapsed="false">
      <c r="A1436" s="215" t="n">
        <v>40692</v>
      </c>
      <c r="B1436" s="213" t="n">
        <v>20.8</v>
      </c>
      <c r="C1436" s="213" t="n">
        <f aca="false">AVERAGEIFS($B$33:$B$1494,$A$33:$A$1494,A1436)</f>
        <v>20.7</v>
      </c>
      <c r="D1436" s="213" t="n">
        <v>22.9</v>
      </c>
      <c r="E1436" s="213" t="n">
        <f aca="false">AVERAGEIFS($D$33:$D$1494,$A$33:$A$1494,A1436)</f>
        <v>22.9</v>
      </c>
      <c r="F1436" s="213" t="n">
        <v>21.9</v>
      </c>
      <c r="G1436" s="213" t="n">
        <f aca="false">AVERAGEIFS($F$33:$F$1494,$A$33:$A$1494,A1436)</f>
        <v>18.9166666666667</v>
      </c>
      <c r="H1436" s="213" t="n">
        <v>18.2</v>
      </c>
      <c r="I1436" s="213" t="n">
        <f aca="false">AVERAGEIFS($H$33:$H$1494,$A$33:$A$1494,A1436)</f>
        <v>17.75</v>
      </c>
      <c r="L1436" s="215" t="n">
        <v>40692</v>
      </c>
      <c r="M1436" s="213" t="n">
        <v>20.7</v>
      </c>
      <c r="N1436" s="213" t="n">
        <v>22.9</v>
      </c>
      <c r="O1436" s="213" t="n">
        <v>18.9166666666667</v>
      </c>
      <c r="P1436" s="213" t="n">
        <v>17.75</v>
      </c>
    </row>
    <row r="1437" customFormat="false" ht="12.75" hidden="false" customHeight="false" outlineLevel="0" collapsed="false">
      <c r="A1437" s="215" t="n">
        <v>40693</v>
      </c>
      <c r="B1437" s="213" t="n">
        <v>20.9</v>
      </c>
      <c r="C1437" s="213" t="n">
        <f aca="false">AVERAGEIFS($B$33:$B$1494,$A$33:$A$1494,A1437)</f>
        <v>20.7833333333333</v>
      </c>
      <c r="D1437" s="213" t="n">
        <v>23</v>
      </c>
      <c r="E1437" s="213" t="n">
        <f aca="false">AVERAGEIFS($D$33:$D$1494,$A$33:$A$1494,A1437)</f>
        <v>23</v>
      </c>
      <c r="F1437" s="213" t="n">
        <v>20.8</v>
      </c>
      <c r="G1437" s="213" t="n">
        <f aca="false">AVERAGEIFS($F$33:$F$1494,$A$33:$A$1494,A1437)</f>
        <v>19.9666666666667</v>
      </c>
      <c r="H1437" s="213" t="n">
        <v>18.8</v>
      </c>
      <c r="I1437" s="213" t="n">
        <f aca="false">AVERAGEIFS($H$33:$H$1494,$A$33:$A$1494,A1437)</f>
        <v>18.6333333333333</v>
      </c>
      <c r="L1437" s="215" t="n">
        <v>40693</v>
      </c>
      <c r="M1437" s="213" t="n">
        <v>20.7833333333333</v>
      </c>
      <c r="N1437" s="213" t="n">
        <v>23</v>
      </c>
      <c r="O1437" s="213" t="n">
        <v>19.9666666666667</v>
      </c>
      <c r="P1437" s="213" t="n">
        <v>18.6333333333333</v>
      </c>
    </row>
    <row r="1438" customFormat="false" ht="12.75" hidden="false" customHeight="false" outlineLevel="0" collapsed="false">
      <c r="A1438" s="215" t="n">
        <v>40693</v>
      </c>
      <c r="B1438" s="213" t="n">
        <v>20.8</v>
      </c>
      <c r="C1438" s="213" t="n">
        <f aca="false">AVERAGEIFS($B$33:$B$1494,$A$33:$A$1494,A1438)</f>
        <v>20.7833333333333</v>
      </c>
      <c r="D1438" s="213" t="n">
        <v>23</v>
      </c>
      <c r="E1438" s="213" t="n">
        <f aca="false">AVERAGEIFS($D$33:$D$1494,$A$33:$A$1494,A1438)</f>
        <v>23</v>
      </c>
      <c r="F1438" s="213" t="n">
        <v>19.4</v>
      </c>
      <c r="G1438" s="213" t="n">
        <f aca="false">AVERAGEIFS($F$33:$F$1494,$A$33:$A$1494,A1438)</f>
        <v>19.9666666666667</v>
      </c>
      <c r="H1438" s="213" t="n">
        <v>18.8</v>
      </c>
      <c r="I1438" s="213" t="n">
        <f aca="false">AVERAGEIFS($H$33:$H$1494,$A$33:$A$1494,A1438)</f>
        <v>18.6333333333333</v>
      </c>
      <c r="L1438" s="215" t="n">
        <v>40693</v>
      </c>
      <c r="M1438" s="213" t="n">
        <v>20.7833333333333</v>
      </c>
      <c r="N1438" s="213" t="n">
        <v>23</v>
      </c>
      <c r="O1438" s="213" t="n">
        <v>19.9666666666667</v>
      </c>
      <c r="P1438" s="213" t="n">
        <v>18.6333333333333</v>
      </c>
    </row>
    <row r="1439" customFormat="false" ht="12.75" hidden="false" customHeight="false" outlineLevel="0" collapsed="false">
      <c r="A1439" s="215" t="n">
        <v>40693</v>
      </c>
      <c r="B1439" s="213" t="n">
        <v>20.7</v>
      </c>
      <c r="C1439" s="213" t="n">
        <f aca="false">AVERAGEIFS($B$33:$B$1494,$A$33:$A$1494,A1439)</f>
        <v>20.7833333333333</v>
      </c>
      <c r="D1439" s="213" t="n">
        <v>23</v>
      </c>
      <c r="E1439" s="213" t="n">
        <f aca="false">AVERAGEIFS($D$33:$D$1494,$A$33:$A$1494,A1439)</f>
        <v>23</v>
      </c>
      <c r="F1439" s="213" t="n">
        <v>18.8</v>
      </c>
      <c r="G1439" s="213" t="n">
        <f aca="false">AVERAGEIFS($F$33:$F$1494,$A$33:$A$1494,A1439)</f>
        <v>19.9666666666667</v>
      </c>
      <c r="H1439" s="213" t="n">
        <v>18.6</v>
      </c>
      <c r="I1439" s="213" t="n">
        <f aca="false">AVERAGEIFS($H$33:$H$1494,$A$33:$A$1494,A1439)</f>
        <v>18.6333333333333</v>
      </c>
      <c r="L1439" s="215" t="n">
        <v>40693</v>
      </c>
      <c r="M1439" s="213" t="n">
        <v>20.7833333333333</v>
      </c>
      <c r="N1439" s="213" t="n">
        <v>23</v>
      </c>
      <c r="O1439" s="213" t="n">
        <v>19.9666666666667</v>
      </c>
      <c r="P1439" s="213" t="n">
        <v>18.6333333333333</v>
      </c>
    </row>
    <row r="1440" customFormat="false" ht="12.75" hidden="false" customHeight="false" outlineLevel="0" collapsed="false">
      <c r="A1440" s="215" t="n">
        <v>40693</v>
      </c>
      <c r="B1440" s="213" t="n">
        <v>20.7</v>
      </c>
      <c r="C1440" s="213" t="n">
        <f aca="false">AVERAGEIFS($B$33:$B$1494,$A$33:$A$1494,A1440)</f>
        <v>20.7833333333333</v>
      </c>
      <c r="D1440" s="213" t="n">
        <v>23</v>
      </c>
      <c r="E1440" s="213" t="n">
        <f aca="false">AVERAGEIFS($D$33:$D$1494,$A$33:$A$1494,A1440)</f>
        <v>23</v>
      </c>
      <c r="F1440" s="213" t="n">
        <v>19.6</v>
      </c>
      <c r="G1440" s="213" t="n">
        <f aca="false">AVERAGEIFS($F$33:$F$1494,$A$33:$A$1494,A1440)</f>
        <v>19.9666666666667</v>
      </c>
      <c r="H1440" s="213" t="n">
        <v>18.4</v>
      </c>
      <c r="I1440" s="213" t="n">
        <f aca="false">AVERAGEIFS($H$33:$H$1494,$A$33:$A$1494,A1440)</f>
        <v>18.6333333333333</v>
      </c>
      <c r="L1440" s="215" t="n">
        <v>40693</v>
      </c>
      <c r="M1440" s="213" t="n">
        <v>20.7833333333333</v>
      </c>
      <c r="N1440" s="213" t="n">
        <v>23</v>
      </c>
      <c r="O1440" s="213" t="n">
        <v>19.9666666666667</v>
      </c>
      <c r="P1440" s="213" t="n">
        <v>18.6333333333333</v>
      </c>
    </row>
    <row r="1441" customFormat="false" ht="12.75" hidden="false" customHeight="false" outlineLevel="0" collapsed="false">
      <c r="A1441" s="215" t="n">
        <v>40693</v>
      </c>
      <c r="B1441" s="213" t="n">
        <v>20.8</v>
      </c>
      <c r="C1441" s="213" t="n">
        <f aca="false">AVERAGEIFS($B$33:$B$1494,$A$33:$A$1494,A1441)</f>
        <v>20.7833333333333</v>
      </c>
      <c r="D1441" s="213" t="n">
        <v>23</v>
      </c>
      <c r="E1441" s="213" t="n">
        <f aca="false">AVERAGEIFS($D$33:$D$1494,$A$33:$A$1494,A1441)</f>
        <v>23</v>
      </c>
      <c r="F1441" s="213" t="n">
        <v>20.5</v>
      </c>
      <c r="G1441" s="213" t="n">
        <f aca="false">AVERAGEIFS($F$33:$F$1494,$A$33:$A$1494,A1441)</f>
        <v>19.9666666666667</v>
      </c>
      <c r="H1441" s="213" t="n">
        <v>18.5</v>
      </c>
      <c r="I1441" s="213" t="n">
        <f aca="false">AVERAGEIFS($H$33:$H$1494,$A$33:$A$1494,A1441)</f>
        <v>18.6333333333333</v>
      </c>
      <c r="L1441" s="215" t="n">
        <v>40693</v>
      </c>
      <c r="M1441" s="213" t="n">
        <v>20.7833333333333</v>
      </c>
      <c r="N1441" s="213" t="n">
        <v>23</v>
      </c>
      <c r="O1441" s="213" t="n">
        <v>19.9666666666667</v>
      </c>
      <c r="P1441" s="213" t="n">
        <v>18.6333333333333</v>
      </c>
    </row>
    <row r="1442" customFormat="false" ht="12.75" hidden="false" customHeight="false" outlineLevel="0" collapsed="false">
      <c r="A1442" s="215" t="n">
        <v>40693</v>
      </c>
      <c r="B1442" s="213" t="n">
        <v>20.8</v>
      </c>
      <c r="C1442" s="213" t="n">
        <f aca="false">AVERAGEIFS($B$33:$B$1494,$A$33:$A$1494,A1442)</f>
        <v>20.7833333333333</v>
      </c>
      <c r="D1442" s="213" t="n">
        <v>23</v>
      </c>
      <c r="E1442" s="213" t="n">
        <f aca="false">AVERAGEIFS($D$33:$D$1494,$A$33:$A$1494,A1442)</f>
        <v>23</v>
      </c>
      <c r="F1442" s="213" t="n">
        <v>20.7</v>
      </c>
      <c r="G1442" s="213" t="n">
        <f aca="false">AVERAGEIFS($F$33:$F$1494,$A$33:$A$1494,A1442)</f>
        <v>19.9666666666667</v>
      </c>
      <c r="H1442" s="213" t="n">
        <v>18.7</v>
      </c>
      <c r="I1442" s="213" t="n">
        <f aca="false">AVERAGEIFS($H$33:$H$1494,$A$33:$A$1494,A1442)</f>
        <v>18.6333333333333</v>
      </c>
      <c r="L1442" s="215" t="n">
        <v>40693</v>
      </c>
      <c r="M1442" s="213" t="n">
        <v>20.7833333333333</v>
      </c>
      <c r="N1442" s="213" t="n">
        <v>23</v>
      </c>
      <c r="O1442" s="213" t="n">
        <v>19.9666666666667</v>
      </c>
      <c r="P1442" s="213" t="n">
        <v>18.6333333333333</v>
      </c>
    </row>
    <row r="1443" customFormat="false" ht="12.75" hidden="false" customHeight="false" outlineLevel="0" collapsed="false">
      <c r="A1443" s="215" t="n">
        <v>40694</v>
      </c>
      <c r="B1443" s="213" t="n">
        <v>26.5</v>
      </c>
      <c r="C1443" s="213" t="n">
        <f aca="false">AVERAGEIFS($B$33:$B$1494,$A$33:$A$1494,A1443)</f>
        <v>26.2166666666667</v>
      </c>
      <c r="D1443" s="213" t="n">
        <v>23</v>
      </c>
      <c r="E1443" s="213" t="n">
        <f aca="false">AVERAGEIFS($D$33:$D$1494,$A$33:$A$1494,A1443)</f>
        <v>23</v>
      </c>
      <c r="F1443" s="213" t="n">
        <v>19.5</v>
      </c>
      <c r="G1443" s="213" t="n">
        <f aca="false">AVERAGEIFS($F$33:$F$1494,$A$33:$A$1494,A1443)</f>
        <v>18.1666666666667</v>
      </c>
      <c r="H1443" s="213" t="n">
        <v>18.7</v>
      </c>
      <c r="I1443" s="213" t="n">
        <f aca="false">AVERAGEIFS($H$33:$H$1494,$A$33:$A$1494,A1443)</f>
        <v>18.0833333333333</v>
      </c>
      <c r="L1443" s="215" t="n">
        <v>40694</v>
      </c>
      <c r="M1443" s="213" t="n">
        <v>26.2166666666667</v>
      </c>
      <c r="N1443" s="213" t="n">
        <v>23</v>
      </c>
      <c r="O1443" s="213" t="n">
        <v>18.1666666666667</v>
      </c>
      <c r="P1443" s="213" t="n">
        <v>18.0833333333333</v>
      </c>
    </row>
    <row r="1444" customFormat="false" ht="12.75" hidden="false" customHeight="false" outlineLevel="0" collapsed="false">
      <c r="A1444" s="215" t="n">
        <v>40694</v>
      </c>
      <c r="B1444" s="213" t="n">
        <v>26.8</v>
      </c>
      <c r="C1444" s="213" t="n">
        <f aca="false">AVERAGEIFS($B$33:$B$1494,$A$33:$A$1494,A1444)</f>
        <v>26.2166666666667</v>
      </c>
      <c r="D1444" s="213" t="n">
        <v>23</v>
      </c>
      <c r="E1444" s="213" t="n">
        <f aca="false">AVERAGEIFS($D$33:$D$1494,$A$33:$A$1494,A1444)</f>
        <v>23</v>
      </c>
      <c r="F1444" s="213" t="n">
        <v>18.7</v>
      </c>
      <c r="G1444" s="213" t="n">
        <f aca="false">AVERAGEIFS($F$33:$F$1494,$A$33:$A$1494,A1444)</f>
        <v>18.1666666666667</v>
      </c>
      <c r="H1444" s="213" t="n">
        <v>18.6</v>
      </c>
      <c r="I1444" s="213" t="n">
        <f aca="false">AVERAGEIFS($H$33:$H$1494,$A$33:$A$1494,A1444)</f>
        <v>18.0833333333333</v>
      </c>
      <c r="L1444" s="215" t="n">
        <v>40694</v>
      </c>
      <c r="M1444" s="213" t="n">
        <v>26.2166666666667</v>
      </c>
      <c r="N1444" s="213" t="n">
        <v>23</v>
      </c>
      <c r="O1444" s="213" t="n">
        <v>18.1666666666667</v>
      </c>
      <c r="P1444" s="213" t="n">
        <v>18.0833333333333</v>
      </c>
    </row>
    <row r="1445" customFormat="false" ht="12.75" hidden="false" customHeight="false" outlineLevel="0" collapsed="false">
      <c r="A1445" s="215" t="n">
        <v>40694</v>
      </c>
      <c r="B1445" s="213" t="n">
        <v>26.5</v>
      </c>
      <c r="C1445" s="213" t="n">
        <f aca="false">AVERAGEIFS($B$33:$B$1494,$A$33:$A$1494,A1445)</f>
        <v>26.2166666666667</v>
      </c>
      <c r="D1445" s="213" t="n">
        <v>23</v>
      </c>
      <c r="E1445" s="213" t="n">
        <f aca="false">AVERAGEIFS($D$33:$D$1494,$A$33:$A$1494,A1445)</f>
        <v>23</v>
      </c>
      <c r="F1445" s="213" t="n">
        <v>17.9</v>
      </c>
      <c r="G1445" s="213" t="n">
        <f aca="false">AVERAGEIFS($F$33:$F$1494,$A$33:$A$1494,A1445)</f>
        <v>18.1666666666667</v>
      </c>
      <c r="H1445" s="213" t="n">
        <v>18.2</v>
      </c>
      <c r="I1445" s="213" t="n">
        <f aca="false">AVERAGEIFS($H$33:$H$1494,$A$33:$A$1494,A1445)</f>
        <v>18.0833333333333</v>
      </c>
      <c r="L1445" s="215" t="n">
        <v>40694</v>
      </c>
      <c r="M1445" s="213" t="n">
        <v>26.2166666666667</v>
      </c>
      <c r="N1445" s="213" t="n">
        <v>23</v>
      </c>
      <c r="O1445" s="213" t="n">
        <v>18.1666666666667</v>
      </c>
      <c r="P1445" s="213" t="n">
        <v>18.0833333333333</v>
      </c>
    </row>
    <row r="1446" customFormat="false" ht="12.75" hidden="false" customHeight="false" outlineLevel="0" collapsed="false">
      <c r="A1446" s="215" t="n">
        <v>40694</v>
      </c>
      <c r="B1446" s="213" t="n">
        <v>26.1</v>
      </c>
      <c r="C1446" s="213" t="n">
        <f aca="false">AVERAGEIFS($B$33:$B$1494,$A$33:$A$1494,A1446)</f>
        <v>26.2166666666667</v>
      </c>
      <c r="D1446" s="213" t="n">
        <v>23</v>
      </c>
      <c r="E1446" s="213" t="n">
        <f aca="false">AVERAGEIFS($D$33:$D$1494,$A$33:$A$1494,A1446)</f>
        <v>23</v>
      </c>
      <c r="F1446" s="213" t="n">
        <v>17.7</v>
      </c>
      <c r="G1446" s="213" t="n">
        <f aca="false">AVERAGEIFS($F$33:$F$1494,$A$33:$A$1494,A1446)</f>
        <v>18.1666666666667</v>
      </c>
      <c r="H1446" s="213" t="n">
        <v>17.9</v>
      </c>
      <c r="I1446" s="213" t="n">
        <f aca="false">AVERAGEIFS($H$33:$H$1494,$A$33:$A$1494,A1446)</f>
        <v>18.0833333333333</v>
      </c>
      <c r="L1446" s="215" t="n">
        <v>40694</v>
      </c>
      <c r="M1446" s="213" t="n">
        <v>26.2166666666667</v>
      </c>
      <c r="N1446" s="213" t="n">
        <v>23</v>
      </c>
      <c r="O1446" s="213" t="n">
        <v>18.1666666666667</v>
      </c>
      <c r="P1446" s="213" t="n">
        <v>18.0833333333333</v>
      </c>
    </row>
    <row r="1447" customFormat="false" ht="12.75" hidden="false" customHeight="false" outlineLevel="0" collapsed="false">
      <c r="A1447" s="215" t="n">
        <v>40694</v>
      </c>
      <c r="B1447" s="213" t="n">
        <v>25.8</v>
      </c>
      <c r="C1447" s="213" t="n">
        <f aca="false">AVERAGEIFS($B$33:$B$1494,$A$33:$A$1494,A1447)</f>
        <v>26.2166666666667</v>
      </c>
      <c r="D1447" s="213" t="n">
        <v>23</v>
      </c>
      <c r="E1447" s="213" t="n">
        <f aca="false">AVERAGEIFS($D$33:$D$1494,$A$33:$A$1494,A1447)</f>
        <v>23</v>
      </c>
      <c r="F1447" s="213" t="n">
        <v>17.6</v>
      </c>
      <c r="G1447" s="213" t="n">
        <f aca="false">AVERAGEIFS($F$33:$F$1494,$A$33:$A$1494,A1447)</f>
        <v>18.1666666666667</v>
      </c>
      <c r="H1447" s="213" t="n">
        <v>17.6</v>
      </c>
      <c r="I1447" s="213" t="n">
        <f aca="false">AVERAGEIFS($H$33:$H$1494,$A$33:$A$1494,A1447)</f>
        <v>18.0833333333333</v>
      </c>
      <c r="L1447" s="215" t="n">
        <v>40694</v>
      </c>
      <c r="M1447" s="213" t="n">
        <v>26.2166666666667</v>
      </c>
      <c r="N1447" s="213" t="n">
        <v>23</v>
      </c>
      <c r="O1447" s="213" t="n">
        <v>18.1666666666667</v>
      </c>
      <c r="P1447" s="213" t="n">
        <v>18.0833333333333</v>
      </c>
    </row>
    <row r="1448" customFormat="false" ht="12.75" hidden="false" customHeight="false" outlineLevel="0" collapsed="false">
      <c r="A1448" s="215" t="n">
        <v>40694</v>
      </c>
      <c r="B1448" s="213" t="n">
        <v>25.6</v>
      </c>
      <c r="C1448" s="213" t="n">
        <f aca="false">AVERAGEIFS($B$33:$B$1494,$A$33:$A$1494,A1448)</f>
        <v>26.2166666666667</v>
      </c>
      <c r="D1448" s="213" t="n">
        <v>23</v>
      </c>
      <c r="E1448" s="213" t="n">
        <f aca="false">AVERAGEIFS($D$33:$D$1494,$A$33:$A$1494,A1448)</f>
        <v>23</v>
      </c>
      <c r="F1448" s="213" t="n">
        <v>17.6</v>
      </c>
      <c r="G1448" s="213" t="n">
        <f aca="false">AVERAGEIFS($F$33:$F$1494,$A$33:$A$1494,A1448)</f>
        <v>18.1666666666667</v>
      </c>
      <c r="H1448" s="213" t="n">
        <v>17.5</v>
      </c>
      <c r="I1448" s="213" t="n">
        <f aca="false">AVERAGEIFS($H$33:$H$1494,$A$33:$A$1494,A1448)</f>
        <v>18.0833333333333</v>
      </c>
      <c r="L1448" s="215" t="n">
        <v>40694</v>
      </c>
      <c r="M1448" s="213" t="n">
        <v>26.2166666666667</v>
      </c>
      <c r="N1448" s="213" t="n">
        <v>23</v>
      </c>
      <c r="O1448" s="213" t="n">
        <v>18.1666666666667</v>
      </c>
      <c r="P1448" s="213" t="n">
        <v>18.0833333333333</v>
      </c>
    </row>
    <row r="1449" customFormat="false" ht="12.75" hidden="false" customHeight="false" outlineLevel="0" collapsed="false">
      <c r="A1449" s="215" t="n">
        <v>40695</v>
      </c>
      <c r="B1449" s="213" t="n">
        <v>25.4</v>
      </c>
      <c r="C1449" s="213" t="n">
        <f aca="false">AVERAGEIFS($B$33:$B$1494,$A$33:$A$1494,A1449)</f>
        <v>24.7833333333333</v>
      </c>
      <c r="D1449" s="213" t="n">
        <v>23</v>
      </c>
      <c r="E1449" s="213" t="n">
        <f aca="false">AVERAGEIFS($D$33:$D$1494,$A$33:$A$1494,A1449)</f>
        <v>22.9333333333333</v>
      </c>
      <c r="F1449" s="213" t="n">
        <v>16.6</v>
      </c>
      <c r="G1449" s="213" t="n">
        <f aca="false">AVERAGEIFS($F$33:$F$1494,$A$33:$A$1494,A1449)</f>
        <v>15.6</v>
      </c>
      <c r="H1449" s="213" t="n">
        <v>17.3</v>
      </c>
      <c r="I1449" s="213" t="n">
        <f aca="false">AVERAGEIFS($H$33:$H$1494,$A$33:$A$1494,A1449)</f>
        <v>16.5333333333333</v>
      </c>
      <c r="L1449" s="215" t="n">
        <v>40695</v>
      </c>
      <c r="M1449" s="213" t="n">
        <v>24.7833333333333</v>
      </c>
      <c r="N1449" s="213" t="n">
        <v>22.9333333333333</v>
      </c>
      <c r="O1449" s="213" t="n">
        <v>15.6</v>
      </c>
      <c r="P1449" s="213" t="n">
        <v>16.5333333333333</v>
      </c>
    </row>
    <row r="1450" customFormat="false" ht="12.75" hidden="false" customHeight="false" outlineLevel="0" collapsed="false">
      <c r="A1450" s="215" t="n">
        <v>40695</v>
      </c>
      <c r="B1450" s="213" t="n">
        <v>25.1</v>
      </c>
      <c r="C1450" s="213" t="n">
        <f aca="false">AVERAGEIFS($B$33:$B$1494,$A$33:$A$1494,A1450)</f>
        <v>24.7833333333333</v>
      </c>
      <c r="D1450" s="213" t="n">
        <v>23</v>
      </c>
      <c r="E1450" s="213" t="n">
        <f aca="false">AVERAGEIFS($D$33:$D$1494,$A$33:$A$1494,A1450)</f>
        <v>22.9333333333333</v>
      </c>
      <c r="F1450" s="213" t="n">
        <v>15.6</v>
      </c>
      <c r="G1450" s="213" t="n">
        <f aca="false">AVERAGEIFS($F$33:$F$1494,$A$33:$A$1494,A1450)</f>
        <v>15.6</v>
      </c>
      <c r="H1450" s="213" t="n">
        <v>17</v>
      </c>
      <c r="I1450" s="213" t="n">
        <f aca="false">AVERAGEIFS($H$33:$H$1494,$A$33:$A$1494,A1450)</f>
        <v>16.5333333333333</v>
      </c>
      <c r="L1450" s="215" t="n">
        <v>40695</v>
      </c>
      <c r="M1450" s="213" t="n">
        <v>24.7833333333333</v>
      </c>
      <c r="N1450" s="213" t="n">
        <v>22.9333333333333</v>
      </c>
      <c r="O1450" s="213" t="n">
        <v>15.6</v>
      </c>
      <c r="P1450" s="213" t="n">
        <v>16.5333333333333</v>
      </c>
    </row>
    <row r="1451" customFormat="false" ht="12.75" hidden="false" customHeight="false" outlineLevel="0" collapsed="false">
      <c r="A1451" s="215" t="n">
        <v>40695</v>
      </c>
      <c r="B1451" s="213" t="n">
        <v>24.8</v>
      </c>
      <c r="C1451" s="213" t="n">
        <f aca="false">AVERAGEIFS($B$33:$B$1494,$A$33:$A$1494,A1451)</f>
        <v>24.7833333333333</v>
      </c>
      <c r="D1451" s="213" t="n">
        <v>22.9</v>
      </c>
      <c r="E1451" s="213" t="n">
        <f aca="false">AVERAGEIFS($D$33:$D$1494,$A$33:$A$1494,A1451)</f>
        <v>22.9333333333333</v>
      </c>
      <c r="F1451" s="213" t="n">
        <v>14.7</v>
      </c>
      <c r="G1451" s="213" t="n">
        <f aca="false">AVERAGEIFS($F$33:$F$1494,$A$33:$A$1494,A1451)</f>
        <v>15.6</v>
      </c>
      <c r="H1451" s="213" t="n">
        <v>16.5</v>
      </c>
      <c r="I1451" s="213" t="n">
        <f aca="false">AVERAGEIFS($H$33:$H$1494,$A$33:$A$1494,A1451)</f>
        <v>16.5333333333333</v>
      </c>
      <c r="L1451" s="215" t="n">
        <v>40695</v>
      </c>
      <c r="M1451" s="213" t="n">
        <v>24.7833333333333</v>
      </c>
      <c r="N1451" s="213" t="n">
        <v>22.9333333333333</v>
      </c>
      <c r="O1451" s="213" t="n">
        <v>15.6</v>
      </c>
      <c r="P1451" s="213" t="n">
        <v>16.5333333333333</v>
      </c>
    </row>
    <row r="1452" customFormat="false" ht="12.75" hidden="false" customHeight="false" outlineLevel="0" collapsed="false">
      <c r="A1452" s="215" t="n">
        <v>40695</v>
      </c>
      <c r="B1452" s="213" t="n">
        <v>24.6</v>
      </c>
      <c r="C1452" s="213" t="n">
        <f aca="false">AVERAGEIFS($B$33:$B$1494,$A$33:$A$1494,A1452)</f>
        <v>24.7833333333333</v>
      </c>
      <c r="D1452" s="213" t="n">
        <v>22.9</v>
      </c>
      <c r="E1452" s="213" t="n">
        <f aca="false">AVERAGEIFS($D$33:$D$1494,$A$33:$A$1494,A1452)</f>
        <v>22.9333333333333</v>
      </c>
      <c r="F1452" s="213" t="n">
        <v>15.3</v>
      </c>
      <c r="G1452" s="213" t="n">
        <f aca="false">AVERAGEIFS($F$33:$F$1494,$A$33:$A$1494,A1452)</f>
        <v>15.6</v>
      </c>
      <c r="H1452" s="213" t="n">
        <v>16.2</v>
      </c>
      <c r="I1452" s="213" t="n">
        <f aca="false">AVERAGEIFS($H$33:$H$1494,$A$33:$A$1494,A1452)</f>
        <v>16.5333333333333</v>
      </c>
      <c r="L1452" s="215" t="n">
        <v>40695</v>
      </c>
      <c r="M1452" s="213" t="n">
        <v>24.7833333333333</v>
      </c>
      <c r="N1452" s="213" t="n">
        <v>22.9333333333333</v>
      </c>
      <c r="O1452" s="213" t="n">
        <v>15.6</v>
      </c>
      <c r="P1452" s="213" t="n">
        <v>16.5333333333333</v>
      </c>
    </row>
    <row r="1453" customFormat="false" ht="12.75" hidden="false" customHeight="false" outlineLevel="0" collapsed="false">
      <c r="A1453" s="215" t="n">
        <v>40695</v>
      </c>
      <c r="B1453" s="213" t="n">
        <v>24.5</v>
      </c>
      <c r="C1453" s="213" t="n">
        <f aca="false">AVERAGEIFS($B$33:$B$1494,$A$33:$A$1494,A1453)</f>
        <v>24.7833333333333</v>
      </c>
      <c r="D1453" s="213" t="n">
        <v>22.9</v>
      </c>
      <c r="E1453" s="213" t="n">
        <f aca="false">AVERAGEIFS($D$33:$D$1494,$A$33:$A$1494,A1453)</f>
        <v>22.9333333333333</v>
      </c>
      <c r="F1453" s="213" t="n">
        <v>16</v>
      </c>
      <c r="G1453" s="213" t="n">
        <f aca="false">AVERAGEIFS($F$33:$F$1494,$A$33:$A$1494,A1453)</f>
        <v>15.6</v>
      </c>
      <c r="H1453" s="213" t="n">
        <v>16.1</v>
      </c>
      <c r="I1453" s="213" t="n">
        <f aca="false">AVERAGEIFS($H$33:$H$1494,$A$33:$A$1494,A1453)</f>
        <v>16.5333333333333</v>
      </c>
      <c r="L1453" s="215" t="n">
        <v>40695</v>
      </c>
      <c r="M1453" s="213" t="n">
        <v>24.7833333333333</v>
      </c>
      <c r="N1453" s="213" t="n">
        <v>22.9333333333333</v>
      </c>
      <c r="O1453" s="213" t="n">
        <v>15.6</v>
      </c>
      <c r="P1453" s="213" t="n">
        <v>16.5333333333333</v>
      </c>
    </row>
    <row r="1454" customFormat="false" ht="12.75" hidden="false" customHeight="false" outlineLevel="0" collapsed="false">
      <c r="A1454" s="215" t="n">
        <v>40695</v>
      </c>
      <c r="B1454" s="213" t="n">
        <v>24.3</v>
      </c>
      <c r="C1454" s="213" t="n">
        <f aca="false">AVERAGEIFS($B$33:$B$1494,$A$33:$A$1494,A1454)</f>
        <v>24.7833333333333</v>
      </c>
      <c r="D1454" s="213" t="n">
        <v>22.9</v>
      </c>
      <c r="E1454" s="213" t="n">
        <f aca="false">AVERAGEIFS($D$33:$D$1494,$A$33:$A$1494,A1454)</f>
        <v>22.9333333333333</v>
      </c>
      <c r="F1454" s="213" t="n">
        <v>15.4</v>
      </c>
      <c r="G1454" s="213" t="n">
        <f aca="false">AVERAGEIFS($F$33:$F$1494,$A$33:$A$1494,A1454)</f>
        <v>15.6</v>
      </c>
      <c r="H1454" s="213" t="n">
        <v>16.1</v>
      </c>
      <c r="I1454" s="213" t="n">
        <f aca="false">AVERAGEIFS($H$33:$H$1494,$A$33:$A$1494,A1454)</f>
        <v>16.5333333333333</v>
      </c>
      <c r="L1454" s="215" t="n">
        <v>40695</v>
      </c>
      <c r="M1454" s="213" t="n">
        <v>24.7833333333333</v>
      </c>
      <c r="N1454" s="213" t="n">
        <v>22.9333333333333</v>
      </c>
      <c r="O1454" s="213" t="n">
        <v>15.6</v>
      </c>
      <c r="P1454" s="213" t="n">
        <v>16.5333333333333</v>
      </c>
    </row>
    <row r="1455" customFormat="false" ht="12.75" hidden="false" customHeight="false" outlineLevel="0" collapsed="false">
      <c r="A1455" s="215" t="n">
        <v>40696</v>
      </c>
      <c r="B1455" s="213" t="n">
        <v>24.2</v>
      </c>
      <c r="C1455" s="213" t="n">
        <f aca="false">AVERAGEIFS($B$33:$B$1494,$A$33:$A$1494,A1455)</f>
        <v>23.85</v>
      </c>
      <c r="D1455" s="213" t="n">
        <v>22.9</v>
      </c>
      <c r="E1455" s="213" t="n">
        <f aca="false">AVERAGEIFS($D$33:$D$1494,$A$33:$A$1494,A1455)</f>
        <v>22.8333333333333</v>
      </c>
      <c r="F1455" s="213" t="n">
        <v>14.9</v>
      </c>
      <c r="G1455" s="213" t="n">
        <f aca="false">AVERAGEIFS($F$33:$F$1494,$A$33:$A$1494,A1455)</f>
        <v>14.85</v>
      </c>
      <c r="H1455" s="213" t="n">
        <v>15.9</v>
      </c>
      <c r="I1455" s="213" t="n">
        <f aca="false">AVERAGEIFS($H$33:$H$1494,$A$33:$A$1494,A1455)</f>
        <v>15.4</v>
      </c>
      <c r="L1455" s="215" t="n">
        <v>40696</v>
      </c>
      <c r="M1455" s="213" t="n">
        <v>23.85</v>
      </c>
      <c r="N1455" s="213" t="n">
        <v>22.8333333333333</v>
      </c>
      <c r="O1455" s="213" t="n">
        <v>14.85</v>
      </c>
      <c r="P1455" s="213" t="n">
        <v>15.4</v>
      </c>
    </row>
    <row r="1456" customFormat="false" ht="12.75" hidden="false" customHeight="false" outlineLevel="0" collapsed="false">
      <c r="A1456" s="215" t="n">
        <v>40696</v>
      </c>
      <c r="B1456" s="213" t="n">
        <v>24</v>
      </c>
      <c r="C1456" s="213" t="n">
        <f aca="false">AVERAGEIFS($B$33:$B$1494,$A$33:$A$1494,A1456)</f>
        <v>23.85</v>
      </c>
      <c r="D1456" s="213" t="n">
        <v>22.9</v>
      </c>
      <c r="E1456" s="213" t="n">
        <f aca="false">AVERAGEIFS($D$33:$D$1494,$A$33:$A$1494,A1456)</f>
        <v>22.8333333333333</v>
      </c>
      <c r="F1456" s="213" t="n">
        <v>14.3</v>
      </c>
      <c r="G1456" s="213" t="n">
        <f aca="false">AVERAGEIFS($F$33:$F$1494,$A$33:$A$1494,A1456)</f>
        <v>14.85</v>
      </c>
      <c r="H1456" s="213" t="n">
        <v>15.6</v>
      </c>
      <c r="I1456" s="213" t="n">
        <f aca="false">AVERAGEIFS($H$33:$H$1494,$A$33:$A$1494,A1456)</f>
        <v>15.4</v>
      </c>
      <c r="L1456" s="215" t="n">
        <v>40696</v>
      </c>
      <c r="M1456" s="213" t="n">
        <v>23.85</v>
      </c>
      <c r="N1456" s="213" t="n">
        <v>22.8333333333333</v>
      </c>
      <c r="O1456" s="213" t="n">
        <v>14.85</v>
      </c>
      <c r="P1456" s="213" t="n">
        <v>15.4</v>
      </c>
    </row>
    <row r="1457" customFormat="false" ht="12.75" hidden="false" customHeight="false" outlineLevel="0" collapsed="false">
      <c r="A1457" s="215" t="n">
        <v>40696</v>
      </c>
      <c r="B1457" s="213" t="n">
        <v>23.9</v>
      </c>
      <c r="C1457" s="213" t="n">
        <f aca="false">AVERAGEIFS($B$33:$B$1494,$A$33:$A$1494,A1457)</f>
        <v>23.85</v>
      </c>
      <c r="D1457" s="213" t="n">
        <v>22.8</v>
      </c>
      <c r="E1457" s="213" t="n">
        <f aca="false">AVERAGEIFS($D$33:$D$1494,$A$33:$A$1494,A1457)</f>
        <v>22.8333333333333</v>
      </c>
      <c r="F1457" s="213" t="n">
        <v>14</v>
      </c>
      <c r="G1457" s="213" t="n">
        <f aca="false">AVERAGEIFS($F$33:$F$1494,$A$33:$A$1494,A1457)</f>
        <v>14.85</v>
      </c>
      <c r="H1457" s="213" t="n">
        <v>15.4</v>
      </c>
      <c r="I1457" s="213" t="n">
        <f aca="false">AVERAGEIFS($H$33:$H$1494,$A$33:$A$1494,A1457)</f>
        <v>15.4</v>
      </c>
      <c r="L1457" s="215" t="n">
        <v>40696</v>
      </c>
      <c r="M1457" s="213" t="n">
        <v>23.85</v>
      </c>
      <c r="N1457" s="213" t="n">
        <v>22.8333333333333</v>
      </c>
      <c r="O1457" s="213" t="n">
        <v>14.85</v>
      </c>
      <c r="P1457" s="213" t="n">
        <v>15.4</v>
      </c>
    </row>
    <row r="1458" customFormat="false" ht="12.75" hidden="false" customHeight="false" outlineLevel="0" collapsed="false">
      <c r="A1458" s="215" t="n">
        <v>40696</v>
      </c>
      <c r="B1458" s="213" t="n">
        <v>23.7</v>
      </c>
      <c r="C1458" s="213" t="n">
        <f aca="false">AVERAGEIFS($B$33:$B$1494,$A$33:$A$1494,A1458)</f>
        <v>23.85</v>
      </c>
      <c r="D1458" s="213" t="n">
        <v>22.8</v>
      </c>
      <c r="E1458" s="213" t="n">
        <f aca="false">AVERAGEIFS($D$33:$D$1494,$A$33:$A$1494,A1458)</f>
        <v>22.8333333333333</v>
      </c>
      <c r="F1458" s="213" t="n">
        <v>14.4</v>
      </c>
      <c r="G1458" s="213" t="n">
        <f aca="false">AVERAGEIFS($F$33:$F$1494,$A$33:$A$1494,A1458)</f>
        <v>14.85</v>
      </c>
      <c r="H1458" s="213" t="n">
        <v>15.1</v>
      </c>
      <c r="I1458" s="213" t="n">
        <f aca="false">AVERAGEIFS($H$33:$H$1494,$A$33:$A$1494,A1458)</f>
        <v>15.4</v>
      </c>
      <c r="L1458" s="215" t="n">
        <v>40696</v>
      </c>
      <c r="M1458" s="213" t="n">
        <v>23.85</v>
      </c>
      <c r="N1458" s="213" t="n">
        <v>22.8333333333333</v>
      </c>
      <c r="O1458" s="213" t="n">
        <v>14.85</v>
      </c>
      <c r="P1458" s="213" t="n">
        <v>15.4</v>
      </c>
    </row>
    <row r="1459" customFormat="false" ht="12.75" hidden="false" customHeight="false" outlineLevel="0" collapsed="false">
      <c r="A1459" s="215" t="n">
        <v>40696</v>
      </c>
      <c r="B1459" s="213" t="n">
        <v>23.7</v>
      </c>
      <c r="C1459" s="213" t="n">
        <f aca="false">AVERAGEIFS($B$33:$B$1494,$A$33:$A$1494,A1459)</f>
        <v>23.85</v>
      </c>
      <c r="D1459" s="213" t="n">
        <v>22.8</v>
      </c>
      <c r="E1459" s="213" t="n">
        <f aca="false">AVERAGEIFS($D$33:$D$1494,$A$33:$A$1494,A1459)</f>
        <v>22.8333333333333</v>
      </c>
      <c r="F1459" s="213" t="n">
        <v>15.6</v>
      </c>
      <c r="G1459" s="213" t="n">
        <f aca="false">AVERAGEIFS($F$33:$F$1494,$A$33:$A$1494,A1459)</f>
        <v>14.85</v>
      </c>
      <c r="H1459" s="213" t="n">
        <v>15.1</v>
      </c>
      <c r="I1459" s="213" t="n">
        <f aca="false">AVERAGEIFS($H$33:$H$1494,$A$33:$A$1494,A1459)</f>
        <v>15.4</v>
      </c>
      <c r="L1459" s="215" t="n">
        <v>40696</v>
      </c>
      <c r="M1459" s="213" t="n">
        <v>23.85</v>
      </c>
      <c r="N1459" s="213" t="n">
        <v>22.8333333333333</v>
      </c>
      <c r="O1459" s="213" t="n">
        <v>14.85</v>
      </c>
      <c r="P1459" s="213" t="n">
        <v>15.4</v>
      </c>
    </row>
    <row r="1460" customFormat="false" ht="12.75" hidden="false" customHeight="false" outlineLevel="0" collapsed="false">
      <c r="A1460" s="215" t="n">
        <v>40696</v>
      </c>
      <c r="B1460" s="213" t="n">
        <v>23.6</v>
      </c>
      <c r="C1460" s="213" t="n">
        <f aca="false">AVERAGEIFS($B$33:$B$1494,$A$33:$A$1494,A1460)</f>
        <v>23.85</v>
      </c>
      <c r="D1460" s="213" t="n">
        <v>22.8</v>
      </c>
      <c r="E1460" s="213" t="n">
        <f aca="false">AVERAGEIFS($D$33:$D$1494,$A$33:$A$1494,A1460)</f>
        <v>22.8333333333333</v>
      </c>
      <c r="F1460" s="213" t="n">
        <v>15.9</v>
      </c>
      <c r="G1460" s="213" t="n">
        <f aca="false">AVERAGEIFS($F$33:$F$1494,$A$33:$A$1494,A1460)</f>
        <v>14.85</v>
      </c>
      <c r="H1460" s="213" t="n">
        <v>15.3</v>
      </c>
      <c r="I1460" s="213" t="n">
        <f aca="false">AVERAGEIFS($H$33:$H$1494,$A$33:$A$1494,A1460)</f>
        <v>15.4</v>
      </c>
      <c r="L1460" s="215" t="n">
        <v>40696</v>
      </c>
      <c r="M1460" s="213" t="n">
        <v>23.85</v>
      </c>
      <c r="N1460" s="213" t="n">
        <v>22.8333333333333</v>
      </c>
      <c r="O1460" s="213" t="n">
        <v>14.85</v>
      </c>
      <c r="P1460" s="213" t="n">
        <v>15.4</v>
      </c>
    </row>
    <row r="1461" customFormat="false" ht="12.75" hidden="false" customHeight="false" outlineLevel="0" collapsed="false">
      <c r="A1461" s="215" t="n">
        <v>40697</v>
      </c>
      <c r="B1461" s="213" t="n">
        <v>23.6</v>
      </c>
      <c r="C1461" s="213" t="n">
        <f aca="false">AVERAGEIFS($B$33:$B$1494,$A$33:$A$1494,A1461)</f>
        <v>23.55</v>
      </c>
      <c r="D1461" s="213" t="n">
        <v>22.8</v>
      </c>
      <c r="E1461" s="213" t="n">
        <f aca="false">AVERAGEIFS($D$33:$D$1494,$A$33:$A$1494,A1461)</f>
        <v>22.8166666666667</v>
      </c>
      <c r="F1461" s="213" t="n">
        <v>15.6</v>
      </c>
      <c r="G1461" s="213" t="n">
        <f aca="false">AVERAGEIFS($F$33:$F$1494,$A$33:$A$1494,A1461)</f>
        <v>16.1666666666667</v>
      </c>
      <c r="H1461" s="213" t="n">
        <v>15.4</v>
      </c>
      <c r="I1461" s="213" t="n">
        <f aca="false">AVERAGEIFS($H$33:$H$1494,$A$33:$A$1494,A1461)</f>
        <v>15.4666666666667</v>
      </c>
      <c r="L1461" s="215" t="n">
        <v>40697</v>
      </c>
      <c r="M1461" s="213" t="n">
        <v>23.55</v>
      </c>
      <c r="N1461" s="213" t="n">
        <v>22.8166666666667</v>
      </c>
      <c r="O1461" s="213" t="n">
        <v>16.1666666666667</v>
      </c>
      <c r="P1461" s="213" t="n">
        <v>15.4666666666667</v>
      </c>
    </row>
    <row r="1462" customFormat="false" ht="12.75" hidden="false" customHeight="false" outlineLevel="0" collapsed="false">
      <c r="A1462" s="215" t="n">
        <v>40697</v>
      </c>
      <c r="B1462" s="213" t="n">
        <v>23.6</v>
      </c>
      <c r="C1462" s="213" t="n">
        <f aca="false">AVERAGEIFS($B$33:$B$1494,$A$33:$A$1494,A1462)</f>
        <v>23.55</v>
      </c>
      <c r="D1462" s="213" t="n">
        <v>22.8</v>
      </c>
      <c r="E1462" s="213" t="n">
        <f aca="false">AVERAGEIFS($D$33:$D$1494,$A$33:$A$1494,A1462)</f>
        <v>22.8166666666667</v>
      </c>
      <c r="F1462" s="213" t="n">
        <v>15.1</v>
      </c>
      <c r="G1462" s="213" t="n">
        <f aca="false">AVERAGEIFS($F$33:$F$1494,$A$33:$A$1494,A1462)</f>
        <v>16.1666666666667</v>
      </c>
      <c r="H1462" s="213" t="n">
        <v>15.4</v>
      </c>
      <c r="I1462" s="213" t="n">
        <f aca="false">AVERAGEIFS($H$33:$H$1494,$A$33:$A$1494,A1462)</f>
        <v>15.4666666666667</v>
      </c>
      <c r="L1462" s="215" t="n">
        <v>40697</v>
      </c>
      <c r="M1462" s="213" t="n">
        <v>23.55</v>
      </c>
      <c r="N1462" s="213" t="n">
        <v>22.8166666666667</v>
      </c>
      <c r="O1462" s="213" t="n">
        <v>16.1666666666667</v>
      </c>
      <c r="P1462" s="213" t="n">
        <v>15.4666666666667</v>
      </c>
    </row>
    <row r="1463" customFormat="false" ht="12.75" hidden="false" customHeight="false" outlineLevel="0" collapsed="false">
      <c r="A1463" s="215" t="n">
        <v>40697</v>
      </c>
      <c r="B1463" s="213" t="n">
        <v>23.5</v>
      </c>
      <c r="C1463" s="213" t="n">
        <f aca="false">AVERAGEIFS($B$33:$B$1494,$A$33:$A$1494,A1463)</f>
        <v>23.55</v>
      </c>
      <c r="D1463" s="213" t="n">
        <v>22.8</v>
      </c>
      <c r="E1463" s="213" t="n">
        <f aca="false">AVERAGEIFS($D$33:$D$1494,$A$33:$A$1494,A1463)</f>
        <v>22.8166666666667</v>
      </c>
      <c r="F1463" s="213" t="n">
        <v>14.5</v>
      </c>
      <c r="G1463" s="213" t="n">
        <f aca="false">AVERAGEIFS($F$33:$F$1494,$A$33:$A$1494,A1463)</f>
        <v>16.1666666666667</v>
      </c>
      <c r="H1463" s="213" t="n">
        <v>15.3</v>
      </c>
      <c r="I1463" s="213" t="n">
        <f aca="false">AVERAGEIFS($H$33:$H$1494,$A$33:$A$1494,A1463)</f>
        <v>15.4666666666667</v>
      </c>
      <c r="L1463" s="215" t="n">
        <v>40697</v>
      </c>
      <c r="M1463" s="213" t="n">
        <v>23.55</v>
      </c>
      <c r="N1463" s="213" t="n">
        <v>22.8166666666667</v>
      </c>
      <c r="O1463" s="213" t="n">
        <v>16.1666666666667</v>
      </c>
      <c r="P1463" s="213" t="n">
        <v>15.4666666666667</v>
      </c>
    </row>
    <row r="1464" customFormat="false" ht="12.75" hidden="false" customHeight="false" outlineLevel="0" collapsed="false">
      <c r="A1464" s="215" t="n">
        <v>40697</v>
      </c>
      <c r="B1464" s="213" t="n">
        <v>23.5</v>
      </c>
      <c r="C1464" s="213" t="n">
        <f aca="false">AVERAGEIFS($B$33:$B$1494,$A$33:$A$1494,A1464)</f>
        <v>23.55</v>
      </c>
      <c r="D1464" s="213" t="n">
        <v>22.8</v>
      </c>
      <c r="E1464" s="213" t="n">
        <f aca="false">AVERAGEIFS($D$33:$D$1494,$A$33:$A$1494,A1464)</f>
        <v>22.8166666666667</v>
      </c>
      <c r="F1464" s="213" t="n">
        <v>15.7</v>
      </c>
      <c r="G1464" s="213" t="n">
        <f aca="false">AVERAGEIFS($F$33:$F$1494,$A$33:$A$1494,A1464)</f>
        <v>16.1666666666667</v>
      </c>
      <c r="H1464" s="213" t="n">
        <v>15.2</v>
      </c>
      <c r="I1464" s="213" t="n">
        <f aca="false">AVERAGEIFS($H$33:$H$1494,$A$33:$A$1494,A1464)</f>
        <v>15.4666666666667</v>
      </c>
      <c r="L1464" s="215" t="n">
        <v>40697</v>
      </c>
      <c r="M1464" s="213" t="n">
        <v>23.55</v>
      </c>
      <c r="N1464" s="213" t="n">
        <v>22.8166666666667</v>
      </c>
      <c r="O1464" s="213" t="n">
        <v>16.1666666666667</v>
      </c>
      <c r="P1464" s="213" t="n">
        <v>15.4666666666667</v>
      </c>
    </row>
    <row r="1465" customFormat="false" ht="12.75" hidden="false" customHeight="false" outlineLevel="0" collapsed="false">
      <c r="A1465" s="215" t="n">
        <v>40697</v>
      </c>
      <c r="B1465" s="213" t="n">
        <v>23.5</v>
      </c>
      <c r="C1465" s="213" t="n">
        <f aca="false">AVERAGEIFS($B$33:$B$1494,$A$33:$A$1494,A1465)</f>
        <v>23.55</v>
      </c>
      <c r="D1465" s="213" t="n">
        <v>22.8</v>
      </c>
      <c r="E1465" s="213" t="n">
        <f aca="false">AVERAGEIFS($D$33:$D$1494,$A$33:$A$1494,A1465)</f>
        <v>22.8166666666667</v>
      </c>
      <c r="F1465" s="213" t="n">
        <v>17.9</v>
      </c>
      <c r="G1465" s="213" t="n">
        <f aca="false">AVERAGEIFS($F$33:$F$1494,$A$33:$A$1494,A1465)</f>
        <v>16.1666666666667</v>
      </c>
      <c r="H1465" s="213" t="n">
        <v>15.5</v>
      </c>
      <c r="I1465" s="213" t="n">
        <f aca="false">AVERAGEIFS($H$33:$H$1494,$A$33:$A$1494,A1465)</f>
        <v>15.4666666666667</v>
      </c>
      <c r="L1465" s="215" t="n">
        <v>40697</v>
      </c>
      <c r="M1465" s="213" t="n">
        <v>23.55</v>
      </c>
      <c r="N1465" s="213" t="n">
        <v>22.8166666666667</v>
      </c>
      <c r="O1465" s="213" t="n">
        <v>16.1666666666667</v>
      </c>
      <c r="P1465" s="213" t="n">
        <v>15.4666666666667</v>
      </c>
    </row>
    <row r="1466" customFormat="false" ht="12.75" hidden="false" customHeight="false" outlineLevel="0" collapsed="false">
      <c r="A1466" s="215" t="n">
        <v>40697</v>
      </c>
      <c r="B1466" s="213" t="n">
        <v>23.6</v>
      </c>
      <c r="C1466" s="213" t="n">
        <f aca="false">AVERAGEIFS($B$33:$B$1494,$A$33:$A$1494,A1466)</f>
        <v>23.55</v>
      </c>
      <c r="D1466" s="213" t="n">
        <v>22.9</v>
      </c>
      <c r="E1466" s="213" t="n">
        <f aca="false">AVERAGEIFS($D$33:$D$1494,$A$33:$A$1494,A1466)</f>
        <v>22.8166666666667</v>
      </c>
      <c r="F1466" s="213" t="n">
        <v>18.2</v>
      </c>
      <c r="G1466" s="213" t="n">
        <f aca="false">AVERAGEIFS($F$33:$F$1494,$A$33:$A$1494,A1466)</f>
        <v>16.1666666666667</v>
      </c>
      <c r="H1466" s="213" t="n">
        <v>16</v>
      </c>
      <c r="I1466" s="213" t="n">
        <f aca="false">AVERAGEIFS($H$33:$H$1494,$A$33:$A$1494,A1466)</f>
        <v>15.4666666666667</v>
      </c>
      <c r="L1466" s="215" t="n">
        <v>40697</v>
      </c>
      <c r="M1466" s="213" t="n">
        <v>23.55</v>
      </c>
      <c r="N1466" s="213" t="n">
        <v>22.8166666666667</v>
      </c>
      <c r="O1466" s="213" t="n">
        <v>16.1666666666667</v>
      </c>
      <c r="P1466" s="213" t="n">
        <v>15.4666666666667</v>
      </c>
    </row>
    <row r="1467" customFormat="false" ht="12.75" hidden="false" customHeight="false" outlineLevel="0" collapsed="false">
      <c r="A1467" s="215" t="n">
        <v>40698</v>
      </c>
      <c r="B1467" s="213" t="n">
        <v>23.6</v>
      </c>
      <c r="C1467" s="213" t="n">
        <f aca="false">AVERAGEIFS($B$33:$B$1494,$A$33:$A$1494,A1467)</f>
        <v>23.5333333333333</v>
      </c>
      <c r="D1467" s="213" t="n">
        <v>22.9</v>
      </c>
      <c r="E1467" s="213" t="n">
        <f aca="false">AVERAGEIFS($D$33:$D$1494,$A$33:$A$1494,A1467)</f>
        <v>22.9</v>
      </c>
      <c r="F1467" s="213" t="n">
        <v>17.5</v>
      </c>
      <c r="G1467" s="213" t="n">
        <f aca="false">AVERAGEIFS($F$33:$F$1494,$A$33:$A$1494,A1467)</f>
        <v>16.9666666666667</v>
      </c>
      <c r="H1467" s="213" t="n">
        <v>16.3</v>
      </c>
      <c r="I1467" s="213" t="n">
        <f aca="false">AVERAGEIFS($H$33:$H$1494,$A$33:$A$1494,A1467)</f>
        <v>16.2333333333333</v>
      </c>
      <c r="L1467" s="215" t="n">
        <v>40698</v>
      </c>
      <c r="M1467" s="213" t="n">
        <v>23.5333333333333</v>
      </c>
      <c r="N1467" s="213" t="n">
        <v>22.9</v>
      </c>
      <c r="O1467" s="213" t="n">
        <v>16.9666666666667</v>
      </c>
      <c r="P1467" s="213" t="n">
        <v>16.2333333333333</v>
      </c>
    </row>
    <row r="1468" customFormat="false" ht="12.75" hidden="false" customHeight="false" outlineLevel="0" collapsed="false">
      <c r="A1468" s="215" t="n">
        <v>40698</v>
      </c>
      <c r="B1468" s="213" t="n">
        <v>23.6</v>
      </c>
      <c r="C1468" s="213" t="n">
        <f aca="false">AVERAGEIFS($B$33:$B$1494,$A$33:$A$1494,A1468)</f>
        <v>23.5333333333333</v>
      </c>
      <c r="D1468" s="213" t="n">
        <v>22.9</v>
      </c>
      <c r="E1468" s="213" t="n">
        <f aca="false">AVERAGEIFS($D$33:$D$1494,$A$33:$A$1494,A1468)</f>
        <v>22.9</v>
      </c>
      <c r="F1468" s="213" t="n">
        <v>16.7</v>
      </c>
      <c r="G1468" s="213" t="n">
        <f aca="false">AVERAGEIFS($F$33:$F$1494,$A$33:$A$1494,A1468)</f>
        <v>16.9666666666667</v>
      </c>
      <c r="H1468" s="213" t="n">
        <v>16.4</v>
      </c>
      <c r="I1468" s="213" t="n">
        <f aca="false">AVERAGEIFS($H$33:$H$1494,$A$33:$A$1494,A1468)</f>
        <v>16.2333333333333</v>
      </c>
      <c r="L1468" s="215" t="n">
        <v>40698</v>
      </c>
      <c r="M1468" s="213" t="n">
        <v>23.5333333333333</v>
      </c>
      <c r="N1468" s="213" t="n">
        <v>22.9</v>
      </c>
      <c r="O1468" s="213" t="n">
        <v>16.9666666666667</v>
      </c>
      <c r="P1468" s="213" t="n">
        <v>16.2333333333333</v>
      </c>
    </row>
    <row r="1469" customFormat="false" ht="12.75" hidden="false" customHeight="false" outlineLevel="0" collapsed="false">
      <c r="A1469" s="215" t="n">
        <v>40698</v>
      </c>
      <c r="B1469" s="213" t="n">
        <v>23.5</v>
      </c>
      <c r="C1469" s="213" t="n">
        <f aca="false">AVERAGEIFS($B$33:$B$1494,$A$33:$A$1494,A1469)</f>
        <v>23.5333333333333</v>
      </c>
      <c r="D1469" s="213" t="n">
        <v>22.9</v>
      </c>
      <c r="E1469" s="213" t="n">
        <f aca="false">AVERAGEIFS($D$33:$D$1494,$A$33:$A$1494,A1469)</f>
        <v>22.9</v>
      </c>
      <c r="F1469" s="213" t="n">
        <v>16</v>
      </c>
      <c r="G1469" s="213" t="n">
        <f aca="false">AVERAGEIFS($F$33:$F$1494,$A$33:$A$1494,A1469)</f>
        <v>16.9666666666667</v>
      </c>
      <c r="H1469" s="213" t="n">
        <v>16.2</v>
      </c>
      <c r="I1469" s="213" t="n">
        <f aca="false">AVERAGEIFS($H$33:$H$1494,$A$33:$A$1494,A1469)</f>
        <v>16.2333333333333</v>
      </c>
      <c r="L1469" s="215" t="n">
        <v>40698</v>
      </c>
      <c r="M1469" s="213" t="n">
        <v>23.5333333333333</v>
      </c>
      <c r="N1469" s="213" t="n">
        <v>22.9</v>
      </c>
      <c r="O1469" s="213" t="n">
        <v>16.9666666666667</v>
      </c>
      <c r="P1469" s="213" t="n">
        <v>16.2333333333333</v>
      </c>
    </row>
    <row r="1470" customFormat="false" ht="12.75" hidden="false" customHeight="false" outlineLevel="0" collapsed="false">
      <c r="A1470" s="215" t="n">
        <v>40698</v>
      </c>
      <c r="B1470" s="213" t="n">
        <v>23.5</v>
      </c>
      <c r="C1470" s="213" t="n">
        <f aca="false">AVERAGEIFS($B$33:$B$1494,$A$33:$A$1494,A1470)</f>
        <v>23.5333333333333</v>
      </c>
      <c r="D1470" s="213" t="n">
        <v>22.9</v>
      </c>
      <c r="E1470" s="213" t="n">
        <f aca="false">AVERAGEIFS($D$33:$D$1494,$A$33:$A$1494,A1470)</f>
        <v>22.9</v>
      </c>
      <c r="F1470" s="213" t="n">
        <v>16.4</v>
      </c>
      <c r="G1470" s="213" t="n">
        <f aca="false">AVERAGEIFS($F$33:$F$1494,$A$33:$A$1494,A1470)</f>
        <v>16.9666666666667</v>
      </c>
      <c r="H1470" s="213" t="n">
        <v>16.1</v>
      </c>
      <c r="I1470" s="213" t="n">
        <f aca="false">AVERAGEIFS($H$33:$H$1494,$A$33:$A$1494,A1470)</f>
        <v>16.2333333333333</v>
      </c>
      <c r="L1470" s="215" t="n">
        <v>40698</v>
      </c>
      <c r="M1470" s="213" t="n">
        <v>23.5333333333333</v>
      </c>
      <c r="N1470" s="213" t="n">
        <v>22.9</v>
      </c>
      <c r="O1470" s="213" t="n">
        <v>16.9666666666667</v>
      </c>
      <c r="P1470" s="213" t="n">
        <v>16.2333333333333</v>
      </c>
    </row>
    <row r="1471" customFormat="false" ht="12.75" hidden="false" customHeight="false" outlineLevel="0" collapsed="false">
      <c r="A1471" s="215" t="n">
        <v>40698</v>
      </c>
      <c r="B1471" s="213" t="n">
        <v>23.5</v>
      </c>
      <c r="C1471" s="213" t="n">
        <f aca="false">AVERAGEIFS($B$33:$B$1494,$A$33:$A$1494,A1471)</f>
        <v>23.5333333333333</v>
      </c>
      <c r="D1471" s="213" t="n">
        <v>22.9</v>
      </c>
      <c r="E1471" s="213" t="n">
        <f aca="false">AVERAGEIFS($D$33:$D$1494,$A$33:$A$1494,A1471)</f>
        <v>22.9</v>
      </c>
      <c r="F1471" s="213" t="n">
        <v>17.2</v>
      </c>
      <c r="G1471" s="213" t="n">
        <f aca="false">AVERAGEIFS($F$33:$F$1494,$A$33:$A$1494,A1471)</f>
        <v>16.9666666666667</v>
      </c>
      <c r="H1471" s="213" t="n">
        <v>16.1</v>
      </c>
      <c r="I1471" s="213" t="n">
        <f aca="false">AVERAGEIFS($H$33:$H$1494,$A$33:$A$1494,A1471)</f>
        <v>16.2333333333333</v>
      </c>
      <c r="L1471" s="215" t="n">
        <v>40698</v>
      </c>
      <c r="M1471" s="213" t="n">
        <v>23.5333333333333</v>
      </c>
      <c r="N1471" s="213" t="n">
        <v>22.9</v>
      </c>
      <c r="O1471" s="213" t="n">
        <v>16.9666666666667</v>
      </c>
      <c r="P1471" s="213" t="n">
        <v>16.2333333333333</v>
      </c>
    </row>
    <row r="1472" customFormat="false" ht="12.75" hidden="false" customHeight="false" outlineLevel="0" collapsed="false">
      <c r="A1472" s="215" t="n">
        <v>40698</v>
      </c>
      <c r="B1472" s="213" t="n">
        <v>23.5</v>
      </c>
      <c r="C1472" s="213" t="n">
        <f aca="false">AVERAGEIFS($B$33:$B$1494,$A$33:$A$1494,A1472)</f>
        <v>23.5333333333333</v>
      </c>
      <c r="D1472" s="213" t="n">
        <v>22.9</v>
      </c>
      <c r="E1472" s="213" t="n">
        <f aca="false">AVERAGEIFS($D$33:$D$1494,$A$33:$A$1494,A1472)</f>
        <v>22.9</v>
      </c>
      <c r="F1472" s="213" t="n">
        <v>18</v>
      </c>
      <c r="G1472" s="213" t="n">
        <f aca="false">AVERAGEIFS($F$33:$F$1494,$A$33:$A$1494,A1472)</f>
        <v>16.9666666666667</v>
      </c>
      <c r="H1472" s="213" t="n">
        <v>16.3</v>
      </c>
      <c r="I1472" s="213" t="n">
        <f aca="false">AVERAGEIFS($H$33:$H$1494,$A$33:$A$1494,A1472)</f>
        <v>16.2333333333333</v>
      </c>
      <c r="L1472" s="215" t="n">
        <v>40698</v>
      </c>
      <c r="M1472" s="213" t="n">
        <v>23.5333333333333</v>
      </c>
      <c r="N1472" s="213" t="n">
        <v>22.9</v>
      </c>
      <c r="O1472" s="213" t="n">
        <v>16.9666666666667</v>
      </c>
      <c r="P1472" s="213" t="n">
        <v>16.2333333333333</v>
      </c>
    </row>
    <row r="1473" customFormat="false" ht="12.75" hidden="false" customHeight="false" outlineLevel="0" collapsed="false">
      <c r="A1473" s="215" t="n">
        <v>40699</v>
      </c>
      <c r="B1473" s="213" t="n">
        <v>23.6</v>
      </c>
      <c r="C1473" s="213" t="n">
        <f aca="false">AVERAGEIFS($B$33:$B$1494,$A$33:$A$1494,A1473)</f>
        <v>23.5333333333333</v>
      </c>
      <c r="D1473" s="213" t="n">
        <v>22.9</v>
      </c>
      <c r="E1473" s="213" t="n">
        <f aca="false">AVERAGEIFS($D$33:$D$1494,$A$33:$A$1494,A1473)</f>
        <v>22.9333333333333</v>
      </c>
      <c r="F1473" s="213" t="n">
        <v>17.3</v>
      </c>
      <c r="G1473" s="213" t="n">
        <f aca="false">AVERAGEIFS($F$33:$F$1494,$A$33:$A$1494,A1473)</f>
        <v>17.4166666666667</v>
      </c>
      <c r="H1473" s="213" t="n">
        <v>16.5</v>
      </c>
      <c r="I1473" s="213" t="n">
        <f aca="false">AVERAGEIFS($H$33:$H$1494,$A$33:$A$1494,A1473)</f>
        <v>16.4166666666667</v>
      </c>
      <c r="L1473" s="215" t="n">
        <v>40699</v>
      </c>
      <c r="M1473" s="213" t="n">
        <v>23.5333333333333</v>
      </c>
      <c r="N1473" s="213" t="n">
        <v>22.9333333333333</v>
      </c>
      <c r="O1473" s="213" t="n">
        <v>17.4166666666667</v>
      </c>
      <c r="P1473" s="213" t="n">
        <v>16.4166666666667</v>
      </c>
    </row>
    <row r="1474" customFormat="false" ht="12.75" hidden="false" customHeight="false" outlineLevel="0" collapsed="false">
      <c r="A1474" s="215" t="n">
        <v>40699</v>
      </c>
      <c r="B1474" s="213" t="n">
        <v>23.5</v>
      </c>
      <c r="C1474" s="213" t="n">
        <f aca="false">AVERAGEIFS($B$33:$B$1494,$A$33:$A$1494,A1474)</f>
        <v>23.5333333333333</v>
      </c>
      <c r="D1474" s="213" t="n">
        <v>22.9</v>
      </c>
      <c r="E1474" s="213" t="n">
        <f aca="false">AVERAGEIFS($D$33:$D$1494,$A$33:$A$1494,A1474)</f>
        <v>22.9333333333333</v>
      </c>
      <c r="F1474" s="213" t="n">
        <v>16.6</v>
      </c>
      <c r="G1474" s="213" t="n">
        <f aca="false">AVERAGEIFS($F$33:$F$1494,$A$33:$A$1494,A1474)</f>
        <v>17.4166666666667</v>
      </c>
      <c r="H1474" s="213" t="n">
        <v>16.5</v>
      </c>
      <c r="I1474" s="213" t="n">
        <f aca="false">AVERAGEIFS($H$33:$H$1494,$A$33:$A$1494,A1474)</f>
        <v>16.4166666666667</v>
      </c>
      <c r="L1474" s="215" t="n">
        <v>40699</v>
      </c>
      <c r="M1474" s="213" t="n">
        <v>23.5333333333333</v>
      </c>
      <c r="N1474" s="213" t="n">
        <v>22.9333333333333</v>
      </c>
      <c r="O1474" s="213" t="n">
        <v>17.4166666666667</v>
      </c>
      <c r="P1474" s="213" t="n">
        <v>16.4166666666667</v>
      </c>
    </row>
    <row r="1475" customFormat="false" ht="12.75" hidden="false" customHeight="false" outlineLevel="0" collapsed="false">
      <c r="A1475" s="215" t="n">
        <v>40699</v>
      </c>
      <c r="B1475" s="213" t="n">
        <v>23.5</v>
      </c>
      <c r="C1475" s="213" t="n">
        <f aca="false">AVERAGEIFS($B$33:$B$1494,$A$33:$A$1494,A1475)</f>
        <v>23.5333333333333</v>
      </c>
      <c r="D1475" s="213" t="n">
        <v>23</v>
      </c>
      <c r="E1475" s="213" t="n">
        <f aca="false">AVERAGEIFS($D$33:$D$1494,$A$33:$A$1494,A1475)</f>
        <v>22.9333333333333</v>
      </c>
      <c r="F1475" s="213" t="n">
        <v>16.1</v>
      </c>
      <c r="G1475" s="213" t="n">
        <f aca="false">AVERAGEIFS($F$33:$F$1494,$A$33:$A$1494,A1475)</f>
        <v>17.4166666666667</v>
      </c>
      <c r="H1475" s="213" t="n">
        <v>16.3</v>
      </c>
      <c r="I1475" s="213" t="n">
        <f aca="false">AVERAGEIFS($H$33:$H$1494,$A$33:$A$1494,A1475)</f>
        <v>16.4166666666667</v>
      </c>
      <c r="L1475" s="215" t="n">
        <v>40699</v>
      </c>
      <c r="M1475" s="213" t="n">
        <v>23.5333333333333</v>
      </c>
      <c r="N1475" s="213" t="n">
        <v>22.9333333333333</v>
      </c>
      <c r="O1475" s="213" t="n">
        <v>17.4166666666667</v>
      </c>
      <c r="P1475" s="213" t="n">
        <v>16.4166666666667</v>
      </c>
    </row>
    <row r="1476" customFormat="false" ht="12.75" hidden="false" customHeight="false" outlineLevel="0" collapsed="false">
      <c r="A1476" s="215" t="n">
        <v>40699</v>
      </c>
      <c r="B1476" s="213" t="n">
        <v>23.5</v>
      </c>
      <c r="C1476" s="213" t="n">
        <f aca="false">AVERAGEIFS($B$33:$B$1494,$A$33:$A$1494,A1476)</f>
        <v>23.5333333333333</v>
      </c>
      <c r="D1476" s="213" t="n">
        <v>22.9</v>
      </c>
      <c r="E1476" s="213" t="n">
        <f aca="false">AVERAGEIFS($D$33:$D$1494,$A$33:$A$1494,A1476)</f>
        <v>22.9333333333333</v>
      </c>
      <c r="F1476" s="213" t="n">
        <v>16.8</v>
      </c>
      <c r="G1476" s="213" t="n">
        <f aca="false">AVERAGEIFS($F$33:$F$1494,$A$33:$A$1494,A1476)</f>
        <v>17.4166666666667</v>
      </c>
      <c r="H1476" s="213" t="n">
        <v>16.2</v>
      </c>
      <c r="I1476" s="213" t="n">
        <f aca="false">AVERAGEIFS($H$33:$H$1494,$A$33:$A$1494,A1476)</f>
        <v>16.4166666666667</v>
      </c>
      <c r="L1476" s="215" t="n">
        <v>40699</v>
      </c>
      <c r="M1476" s="213" t="n">
        <v>23.5333333333333</v>
      </c>
      <c r="N1476" s="213" t="n">
        <v>22.9333333333333</v>
      </c>
      <c r="O1476" s="213" t="n">
        <v>17.4166666666667</v>
      </c>
      <c r="P1476" s="213" t="n">
        <v>16.4166666666667</v>
      </c>
    </row>
    <row r="1477" customFormat="false" ht="12.75" hidden="false" customHeight="false" outlineLevel="0" collapsed="false">
      <c r="A1477" s="215" t="n">
        <v>40699</v>
      </c>
      <c r="B1477" s="213" t="n">
        <v>23.5</v>
      </c>
      <c r="C1477" s="213" t="n">
        <f aca="false">AVERAGEIFS($B$33:$B$1494,$A$33:$A$1494,A1477)</f>
        <v>23.5333333333333</v>
      </c>
      <c r="D1477" s="213" t="n">
        <v>22.9</v>
      </c>
      <c r="E1477" s="213" t="n">
        <f aca="false">AVERAGEIFS($D$33:$D$1494,$A$33:$A$1494,A1477)</f>
        <v>22.9333333333333</v>
      </c>
      <c r="F1477" s="213" t="n">
        <v>18.6</v>
      </c>
      <c r="G1477" s="213" t="n">
        <f aca="false">AVERAGEIFS($F$33:$F$1494,$A$33:$A$1494,A1477)</f>
        <v>17.4166666666667</v>
      </c>
      <c r="H1477" s="213" t="n">
        <v>16.3</v>
      </c>
      <c r="I1477" s="213" t="n">
        <f aca="false">AVERAGEIFS($H$33:$H$1494,$A$33:$A$1494,A1477)</f>
        <v>16.4166666666667</v>
      </c>
      <c r="L1477" s="215" t="n">
        <v>40699</v>
      </c>
      <c r="M1477" s="213" t="n">
        <v>23.5333333333333</v>
      </c>
      <c r="N1477" s="213" t="n">
        <v>22.9333333333333</v>
      </c>
      <c r="O1477" s="213" t="n">
        <v>17.4166666666667</v>
      </c>
      <c r="P1477" s="213" t="n">
        <v>16.4166666666667</v>
      </c>
    </row>
    <row r="1478" customFormat="false" ht="12.75" hidden="false" customHeight="false" outlineLevel="0" collapsed="false">
      <c r="A1478" s="215" t="n">
        <v>40699</v>
      </c>
      <c r="B1478" s="213" t="n">
        <v>23.6</v>
      </c>
      <c r="C1478" s="213" t="n">
        <f aca="false">AVERAGEIFS($B$33:$B$1494,$A$33:$A$1494,A1478)</f>
        <v>23.5333333333333</v>
      </c>
      <c r="D1478" s="213" t="n">
        <v>23</v>
      </c>
      <c r="E1478" s="213" t="n">
        <f aca="false">AVERAGEIFS($D$33:$D$1494,$A$33:$A$1494,A1478)</f>
        <v>22.9333333333333</v>
      </c>
      <c r="F1478" s="213" t="n">
        <v>19.1</v>
      </c>
      <c r="G1478" s="213" t="n">
        <f aca="false">AVERAGEIFS($F$33:$F$1494,$A$33:$A$1494,A1478)</f>
        <v>17.4166666666667</v>
      </c>
      <c r="H1478" s="213" t="n">
        <v>16.7</v>
      </c>
      <c r="I1478" s="213" t="n">
        <f aca="false">AVERAGEIFS($H$33:$H$1494,$A$33:$A$1494,A1478)</f>
        <v>16.4166666666667</v>
      </c>
      <c r="L1478" s="215" t="n">
        <v>40699</v>
      </c>
      <c r="M1478" s="213" t="n">
        <v>23.5333333333333</v>
      </c>
      <c r="N1478" s="213" t="n">
        <v>22.9333333333333</v>
      </c>
      <c r="O1478" s="213" t="n">
        <v>17.4166666666667</v>
      </c>
      <c r="P1478" s="213" t="n">
        <v>16.4166666666667</v>
      </c>
    </row>
    <row r="1479" customFormat="false" ht="12.75" hidden="false" customHeight="false" outlineLevel="0" collapsed="false">
      <c r="A1479" s="215" t="n">
        <v>40700</v>
      </c>
      <c r="B1479" s="213" t="n">
        <v>23.6</v>
      </c>
      <c r="C1479" s="213" t="n">
        <f aca="false">AVERAGEIFS($B$33:$B$1494,$A$33:$A$1494,A1479)</f>
        <v>23.5833333333333</v>
      </c>
      <c r="D1479" s="213" t="n">
        <v>23</v>
      </c>
      <c r="E1479" s="213" t="n">
        <f aca="false">AVERAGEIFS($D$33:$D$1494,$A$33:$A$1494,A1479)</f>
        <v>23</v>
      </c>
      <c r="F1479" s="213" t="n">
        <v>18.4</v>
      </c>
      <c r="G1479" s="213" t="n">
        <f aca="false">AVERAGEIFS($F$33:$F$1494,$A$33:$A$1494,A1479)</f>
        <v>18.1333333333333</v>
      </c>
      <c r="H1479" s="213" t="n">
        <v>17</v>
      </c>
      <c r="I1479" s="213" t="n">
        <f aca="false">AVERAGEIFS($H$33:$H$1494,$A$33:$A$1494,A1479)</f>
        <v>16.9166666666667</v>
      </c>
      <c r="L1479" s="215" t="n">
        <v>40700</v>
      </c>
      <c r="M1479" s="213" t="n">
        <v>23.5833333333333</v>
      </c>
      <c r="N1479" s="213" t="n">
        <v>23</v>
      </c>
      <c r="O1479" s="213" t="n">
        <v>18.1333333333333</v>
      </c>
      <c r="P1479" s="213" t="n">
        <v>16.9166666666667</v>
      </c>
    </row>
    <row r="1480" customFormat="false" ht="12.75" hidden="false" customHeight="false" outlineLevel="0" collapsed="false">
      <c r="A1480" s="215" t="n">
        <v>40700</v>
      </c>
      <c r="B1480" s="213" t="n">
        <v>23.6</v>
      </c>
      <c r="C1480" s="213" t="n">
        <f aca="false">AVERAGEIFS($B$33:$B$1494,$A$33:$A$1494,A1480)</f>
        <v>23.5833333333333</v>
      </c>
      <c r="D1480" s="213" t="n">
        <v>23</v>
      </c>
      <c r="E1480" s="213" t="n">
        <f aca="false">AVERAGEIFS($D$33:$D$1494,$A$33:$A$1494,A1480)</f>
        <v>23</v>
      </c>
      <c r="F1480" s="213" t="n">
        <v>17.5</v>
      </c>
      <c r="G1480" s="213" t="n">
        <f aca="false">AVERAGEIFS($F$33:$F$1494,$A$33:$A$1494,A1480)</f>
        <v>18.1333333333333</v>
      </c>
      <c r="H1480" s="213" t="n">
        <v>17</v>
      </c>
      <c r="I1480" s="213" t="n">
        <f aca="false">AVERAGEIFS($H$33:$H$1494,$A$33:$A$1494,A1480)</f>
        <v>16.9166666666667</v>
      </c>
      <c r="L1480" s="215" t="n">
        <v>40700</v>
      </c>
      <c r="M1480" s="213" t="n">
        <v>23.5833333333333</v>
      </c>
      <c r="N1480" s="213" t="n">
        <v>23</v>
      </c>
      <c r="O1480" s="213" t="n">
        <v>18.1333333333333</v>
      </c>
      <c r="P1480" s="213" t="n">
        <v>16.9166666666667</v>
      </c>
    </row>
    <row r="1481" customFormat="false" ht="12.75" hidden="false" customHeight="false" outlineLevel="0" collapsed="false">
      <c r="A1481" s="215" t="n">
        <v>40700</v>
      </c>
      <c r="B1481" s="213" t="n">
        <v>23.6</v>
      </c>
      <c r="C1481" s="213" t="n">
        <f aca="false">AVERAGEIFS($B$33:$B$1494,$A$33:$A$1494,A1481)</f>
        <v>23.5833333333333</v>
      </c>
      <c r="D1481" s="213" t="n">
        <v>23</v>
      </c>
      <c r="E1481" s="213" t="n">
        <f aca="false">AVERAGEIFS($D$33:$D$1494,$A$33:$A$1494,A1481)</f>
        <v>23</v>
      </c>
      <c r="F1481" s="213" t="n">
        <v>17</v>
      </c>
      <c r="G1481" s="213" t="n">
        <f aca="false">AVERAGEIFS($F$33:$F$1494,$A$33:$A$1494,A1481)</f>
        <v>18.1333333333333</v>
      </c>
      <c r="H1481" s="213" t="n">
        <v>16.9</v>
      </c>
      <c r="I1481" s="213" t="n">
        <f aca="false">AVERAGEIFS($H$33:$H$1494,$A$33:$A$1494,A1481)</f>
        <v>16.9166666666667</v>
      </c>
      <c r="L1481" s="215" t="n">
        <v>40700</v>
      </c>
      <c r="M1481" s="213" t="n">
        <v>23.5833333333333</v>
      </c>
      <c r="N1481" s="213" t="n">
        <v>23</v>
      </c>
      <c r="O1481" s="213" t="n">
        <v>18.1333333333333</v>
      </c>
      <c r="P1481" s="213" t="n">
        <v>16.9166666666667</v>
      </c>
    </row>
    <row r="1482" customFormat="false" ht="12.75" hidden="false" customHeight="false" outlineLevel="0" collapsed="false">
      <c r="A1482" s="215" t="n">
        <v>40700</v>
      </c>
      <c r="B1482" s="213" t="n">
        <v>23.5</v>
      </c>
      <c r="C1482" s="213" t="n">
        <f aca="false">AVERAGEIFS($B$33:$B$1494,$A$33:$A$1494,A1482)</f>
        <v>23.5833333333333</v>
      </c>
      <c r="D1482" s="213" t="n">
        <v>23</v>
      </c>
      <c r="E1482" s="213" t="n">
        <f aca="false">AVERAGEIFS($D$33:$D$1494,$A$33:$A$1494,A1482)</f>
        <v>23</v>
      </c>
      <c r="F1482" s="213" t="n">
        <v>17.4</v>
      </c>
      <c r="G1482" s="213" t="n">
        <f aca="false">AVERAGEIFS($F$33:$F$1494,$A$33:$A$1494,A1482)</f>
        <v>18.1333333333333</v>
      </c>
      <c r="H1482" s="213" t="n">
        <v>16.7</v>
      </c>
      <c r="I1482" s="213" t="n">
        <f aca="false">AVERAGEIFS($H$33:$H$1494,$A$33:$A$1494,A1482)</f>
        <v>16.9166666666667</v>
      </c>
      <c r="L1482" s="215" t="n">
        <v>40700</v>
      </c>
      <c r="M1482" s="213" t="n">
        <v>23.5833333333333</v>
      </c>
      <c r="N1482" s="213" t="n">
        <v>23</v>
      </c>
      <c r="O1482" s="213" t="n">
        <v>18.1333333333333</v>
      </c>
      <c r="P1482" s="213" t="n">
        <v>16.9166666666667</v>
      </c>
    </row>
    <row r="1483" customFormat="false" ht="12.75" hidden="false" customHeight="false" outlineLevel="0" collapsed="false">
      <c r="A1483" s="215" t="n">
        <v>40700</v>
      </c>
      <c r="B1483" s="213" t="n">
        <v>23.6</v>
      </c>
      <c r="C1483" s="213" t="n">
        <f aca="false">AVERAGEIFS($B$33:$B$1494,$A$33:$A$1494,A1483)</f>
        <v>23.5833333333333</v>
      </c>
      <c r="D1483" s="213" t="n">
        <v>23</v>
      </c>
      <c r="E1483" s="213" t="n">
        <f aca="false">AVERAGEIFS($D$33:$D$1494,$A$33:$A$1494,A1483)</f>
        <v>23</v>
      </c>
      <c r="F1483" s="213" t="n">
        <v>19</v>
      </c>
      <c r="G1483" s="213" t="n">
        <f aca="false">AVERAGEIFS($F$33:$F$1494,$A$33:$A$1494,A1483)</f>
        <v>18.1333333333333</v>
      </c>
      <c r="H1483" s="213" t="n">
        <v>16.8</v>
      </c>
      <c r="I1483" s="213" t="n">
        <f aca="false">AVERAGEIFS($H$33:$H$1494,$A$33:$A$1494,A1483)</f>
        <v>16.9166666666667</v>
      </c>
      <c r="L1483" s="215" t="n">
        <v>40700</v>
      </c>
      <c r="M1483" s="213" t="n">
        <v>23.5833333333333</v>
      </c>
      <c r="N1483" s="213" t="n">
        <v>23</v>
      </c>
      <c r="O1483" s="213" t="n">
        <v>18.1333333333333</v>
      </c>
      <c r="P1483" s="213" t="n">
        <v>16.9166666666667</v>
      </c>
    </row>
    <row r="1484" customFormat="false" ht="12.75" hidden="false" customHeight="false" outlineLevel="0" collapsed="false">
      <c r="A1484" s="215" t="n">
        <v>40700</v>
      </c>
      <c r="B1484" s="213" t="n">
        <v>23.6</v>
      </c>
      <c r="C1484" s="213" t="n">
        <f aca="false">AVERAGEIFS($B$33:$B$1494,$A$33:$A$1494,A1484)</f>
        <v>23.5833333333333</v>
      </c>
      <c r="D1484" s="213" t="n">
        <v>23</v>
      </c>
      <c r="E1484" s="213" t="n">
        <f aca="false">AVERAGEIFS($D$33:$D$1494,$A$33:$A$1494,A1484)</f>
        <v>23</v>
      </c>
      <c r="F1484" s="213" t="n">
        <v>19.5</v>
      </c>
      <c r="G1484" s="213" t="n">
        <f aca="false">AVERAGEIFS($F$33:$F$1494,$A$33:$A$1494,A1484)</f>
        <v>18.1333333333333</v>
      </c>
      <c r="H1484" s="213" t="n">
        <v>17.1</v>
      </c>
      <c r="I1484" s="213" t="n">
        <f aca="false">AVERAGEIFS($H$33:$H$1494,$A$33:$A$1494,A1484)</f>
        <v>16.9166666666667</v>
      </c>
      <c r="L1484" s="215" t="n">
        <v>40700</v>
      </c>
      <c r="M1484" s="213" t="n">
        <v>23.5833333333333</v>
      </c>
      <c r="N1484" s="213" t="n">
        <v>23</v>
      </c>
      <c r="O1484" s="213" t="n">
        <v>18.1333333333333</v>
      </c>
      <c r="P1484" s="213" t="n">
        <v>16.9166666666667</v>
      </c>
    </row>
    <row r="1485" customFormat="false" ht="12.75" hidden="false" customHeight="false" outlineLevel="0" collapsed="false">
      <c r="A1485" s="215" t="n">
        <v>40701</v>
      </c>
      <c r="B1485" s="213" t="n">
        <v>23.7</v>
      </c>
      <c r="C1485" s="213" t="n">
        <f aca="false">AVERAGEIFS($B$33:$B$1494,$A$33:$A$1494,A1485)</f>
        <v>23.6166666666667</v>
      </c>
      <c r="D1485" s="213" t="n">
        <v>23.1</v>
      </c>
      <c r="E1485" s="213" t="n">
        <f aca="false">AVERAGEIFS($D$33:$D$1494,$A$33:$A$1494,A1485)</f>
        <v>23.0833333333333</v>
      </c>
      <c r="F1485" s="213" t="n">
        <v>18.7</v>
      </c>
      <c r="G1485" s="213" t="n">
        <f aca="false">AVERAGEIFS($F$33:$F$1494,$A$33:$A$1494,A1485)</f>
        <v>17.7</v>
      </c>
      <c r="H1485" s="213" t="n">
        <v>17.4</v>
      </c>
      <c r="I1485" s="213" t="n">
        <f aca="false">AVERAGEIFS($H$33:$H$1494,$A$33:$A$1494,A1485)</f>
        <v>17.2166666666667</v>
      </c>
      <c r="L1485" s="215" t="n">
        <v>40701</v>
      </c>
      <c r="M1485" s="213" t="n">
        <v>23.6166666666667</v>
      </c>
      <c r="N1485" s="213" t="n">
        <v>23.0833333333333</v>
      </c>
      <c r="O1485" s="213" t="n">
        <v>17.7</v>
      </c>
      <c r="P1485" s="213" t="n">
        <v>17.2166666666667</v>
      </c>
    </row>
    <row r="1486" customFormat="false" ht="12.75" hidden="false" customHeight="false" outlineLevel="0" collapsed="false">
      <c r="A1486" s="215" t="n">
        <v>40701</v>
      </c>
      <c r="B1486" s="213" t="n">
        <v>23.6</v>
      </c>
      <c r="C1486" s="213" t="n">
        <f aca="false">AVERAGEIFS($B$33:$B$1494,$A$33:$A$1494,A1486)</f>
        <v>23.6166666666667</v>
      </c>
      <c r="D1486" s="213" t="n">
        <v>23.1</v>
      </c>
      <c r="E1486" s="213" t="n">
        <f aca="false">AVERAGEIFS($D$33:$D$1494,$A$33:$A$1494,A1486)</f>
        <v>23.0833333333333</v>
      </c>
      <c r="F1486" s="213" t="n">
        <v>18.1</v>
      </c>
      <c r="G1486" s="213" t="n">
        <f aca="false">AVERAGEIFS($F$33:$F$1494,$A$33:$A$1494,A1486)</f>
        <v>17.7</v>
      </c>
      <c r="H1486" s="213" t="n">
        <v>17.4</v>
      </c>
      <c r="I1486" s="213" t="n">
        <f aca="false">AVERAGEIFS($H$33:$H$1494,$A$33:$A$1494,A1486)</f>
        <v>17.2166666666667</v>
      </c>
      <c r="L1486" s="215" t="n">
        <v>40701</v>
      </c>
      <c r="M1486" s="213" t="n">
        <v>23.6166666666667</v>
      </c>
      <c r="N1486" s="213" t="n">
        <v>23.0833333333333</v>
      </c>
      <c r="O1486" s="213" t="n">
        <v>17.7</v>
      </c>
      <c r="P1486" s="213" t="n">
        <v>17.2166666666667</v>
      </c>
    </row>
    <row r="1487" customFormat="false" ht="12.75" hidden="false" customHeight="false" outlineLevel="0" collapsed="false">
      <c r="A1487" s="215" t="n">
        <v>40701</v>
      </c>
      <c r="B1487" s="213" t="n">
        <v>23.6</v>
      </c>
      <c r="C1487" s="213" t="n">
        <f aca="false">AVERAGEIFS($B$33:$B$1494,$A$33:$A$1494,A1487)</f>
        <v>23.6166666666667</v>
      </c>
      <c r="D1487" s="213" t="n">
        <v>23.1</v>
      </c>
      <c r="E1487" s="213" t="n">
        <f aca="false">AVERAGEIFS($D$33:$D$1494,$A$33:$A$1494,A1487)</f>
        <v>23.0833333333333</v>
      </c>
      <c r="F1487" s="213" t="n">
        <v>17.7</v>
      </c>
      <c r="G1487" s="213" t="n">
        <f aca="false">AVERAGEIFS($F$33:$F$1494,$A$33:$A$1494,A1487)</f>
        <v>17.7</v>
      </c>
      <c r="H1487" s="213" t="n">
        <v>17.3</v>
      </c>
      <c r="I1487" s="213" t="n">
        <f aca="false">AVERAGEIFS($H$33:$H$1494,$A$33:$A$1494,A1487)</f>
        <v>17.2166666666667</v>
      </c>
      <c r="L1487" s="215" t="n">
        <v>40701</v>
      </c>
      <c r="M1487" s="213" t="n">
        <v>23.6166666666667</v>
      </c>
      <c r="N1487" s="213" t="n">
        <v>23.0833333333333</v>
      </c>
      <c r="O1487" s="213" t="n">
        <v>17.7</v>
      </c>
      <c r="P1487" s="213" t="n">
        <v>17.2166666666667</v>
      </c>
    </row>
    <row r="1488" customFormat="false" ht="12.75" hidden="false" customHeight="false" outlineLevel="0" collapsed="false">
      <c r="A1488" s="215" t="n">
        <v>40701</v>
      </c>
      <c r="B1488" s="213" t="n">
        <v>23.6</v>
      </c>
      <c r="C1488" s="213" t="n">
        <f aca="false">AVERAGEIFS($B$33:$B$1494,$A$33:$A$1494,A1488)</f>
        <v>23.6166666666667</v>
      </c>
      <c r="D1488" s="213" t="n">
        <v>23.1</v>
      </c>
      <c r="E1488" s="213" t="n">
        <f aca="false">AVERAGEIFS($D$33:$D$1494,$A$33:$A$1494,A1488)</f>
        <v>23.0833333333333</v>
      </c>
      <c r="F1488" s="213" t="n">
        <v>17.8</v>
      </c>
      <c r="G1488" s="213" t="n">
        <f aca="false">AVERAGEIFS($F$33:$F$1494,$A$33:$A$1494,A1488)</f>
        <v>17.7</v>
      </c>
      <c r="H1488" s="213" t="n">
        <v>17.2</v>
      </c>
      <c r="I1488" s="213" t="n">
        <f aca="false">AVERAGEIFS($H$33:$H$1494,$A$33:$A$1494,A1488)</f>
        <v>17.2166666666667</v>
      </c>
      <c r="L1488" s="215" t="n">
        <v>40701</v>
      </c>
      <c r="M1488" s="213" t="n">
        <v>23.6166666666667</v>
      </c>
      <c r="N1488" s="213" t="n">
        <v>23.0833333333333</v>
      </c>
      <c r="O1488" s="213" t="n">
        <v>17.7</v>
      </c>
      <c r="P1488" s="213" t="n">
        <v>17.2166666666667</v>
      </c>
    </row>
    <row r="1489" customFormat="false" ht="12.75" hidden="false" customHeight="false" outlineLevel="0" collapsed="false">
      <c r="A1489" s="215" t="n">
        <v>40701</v>
      </c>
      <c r="B1489" s="213" t="n">
        <v>23.6</v>
      </c>
      <c r="C1489" s="213" t="n">
        <f aca="false">AVERAGEIFS($B$33:$B$1494,$A$33:$A$1494,A1489)</f>
        <v>23.6166666666667</v>
      </c>
      <c r="D1489" s="213" t="n">
        <v>23.1</v>
      </c>
      <c r="E1489" s="213" t="n">
        <f aca="false">AVERAGEIFS($D$33:$D$1494,$A$33:$A$1494,A1489)</f>
        <v>23.0833333333333</v>
      </c>
      <c r="F1489" s="213" t="n">
        <v>17.2</v>
      </c>
      <c r="G1489" s="213" t="n">
        <f aca="false">AVERAGEIFS($F$33:$F$1494,$A$33:$A$1494,A1489)</f>
        <v>17.7</v>
      </c>
      <c r="H1489" s="213" t="n">
        <v>17.1</v>
      </c>
      <c r="I1489" s="213" t="n">
        <f aca="false">AVERAGEIFS($H$33:$H$1494,$A$33:$A$1494,A1489)</f>
        <v>17.2166666666667</v>
      </c>
      <c r="L1489" s="215" t="n">
        <v>40701</v>
      </c>
      <c r="M1489" s="213" t="n">
        <v>23.6166666666667</v>
      </c>
      <c r="N1489" s="213" t="n">
        <v>23.0833333333333</v>
      </c>
      <c r="O1489" s="213" t="n">
        <v>17.7</v>
      </c>
      <c r="P1489" s="213" t="n">
        <v>17.2166666666667</v>
      </c>
    </row>
    <row r="1490" customFormat="false" ht="12.75" hidden="false" customHeight="false" outlineLevel="0" collapsed="false">
      <c r="A1490" s="215" t="n">
        <v>40701</v>
      </c>
      <c r="B1490" s="213" t="n">
        <v>23.6</v>
      </c>
      <c r="C1490" s="213" t="n">
        <f aca="false">AVERAGEIFS($B$33:$B$1494,$A$33:$A$1494,A1490)</f>
        <v>23.6166666666667</v>
      </c>
      <c r="D1490" s="213" t="n">
        <v>23</v>
      </c>
      <c r="E1490" s="213" t="n">
        <f aca="false">AVERAGEIFS($D$33:$D$1494,$A$33:$A$1494,A1490)</f>
        <v>23.0833333333333</v>
      </c>
      <c r="F1490" s="213" t="n">
        <v>16.7</v>
      </c>
      <c r="G1490" s="213" t="n">
        <f aca="false">AVERAGEIFS($F$33:$F$1494,$A$33:$A$1494,A1490)</f>
        <v>17.7</v>
      </c>
      <c r="H1490" s="213" t="n">
        <v>16.9</v>
      </c>
      <c r="I1490" s="213" t="n">
        <f aca="false">AVERAGEIFS($H$33:$H$1494,$A$33:$A$1494,A1490)</f>
        <v>17.2166666666667</v>
      </c>
      <c r="L1490" s="215" t="n">
        <v>40701</v>
      </c>
      <c r="M1490" s="213" t="n">
        <v>23.6166666666667</v>
      </c>
      <c r="N1490" s="213" t="n">
        <v>23.0833333333333</v>
      </c>
      <c r="O1490" s="213" t="n">
        <v>17.7</v>
      </c>
      <c r="P1490" s="213" t="n">
        <v>17.2166666666667</v>
      </c>
    </row>
    <row r="1491" customFormat="false" ht="12.75" hidden="false" customHeight="false" outlineLevel="0" collapsed="false">
      <c r="A1491" s="215" t="n">
        <v>40702</v>
      </c>
      <c r="B1491" s="213" t="n">
        <v>23.6</v>
      </c>
      <c r="C1491" s="213" t="n">
        <f aca="false">AVERAGEIFS($B$33:$B$1494,$A$33:$A$1494,A1491)</f>
        <v>23.525</v>
      </c>
      <c r="D1491" s="213" t="n">
        <v>23</v>
      </c>
      <c r="E1491" s="213" t="n">
        <f aca="false">AVERAGEIFS($D$33:$D$1494,$A$33:$A$1494,A1491)</f>
        <v>23</v>
      </c>
      <c r="F1491" s="213" t="n">
        <v>16.2</v>
      </c>
      <c r="G1491" s="213" t="n">
        <f aca="false">AVERAGEIFS($F$33:$F$1494,$A$33:$A$1494,A1491)</f>
        <v>15.925</v>
      </c>
      <c r="H1491" s="213" t="n">
        <v>16.7</v>
      </c>
      <c r="I1491" s="213" t="n">
        <f aca="false">AVERAGEIFS($H$33:$H$1494,$A$33:$A$1494,A1491)</f>
        <v>16.4</v>
      </c>
      <c r="L1491" s="215" t="n">
        <v>40702</v>
      </c>
      <c r="M1491" s="213" t="n">
        <v>23.525</v>
      </c>
      <c r="N1491" s="213" t="n">
        <v>23</v>
      </c>
      <c r="O1491" s="213" t="n">
        <v>15.925</v>
      </c>
      <c r="P1491" s="213" t="n">
        <v>16.4</v>
      </c>
    </row>
    <row r="1492" customFormat="false" ht="12.75" hidden="false" customHeight="false" outlineLevel="0" collapsed="false">
      <c r="A1492" s="215" t="n">
        <v>40702</v>
      </c>
      <c r="B1492" s="213" t="n">
        <v>23.5</v>
      </c>
      <c r="C1492" s="213" t="n">
        <f aca="false">AVERAGEIFS($B$33:$B$1494,$A$33:$A$1494,A1492)</f>
        <v>23.525</v>
      </c>
      <c r="D1492" s="213" t="n">
        <v>23</v>
      </c>
      <c r="E1492" s="213" t="n">
        <f aca="false">AVERAGEIFS($D$33:$D$1494,$A$33:$A$1494,A1492)</f>
        <v>23</v>
      </c>
      <c r="F1492" s="213" t="n">
        <v>15.9</v>
      </c>
      <c r="G1492" s="213" t="n">
        <f aca="false">AVERAGEIFS($F$33:$F$1494,$A$33:$A$1494,A1492)</f>
        <v>15.925</v>
      </c>
      <c r="H1492" s="213" t="n">
        <v>16.5</v>
      </c>
      <c r="I1492" s="213" t="n">
        <f aca="false">AVERAGEIFS($H$33:$H$1494,$A$33:$A$1494,A1492)</f>
        <v>16.4</v>
      </c>
      <c r="L1492" s="215" t="n">
        <v>40702</v>
      </c>
      <c r="M1492" s="213" t="n">
        <v>23.525</v>
      </c>
      <c r="N1492" s="213" t="n">
        <v>23</v>
      </c>
      <c r="O1492" s="213" t="n">
        <v>15.925</v>
      </c>
      <c r="P1492" s="213" t="n">
        <v>16.4</v>
      </c>
    </row>
    <row r="1493" customFormat="false" ht="12.75" hidden="false" customHeight="false" outlineLevel="0" collapsed="false">
      <c r="A1493" s="215" t="n">
        <v>40702</v>
      </c>
      <c r="B1493" s="213" t="n">
        <v>23.5</v>
      </c>
      <c r="C1493" s="213" t="n">
        <f aca="false">AVERAGEIFS($B$33:$B$1494,$A$33:$A$1494,A1493)</f>
        <v>23.525</v>
      </c>
      <c r="D1493" s="213" t="n">
        <v>23</v>
      </c>
      <c r="E1493" s="213" t="n">
        <f aca="false">AVERAGEIFS($D$33:$D$1494,$A$33:$A$1494,A1493)</f>
        <v>23</v>
      </c>
      <c r="F1493" s="213" t="n">
        <v>15.6</v>
      </c>
      <c r="G1493" s="213" t="n">
        <f aca="false">AVERAGEIFS($F$33:$F$1494,$A$33:$A$1494,A1493)</f>
        <v>15.925</v>
      </c>
      <c r="H1493" s="213" t="n">
        <v>16.3</v>
      </c>
      <c r="I1493" s="213" t="n">
        <f aca="false">AVERAGEIFS($H$33:$H$1494,$A$33:$A$1494,A1493)</f>
        <v>16.4</v>
      </c>
      <c r="L1493" s="215" t="n">
        <v>40702</v>
      </c>
      <c r="M1493" s="213" t="n">
        <v>23.525</v>
      </c>
      <c r="N1493" s="213" t="n">
        <v>23</v>
      </c>
      <c r="O1493" s="213" t="n">
        <v>15.925</v>
      </c>
      <c r="P1493" s="213" t="n">
        <v>16.4</v>
      </c>
    </row>
    <row r="1494" customFormat="false" ht="12.75" hidden="false" customHeight="false" outlineLevel="0" collapsed="false">
      <c r="A1494" s="215" t="n">
        <v>40702</v>
      </c>
      <c r="B1494" s="213" t="n">
        <v>23.5</v>
      </c>
      <c r="C1494" s="213" t="n">
        <f aca="false">AVERAGEIFS($B$33:$B$1494,$A$33:$A$1494,A1494)</f>
        <v>23.525</v>
      </c>
      <c r="D1494" s="213" t="n">
        <v>23</v>
      </c>
      <c r="E1494" s="213" t="n">
        <f aca="false">AVERAGEIFS($D$33:$D$1494,$A$33:$A$1494,A1494)</f>
        <v>23</v>
      </c>
      <c r="F1494" s="213" t="n">
        <v>16</v>
      </c>
      <c r="G1494" s="213" t="n">
        <f aca="false">AVERAGEIFS($F$33:$F$1494,$A$33:$A$1494,A1494)</f>
        <v>15.925</v>
      </c>
      <c r="H1494" s="213" t="n">
        <v>16.1</v>
      </c>
      <c r="I1494" s="213" t="n">
        <f aca="false">AVERAGEIFS($H$33:$H$1494,$A$33:$A$1494,A1494)</f>
        <v>16.4</v>
      </c>
      <c r="L1494" s="215" t="n">
        <v>40702</v>
      </c>
      <c r="M1494" s="213" t="n">
        <v>23.525</v>
      </c>
      <c r="N1494" s="213" t="n">
        <v>23</v>
      </c>
      <c r="O1494" s="213" t="n">
        <v>15.925</v>
      </c>
      <c r="P1494" s="213" t="n">
        <v>16.4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X9" activeCellId="0" sqref="X9"/>
    </sheetView>
  </sheetViews>
  <sheetFormatPr defaultColWidth="11.43359375" defaultRowHeight="12.75" customHeight="true" zeroHeight="false" outlineLevelRow="0" outlineLevelCol="0"/>
  <cols>
    <col collapsed="false" customWidth="true" hidden="false" outlineLevel="0" max="1" min="1" style="216" width="11.71"/>
    <col collapsed="false" customWidth="true" hidden="false" outlineLevel="0" max="2" min="2" style="216" width="10.14"/>
    <col collapsed="false" customWidth="true" hidden="false" outlineLevel="0" max="4" min="3" style="216" width="3"/>
    <col collapsed="false" customWidth="true" hidden="false" outlineLevel="0" max="5" min="5" style="216" width="8.86"/>
    <col collapsed="false" customWidth="true" hidden="false" outlineLevel="0" max="6" min="6" style="216" width="11.14"/>
    <col collapsed="false" customWidth="true" hidden="false" outlineLevel="0" max="7" min="7" style="216" width="6.29"/>
    <col collapsed="false" customWidth="true" hidden="false" outlineLevel="0" max="8" min="8" style="216" width="4.14"/>
    <col collapsed="false" customWidth="true" hidden="false" outlineLevel="0" max="9" min="9" style="216" width="8.29"/>
    <col collapsed="false" customWidth="true" hidden="false" outlineLevel="0" max="10" min="10" style="216" width="12"/>
    <col collapsed="false" customWidth="true" hidden="false" outlineLevel="0" max="11" min="11" style="216" width="4.14"/>
    <col collapsed="false" customWidth="true" hidden="false" outlineLevel="0" max="12" min="12" style="216" width="12"/>
    <col collapsed="false" customWidth="true" hidden="false" outlineLevel="0" max="13" min="13" style="216" width="14.29"/>
    <col collapsed="false" customWidth="true" hidden="false" outlineLevel="0" max="14" min="14" style="216" width="11.14"/>
    <col collapsed="false" customWidth="true" hidden="false" outlineLevel="0" max="15" min="15" style="216" width="9.57"/>
    <col collapsed="false" customWidth="true" hidden="false" outlineLevel="0" max="16" min="16" style="216" width="14.43"/>
    <col collapsed="false" customWidth="true" hidden="false" outlineLevel="0" max="17" min="17" style="216" width="11.29"/>
    <col collapsed="false" customWidth="true" hidden="false" outlineLevel="0" max="18" min="18" style="216" width="10.43"/>
    <col collapsed="false" customWidth="true" hidden="false" outlineLevel="0" max="19" min="19" style="204" width="13"/>
    <col collapsed="false" customWidth="false" hidden="false" outlineLevel="0" max="20" min="20" style="204" width="11.43"/>
    <col collapsed="false" customWidth="true" hidden="false" outlineLevel="0" max="21" min="21" style="216" width="12.43"/>
    <col collapsed="false" customWidth="true" hidden="false" outlineLevel="0" max="22" min="22" style="216" width="11.86"/>
    <col collapsed="false" customWidth="false" hidden="false" outlineLevel="0" max="23" min="23" style="204" width="11.43"/>
    <col collapsed="false" customWidth="true" hidden="false" outlineLevel="0" max="24" min="24" style="204" width="15.86"/>
    <col collapsed="false" customWidth="false" hidden="false" outlineLevel="0" max="16384" min="25" style="204" width="11.43"/>
  </cols>
  <sheetData>
    <row r="1" customFormat="false" ht="15" hidden="false" customHeight="false" outlineLevel="0" collapsed="false">
      <c r="C1" s="217"/>
      <c r="D1" s="217"/>
      <c r="E1" s="217"/>
      <c r="F1" s="217"/>
      <c r="G1" s="217"/>
      <c r="H1" s="218" t="s">
        <v>7988</v>
      </c>
      <c r="I1" s="218"/>
      <c r="J1" s="218"/>
      <c r="K1" s="219" t="s">
        <v>7989</v>
      </c>
      <c r="L1" s="219"/>
      <c r="M1" s="219"/>
      <c r="N1" s="219"/>
      <c r="O1" s="219"/>
      <c r="P1" s="219"/>
      <c r="Q1" s="219"/>
      <c r="R1" s="219"/>
      <c r="S1" s="220" t="s">
        <v>7990</v>
      </c>
      <c r="T1" s="220"/>
      <c r="U1" s="221" t="s">
        <v>7991</v>
      </c>
      <c r="V1" s="221"/>
      <c r="W1" s="221"/>
      <c r="X1" s="222"/>
    </row>
    <row r="2" customFormat="false" ht="12.75" hidden="false" customHeight="false" outlineLevel="0" collapsed="false">
      <c r="A2" s="223" t="s">
        <v>7992</v>
      </c>
      <c r="B2" s="223" t="s">
        <v>213</v>
      </c>
      <c r="C2" s="223" t="s">
        <v>22</v>
      </c>
      <c r="D2" s="223" t="s">
        <v>21</v>
      </c>
      <c r="E2" s="223" t="s">
        <v>7993</v>
      </c>
      <c r="F2" s="223" t="s">
        <v>7994</v>
      </c>
      <c r="G2" s="223" t="s">
        <v>7995</v>
      </c>
      <c r="H2" s="223" t="s">
        <v>7996</v>
      </c>
      <c r="I2" s="223" t="s">
        <v>7997</v>
      </c>
      <c r="J2" s="224" t="s">
        <v>7998</v>
      </c>
      <c r="K2" s="225" t="s">
        <v>7996</v>
      </c>
      <c r="L2" s="223" t="s">
        <v>7999</v>
      </c>
      <c r="M2" s="226" t="s">
        <v>8000</v>
      </c>
      <c r="N2" s="226" t="s">
        <v>8001</v>
      </c>
      <c r="O2" s="223" t="s">
        <v>8002</v>
      </c>
      <c r="P2" s="226" t="s">
        <v>8003</v>
      </c>
      <c r="Q2" s="226" t="s">
        <v>8004</v>
      </c>
      <c r="R2" s="227" t="s">
        <v>8005</v>
      </c>
      <c r="S2" s="228" t="s">
        <v>8006</v>
      </c>
      <c r="T2" s="226" t="s">
        <v>8007</v>
      </c>
      <c r="U2" s="229" t="s">
        <v>8008</v>
      </c>
      <c r="V2" s="229" t="s">
        <v>8009</v>
      </c>
      <c r="W2" s="230" t="s">
        <v>8010</v>
      </c>
      <c r="X2" s="223" t="s">
        <v>8011</v>
      </c>
      <c r="Y2" s="231" t="s">
        <v>8012</v>
      </c>
    </row>
    <row r="3" customFormat="false" ht="13.8" hidden="false" customHeight="false" outlineLevel="0" collapsed="false">
      <c r="A3" s="232" t="s">
        <v>8013</v>
      </c>
      <c r="B3" s="233"/>
      <c r="C3" s="233"/>
      <c r="D3" s="234"/>
      <c r="E3" s="235" t="s">
        <v>8014</v>
      </c>
      <c r="F3" s="235" t="s">
        <v>662</v>
      </c>
      <c r="G3" s="234"/>
      <c r="I3" s="233" t="n">
        <v>555.441340782123</v>
      </c>
      <c r="J3" s="233" t="n">
        <f aca="false">I3*L3</f>
        <v>141.726981256545</v>
      </c>
      <c r="K3" s="233" t="n">
        <v>7</v>
      </c>
      <c r="L3" s="233" t="n">
        <f aca="false">R3/O3</f>
        <v>0.255161023947151</v>
      </c>
      <c r="M3" s="233" t="n">
        <v>115.8</v>
      </c>
      <c r="N3" s="233" t="n">
        <v>5.3</v>
      </c>
      <c r="O3" s="233" t="n">
        <f aca="false">M3+N3</f>
        <v>121.1</v>
      </c>
      <c r="P3" s="233" t="n">
        <v>29.4</v>
      </c>
      <c r="Q3" s="233" t="n">
        <v>1.5</v>
      </c>
      <c r="R3" s="233" t="n">
        <f aca="false">P3+Q3</f>
        <v>30.9</v>
      </c>
      <c r="S3" s="233" t="n">
        <f aca="false">(R3+J3)/100</f>
        <v>1.72626981256545</v>
      </c>
      <c r="T3" s="233" t="n">
        <f aca="false">MIN(4.63,4.48*S3^(-0.25))</f>
        <v>3.90841656232127</v>
      </c>
      <c r="U3" s="233"/>
      <c r="V3" s="233"/>
      <c r="W3" s="233"/>
      <c r="X3" s="236" t="n">
        <v>2.29851273307314</v>
      </c>
      <c r="Y3" s="233" t="n">
        <f aca="false">X3/T3</f>
        <v>0.588093079747882</v>
      </c>
    </row>
    <row r="4" customFormat="false" ht="13.8" hidden="false" customHeight="false" outlineLevel="0" collapsed="false">
      <c r="A4" s="237" t="s">
        <v>8013</v>
      </c>
      <c r="B4" s="238"/>
      <c r="C4" s="238"/>
      <c r="D4" s="234"/>
      <c r="E4" s="239" t="s">
        <v>8015</v>
      </c>
      <c r="F4" s="239" t="s">
        <v>662</v>
      </c>
      <c r="G4" s="234"/>
      <c r="I4" s="240" t="n">
        <v>1616.01247077163</v>
      </c>
      <c r="J4" s="240" t="n">
        <f aca="false">I4*L4</f>
        <v>226.772925734072</v>
      </c>
      <c r="K4" s="240" t="n">
        <v>6</v>
      </c>
      <c r="L4" s="240" t="n">
        <f aca="false">R4/O4</f>
        <v>0.140328697850822</v>
      </c>
      <c r="M4" s="240" t="n">
        <v>224.4</v>
      </c>
      <c r="N4" s="240" t="n">
        <v>12.9</v>
      </c>
      <c r="O4" s="240" t="n">
        <f aca="false">M4+N4</f>
        <v>237.3</v>
      </c>
      <c r="P4" s="240" t="n">
        <v>30.4</v>
      </c>
      <c r="Q4" s="240" t="n">
        <v>2.9</v>
      </c>
      <c r="R4" s="240" t="n">
        <f aca="false">P4+Q4</f>
        <v>33.3</v>
      </c>
      <c r="S4" s="240" t="n">
        <f aca="false">(R4+J4)/100</f>
        <v>2.60072925734072</v>
      </c>
      <c r="T4" s="240" t="n">
        <f aca="false">MIN(4.63,4.48*S4^(-0.25))</f>
        <v>3.52780221160918</v>
      </c>
      <c r="U4" s="240"/>
      <c r="V4" s="240"/>
      <c r="W4" s="240" t="n">
        <f aca="false">(U3*P4)</f>
        <v>0</v>
      </c>
      <c r="X4" s="238" t="n">
        <v>2.68213986921511</v>
      </c>
      <c r="Y4" s="240" t="n">
        <f aca="false">X4/T4</f>
        <v>0.760286350631793</v>
      </c>
    </row>
    <row r="5" customFormat="false" ht="13.8" hidden="false" customHeight="false" outlineLevel="0" collapsed="false">
      <c r="A5" s="237" t="s">
        <v>8013</v>
      </c>
      <c r="B5" s="238"/>
      <c r="C5" s="238"/>
      <c r="D5" s="234"/>
      <c r="E5" s="239" t="s">
        <v>8014</v>
      </c>
      <c r="F5" s="239" t="s">
        <v>662</v>
      </c>
      <c r="G5" s="234"/>
      <c r="I5" s="240" t="n">
        <v>1203.37039937353</v>
      </c>
      <c r="J5" s="240" t="n">
        <f aca="false">I5*L5</f>
        <v>172.754593359847</v>
      </c>
      <c r="K5" s="240" t="n">
        <v>7</v>
      </c>
      <c r="L5" s="240" t="n">
        <f aca="false">R5/O5</f>
        <v>0.143558951965066</v>
      </c>
      <c r="M5" s="240" t="n">
        <v>348.4</v>
      </c>
      <c r="N5" s="240" t="n">
        <v>18</v>
      </c>
      <c r="O5" s="240" t="n">
        <f aca="false">M5+N5</f>
        <v>366.4</v>
      </c>
      <c r="P5" s="240" t="n">
        <v>48.5</v>
      </c>
      <c r="Q5" s="240" t="n">
        <v>4.1</v>
      </c>
      <c r="R5" s="240" t="n">
        <f aca="false">P5+Q5</f>
        <v>52.6</v>
      </c>
      <c r="S5" s="240" t="n">
        <f aca="false">(R5+J5)/100</f>
        <v>2.25354593359847</v>
      </c>
      <c r="T5" s="240" t="n">
        <f aca="false">MIN(4.63,4.48*S5^(-0.25))</f>
        <v>3.65646491296646</v>
      </c>
      <c r="U5" s="240"/>
      <c r="V5" s="240"/>
      <c r="W5" s="240" t="n">
        <f aca="false">(U4*P5)</f>
        <v>0</v>
      </c>
      <c r="X5" s="238" t="n">
        <v>3.71147218909479</v>
      </c>
      <c r="Y5" s="240" t="n">
        <f aca="false">X5/T5</f>
        <v>1.01504384082376</v>
      </c>
    </row>
    <row r="6" customFormat="false" ht="13.8" hidden="false" customHeight="false" outlineLevel="0" collapsed="false">
      <c r="A6" s="237" t="s">
        <v>8013</v>
      </c>
      <c r="B6" s="238"/>
      <c r="C6" s="238"/>
      <c r="D6" s="234"/>
      <c r="E6" s="239" t="s">
        <v>8015</v>
      </c>
      <c r="F6" s="239" t="s">
        <v>662</v>
      </c>
      <c r="G6" s="234"/>
      <c r="I6" s="240" t="n">
        <v>1517.76470588235</v>
      </c>
      <c r="J6" s="240" t="n">
        <f aca="false">I6*L6</f>
        <v>217.335660570694</v>
      </c>
      <c r="K6" s="240" t="n">
        <v>8</v>
      </c>
      <c r="L6" s="240" t="n">
        <f aca="false">R6/O6</f>
        <v>0.143194567463832</v>
      </c>
      <c r="M6" s="240" t="n">
        <v>320.8</v>
      </c>
      <c r="N6" s="240" t="n">
        <v>17.9</v>
      </c>
      <c r="O6" s="240" t="n">
        <f aca="false">M6+N6</f>
        <v>338.7</v>
      </c>
      <c r="P6" s="240" t="n">
        <v>44.5</v>
      </c>
      <c r="Q6" s="240" t="n">
        <v>4</v>
      </c>
      <c r="R6" s="240" t="n">
        <f aca="false">P6+Q6</f>
        <v>48.5</v>
      </c>
      <c r="S6" s="240" t="n">
        <f aca="false">(R6+J6)/100</f>
        <v>2.65835660570694</v>
      </c>
      <c r="T6" s="240" t="n">
        <f aca="false">MIN(4.63,4.48*S6^(-0.25))</f>
        <v>3.50852604053831</v>
      </c>
      <c r="U6" s="240"/>
      <c r="V6" s="240"/>
      <c r="W6" s="240" t="n">
        <f aca="false">(U5*P6)</f>
        <v>0</v>
      </c>
      <c r="X6" s="238" t="n">
        <v>3.09556989986977</v>
      </c>
      <c r="Y6" s="240" t="n">
        <f aca="false">X6/T6</f>
        <v>0.882299251623858</v>
      </c>
    </row>
    <row r="7" customFormat="false" ht="13.8" hidden="false" customHeight="false" outlineLevel="0" collapsed="false">
      <c r="A7" s="237" t="s">
        <v>8013</v>
      </c>
      <c r="B7" s="238"/>
      <c r="C7" s="238"/>
      <c r="D7" s="241"/>
      <c r="E7" s="239" t="s">
        <v>8014</v>
      </c>
      <c r="F7" s="239" t="s">
        <v>662</v>
      </c>
      <c r="G7" s="241"/>
      <c r="I7" s="240" t="n">
        <v>1451.88233117484</v>
      </c>
      <c r="J7" s="240" t="n">
        <f aca="false">I7*L7</f>
        <v>248.060297788666</v>
      </c>
      <c r="K7" s="240" t="n">
        <v>7</v>
      </c>
      <c r="L7" s="240" t="n">
        <f aca="false">R7/O7</f>
        <v>0.170854271356784</v>
      </c>
      <c r="M7" s="240" t="n">
        <v>242.6</v>
      </c>
      <c r="N7" s="240" t="n">
        <v>16.1</v>
      </c>
      <c r="O7" s="240" t="n">
        <f aca="false">M7+N7</f>
        <v>258.7</v>
      </c>
      <c r="P7" s="240" t="n">
        <v>41.4</v>
      </c>
      <c r="Q7" s="240" t="n">
        <v>2.8</v>
      </c>
      <c r="R7" s="240" t="n">
        <f aca="false">P7+Q7</f>
        <v>44.2</v>
      </c>
      <c r="S7" s="240" t="n">
        <f aca="false">(R7+J7)/100</f>
        <v>2.92260297788666</v>
      </c>
      <c r="T7" s="240" t="n">
        <f aca="false">MIN(4.63,4.48*S7^(-0.25))</f>
        <v>3.42638025239166</v>
      </c>
      <c r="U7" s="240"/>
      <c r="V7" s="240"/>
      <c r="W7" s="240" t="n">
        <f aca="false">(U6*P7)</f>
        <v>0</v>
      </c>
      <c r="X7" s="238" t="s">
        <v>768</v>
      </c>
      <c r="Y7" s="238" t="s">
        <v>768</v>
      </c>
    </row>
    <row r="8" s="245" customFormat="true" ht="13.8" hidden="false" customHeight="false" outlineLevel="0" collapsed="false">
      <c r="A8" s="237" t="s">
        <v>8013</v>
      </c>
      <c r="B8" s="238"/>
      <c r="C8" s="238"/>
      <c r="D8" s="242"/>
      <c r="E8" s="239" t="s">
        <v>8015</v>
      </c>
      <c r="F8" s="239" t="s">
        <v>662</v>
      </c>
      <c r="G8" s="243"/>
      <c r="H8" s="244"/>
      <c r="I8" s="240" t="n">
        <v>1200.59920318725</v>
      </c>
      <c r="J8" s="240" t="n">
        <f aca="false">I8*L8</f>
        <v>165.4843767786</v>
      </c>
      <c r="K8" s="240" t="n">
        <v>7</v>
      </c>
      <c r="L8" s="240" t="n">
        <f aca="false">R8/O8</f>
        <v>0.137834821428571</v>
      </c>
      <c r="M8" s="240" t="n">
        <v>346.2</v>
      </c>
      <c r="N8" s="240" t="n">
        <v>12.2</v>
      </c>
      <c r="O8" s="240" t="n">
        <f aca="false">M8+N8</f>
        <v>358.4</v>
      </c>
      <c r="P8" s="240" t="n">
        <v>46.3</v>
      </c>
      <c r="Q8" s="240" t="n">
        <v>3.1</v>
      </c>
      <c r="R8" s="240" t="n">
        <f aca="false">P8+Q8</f>
        <v>49.4</v>
      </c>
      <c r="S8" s="240" t="n">
        <f aca="false">(R8+J8)/100</f>
        <v>2.148843767786</v>
      </c>
      <c r="T8" s="240" t="n">
        <f aca="false">MIN(4.63,4.48*S8^(-0.25))</f>
        <v>3.70021367381511</v>
      </c>
      <c r="U8" s="240"/>
      <c r="V8" s="240"/>
      <c r="W8" s="240" t="n">
        <f aca="false">(U7*P8)</f>
        <v>0</v>
      </c>
      <c r="X8" s="238" t="n">
        <v>3.36198169520922</v>
      </c>
      <c r="Y8" s="240" t="n">
        <f aca="false">X8/T8</f>
        <v>0.908591230555301</v>
      </c>
    </row>
    <row r="9" customFormat="false" ht="13.8" hidden="false" customHeight="false" outlineLevel="0" collapsed="false">
      <c r="A9" s="237" t="s">
        <v>8013</v>
      </c>
      <c r="B9" s="238"/>
      <c r="C9" s="238"/>
      <c r="D9" s="246"/>
      <c r="E9" s="239" t="s">
        <v>8014</v>
      </c>
      <c r="F9" s="239" t="s">
        <v>664</v>
      </c>
      <c r="G9" s="247"/>
      <c r="H9" s="248"/>
      <c r="I9" s="240" t="n">
        <v>803.671354552184</v>
      </c>
      <c r="J9" s="240" t="n">
        <f aca="false">I9*L9</f>
        <v>129.912009769133</v>
      </c>
      <c r="K9" s="240" t="n">
        <v>6</v>
      </c>
      <c r="L9" s="240" t="n">
        <f aca="false">R9/O9</f>
        <v>0.161648177496038</v>
      </c>
      <c r="M9" s="240" t="n">
        <v>119.1</v>
      </c>
      <c r="N9" s="240" t="n">
        <v>7.1</v>
      </c>
      <c r="O9" s="240" t="n">
        <f aca="false">M9+N9</f>
        <v>126.2</v>
      </c>
      <c r="P9" s="240" t="n">
        <v>18.5</v>
      </c>
      <c r="Q9" s="240" t="n">
        <v>1.9</v>
      </c>
      <c r="R9" s="240" t="n">
        <f aca="false">P9+Q9</f>
        <v>20.4</v>
      </c>
      <c r="S9" s="240" t="n">
        <f aca="false">(R9+J9)/100</f>
        <v>1.50312009769133</v>
      </c>
      <c r="T9" s="240" t="n">
        <f aca="false">MIN(4.63,4.48*S9^(-0.25))</f>
        <v>4.04603461148295</v>
      </c>
      <c r="U9" s="240"/>
      <c r="V9" s="240"/>
      <c r="W9" s="240" t="n">
        <f aca="false">(U8*P9)</f>
        <v>0</v>
      </c>
      <c r="X9" s="238" t="n">
        <v>2.32324496267876</v>
      </c>
      <c r="Y9" s="240" t="n">
        <f aca="false">X9/T9</f>
        <v>0.57420293837458</v>
      </c>
    </row>
    <row r="10" customFormat="false" ht="13.8" hidden="false" customHeight="false" outlineLevel="0" collapsed="false">
      <c r="A10" s="237" t="s">
        <v>8013</v>
      </c>
      <c r="B10" s="238"/>
      <c r="C10" s="238"/>
      <c r="D10" s="249"/>
      <c r="E10" s="239" t="s">
        <v>8015</v>
      </c>
      <c r="F10" s="239" t="s">
        <v>664</v>
      </c>
      <c r="G10" s="250"/>
      <c r="H10" s="251"/>
      <c r="I10" s="240" t="n">
        <v>1550.00729956941</v>
      </c>
      <c r="J10" s="240" t="n">
        <f aca="false">I10*L10</f>
        <v>201.029278307218</v>
      </c>
      <c r="K10" s="240" t="n">
        <v>6</v>
      </c>
      <c r="L10" s="240" t="n">
        <f aca="false">R10/O10</f>
        <v>0.129695697796432</v>
      </c>
      <c r="M10" s="240" t="n">
        <v>451.8</v>
      </c>
      <c r="N10" s="240" t="n">
        <v>24.7</v>
      </c>
      <c r="O10" s="240" t="n">
        <f aca="false">M10+N10</f>
        <v>476.5</v>
      </c>
      <c r="P10" s="240" t="n">
        <v>56.1</v>
      </c>
      <c r="Q10" s="240" t="n">
        <v>5.7</v>
      </c>
      <c r="R10" s="240" t="n">
        <f aca="false">P10+Q10</f>
        <v>61.8</v>
      </c>
      <c r="S10" s="240" t="n">
        <f aca="false">(R10+J10)/100</f>
        <v>2.62829278307218</v>
      </c>
      <c r="T10" s="240" t="n">
        <f aca="false">MIN(4.63,4.48*S10^(-0.25))</f>
        <v>3.51851638965898</v>
      </c>
      <c r="U10" s="240"/>
      <c r="V10" s="240"/>
      <c r="W10" s="240" t="n">
        <f aca="false">(U9*P10)</f>
        <v>0</v>
      </c>
      <c r="X10" s="238" t="n">
        <v>4.84009180193887</v>
      </c>
      <c r="Y10" s="240" t="n">
        <f aca="false">X10/T10</f>
        <v>1.37560587074826</v>
      </c>
    </row>
    <row r="11" customFormat="false" ht="13.8" hidden="false" customHeight="false" outlineLevel="0" collapsed="false">
      <c r="A11" s="237" t="s">
        <v>8013</v>
      </c>
      <c r="B11" s="238"/>
      <c r="C11" s="238"/>
      <c r="D11" s="249"/>
      <c r="E11" s="239" t="s">
        <v>8014</v>
      </c>
      <c r="F11" s="239" t="s">
        <v>664</v>
      </c>
      <c r="G11" s="250"/>
      <c r="H11" s="251"/>
      <c r="I11" s="240" t="n">
        <v>1457.9432311812</v>
      </c>
      <c r="J11" s="240" t="n">
        <f aca="false">I11*L11</f>
        <v>199.460945124789</v>
      </c>
      <c r="K11" s="240" t="n">
        <v>6</v>
      </c>
      <c r="L11" s="240" t="n">
        <f aca="false">R11/O11</f>
        <v>0.13680981595092</v>
      </c>
      <c r="M11" s="240" t="n">
        <v>307.7</v>
      </c>
      <c r="N11" s="240" t="n">
        <v>18.3</v>
      </c>
      <c r="O11" s="240" t="n">
        <f aca="false">M11+N11</f>
        <v>326</v>
      </c>
      <c r="P11" s="240" t="n">
        <v>40.9</v>
      </c>
      <c r="Q11" s="240" t="n">
        <v>3.7</v>
      </c>
      <c r="R11" s="240" t="n">
        <f aca="false">P11+Q11</f>
        <v>44.6</v>
      </c>
      <c r="S11" s="240" t="n">
        <f aca="false">(R11+J11)/100</f>
        <v>2.44060945124789</v>
      </c>
      <c r="T11" s="240" t="n">
        <f aca="false">MIN(4.63,4.48*S11^(-0.25))</f>
        <v>3.58429248608079</v>
      </c>
      <c r="U11" s="240"/>
      <c r="V11" s="240"/>
      <c r="W11" s="240" t="n">
        <f aca="false">(U10*P11)+(V11*Q11)</f>
        <v>0</v>
      </c>
      <c r="X11" s="238" t="n">
        <v>3.37389625014695</v>
      </c>
      <c r="Y11" s="240" t="n">
        <f aca="false">X11/T11</f>
        <v>0.941300483498239</v>
      </c>
    </row>
    <row r="12" customFormat="false" ht="13.8" hidden="false" customHeight="false" outlineLevel="0" collapsed="false">
      <c r="A12" s="237" t="s">
        <v>8013</v>
      </c>
      <c r="B12" s="238"/>
      <c r="C12" s="238"/>
      <c r="D12" s="249"/>
      <c r="E12" s="239" t="s">
        <v>8015</v>
      </c>
      <c r="F12" s="239" t="s">
        <v>664</v>
      </c>
      <c r="G12" s="250"/>
      <c r="H12" s="251"/>
      <c r="I12" s="240" t="n">
        <v>2049.44329896907</v>
      </c>
      <c r="J12" s="240" t="n">
        <f aca="false">I12*L12</f>
        <v>267.554172751248</v>
      </c>
      <c r="K12" s="240" t="n">
        <v>7</v>
      </c>
      <c r="L12" s="240" t="n">
        <f aca="false">R12/O12</f>
        <v>0.130549682875264</v>
      </c>
      <c r="M12" s="240" t="n">
        <v>357.6</v>
      </c>
      <c r="N12" s="240" t="n">
        <v>20.8</v>
      </c>
      <c r="O12" s="240" t="n">
        <f aca="false">M12+N12</f>
        <v>378.4</v>
      </c>
      <c r="P12" s="240" t="n">
        <v>45.1</v>
      </c>
      <c r="Q12" s="240" t="n">
        <v>4.3</v>
      </c>
      <c r="R12" s="240" t="n">
        <f aca="false">P12+Q12</f>
        <v>49.4</v>
      </c>
      <c r="S12" s="240" t="n">
        <f aca="false">(R12+J12)/100</f>
        <v>3.16954172751248</v>
      </c>
      <c r="T12" s="240" t="n">
        <f aca="false">MIN(4.63,4.48*S12^(-0.25))</f>
        <v>3.35759953125681</v>
      </c>
      <c r="U12" s="240"/>
      <c r="V12" s="240"/>
      <c r="W12" s="240" t="n">
        <f aca="false">(U11*P12)+(V12*Q12)</f>
        <v>0</v>
      </c>
      <c r="X12" s="238" t="n">
        <v>3.3449878625944</v>
      </c>
      <c r="Y12" s="240" t="n">
        <f aca="false">X12/T12</f>
        <v>0.996243843691004</v>
      </c>
    </row>
    <row r="13" customFormat="false" ht="13.8" hidden="false" customHeight="false" outlineLevel="0" collapsed="false">
      <c r="A13" s="237" t="s">
        <v>8013</v>
      </c>
      <c r="B13" s="238"/>
      <c r="C13" s="238"/>
      <c r="D13" s="252"/>
      <c r="E13" s="239" t="s">
        <v>8014</v>
      </c>
      <c r="F13" s="239" t="s">
        <v>664</v>
      </c>
      <c r="G13" s="253"/>
      <c r="H13" s="251"/>
      <c r="I13" s="240" t="n">
        <v>1215.69482288828</v>
      </c>
      <c r="J13" s="240" t="n">
        <f aca="false">I13*L13</f>
        <v>175.887761609369</v>
      </c>
      <c r="K13" s="240" t="n">
        <v>7</v>
      </c>
      <c r="L13" s="240" t="n">
        <f aca="false">R13/O13</f>
        <v>0.14468085106383</v>
      </c>
      <c r="M13" s="240" t="n">
        <v>266.8</v>
      </c>
      <c r="N13" s="240" t="n">
        <v>15.2</v>
      </c>
      <c r="O13" s="240" t="n">
        <f aca="false">M13+N13</f>
        <v>282</v>
      </c>
      <c r="P13" s="240" t="n">
        <v>37.5</v>
      </c>
      <c r="Q13" s="240" t="n">
        <v>3.3</v>
      </c>
      <c r="R13" s="240" t="n">
        <f aca="false">P13+Q13</f>
        <v>40.8</v>
      </c>
      <c r="S13" s="240" t="n">
        <f aca="false">(R13+J13)/100</f>
        <v>2.16687761609369</v>
      </c>
      <c r="T13" s="240" t="n">
        <f aca="false">MIN(4.63,4.48*S13^(-0.25))</f>
        <v>3.69249076806532</v>
      </c>
      <c r="U13" s="240"/>
      <c r="V13" s="240"/>
      <c r="W13" s="240" t="n">
        <f aca="false">(U12*P13)+(V13*Q13)</f>
        <v>0</v>
      </c>
      <c r="X13" s="238" t="n">
        <v>2.99937808041055</v>
      </c>
      <c r="Y13" s="240" t="n">
        <f aca="false">X13/T13</f>
        <v>0.812291287591243</v>
      </c>
    </row>
    <row r="14" s="245" customFormat="true" ht="13.8" hidden="false" customHeight="false" outlineLevel="0" collapsed="false">
      <c r="A14" s="237" t="s">
        <v>8013</v>
      </c>
      <c r="B14" s="238"/>
      <c r="C14" s="238"/>
      <c r="D14" s="254"/>
      <c r="E14" s="239" t="s">
        <v>8015</v>
      </c>
      <c r="F14" s="239" t="s">
        <v>664</v>
      </c>
      <c r="G14" s="243"/>
      <c r="H14" s="244"/>
      <c r="I14" s="240" t="n">
        <v>1055.90387766248</v>
      </c>
      <c r="J14" s="240" t="n">
        <f aca="false">I14*L14</f>
        <v>156.232191181565</v>
      </c>
      <c r="K14" s="240" t="n">
        <v>7</v>
      </c>
      <c r="L14" s="240" t="n">
        <f aca="false">R14/O14</f>
        <v>0.147960618846695</v>
      </c>
      <c r="M14" s="240" t="n">
        <v>337.6</v>
      </c>
      <c r="N14" s="240" t="n">
        <v>17.9</v>
      </c>
      <c r="O14" s="240" t="n">
        <f aca="false">M14+N14</f>
        <v>355.5</v>
      </c>
      <c r="P14" s="240" t="n">
        <v>48.2</v>
      </c>
      <c r="Q14" s="240" t="n">
        <v>4.4</v>
      </c>
      <c r="R14" s="240" t="n">
        <f aca="false">P14+Q14</f>
        <v>52.6</v>
      </c>
      <c r="S14" s="240" t="n">
        <f aca="false">(R14+J14)/100</f>
        <v>2.08832191181565</v>
      </c>
      <c r="T14" s="240" t="n">
        <f aca="false">MIN(4.63,4.48*S14^(-0.25))</f>
        <v>3.72673620599277</v>
      </c>
      <c r="U14" s="240"/>
      <c r="V14" s="240"/>
      <c r="W14" s="240" t="n">
        <f aca="false">(U13*P14)+(V14*Q14)</f>
        <v>0</v>
      </c>
      <c r="X14" s="238" t="n">
        <v>4.05613019265885</v>
      </c>
      <c r="Y14" s="240" t="n">
        <f aca="false">X14/T14</f>
        <v>1.08838671922536</v>
      </c>
    </row>
    <row r="15" customFormat="false" ht="13.8" hidden="false" customHeight="false" outlineLevel="0" collapsed="false">
      <c r="A15" s="255" t="s">
        <v>8016</v>
      </c>
      <c r="B15" s="256"/>
      <c r="C15" s="256"/>
      <c r="D15" s="246"/>
      <c r="E15" s="257" t="s">
        <v>8014</v>
      </c>
      <c r="F15" s="257" t="s">
        <v>662</v>
      </c>
      <c r="G15" s="247"/>
      <c r="H15" s="248"/>
      <c r="I15" s="258" t="n">
        <v>512.333333333333</v>
      </c>
      <c r="J15" s="258" t="n">
        <f aca="false">I15*L15</f>
        <v>88.2304492512479</v>
      </c>
      <c r="K15" s="258" t="n">
        <v>6</v>
      </c>
      <c r="L15" s="258" t="n">
        <f aca="false">R15/O15</f>
        <v>0.172212978369384</v>
      </c>
      <c r="M15" s="258" t="n">
        <v>106.4</v>
      </c>
      <c r="N15" s="258" t="n">
        <v>13.8</v>
      </c>
      <c r="O15" s="258" t="n">
        <f aca="false">M15+N15</f>
        <v>120.2</v>
      </c>
      <c r="P15" s="258" t="n">
        <v>17.7</v>
      </c>
      <c r="Q15" s="258" t="n">
        <v>3</v>
      </c>
      <c r="R15" s="258" t="n">
        <f aca="false">P15+Q15</f>
        <v>20.7</v>
      </c>
      <c r="S15" s="258" t="n">
        <f aca="false">(R15+J15)/100</f>
        <v>1.08930449251248</v>
      </c>
      <c r="T15" s="258" t="n">
        <f aca="false">MIN(4.63,4.48*S15^(-0.25))</f>
        <v>4.38521297376184</v>
      </c>
      <c r="U15" s="258"/>
      <c r="V15" s="258"/>
      <c r="W15" s="258" t="n">
        <f aca="false">(U14*P15)+(V15*Q15)</f>
        <v>0</v>
      </c>
      <c r="X15" s="256" t="n">
        <v>2.88459555962298</v>
      </c>
      <c r="Y15" s="258" t="n">
        <f aca="false">X15/T15</f>
        <v>0.657800562226386</v>
      </c>
    </row>
    <row r="16" customFormat="false" ht="13.8" hidden="false" customHeight="false" outlineLevel="0" collapsed="false">
      <c r="A16" s="255" t="s">
        <v>8016</v>
      </c>
      <c r="B16" s="256"/>
      <c r="C16" s="256"/>
      <c r="D16" s="249"/>
      <c r="E16" s="257" t="s">
        <v>8015</v>
      </c>
      <c r="F16" s="257" t="s">
        <v>662</v>
      </c>
      <c r="G16" s="247"/>
      <c r="H16" s="251"/>
      <c r="I16" s="259" t="n">
        <v>1164.6131147541</v>
      </c>
      <c r="J16" s="259" t="n">
        <f aca="false">I16*L16</f>
        <v>202.264598987991</v>
      </c>
      <c r="K16" s="259" t="n">
        <v>5</v>
      </c>
      <c r="L16" s="259" t="n">
        <f aca="false">R16/O16</f>
        <v>0.17367535744323</v>
      </c>
      <c r="M16" s="259" t="n">
        <v>217.8</v>
      </c>
      <c r="N16" s="259" t="n">
        <v>20</v>
      </c>
      <c r="O16" s="259" t="n">
        <f aca="false">M16+N16</f>
        <v>237.8</v>
      </c>
      <c r="P16" s="259" t="n">
        <v>37.1</v>
      </c>
      <c r="Q16" s="259" t="n">
        <v>4.2</v>
      </c>
      <c r="R16" s="259" t="n">
        <f aca="false">P16+Q16</f>
        <v>41.3</v>
      </c>
      <c r="S16" s="259" t="n">
        <f aca="false">(R16+J16)/100</f>
        <v>2.43564598987991</v>
      </c>
      <c r="T16" s="259" t="n">
        <f aca="false">MIN(4.63,4.48*S16^(-0.25))</f>
        <v>3.58611714760449</v>
      </c>
      <c r="U16" s="259"/>
      <c r="V16" s="259"/>
      <c r="W16" s="259" t="n">
        <f aca="false">(U15*P16)+(V16*Q16)</f>
        <v>0</v>
      </c>
      <c r="X16" s="256" t="n">
        <v>2.2394604139828</v>
      </c>
      <c r="Y16" s="259" t="n">
        <f aca="false">X16/T16</f>
        <v>0.62448055147299</v>
      </c>
    </row>
    <row r="17" customFormat="false" ht="13.8" hidden="false" customHeight="false" outlineLevel="0" collapsed="false">
      <c r="A17" s="255" t="s">
        <v>8016</v>
      </c>
      <c r="B17" s="256"/>
      <c r="C17" s="256"/>
      <c r="D17" s="249"/>
      <c r="E17" s="257" t="s">
        <v>8014</v>
      </c>
      <c r="F17" s="257" t="s">
        <v>662</v>
      </c>
      <c r="G17" s="247"/>
      <c r="H17" s="251"/>
      <c r="I17" s="259" t="n">
        <v>1018.13759398496</v>
      </c>
      <c r="J17" s="259" t="n">
        <f aca="false">I17*L17</f>
        <v>183.693109594374</v>
      </c>
      <c r="K17" s="259" t="n">
        <v>7</v>
      </c>
      <c r="L17" s="259" t="n">
        <f aca="false">R17/O17</f>
        <v>0.18042071197411</v>
      </c>
      <c r="M17" s="259" t="n">
        <v>223.6</v>
      </c>
      <c r="N17" s="259" t="n">
        <v>23.6</v>
      </c>
      <c r="O17" s="259" t="n">
        <f aca="false">M17+N17</f>
        <v>247.2</v>
      </c>
      <c r="P17" s="259" t="n">
        <v>39.6</v>
      </c>
      <c r="Q17" s="259" t="n">
        <v>5</v>
      </c>
      <c r="R17" s="259" t="n">
        <f aca="false">P17+Q17</f>
        <v>44.6</v>
      </c>
      <c r="S17" s="259" t="n">
        <f aca="false">(R17+J17)/100</f>
        <v>2.28293109594374</v>
      </c>
      <c r="T17" s="259" t="n">
        <f aca="false">MIN(4.63,4.48*S17^(-0.25))</f>
        <v>3.64464147551165</v>
      </c>
      <c r="U17" s="259"/>
      <c r="V17" s="259"/>
      <c r="W17" s="259" t="n">
        <f aca="false">(U16*P17)+(V17*Q17)</f>
        <v>0</v>
      </c>
      <c r="X17" s="256" t="n">
        <v>2.78612071479886</v>
      </c>
      <c r="Y17" s="259" t="n">
        <f aca="false">X17/T17</f>
        <v>0.764443014084873</v>
      </c>
    </row>
    <row r="18" customFormat="false" ht="13.8" hidden="false" customHeight="false" outlineLevel="0" collapsed="false">
      <c r="A18" s="255" t="s">
        <v>8016</v>
      </c>
      <c r="B18" s="256"/>
      <c r="C18" s="256"/>
      <c r="D18" s="249"/>
      <c r="E18" s="257" t="s">
        <v>8015</v>
      </c>
      <c r="F18" s="257" t="s">
        <v>662</v>
      </c>
      <c r="G18" s="247"/>
      <c r="H18" s="251"/>
      <c r="I18" s="259" t="n">
        <v>941.094339622642</v>
      </c>
      <c r="J18" s="259" t="n">
        <f aca="false">I18*L18</f>
        <v>170.155281844644</v>
      </c>
      <c r="K18" s="259" t="n">
        <v>8</v>
      </c>
      <c r="L18" s="259" t="n">
        <f aca="false">R18/O18</f>
        <v>0.180805764821487</v>
      </c>
      <c r="M18" s="259" t="n">
        <v>278</v>
      </c>
      <c r="N18" s="259" t="n">
        <v>27.3</v>
      </c>
      <c r="O18" s="259" t="n">
        <f aca="false">M18+N18</f>
        <v>305.3</v>
      </c>
      <c r="P18" s="259" t="n">
        <v>49.5</v>
      </c>
      <c r="Q18" s="259" t="n">
        <v>5.7</v>
      </c>
      <c r="R18" s="259" t="n">
        <f aca="false">P18+Q18</f>
        <v>55.2</v>
      </c>
      <c r="S18" s="259" t="n">
        <f aca="false">(R18+J18)/100</f>
        <v>2.25355281844644</v>
      </c>
      <c r="T18" s="259" t="n">
        <f aca="false">MIN(4.63,4.48*S18^(-0.25))</f>
        <v>3.65646212023916</v>
      </c>
      <c r="U18" s="259"/>
      <c r="V18" s="259"/>
      <c r="W18" s="259" t="n">
        <f aca="false">(U17*P18)+(V18*Q18)</f>
        <v>0</v>
      </c>
      <c r="X18" s="256" t="n">
        <v>3.24563698574994</v>
      </c>
      <c r="Y18" s="259" t="n">
        <f aca="false">X18/T18</f>
        <v>0.887644088471413</v>
      </c>
    </row>
    <row r="19" customFormat="false" ht="13.8" hidden="false" customHeight="false" outlineLevel="0" collapsed="false">
      <c r="A19" s="255" t="s">
        <v>8016</v>
      </c>
      <c r="B19" s="256"/>
      <c r="C19" s="256"/>
      <c r="D19" s="249"/>
      <c r="E19" s="257" t="s">
        <v>8014</v>
      </c>
      <c r="F19" s="257" t="s">
        <v>662</v>
      </c>
      <c r="G19" s="247"/>
      <c r="H19" s="251"/>
      <c r="I19" s="259" t="n">
        <v>1099.8865248227</v>
      </c>
      <c r="J19" s="259" t="n">
        <f aca="false">I19*L19</f>
        <v>195.472687628804</v>
      </c>
      <c r="K19" s="259" t="n">
        <v>7</v>
      </c>
      <c r="L19" s="259" t="n">
        <f aca="false">R19/O19</f>
        <v>0.177720776841334</v>
      </c>
      <c r="M19" s="259" t="n">
        <v>246.5</v>
      </c>
      <c r="N19" s="259" t="n">
        <v>26.4</v>
      </c>
      <c r="O19" s="259" t="n">
        <f aca="false">M19+N19</f>
        <v>272.9</v>
      </c>
      <c r="P19" s="259" t="n">
        <v>42.6</v>
      </c>
      <c r="Q19" s="259" t="n">
        <v>5.9</v>
      </c>
      <c r="R19" s="259" t="n">
        <f aca="false">P19+Q19</f>
        <v>48.5</v>
      </c>
      <c r="S19" s="259" t="n">
        <f aca="false">(R19+J19)/100</f>
        <v>2.43972687628804</v>
      </c>
      <c r="T19" s="259" t="n">
        <f aca="false">MIN(4.63,4.48*S19^(-0.25))</f>
        <v>3.58461659794967</v>
      </c>
      <c r="U19" s="259"/>
      <c r="V19" s="259"/>
      <c r="W19" s="259" t="n">
        <f aca="false">(U18*P19)+(V19*Q19)</f>
        <v>0</v>
      </c>
      <c r="X19" s="256" t="n">
        <v>2.55048341571584</v>
      </c>
      <c r="Y19" s="259" t="n">
        <f aca="false">X19/T19</f>
        <v>0.711508008185497</v>
      </c>
    </row>
    <row r="20" customFormat="false" ht="13.8" hidden="false" customHeight="false" outlineLevel="0" collapsed="false">
      <c r="A20" s="255" t="s">
        <v>8016</v>
      </c>
      <c r="B20" s="256"/>
      <c r="C20" s="256"/>
      <c r="D20" s="249"/>
      <c r="E20" s="257" t="s">
        <v>8015</v>
      </c>
      <c r="F20" s="257" t="s">
        <v>662</v>
      </c>
      <c r="G20" s="247"/>
      <c r="H20" s="251"/>
      <c r="I20" s="259" t="n">
        <v>1103.82711864407</v>
      </c>
      <c r="J20" s="259" t="n">
        <f aca="false">I20*L20</f>
        <v>167.125230112021</v>
      </c>
      <c r="K20" s="259" t="n">
        <v>6</v>
      </c>
      <c r="L20" s="259" t="n">
        <f aca="false">R20/O20</f>
        <v>0.151405258386219</v>
      </c>
      <c r="M20" s="259" t="n">
        <v>205</v>
      </c>
      <c r="N20" s="259" t="n">
        <v>15.6</v>
      </c>
      <c r="O20" s="259" t="n">
        <f aca="false">M20+N20</f>
        <v>220.6</v>
      </c>
      <c r="P20" s="259" t="n">
        <v>30.2</v>
      </c>
      <c r="Q20" s="259" t="n">
        <v>3.2</v>
      </c>
      <c r="R20" s="259" t="n">
        <f aca="false">P20+Q20</f>
        <v>33.4</v>
      </c>
      <c r="S20" s="259" t="n">
        <f aca="false">(R20+J20)/100</f>
        <v>2.00525230112021</v>
      </c>
      <c r="T20" s="259" t="n">
        <f aca="false">MIN(4.63,4.48*S20^(-0.25))</f>
        <v>3.7647466728626</v>
      </c>
      <c r="U20" s="259"/>
      <c r="V20" s="259"/>
      <c r="W20" s="259" t="n">
        <f aca="false">(U19*P20)+(V20*Q20)</f>
        <v>0</v>
      </c>
      <c r="X20" s="256" t="n">
        <v>2.58006723012975</v>
      </c>
      <c r="Y20" s="259" t="n">
        <f aca="false">X20/T20</f>
        <v>0.685322932543545</v>
      </c>
    </row>
    <row r="21" customFormat="false" ht="13.8" hidden="false" customHeight="false" outlineLevel="0" collapsed="false">
      <c r="A21" s="255" t="s">
        <v>8016</v>
      </c>
      <c r="B21" s="256"/>
      <c r="C21" s="256"/>
      <c r="D21" s="249"/>
      <c r="E21" s="257" t="s">
        <v>8014</v>
      </c>
      <c r="F21" s="257" t="s">
        <v>664</v>
      </c>
      <c r="G21" s="247"/>
      <c r="H21" s="251"/>
      <c r="I21" s="259" t="n">
        <v>863.160839160839</v>
      </c>
      <c r="J21" s="259" t="n">
        <f aca="false">I21*L21</f>
        <v>158.456168648869</v>
      </c>
      <c r="K21" s="259" t="n">
        <v>7</v>
      </c>
      <c r="L21" s="259" t="n">
        <f aca="false">R21/O21</f>
        <v>0.183576642335766</v>
      </c>
      <c r="M21" s="259" t="n">
        <v>238</v>
      </c>
      <c r="N21" s="259" t="n">
        <v>36</v>
      </c>
      <c r="O21" s="259" t="n">
        <f aca="false">M21+N21</f>
        <v>274</v>
      </c>
      <c r="P21" s="259" t="n">
        <v>42.4</v>
      </c>
      <c r="Q21" s="259" t="n">
        <v>7.9</v>
      </c>
      <c r="R21" s="259" t="n">
        <f aca="false">P21+Q21</f>
        <v>50.3</v>
      </c>
      <c r="S21" s="259" t="n">
        <f aca="false">(R21+J21)/100</f>
        <v>2.08756168648869</v>
      </c>
      <c r="T21" s="259" t="n">
        <f aca="false">MIN(4.63,4.48*S21^(-0.25))</f>
        <v>3.72707545015084</v>
      </c>
      <c r="U21" s="259"/>
      <c r="V21" s="259"/>
      <c r="W21" s="259" t="n">
        <f aca="false">(U20*P21)+(V21*Q21)</f>
        <v>0</v>
      </c>
      <c r="X21" s="256" t="n">
        <v>2.73831649860712</v>
      </c>
      <c r="Y21" s="259" t="n">
        <f aca="false">X21/T21</f>
        <v>0.734709166806991</v>
      </c>
    </row>
    <row r="22" s="260" customFormat="true" ht="13.8" hidden="false" customHeight="false" outlineLevel="0" collapsed="false">
      <c r="A22" s="255" t="s">
        <v>8016</v>
      </c>
      <c r="B22" s="256"/>
      <c r="C22" s="256"/>
      <c r="D22" s="254"/>
      <c r="E22" s="257" t="s">
        <v>8015</v>
      </c>
      <c r="F22" s="257" t="s">
        <v>664</v>
      </c>
      <c r="G22" s="242"/>
      <c r="H22" s="244"/>
      <c r="I22" s="259" t="n">
        <v>1438.5614973262</v>
      </c>
      <c r="J22" s="259" t="n">
        <f aca="false">I22*L22</f>
        <v>237.207519624632</v>
      </c>
      <c r="K22" s="259" t="n">
        <v>7</v>
      </c>
      <c r="L22" s="259" t="n">
        <f aca="false">R22/O22</f>
        <v>0.164892164892165</v>
      </c>
      <c r="M22" s="259" t="n">
        <v>327.7</v>
      </c>
      <c r="N22" s="259" t="n">
        <v>38.6</v>
      </c>
      <c r="O22" s="259" t="n">
        <f aca="false">M22+N22</f>
        <v>366.3</v>
      </c>
      <c r="P22" s="259" t="n">
        <v>52.5</v>
      </c>
      <c r="Q22" s="259" t="n">
        <v>7.9</v>
      </c>
      <c r="R22" s="259" t="n">
        <f aca="false">P22+Q22</f>
        <v>60.4</v>
      </c>
      <c r="S22" s="259" t="n">
        <f aca="false">(R22+J22)/100</f>
        <v>2.97607519624632</v>
      </c>
      <c r="T22" s="259" t="n">
        <f aca="false">MIN(4.63,4.48*S22^(-0.25))</f>
        <v>3.41088469970601</v>
      </c>
      <c r="U22" s="259"/>
      <c r="V22" s="259"/>
      <c r="W22" s="259" t="n">
        <f aca="false">(U21*P22)+(V22*Q22)</f>
        <v>0</v>
      </c>
      <c r="X22" s="256" t="n">
        <v>2.79264500534206</v>
      </c>
      <c r="Y22" s="259" t="n">
        <f aca="false">X22/T22</f>
        <v>0.818745062119152</v>
      </c>
    </row>
    <row r="23" s="264" customFormat="true" ht="13.8" hidden="false" customHeight="false" outlineLevel="0" collapsed="false">
      <c r="A23" s="255" t="s">
        <v>8016</v>
      </c>
      <c r="B23" s="256"/>
      <c r="C23" s="256"/>
      <c r="D23" s="261"/>
      <c r="E23" s="257" t="s">
        <v>8014</v>
      </c>
      <c r="F23" s="257" t="s">
        <v>664</v>
      </c>
      <c r="G23" s="262"/>
      <c r="H23" s="263"/>
      <c r="I23" s="259" t="n">
        <v>1163.68421052632</v>
      </c>
      <c r="J23" s="259" t="n">
        <f aca="false">I23*L23</f>
        <v>199.860040986862</v>
      </c>
      <c r="K23" s="259" t="n">
        <v>7</v>
      </c>
      <c r="L23" s="259" t="n">
        <f aca="false">R23/O23</f>
        <v>0.171747660730456</v>
      </c>
      <c r="M23" s="259" t="n">
        <v>293.7</v>
      </c>
      <c r="N23" s="259" t="n">
        <v>37.6</v>
      </c>
      <c r="O23" s="259" t="n">
        <f aca="false">M23+N23</f>
        <v>331.3</v>
      </c>
      <c r="P23" s="259" t="n">
        <v>49</v>
      </c>
      <c r="Q23" s="259" t="n">
        <v>7.9</v>
      </c>
      <c r="R23" s="259" t="n">
        <f aca="false">P23+Q23</f>
        <v>56.9</v>
      </c>
      <c r="S23" s="259" t="n">
        <f aca="false">(R23+J23)/100</f>
        <v>2.56760040986862</v>
      </c>
      <c r="T23" s="259" t="n">
        <f aca="false">MIN(4.63,4.48*S23^(-0.25))</f>
        <v>3.53912706137684</v>
      </c>
      <c r="U23" s="259"/>
      <c r="V23" s="259"/>
      <c r="W23" s="259" t="n">
        <f aca="false">(U22*P23)+(V23*Q23)</f>
        <v>0</v>
      </c>
      <c r="X23" s="256" t="n">
        <v>2.93181986344827</v>
      </c>
      <c r="Y23" s="259" t="n">
        <f aca="false">X23/T23</f>
        <v>0.828401979528732</v>
      </c>
    </row>
    <row r="24" s="264" customFormat="true" ht="13.8" hidden="false" customHeight="false" outlineLevel="0" collapsed="false">
      <c r="A24" s="255" t="s">
        <v>8016</v>
      </c>
      <c r="B24" s="256"/>
      <c r="C24" s="256"/>
      <c r="D24" s="261"/>
      <c r="E24" s="257" t="s">
        <v>8015</v>
      </c>
      <c r="F24" s="257" t="s">
        <v>664</v>
      </c>
      <c r="G24" s="262"/>
      <c r="H24" s="263"/>
      <c r="I24" s="259" t="n">
        <v>1219.4</v>
      </c>
      <c r="J24" s="259" t="n">
        <f aca="false">I24*L24</f>
        <v>211.05</v>
      </c>
      <c r="K24" s="259" t="n">
        <v>9</v>
      </c>
      <c r="L24" s="259" t="n">
        <f aca="false">R24/O24</f>
        <v>0.173076923076923</v>
      </c>
      <c r="M24" s="259" t="n">
        <v>329.8</v>
      </c>
      <c r="N24" s="259" t="n">
        <v>44.6</v>
      </c>
      <c r="O24" s="259" t="n">
        <f aca="false">M24+N24</f>
        <v>374.4</v>
      </c>
      <c r="P24" s="259" t="n">
        <v>55.5</v>
      </c>
      <c r="Q24" s="259" t="n">
        <v>9.3</v>
      </c>
      <c r="R24" s="259" t="n">
        <f aca="false">P24+Q24</f>
        <v>64.8</v>
      </c>
      <c r="S24" s="259" t="n">
        <f aca="false">(R24+J24)/100</f>
        <v>2.7585</v>
      </c>
      <c r="T24" s="259" t="n">
        <f aca="false">MIN(4.63,4.48*S24^(-0.25))</f>
        <v>3.47624011504783</v>
      </c>
      <c r="U24" s="259"/>
      <c r="V24" s="259"/>
      <c r="W24" s="259" t="n">
        <f aca="false">(U23*P24)+(V24*Q24)</f>
        <v>0</v>
      </c>
      <c r="X24" s="256" t="n">
        <v>2.90597080225785</v>
      </c>
      <c r="Y24" s="259" t="n">
        <f aca="false">X24/T24</f>
        <v>0.835952266265665</v>
      </c>
    </row>
    <row r="25" s="264" customFormat="true" ht="13.8" hidden="false" customHeight="false" outlineLevel="0" collapsed="false">
      <c r="A25" s="255" t="s">
        <v>8016</v>
      </c>
      <c r="B25" s="256"/>
      <c r="C25" s="256"/>
      <c r="D25" s="261"/>
      <c r="E25" s="257" t="s">
        <v>8014</v>
      </c>
      <c r="F25" s="257" t="s">
        <v>664</v>
      </c>
      <c r="G25" s="262"/>
      <c r="H25" s="263"/>
      <c r="I25" s="259" t="n">
        <v>1034.36666666667</v>
      </c>
      <c r="J25" s="259" t="n">
        <f aca="false">I25*L25</f>
        <v>187.516764132554</v>
      </c>
      <c r="K25" s="259" t="n">
        <v>6</v>
      </c>
      <c r="L25" s="259" t="n">
        <f aca="false">R25/O25</f>
        <v>0.181286549707602</v>
      </c>
      <c r="M25" s="259" t="n">
        <v>211.5</v>
      </c>
      <c r="N25" s="259" t="n">
        <v>27.9</v>
      </c>
      <c r="O25" s="259" t="n">
        <f aca="false">M25+N25</f>
        <v>239.4</v>
      </c>
      <c r="P25" s="259" t="n">
        <v>37.2</v>
      </c>
      <c r="Q25" s="259" t="n">
        <v>6.2</v>
      </c>
      <c r="R25" s="259" t="n">
        <f aca="false">P25+Q25</f>
        <v>43.4</v>
      </c>
      <c r="S25" s="259" t="n">
        <f aca="false">(R25+J25)/100</f>
        <v>2.30916764132554</v>
      </c>
      <c r="T25" s="259" t="n">
        <f aca="false">MIN(4.63,4.48*S25^(-0.25))</f>
        <v>3.63424455339093</v>
      </c>
      <c r="U25" s="259"/>
      <c r="V25" s="259"/>
      <c r="W25" s="259" t="n">
        <f aca="false">(U24*P25)+(V25*Q25)</f>
        <v>0</v>
      </c>
      <c r="X25" s="256" t="n">
        <v>2.56421272110009</v>
      </c>
      <c r="Y25" s="259" t="n">
        <f aca="false">X25/T25</f>
        <v>0.705569667486343</v>
      </c>
    </row>
    <row r="26" s="264" customFormat="true" ht="13.8" hidden="false" customHeight="false" outlineLevel="0" collapsed="false">
      <c r="A26" s="255" t="s">
        <v>8016</v>
      </c>
      <c r="B26" s="256"/>
      <c r="C26" s="256"/>
      <c r="D26" s="261"/>
      <c r="E26" s="257" t="s">
        <v>8015</v>
      </c>
      <c r="F26" s="257" t="s">
        <v>664</v>
      </c>
      <c r="G26" s="262"/>
      <c r="H26" s="263"/>
      <c r="I26" s="259" t="n">
        <v>1023.75</v>
      </c>
      <c r="J26" s="259" t="n">
        <f aca="false">I26*L26</f>
        <v>188.306347150259</v>
      </c>
      <c r="K26" s="259" t="n">
        <v>7</v>
      </c>
      <c r="L26" s="259" t="n">
        <f aca="false">R26/O26</f>
        <v>0.183937823834197</v>
      </c>
      <c r="M26" s="259" t="n">
        <v>168.8</v>
      </c>
      <c r="N26" s="259" t="n">
        <v>24.2</v>
      </c>
      <c r="O26" s="259" t="n">
        <f aca="false">M26+N26</f>
        <v>193</v>
      </c>
      <c r="P26" s="259" t="n">
        <v>30.2</v>
      </c>
      <c r="Q26" s="259" t="n">
        <v>5.3</v>
      </c>
      <c r="R26" s="259" t="n">
        <f aca="false">P26+Q26</f>
        <v>35.5</v>
      </c>
      <c r="S26" s="259" t="n">
        <f aca="false">(R26+J26)/100</f>
        <v>2.23806347150259</v>
      </c>
      <c r="T26" s="259" t="n">
        <f aca="false">MIN(4.63,4.48*S26^(-0.25))</f>
        <v>3.66277224194153</v>
      </c>
      <c r="U26" s="259"/>
      <c r="V26" s="259"/>
      <c r="W26" s="259" t="n">
        <f aca="false">(U25*P26)+(V26*Q26)</f>
        <v>0</v>
      </c>
      <c r="X26" s="256" t="n">
        <v>2.02694087396161</v>
      </c>
      <c r="Y26" s="259" t="n">
        <f aca="false">X26/T26</f>
        <v>0.553389820625917</v>
      </c>
    </row>
    <row r="27" s="264" customFormat="true" ht="13.8" hidden="false" customHeight="false" outlineLevel="0" collapsed="false">
      <c r="A27" s="265" t="s">
        <v>8017</v>
      </c>
      <c r="B27" s="238"/>
      <c r="C27" s="238"/>
      <c r="D27" s="261"/>
      <c r="E27" s="266" t="s">
        <v>8014</v>
      </c>
      <c r="F27" s="266" t="s">
        <v>662</v>
      </c>
      <c r="G27" s="262"/>
      <c r="H27" s="263"/>
      <c r="I27" s="267" t="n">
        <v>4598</v>
      </c>
      <c r="J27" s="267" t="n">
        <f aca="false">I27*L27</f>
        <v>604.047431607951</v>
      </c>
      <c r="K27" s="267" t="n">
        <v>6</v>
      </c>
      <c r="L27" s="267" t="n">
        <f aca="false">R27/O27</f>
        <v>0.131371777209211</v>
      </c>
      <c r="M27" s="267" t="n">
        <v>370.2</v>
      </c>
      <c r="N27" s="267" t="n">
        <v>646</v>
      </c>
      <c r="O27" s="267" t="n">
        <f aca="false">M27+N27</f>
        <v>1016.2</v>
      </c>
      <c r="P27" s="267" t="n">
        <v>49.3</v>
      </c>
      <c r="Q27" s="267" t="n">
        <v>84.2</v>
      </c>
      <c r="R27" s="267" t="n">
        <f aca="false">P27+Q27</f>
        <v>133.5</v>
      </c>
      <c r="S27" s="267" t="n">
        <f aca="false">(R27+J27)/100</f>
        <v>7.37547431607951</v>
      </c>
      <c r="T27" s="267" t="n">
        <f aca="false">MIN(4.63,4.48*S27^(-0.25))</f>
        <v>2.71850743584827</v>
      </c>
      <c r="U27" s="267"/>
      <c r="V27" s="267"/>
      <c r="W27" s="267" t="n">
        <f aca="false">(U26*P27)+(V27*Q27)</f>
        <v>0</v>
      </c>
      <c r="X27" s="238" t="n">
        <v>2.09417035813775</v>
      </c>
      <c r="Y27" s="267" t="n">
        <f aca="false">X27/T27</f>
        <v>0.770338285826427</v>
      </c>
    </row>
    <row r="28" s="264" customFormat="true" ht="13.8" hidden="false" customHeight="false" outlineLevel="0" collapsed="false">
      <c r="A28" s="265" t="s">
        <v>8017</v>
      </c>
      <c r="B28" s="238"/>
      <c r="C28" s="238"/>
      <c r="D28" s="261"/>
      <c r="E28" s="266" t="s">
        <v>8018</v>
      </c>
      <c r="F28" s="266" t="s">
        <v>662</v>
      </c>
      <c r="G28" s="262"/>
      <c r="H28" s="263"/>
      <c r="I28" s="267" t="n">
        <v>5684</v>
      </c>
      <c r="J28" s="267" t="n">
        <f aca="false">I28*L28</f>
        <v>650.900355871886</v>
      </c>
      <c r="K28" s="267" t="n">
        <v>7</v>
      </c>
      <c r="L28" s="267" t="n">
        <f aca="false">R28/O28</f>
        <v>0.114514489069649</v>
      </c>
      <c r="M28" s="267" t="n">
        <v>608.9</v>
      </c>
      <c r="N28" s="267" t="n">
        <v>964.7</v>
      </c>
      <c r="O28" s="267" t="n">
        <f aca="false">M28+N28</f>
        <v>1573.6</v>
      </c>
      <c r="P28" s="267" t="n">
        <v>67.5</v>
      </c>
      <c r="Q28" s="267" t="n">
        <v>112.7</v>
      </c>
      <c r="R28" s="267" t="n">
        <f aca="false">P28+Q28</f>
        <v>180.2</v>
      </c>
      <c r="S28" s="267" t="n">
        <f aca="false">(R28+J28)/100</f>
        <v>8.31100355871886</v>
      </c>
      <c r="T28" s="267" t="n">
        <f aca="false">MIN(4.63,4.48*S28^(-0.25))</f>
        <v>2.63854585982972</v>
      </c>
      <c r="U28" s="267"/>
      <c r="V28" s="267"/>
      <c r="W28" s="267" t="n">
        <f aca="false">(U27*P28)+(V28*Q28)</f>
        <v>0</v>
      </c>
      <c r="X28" s="238" t="n">
        <v>2.972747891433</v>
      </c>
      <c r="Y28" s="267" t="n">
        <f aca="false">X28/T28</f>
        <v>1.12666144511312</v>
      </c>
    </row>
    <row r="29" s="264" customFormat="true" ht="13.8" hidden="false" customHeight="false" outlineLevel="0" collapsed="false">
      <c r="A29" s="265" t="s">
        <v>8017</v>
      </c>
      <c r="B29" s="238"/>
      <c r="C29" s="238"/>
      <c r="D29" s="261"/>
      <c r="E29" s="266" t="s">
        <v>8015</v>
      </c>
      <c r="F29" s="266" t="s">
        <v>662</v>
      </c>
      <c r="G29" s="262"/>
      <c r="H29" s="263"/>
      <c r="I29" s="267" t="n">
        <v>4030</v>
      </c>
      <c r="J29" s="267" t="n">
        <f aca="false">I29*L29</f>
        <v>529.933900851277</v>
      </c>
      <c r="K29" s="267" t="n">
        <v>8</v>
      </c>
      <c r="L29" s="267" t="n">
        <f aca="false">R29/O29</f>
        <v>0.131497245868803</v>
      </c>
      <c r="M29" s="267" t="n">
        <v>380.8</v>
      </c>
      <c r="N29" s="267" t="n">
        <v>617.7</v>
      </c>
      <c r="O29" s="267" t="n">
        <f aca="false">M29+N29</f>
        <v>998.5</v>
      </c>
      <c r="P29" s="267" t="n">
        <v>48.5</v>
      </c>
      <c r="Q29" s="267" t="n">
        <v>82.8</v>
      </c>
      <c r="R29" s="267" t="n">
        <f aca="false">P29+Q29</f>
        <v>131.3</v>
      </c>
      <c r="S29" s="267" t="n">
        <f aca="false">(R29+J29)/100</f>
        <v>6.61233900851277</v>
      </c>
      <c r="T29" s="267" t="n">
        <f aca="false">MIN(4.63,4.48*S29^(-0.25))</f>
        <v>2.79376090810592</v>
      </c>
      <c r="U29" s="267"/>
      <c r="V29" s="267"/>
      <c r="W29" s="267" t="n">
        <f aca="false">(U28*P29)+(V29*Q29)</f>
        <v>0</v>
      </c>
      <c r="X29" s="238" t="n">
        <v>2.47904927682708</v>
      </c>
      <c r="Y29" s="267" t="n">
        <f aca="false">X29/T29</f>
        <v>0.887351981207224</v>
      </c>
    </row>
    <row r="30" s="264" customFormat="true" ht="13.8" hidden="false" customHeight="false" outlineLevel="0" collapsed="false">
      <c r="A30" s="265" t="s">
        <v>8017</v>
      </c>
      <c r="B30" s="238"/>
      <c r="C30" s="238"/>
      <c r="D30" s="261"/>
      <c r="E30" s="266" t="s">
        <v>8019</v>
      </c>
      <c r="F30" s="266" t="s">
        <v>662</v>
      </c>
      <c r="G30" s="262"/>
      <c r="H30" s="263"/>
      <c r="I30" s="267" t="n">
        <v>5156</v>
      </c>
      <c r="J30" s="267" t="n">
        <f aca="false">I30*L30</f>
        <v>624.829443447038</v>
      </c>
      <c r="K30" s="267" t="n">
        <v>7</v>
      </c>
      <c r="L30" s="267" t="n">
        <f aca="false">R30/O30</f>
        <v>0.121184919210054</v>
      </c>
      <c r="M30" s="267" t="n">
        <v>471.1</v>
      </c>
      <c r="N30" s="267" t="n">
        <v>754.3</v>
      </c>
      <c r="O30" s="267" t="n">
        <f aca="false">M30+N30</f>
        <v>1225.4</v>
      </c>
      <c r="P30" s="267" t="n">
        <v>50.7</v>
      </c>
      <c r="Q30" s="267" t="n">
        <v>97.8</v>
      </c>
      <c r="R30" s="267" t="n">
        <f aca="false">P30+Q30</f>
        <v>148.5</v>
      </c>
      <c r="S30" s="267" t="n">
        <f aca="false">(R30+J30)/100</f>
        <v>7.73329443447038</v>
      </c>
      <c r="T30" s="267" t="n">
        <f aca="false">MIN(4.63,4.48*S30^(-0.25))</f>
        <v>2.68650020215544</v>
      </c>
      <c r="U30" s="267"/>
      <c r="V30" s="267"/>
      <c r="W30" s="267" t="n">
        <f aca="false">(U29*P30)+(V30*Q30)</f>
        <v>0</v>
      </c>
      <c r="X30" s="238" t="n">
        <v>2.57652055871278</v>
      </c>
      <c r="Y30" s="267" t="n">
        <f aca="false">X30/T30</f>
        <v>0.95906211235182</v>
      </c>
    </row>
    <row r="31" s="264" customFormat="true" ht="13.8" hidden="false" customHeight="false" outlineLevel="0" collapsed="false">
      <c r="A31" s="265" t="s">
        <v>8017</v>
      </c>
      <c r="B31" s="238"/>
      <c r="C31" s="238"/>
      <c r="D31" s="261"/>
      <c r="E31" s="266" t="s">
        <v>8014</v>
      </c>
      <c r="F31" s="266" t="s">
        <v>662</v>
      </c>
      <c r="G31" s="262"/>
      <c r="H31" s="263"/>
      <c r="I31" s="267" t="n">
        <v>5732</v>
      </c>
      <c r="J31" s="267" t="n">
        <f aca="false">I31*L31</f>
        <v>733.253702260327</v>
      </c>
      <c r="K31" s="267" t="n">
        <v>8</v>
      </c>
      <c r="L31" s="267" t="n">
        <f aca="false">R31/O31</f>
        <v>0.127922837100546</v>
      </c>
      <c r="M31" s="267" t="n">
        <v>367.9</v>
      </c>
      <c r="N31" s="267" t="n">
        <v>658.5</v>
      </c>
      <c r="O31" s="267" t="n">
        <f aca="false">M31+N31</f>
        <v>1026.4</v>
      </c>
      <c r="P31" s="267" t="n">
        <v>46</v>
      </c>
      <c r="Q31" s="267" t="n">
        <v>85.3</v>
      </c>
      <c r="R31" s="267" t="n">
        <f aca="false">P31+Q31</f>
        <v>131.3</v>
      </c>
      <c r="S31" s="267" t="n">
        <f aca="false">(R31+J31)/100</f>
        <v>8.64553702260327</v>
      </c>
      <c r="T31" s="267" t="n">
        <f aca="false">MIN(4.63,4.48*S31^(-0.25))</f>
        <v>2.61264269857704</v>
      </c>
      <c r="U31" s="267"/>
      <c r="V31" s="267"/>
      <c r="W31" s="267" t="n">
        <f aca="false">(U30*P31)+(V31*Q31)</f>
        <v>0</v>
      </c>
      <c r="X31" s="238" t="n">
        <v>1.71718554333281</v>
      </c>
      <c r="Y31" s="267" t="n">
        <f aca="false">X31/T31</f>
        <v>0.657260001250102</v>
      </c>
    </row>
    <row r="32" s="264" customFormat="true" ht="13.8" hidden="false" customHeight="false" outlineLevel="0" collapsed="false">
      <c r="A32" s="265" t="s">
        <v>8017</v>
      </c>
      <c r="B32" s="238"/>
      <c r="C32" s="238"/>
      <c r="D32" s="261"/>
      <c r="E32" s="266" t="s">
        <v>8018</v>
      </c>
      <c r="F32" s="266" t="s">
        <v>662</v>
      </c>
      <c r="G32" s="262"/>
      <c r="H32" s="263"/>
      <c r="I32" s="267" t="n">
        <v>7108</v>
      </c>
      <c r="J32" s="267" t="n">
        <f aca="false">I32*L32</f>
        <v>816.255270150576</v>
      </c>
      <c r="K32" s="267" t="n">
        <v>7</v>
      </c>
      <c r="L32" s="267" t="n">
        <f aca="false">R32/O32</f>
        <v>0.114836138175376</v>
      </c>
      <c r="M32" s="238" t="n">
        <v>981</v>
      </c>
      <c r="N32" s="238" t="n">
        <v>1277</v>
      </c>
      <c r="O32" s="238" t="n">
        <f aca="false">M32+N32</f>
        <v>2258</v>
      </c>
      <c r="P32" s="238" t="n">
        <v>101.2</v>
      </c>
      <c r="Q32" s="238" t="n">
        <v>158.1</v>
      </c>
      <c r="R32" s="238" t="n">
        <f aca="false">P32+Q32</f>
        <v>259.3</v>
      </c>
      <c r="S32" s="238" t="n">
        <f aca="false">(R32+J32)/100</f>
        <v>10.7555527015058</v>
      </c>
      <c r="T32" s="238" t="n">
        <f aca="false">MIN(4.63,4.48*S32^(-0.25))</f>
        <v>2.47382988014821</v>
      </c>
      <c r="U32" s="238"/>
      <c r="V32" s="238"/>
      <c r="W32" s="238" t="n">
        <f aca="false">(U31*P32)+(V32*Q32)</f>
        <v>0</v>
      </c>
      <c r="X32" s="238" t="n">
        <v>3.57306898726488</v>
      </c>
      <c r="Y32" s="238" t="n">
        <f aca="false">X32/T32</f>
        <v>1.44434708948168</v>
      </c>
    </row>
    <row r="33" s="264" customFormat="true" ht="13.8" hidden="false" customHeight="false" outlineLevel="0" collapsed="false">
      <c r="A33" s="265" t="s">
        <v>8017</v>
      </c>
      <c r="B33" s="238"/>
      <c r="C33" s="238"/>
      <c r="D33" s="261"/>
      <c r="E33" s="266" t="s">
        <v>8015</v>
      </c>
      <c r="F33" s="266" t="s">
        <v>662</v>
      </c>
      <c r="G33" s="262"/>
      <c r="H33" s="263"/>
      <c r="I33" s="267" t="n">
        <v>3772</v>
      </c>
      <c r="J33" s="267" t="n">
        <f aca="false">I33*L33</f>
        <v>524.211487419047</v>
      </c>
      <c r="K33" s="267" t="n">
        <v>8</v>
      </c>
      <c r="L33" s="267" t="n">
        <f aca="false">R33/O33</f>
        <v>0.138974413419684</v>
      </c>
      <c r="M33" s="267" t="n">
        <v>345.7</v>
      </c>
      <c r="N33" s="267" t="n">
        <v>596.2</v>
      </c>
      <c r="O33" s="267" t="n">
        <f aca="false">M33+N33</f>
        <v>941.9</v>
      </c>
      <c r="P33" s="267" t="n">
        <v>49</v>
      </c>
      <c r="Q33" s="267" t="n">
        <v>81.9</v>
      </c>
      <c r="R33" s="267" t="n">
        <f aca="false">P33+Q33</f>
        <v>130.9</v>
      </c>
      <c r="S33" s="267" t="n">
        <f aca="false">(R33+J33)/100</f>
        <v>6.55111487419047</v>
      </c>
      <c r="T33" s="267" t="n">
        <f aca="false">MIN(4.63,4.48*S33^(-0.25))</f>
        <v>2.80026550300086</v>
      </c>
      <c r="U33" s="267"/>
      <c r="V33" s="267"/>
      <c r="W33" s="267" t="n">
        <f aca="false">(U32*P33)+(V33*Q33)</f>
        <v>0</v>
      </c>
      <c r="X33" s="238" t="n">
        <v>2.10647011388556</v>
      </c>
      <c r="Y33" s="267" t="n">
        <f aca="false">X33/T33</f>
        <v>0.75223942573595</v>
      </c>
    </row>
    <row r="34" s="264" customFormat="true" ht="13.8" hidden="false" customHeight="false" outlineLevel="0" collapsed="false">
      <c r="A34" s="265" t="s">
        <v>8017</v>
      </c>
      <c r="B34" s="238"/>
      <c r="C34" s="238"/>
      <c r="D34" s="261"/>
      <c r="E34" s="266" t="s">
        <v>8019</v>
      </c>
      <c r="F34" s="266" t="s">
        <v>662</v>
      </c>
      <c r="G34" s="262"/>
      <c r="H34" s="263"/>
      <c r="I34" s="267" t="n">
        <v>6218</v>
      </c>
      <c r="J34" s="267" t="n">
        <f aca="false">I34*L34</f>
        <v>683.033488661075</v>
      </c>
      <c r="K34" s="267" t="n">
        <v>8</v>
      </c>
      <c r="L34" s="267" t="n">
        <f aca="false">R34/O34</f>
        <v>0.109847778813296</v>
      </c>
      <c r="M34" s="267" t="n">
        <v>678.1</v>
      </c>
      <c r="N34" s="267" t="n">
        <v>931.4</v>
      </c>
      <c r="O34" s="267" t="n">
        <f aca="false">M34+N34</f>
        <v>1609.5</v>
      </c>
      <c r="P34" s="267" t="n">
        <v>74.5</v>
      </c>
      <c r="Q34" s="267" t="n">
        <v>102.3</v>
      </c>
      <c r="R34" s="267" t="n">
        <f aca="false">P34+Q34</f>
        <v>176.8</v>
      </c>
      <c r="S34" s="267" t="n">
        <f aca="false">(R34+J34)/100</f>
        <v>8.59833488661075</v>
      </c>
      <c r="T34" s="267" t="n">
        <f aca="false">MIN(4.63,4.48*S34^(-0.25))</f>
        <v>2.61622098589484</v>
      </c>
      <c r="U34" s="267"/>
      <c r="V34" s="267"/>
      <c r="W34" s="267" t="n">
        <f aca="false">(U33*P34)+(V34*Q34)</f>
        <v>0</v>
      </c>
      <c r="X34" s="238" t="n">
        <v>3.25040051968883</v>
      </c>
      <c r="Y34" s="267" t="n">
        <f aca="false">X34/T34</f>
        <v>1.24240289226832</v>
      </c>
    </row>
    <row r="35" s="264" customFormat="true" ht="13.8" hidden="false" customHeight="false" outlineLevel="0" collapsed="false">
      <c r="A35" s="265" t="s">
        <v>8017</v>
      </c>
      <c r="B35" s="238"/>
      <c r="C35" s="238"/>
      <c r="D35" s="261"/>
      <c r="E35" s="266" t="s">
        <v>8014</v>
      </c>
      <c r="F35" s="266" t="s">
        <v>662</v>
      </c>
      <c r="G35" s="262"/>
      <c r="H35" s="263"/>
      <c r="I35" s="267" t="n">
        <v>5854</v>
      </c>
      <c r="J35" s="267" t="n">
        <f aca="false">I35*L35</f>
        <v>729.300461413191</v>
      </c>
      <c r="K35" s="267" t="n">
        <v>8</v>
      </c>
      <c r="L35" s="267" t="n">
        <f aca="false">R35/O35</f>
        <v>0.124581561566995</v>
      </c>
      <c r="M35" s="238" t="n">
        <v>386</v>
      </c>
      <c r="N35" s="238" t="n">
        <v>719.3</v>
      </c>
      <c r="O35" s="238" t="n">
        <f aca="false">M35+N35</f>
        <v>1105.3</v>
      </c>
      <c r="P35" s="238" t="n">
        <v>49.3</v>
      </c>
      <c r="Q35" s="238" t="n">
        <v>88.4</v>
      </c>
      <c r="R35" s="238" t="n">
        <f aca="false">P35+Q35</f>
        <v>137.7</v>
      </c>
      <c r="S35" s="238" t="n">
        <f aca="false">(R35+J35)/100</f>
        <v>8.67000461413191</v>
      </c>
      <c r="T35" s="238" t="n">
        <f aca="false">MIN(4.63,4.48*S35^(-0.25))</f>
        <v>2.61079746204544</v>
      </c>
      <c r="U35" s="238"/>
      <c r="V35" s="238"/>
      <c r="W35" s="238" t="n">
        <f aca="false">(U34*P35)+(V35*Q35)</f>
        <v>0</v>
      </c>
      <c r="X35" s="238" t="n">
        <v>2.03064652721353</v>
      </c>
      <c r="Y35" s="238" t="n">
        <f aca="false">X35/T35</f>
        <v>0.777787843267863</v>
      </c>
    </row>
    <row r="36" s="264" customFormat="true" ht="13.8" hidden="false" customHeight="false" outlineLevel="0" collapsed="false">
      <c r="A36" s="265" t="s">
        <v>8017</v>
      </c>
      <c r="B36" s="238"/>
      <c r="C36" s="238"/>
      <c r="D36" s="261"/>
      <c r="E36" s="266" t="s">
        <v>8018</v>
      </c>
      <c r="F36" s="266" t="s">
        <v>662</v>
      </c>
      <c r="G36" s="262"/>
      <c r="H36" s="263"/>
      <c r="I36" s="267" t="n">
        <v>5778</v>
      </c>
      <c r="J36" s="267" t="n">
        <f aca="false">I36*L36</f>
        <v>818.558096519253</v>
      </c>
      <c r="K36" s="267" t="n">
        <v>8</v>
      </c>
      <c r="L36" s="267" t="n">
        <f aca="false">R36/O36</f>
        <v>0.141668067933412</v>
      </c>
      <c r="M36" s="238" t="n">
        <v>447</v>
      </c>
      <c r="N36" s="238" t="n">
        <v>742.4</v>
      </c>
      <c r="O36" s="238" t="n">
        <f aca="false">M36+N36</f>
        <v>1189.4</v>
      </c>
      <c r="P36" s="238" t="n">
        <v>52.6</v>
      </c>
      <c r="Q36" s="238" t="n">
        <v>115.9</v>
      </c>
      <c r="R36" s="238" t="n">
        <f aca="false">P36+Q36</f>
        <v>168.5</v>
      </c>
      <c r="S36" s="238" t="n">
        <f aca="false">(R36+J36)/100</f>
        <v>9.87058096519253</v>
      </c>
      <c r="T36" s="238" t="n">
        <f aca="false">MIN(4.63,4.48*S36^(-0.25))</f>
        <v>2.52750681454277</v>
      </c>
      <c r="U36" s="238"/>
      <c r="V36" s="238"/>
      <c r="W36" s="238" t="n">
        <f aca="false">(U35*P36)+(V36*Q36)</f>
        <v>0</v>
      </c>
      <c r="X36" s="238" t="n">
        <v>2.30506035100729</v>
      </c>
      <c r="Y36" s="238" t="n">
        <f aca="false">X36/T36</f>
        <v>0.911989767048079</v>
      </c>
    </row>
    <row r="37" s="264" customFormat="true" ht="13.8" hidden="false" customHeight="false" outlineLevel="0" collapsed="false">
      <c r="A37" s="265" t="s">
        <v>8017</v>
      </c>
      <c r="B37" s="238"/>
      <c r="C37" s="238"/>
      <c r="D37" s="261"/>
      <c r="E37" s="266" t="s">
        <v>8015</v>
      </c>
      <c r="F37" s="266" t="s">
        <v>662</v>
      </c>
      <c r="G37" s="262"/>
      <c r="H37" s="263"/>
      <c r="I37" s="267" t="n">
        <v>4334</v>
      </c>
      <c r="J37" s="267" t="n">
        <f aca="false">I37*L37</f>
        <v>586.676636240047</v>
      </c>
      <c r="K37" s="267" t="n">
        <v>8</v>
      </c>
      <c r="L37" s="267" t="n">
        <f aca="false">R37/O37</f>
        <v>0.13536609050301</v>
      </c>
      <c r="M37" s="267" t="n">
        <v>369.9</v>
      </c>
      <c r="N37" s="267" t="n">
        <v>659.9</v>
      </c>
      <c r="O37" s="267" t="n">
        <f aca="false">M37+N37</f>
        <v>1029.8</v>
      </c>
      <c r="P37" s="267" t="n">
        <v>50.9</v>
      </c>
      <c r="Q37" s="267" t="n">
        <v>88.5</v>
      </c>
      <c r="R37" s="267" t="n">
        <f aca="false">P37+Q37</f>
        <v>139.4</v>
      </c>
      <c r="S37" s="267" t="n">
        <f aca="false">(R37+J37)/100</f>
        <v>7.26076636240047</v>
      </c>
      <c r="T37" s="267" t="n">
        <f aca="false">MIN(4.63,4.48*S37^(-0.25))</f>
        <v>2.7291813726227</v>
      </c>
      <c r="U37" s="267"/>
      <c r="V37" s="267"/>
      <c r="W37" s="267" t="n">
        <f aca="false">(U36*P37)+(V37*Q37)</f>
        <v>0</v>
      </c>
      <c r="X37" s="238" t="n">
        <v>2.30188650769905</v>
      </c>
      <c r="Y37" s="267" t="n">
        <f aca="false">X37/T37</f>
        <v>0.843434786265952</v>
      </c>
    </row>
    <row r="38" s="264" customFormat="true" ht="13.8" hidden="false" customHeight="false" outlineLevel="0" collapsed="false">
      <c r="A38" s="265" t="s">
        <v>8017</v>
      </c>
      <c r="B38" s="238"/>
      <c r="C38" s="238"/>
      <c r="D38" s="261"/>
      <c r="E38" s="266" t="s">
        <v>8019</v>
      </c>
      <c r="F38" s="266" t="s">
        <v>662</v>
      </c>
      <c r="G38" s="262"/>
      <c r="H38" s="263"/>
      <c r="I38" s="267" t="n">
        <v>6862</v>
      </c>
      <c r="J38" s="267" t="n">
        <f aca="false">I38*L38</f>
        <v>802.691041617682</v>
      </c>
      <c r="K38" s="267" t="n">
        <v>7</v>
      </c>
      <c r="L38" s="267" t="n">
        <f aca="false">R38/O38</f>
        <v>0.116976252057371</v>
      </c>
      <c r="M38" s="267" t="n">
        <v>686.1</v>
      </c>
      <c r="N38" s="267" t="n">
        <v>1015.1</v>
      </c>
      <c r="O38" s="267" t="n">
        <f aca="false">M38+N38</f>
        <v>1701.2</v>
      </c>
      <c r="P38" s="267" t="n">
        <v>78.8</v>
      </c>
      <c r="Q38" s="267" t="n">
        <v>120.2</v>
      </c>
      <c r="R38" s="267" t="n">
        <f aca="false">P38+Q38</f>
        <v>199</v>
      </c>
      <c r="S38" s="267" t="n">
        <f aca="false">(R38+J38)/100</f>
        <v>10.0169104161768</v>
      </c>
      <c r="T38" s="267" t="n">
        <f aca="false">MIN(4.63,4.48*S38^(-0.25))</f>
        <v>2.51822520539116</v>
      </c>
      <c r="U38" s="267"/>
      <c r="V38" s="267"/>
      <c r="W38" s="267" t="n">
        <f aca="false">(U37*P38)+(V38*Q38)</f>
        <v>0</v>
      </c>
      <c r="X38" s="238" t="n">
        <v>2.70065385693609</v>
      </c>
      <c r="Y38" s="267" t="n">
        <f aca="false">X38/T38</f>
        <v>1.07244334269801</v>
      </c>
    </row>
    <row r="39" s="264" customFormat="true" ht="13.8" hidden="false" customHeight="false" outlineLevel="0" collapsed="false">
      <c r="A39" s="265" t="s">
        <v>8017</v>
      </c>
      <c r="B39" s="238"/>
      <c r="C39" s="238"/>
      <c r="D39" s="261"/>
      <c r="E39" s="266" t="s">
        <v>8014</v>
      </c>
      <c r="F39" s="266" t="s">
        <v>664</v>
      </c>
      <c r="G39" s="262"/>
      <c r="H39" s="263"/>
      <c r="I39" s="267" t="n">
        <v>3170</v>
      </c>
      <c r="J39" s="267" t="n">
        <f aca="false">I39*L39</f>
        <v>501.592535787321</v>
      </c>
      <c r="K39" s="267" t="n">
        <v>8</v>
      </c>
      <c r="L39" s="267" t="n">
        <f aca="false">R39/O39</f>
        <v>0.158231083844581</v>
      </c>
      <c r="M39" s="267" t="n">
        <v>310.9</v>
      </c>
      <c r="N39" s="267" t="n">
        <v>471.5</v>
      </c>
      <c r="O39" s="267" t="n">
        <f aca="false">M39+N39</f>
        <v>782.4</v>
      </c>
      <c r="P39" s="267" t="n">
        <v>45.6</v>
      </c>
      <c r="Q39" s="267" t="n">
        <v>78.2</v>
      </c>
      <c r="R39" s="267" t="n">
        <f aca="false">P39+Q39</f>
        <v>123.8</v>
      </c>
      <c r="S39" s="267" t="n">
        <f aca="false">(R39+J39)/100</f>
        <v>6.25392535787321</v>
      </c>
      <c r="T39" s="267" t="n">
        <f aca="false">MIN(4.63,4.48*S39^(-0.25))</f>
        <v>2.83295607357879</v>
      </c>
      <c r="U39" s="267"/>
      <c r="V39" s="267"/>
      <c r="W39" s="267" t="n">
        <f aca="false">(U38*P39)+(V39*Q39)</f>
        <v>0</v>
      </c>
      <c r="X39" s="238" t="n">
        <v>2.03646455673521</v>
      </c>
      <c r="Y39" s="267" t="n">
        <f aca="false">X39/T39</f>
        <v>0.718847911454767</v>
      </c>
    </row>
    <row r="40" customFormat="false" ht="13.8" hidden="false" customHeight="false" outlineLevel="0" collapsed="false">
      <c r="A40" s="265" t="s">
        <v>8017</v>
      </c>
      <c r="B40" s="238"/>
      <c r="C40" s="238"/>
      <c r="E40" s="266" t="s">
        <v>8018</v>
      </c>
      <c r="F40" s="266" t="s">
        <v>664</v>
      </c>
      <c r="I40" s="267" t="n">
        <v>5890</v>
      </c>
      <c r="J40" s="267" t="n">
        <f aca="false">I40*L40</f>
        <v>726.33756097561</v>
      </c>
      <c r="K40" s="267" t="n">
        <v>6</v>
      </c>
      <c r="L40" s="267" t="n">
        <f aca="false">R40/O40</f>
        <v>0.123317073170732</v>
      </c>
      <c r="M40" s="267" t="n">
        <v>443.7</v>
      </c>
      <c r="N40" s="267" t="n">
        <v>581.3</v>
      </c>
      <c r="O40" s="267" t="n">
        <f aca="false">M40+N40</f>
        <v>1025</v>
      </c>
      <c r="P40" s="267" t="n">
        <v>55.5</v>
      </c>
      <c r="Q40" s="267" t="n">
        <v>70.9</v>
      </c>
      <c r="R40" s="267" t="n">
        <f aca="false">P40+Q40</f>
        <v>126.4</v>
      </c>
      <c r="S40" s="267" t="n">
        <f aca="false">(R40+J40)/100</f>
        <v>8.5273756097561</v>
      </c>
      <c r="T40" s="267" t="n">
        <f aca="false">MIN(4.63,4.48*S40^(-0.25))</f>
        <v>2.62164670674118</v>
      </c>
      <c r="U40" s="267"/>
      <c r="V40" s="267"/>
      <c r="W40" s="267" t="n">
        <f aca="false">(U39*P40)+(V40*Q40)</f>
        <v>0</v>
      </c>
      <c r="X40" s="238" t="n">
        <v>2.4360171154671</v>
      </c>
      <c r="Y40" s="267" t="n">
        <f aca="false">X40/T40</f>
        <v>0.92919351383359</v>
      </c>
    </row>
    <row r="41" customFormat="false" ht="13.8" hidden="false" customHeight="false" outlineLevel="0" collapsed="false">
      <c r="A41" s="265" t="s">
        <v>8017</v>
      </c>
      <c r="B41" s="238"/>
      <c r="C41" s="238"/>
      <c r="E41" s="266" t="s">
        <v>8015</v>
      </c>
      <c r="F41" s="266" t="s">
        <v>664</v>
      </c>
      <c r="I41" s="267" t="n">
        <v>3300</v>
      </c>
      <c r="J41" s="267" t="n">
        <f aca="false">I41*L41</f>
        <v>524.017309772809</v>
      </c>
      <c r="K41" s="267" t="n">
        <v>8</v>
      </c>
      <c r="L41" s="267" t="n">
        <f aca="false">R41/O41</f>
        <v>0.158793124173579</v>
      </c>
      <c r="M41" s="267" t="n">
        <v>342.2</v>
      </c>
      <c r="N41" s="267" t="n">
        <v>489.7</v>
      </c>
      <c r="O41" s="267" t="n">
        <f aca="false">M41+N41</f>
        <v>831.9</v>
      </c>
      <c r="P41" s="267" t="n">
        <v>50.6</v>
      </c>
      <c r="Q41" s="267" t="n">
        <v>81.5</v>
      </c>
      <c r="R41" s="267" t="n">
        <f aca="false">P41+Q41</f>
        <v>132.1</v>
      </c>
      <c r="S41" s="267" t="n">
        <f aca="false">(R41+J41)/100</f>
        <v>6.56117309772809</v>
      </c>
      <c r="T41" s="267" t="n">
        <f aca="false">MIN(4.63,4.48*S41^(-0.25))</f>
        <v>2.79919168959375</v>
      </c>
      <c r="U41" s="267"/>
      <c r="V41" s="267"/>
      <c r="W41" s="267" t="n">
        <f aca="false">(U40*P41)+(V41*Q41)</f>
        <v>0</v>
      </c>
      <c r="X41" s="238" t="n">
        <v>2.07254447928819</v>
      </c>
      <c r="Y41" s="267" t="n">
        <f aca="false">X41/T41</f>
        <v>0.740408199621722</v>
      </c>
    </row>
    <row r="42" customFormat="false" ht="13.8" hidden="false" customHeight="false" outlineLevel="0" collapsed="false">
      <c r="A42" s="265" t="s">
        <v>8017</v>
      </c>
      <c r="B42" s="238"/>
      <c r="C42" s="238"/>
      <c r="E42" s="266" t="s">
        <v>8019</v>
      </c>
      <c r="F42" s="266" t="s">
        <v>664</v>
      </c>
      <c r="I42" s="267" t="n">
        <v>4586</v>
      </c>
      <c r="J42" s="267" t="n">
        <f aca="false">I42*L42</f>
        <v>612.040401810354</v>
      </c>
      <c r="K42" s="267" t="n">
        <v>8</v>
      </c>
      <c r="L42" s="267" t="n">
        <f aca="false">R42/O42</f>
        <v>0.133458439121316</v>
      </c>
      <c r="M42" s="267" t="n">
        <v>409.5</v>
      </c>
      <c r="N42" s="267" t="n">
        <v>496.4</v>
      </c>
      <c r="O42" s="267" t="n">
        <f aca="false">M42+N42</f>
        <v>905.9</v>
      </c>
      <c r="P42" s="267" t="n">
        <v>52.9</v>
      </c>
      <c r="Q42" s="267" t="n">
        <v>68</v>
      </c>
      <c r="R42" s="267" t="n">
        <f aca="false">P42+Q42</f>
        <v>120.9</v>
      </c>
      <c r="S42" s="267" t="n">
        <f aca="false">(R42+J42)/100</f>
        <v>7.32940401810354</v>
      </c>
      <c r="T42" s="267" t="n">
        <f aca="false">MIN(4.63,4.48*S42^(-0.25))</f>
        <v>2.72276932099962</v>
      </c>
      <c r="U42" s="267"/>
      <c r="V42" s="267"/>
      <c r="W42" s="267" t="n">
        <f aca="false">(U41*P42)+(V42*Q42)</f>
        <v>0</v>
      </c>
      <c r="X42" s="238" t="n">
        <v>2.09844973531791</v>
      </c>
      <c r="Y42" s="267" t="n">
        <f aca="false">X42/T42</f>
        <v>0.770704194120823</v>
      </c>
    </row>
    <row r="43" customFormat="false" ht="13.8" hidden="false" customHeight="false" outlineLevel="0" collapsed="false">
      <c r="A43" s="265" t="s">
        <v>8017</v>
      </c>
      <c r="B43" s="238"/>
      <c r="C43" s="238"/>
      <c r="E43" s="266" t="s">
        <v>8014</v>
      </c>
      <c r="F43" s="266" t="s">
        <v>664</v>
      </c>
      <c r="I43" s="267" t="n">
        <v>3310</v>
      </c>
      <c r="J43" s="267" t="n">
        <f aca="false">I43*L43</f>
        <v>520.437846580407</v>
      </c>
      <c r="K43" s="267" t="n">
        <v>9</v>
      </c>
      <c r="L43" s="267" t="n">
        <f aca="false">R43/O43</f>
        <v>0.157231977818854</v>
      </c>
      <c r="M43" s="267" t="n">
        <v>359.9</v>
      </c>
      <c r="N43" s="267" t="n">
        <v>505.7</v>
      </c>
      <c r="O43" s="267" t="n">
        <f aca="false">M43+N43</f>
        <v>865.6</v>
      </c>
      <c r="P43" s="267" t="n">
        <v>52.8</v>
      </c>
      <c r="Q43" s="267" t="n">
        <v>83.3</v>
      </c>
      <c r="R43" s="267" t="n">
        <f aca="false">P43+Q43</f>
        <v>136.1</v>
      </c>
      <c r="S43" s="267" t="n">
        <f aca="false">(R43+J43)/100</f>
        <v>6.56537846580407</v>
      </c>
      <c r="T43" s="267" t="n">
        <f aca="false">MIN(4.63,4.48*S43^(-0.25))</f>
        <v>2.79874333539564</v>
      </c>
      <c r="U43" s="267"/>
      <c r="V43" s="267"/>
      <c r="W43" s="267" t="n">
        <f aca="false">(U42*P43)+(V43*Q43)</f>
        <v>0</v>
      </c>
      <c r="X43" s="238" t="n">
        <v>2.02426562120202</v>
      </c>
      <c r="Y43" s="267" t="n">
        <f aca="false">X43/T43</f>
        <v>0.723276620475045</v>
      </c>
    </row>
    <row r="44" customFormat="false" ht="13.8" hidden="false" customHeight="false" outlineLevel="0" collapsed="false">
      <c r="A44" s="265" t="s">
        <v>8017</v>
      </c>
      <c r="B44" s="238"/>
      <c r="C44" s="238"/>
      <c r="E44" s="266" t="s">
        <v>8018</v>
      </c>
      <c r="F44" s="266" t="s">
        <v>664</v>
      </c>
      <c r="I44" s="238" t="n">
        <v>5250</v>
      </c>
      <c r="J44" s="238" t="n">
        <f aca="false">I44*L44</f>
        <v>638.577435178697</v>
      </c>
      <c r="K44" s="238" t="n">
        <v>5</v>
      </c>
      <c r="L44" s="238" t="n">
        <f aca="false">R44/O44</f>
        <v>0.121633797176895</v>
      </c>
      <c r="M44" s="267" t="n">
        <v>438.9</v>
      </c>
      <c r="N44" s="267" t="n">
        <v>560</v>
      </c>
      <c r="O44" s="267" t="n">
        <f aca="false">M44+N44</f>
        <v>998.9</v>
      </c>
      <c r="P44" s="267" t="n">
        <v>54.1</v>
      </c>
      <c r="Q44" s="267" t="n">
        <v>67.4</v>
      </c>
      <c r="R44" s="267" t="n">
        <f aca="false">P44+Q44</f>
        <v>121.5</v>
      </c>
      <c r="S44" s="267" t="n">
        <f aca="false">(R44+J44)/100</f>
        <v>7.60077435178697</v>
      </c>
      <c r="T44" s="267" t="n">
        <f aca="false">MIN(4.63,4.48*S44^(-0.25))</f>
        <v>2.69813424507513</v>
      </c>
      <c r="U44" s="267"/>
      <c r="V44" s="267"/>
      <c r="W44" s="267" t="n">
        <f aca="false">(U43*P44)+(V44*Q44)</f>
        <v>0</v>
      </c>
      <c r="X44" s="238" t="n">
        <v>2.71608808689509</v>
      </c>
      <c r="Y44" s="267" t="n">
        <f aca="false">X44/T44</f>
        <v>1.00665416921072</v>
      </c>
    </row>
    <row r="45" customFormat="false" ht="13.8" hidden="false" customHeight="false" outlineLevel="0" collapsed="false">
      <c r="A45" s="265" t="s">
        <v>8017</v>
      </c>
      <c r="B45" s="238"/>
      <c r="C45" s="238"/>
      <c r="E45" s="266" t="s">
        <v>8015</v>
      </c>
      <c r="F45" s="266" t="s">
        <v>664</v>
      </c>
      <c r="I45" s="267" t="n">
        <v>3480</v>
      </c>
      <c r="J45" s="267" t="n">
        <f aca="false">I45*L45</f>
        <v>572.247284878864</v>
      </c>
      <c r="K45" s="267" t="n">
        <v>8</v>
      </c>
      <c r="L45" s="267" t="n">
        <f aca="false">R45/O45</f>
        <v>0.164438874965191</v>
      </c>
      <c r="M45" s="238" t="n">
        <v>289</v>
      </c>
      <c r="N45" s="238" t="n">
        <v>429.2</v>
      </c>
      <c r="O45" s="238" t="n">
        <f aca="false">M45+N45</f>
        <v>718.2</v>
      </c>
      <c r="P45" s="238" t="n">
        <v>43.9</v>
      </c>
      <c r="Q45" s="238" t="n">
        <v>74.2</v>
      </c>
      <c r="R45" s="238" t="n">
        <f aca="false">P45+Q45</f>
        <v>118.1</v>
      </c>
      <c r="S45" s="238" t="n">
        <f aca="false">(R45+J45)/100</f>
        <v>6.90347284878864</v>
      </c>
      <c r="T45" s="238" t="n">
        <f aca="false">MIN(4.63,4.48*S45^(-0.25))</f>
        <v>2.76382861360054</v>
      </c>
      <c r="U45" s="238"/>
      <c r="V45" s="238"/>
      <c r="W45" s="238" t="n">
        <f aca="false">(U44*P45)+(V45*Q45)</f>
        <v>0</v>
      </c>
      <c r="X45" s="238" t="n">
        <v>1.69854889091232</v>
      </c>
      <c r="Y45" s="238" t="n">
        <f aca="false">X45/T45</f>
        <v>0.614563754986081</v>
      </c>
    </row>
    <row r="46" customFormat="false" ht="13.8" hidden="false" customHeight="false" outlineLevel="0" collapsed="false">
      <c r="A46" s="265" t="s">
        <v>8017</v>
      </c>
      <c r="B46" s="238"/>
      <c r="C46" s="238"/>
      <c r="E46" s="266" t="s">
        <v>8019</v>
      </c>
      <c r="F46" s="266" t="s">
        <v>664</v>
      </c>
      <c r="I46" s="267" t="n">
        <v>4700</v>
      </c>
      <c r="J46" s="267" t="n">
        <f aca="false">I46*L46</f>
        <v>613.880896329235</v>
      </c>
      <c r="K46" s="267" t="n">
        <v>8</v>
      </c>
      <c r="L46" s="267" t="n">
        <f aca="false">R46/O46</f>
        <v>0.130612956665795</v>
      </c>
      <c r="M46" s="267" t="n">
        <v>520.4</v>
      </c>
      <c r="N46" s="267" t="n">
        <v>626.5</v>
      </c>
      <c r="O46" s="267" t="n">
        <f aca="false">M46+N46</f>
        <v>1146.9</v>
      </c>
      <c r="P46" s="267" t="n">
        <v>65.2</v>
      </c>
      <c r="Q46" s="267" t="n">
        <v>84.6</v>
      </c>
      <c r="R46" s="267" t="n">
        <f aca="false">P46+Q46</f>
        <v>149.8</v>
      </c>
      <c r="S46" s="267" t="n">
        <f aca="false">(R46+J46)/100</f>
        <v>7.63680896329235</v>
      </c>
      <c r="T46" s="267" t="n">
        <f aca="false">MIN(4.63,4.48*S46^(-0.25))</f>
        <v>2.69494578206209</v>
      </c>
      <c r="U46" s="267"/>
      <c r="V46" s="267"/>
      <c r="W46" s="267" t="n">
        <f aca="false">(U45*P46)+(V46*Q46)</f>
        <v>0</v>
      </c>
      <c r="X46" s="238" t="n">
        <v>2.56878238839393</v>
      </c>
      <c r="Y46" s="267" t="n">
        <f aca="false">X46/T46</f>
        <v>0.953185182979221</v>
      </c>
    </row>
    <row r="47" customFormat="false" ht="13.8" hidden="false" customHeight="false" outlineLevel="0" collapsed="false">
      <c r="A47" s="265" t="s">
        <v>8017</v>
      </c>
      <c r="B47" s="238"/>
      <c r="C47" s="238"/>
      <c r="E47" s="266" t="s">
        <v>8014</v>
      </c>
      <c r="F47" s="266" t="s">
        <v>664</v>
      </c>
      <c r="I47" s="267" t="n">
        <v>2654</v>
      </c>
      <c r="J47" s="267" t="n">
        <f aca="false">I47*L47</f>
        <v>423.937937174107</v>
      </c>
      <c r="K47" s="267" t="n">
        <v>9</v>
      </c>
      <c r="L47" s="267" t="n">
        <f aca="false">R47/O47</f>
        <v>0.159735469922421</v>
      </c>
      <c r="M47" s="267" t="n">
        <v>328.2</v>
      </c>
      <c r="N47" s="267" t="n">
        <v>458.1</v>
      </c>
      <c r="O47" s="267" t="n">
        <f aca="false">M47+N47</f>
        <v>786.3</v>
      </c>
      <c r="P47" s="267" t="n">
        <v>48</v>
      </c>
      <c r="Q47" s="267" t="n">
        <v>77.6</v>
      </c>
      <c r="R47" s="267" t="n">
        <f aca="false">P47+Q47</f>
        <v>125.6</v>
      </c>
      <c r="S47" s="267" t="n">
        <f aca="false">(R47+J47)/100</f>
        <v>5.49537937174107</v>
      </c>
      <c r="T47" s="267" t="n">
        <f aca="false">MIN(4.63,4.48*S47^(-0.25))</f>
        <v>2.92602878495922</v>
      </c>
      <c r="U47" s="267"/>
      <c r="V47" s="267"/>
      <c r="W47" s="267" t="n">
        <f aca="false">(U47*P47)+(V47*Q47)</f>
        <v>0</v>
      </c>
      <c r="X47" s="238" t="n">
        <v>2.25477047171836</v>
      </c>
      <c r="Y47" s="267" t="n">
        <f aca="false">X47/T47</f>
        <v>0.770590666540479</v>
      </c>
    </row>
    <row r="48" customFormat="false" ht="13.8" hidden="false" customHeight="false" outlineLevel="0" collapsed="false">
      <c r="A48" s="265" t="s">
        <v>8017</v>
      </c>
      <c r="B48" s="238"/>
      <c r="C48" s="238"/>
      <c r="E48" s="266" t="s">
        <v>8018</v>
      </c>
      <c r="F48" s="266" t="s">
        <v>664</v>
      </c>
      <c r="I48" s="267" t="n">
        <v>4570</v>
      </c>
      <c r="J48" s="267" t="n">
        <f aca="false">I48*L48</f>
        <v>600.955342424697</v>
      </c>
      <c r="K48" s="267" t="n">
        <v>8</v>
      </c>
      <c r="L48" s="267" t="n">
        <f aca="false">R48/O48</f>
        <v>0.131500074928818</v>
      </c>
      <c r="M48" s="238" t="n">
        <v>600</v>
      </c>
      <c r="N48" s="238" t="n">
        <v>734.6</v>
      </c>
      <c r="O48" s="238" t="n">
        <f aca="false">M48+N48</f>
        <v>1334.6</v>
      </c>
      <c r="P48" s="238" t="n">
        <v>75.2</v>
      </c>
      <c r="Q48" s="238" t="n">
        <v>100.3</v>
      </c>
      <c r="R48" s="238" t="n">
        <f aca="false">P48+Q48</f>
        <v>175.5</v>
      </c>
      <c r="S48" s="238" t="n">
        <f aca="false">(R48+J48)/100</f>
        <v>7.76455342424697</v>
      </c>
      <c r="T48" s="238" t="n">
        <f aca="false">MIN(4.63,4.48*S48^(-0.25))</f>
        <v>2.68379224341817</v>
      </c>
      <c r="U48" s="238"/>
      <c r="V48" s="238"/>
      <c r="W48" s="238" t="n">
        <f aca="false">(U48*P48)+(V48*Q48)</f>
        <v>0</v>
      </c>
      <c r="X48" s="238" t="n">
        <v>3.25248399570359</v>
      </c>
      <c r="Y48" s="238" t="n">
        <f aca="false">X48/T48</f>
        <v>1.21189857511516</v>
      </c>
    </row>
    <row r="49" customFormat="false" ht="13.8" hidden="false" customHeight="false" outlineLevel="0" collapsed="false">
      <c r="A49" s="265" t="s">
        <v>8017</v>
      </c>
      <c r="B49" s="238"/>
      <c r="C49" s="238"/>
      <c r="E49" s="266" t="s">
        <v>8015</v>
      </c>
      <c r="F49" s="266" t="s">
        <v>664</v>
      </c>
      <c r="I49" s="267" t="n">
        <v>4544</v>
      </c>
      <c r="J49" s="267" t="n">
        <f aca="false">I49*L49</f>
        <v>657.512893982808</v>
      </c>
      <c r="K49" s="267" t="n">
        <v>9</v>
      </c>
      <c r="L49" s="267" t="n">
        <f aca="false">R49/O49</f>
        <v>0.144699140401146</v>
      </c>
      <c r="M49" s="267" t="n">
        <v>549.4</v>
      </c>
      <c r="N49" s="267" t="n">
        <v>776.8</v>
      </c>
      <c r="O49" s="267" t="n">
        <f aca="false">M49+N49</f>
        <v>1326.2</v>
      </c>
      <c r="P49" s="267" t="n">
        <v>74</v>
      </c>
      <c r="Q49" s="267" t="n">
        <v>117.9</v>
      </c>
      <c r="R49" s="267" t="n">
        <f aca="false">P49+Q49</f>
        <v>191.9</v>
      </c>
      <c r="S49" s="267" t="n">
        <f aca="false">(R49+J49)/100</f>
        <v>8.49412893982808</v>
      </c>
      <c r="T49" s="267" t="n">
        <f aca="false">MIN(4.63,4.48*S49^(-0.25))</f>
        <v>2.6242082813761</v>
      </c>
      <c r="U49" s="267"/>
      <c r="V49" s="267"/>
      <c r="W49" s="267" t="n">
        <f aca="false">(U49*P49)+(V49*Q49)</f>
        <v>0</v>
      </c>
      <c r="X49" s="238" t="n">
        <v>2.22816073926229</v>
      </c>
      <c r="Y49" s="267" t="n">
        <f aca="false">X49/T49</f>
        <v>0.849079227085541</v>
      </c>
    </row>
    <row r="50" customFormat="false" ht="13.8" hidden="false" customHeight="false" outlineLevel="0" collapsed="false">
      <c r="A50" s="265" t="s">
        <v>8017</v>
      </c>
      <c r="B50" s="238"/>
      <c r="C50" s="238"/>
      <c r="E50" s="266" t="s">
        <v>8019</v>
      </c>
      <c r="F50" s="266" t="s">
        <v>664</v>
      </c>
      <c r="I50" s="267" t="n">
        <v>4310</v>
      </c>
      <c r="J50" s="267" t="n">
        <f aca="false">I50*L50</f>
        <v>573.525631768953</v>
      </c>
      <c r="K50" s="267" t="n">
        <v>7</v>
      </c>
      <c r="L50" s="267" t="n">
        <f aca="false">R50/O50</f>
        <v>0.133068592057762</v>
      </c>
      <c r="M50" s="267" t="n">
        <v>627.7</v>
      </c>
      <c r="N50" s="267" t="n">
        <v>757.3</v>
      </c>
      <c r="O50" s="267" t="n">
        <f aca="false">M50+N50</f>
        <v>1385</v>
      </c>
      <c r="P50" s="267" t="n">
        <v>79</v>
      </c>
      <c r="Q50" s="267" t="n">
        <v>105.3</v>
      </c>
      <c r="R50" s="267" t="n">
        <f aca="false">P50+Q50</f>
        <v>184.3</v>
      </c>
      <c r="S50" s="267" t="n">
        <f aca="false">(R50+J50)/100</f>
        <v>7.57825631768953</v>
      </c>
      <c r="T50" s="267" t="n">
        <f aca="false">MIN(4.63,4.48*S50^(-0.25))</f>
        <v>2.70013632490172</v>
      </c>
      <c r="U50" s="267"/>
      <c r="V50" s="267"/>
      <c r="W50" s="267" t="n">
        <f aca="false">(U50*P50)+(V50*Q50)</f>
        <v>0</v>
      </c>
      <c r="X50" s="238" t="n">
        <v>3.23543343139639</v>
      </c>
      <c r="Y50" s="267" t="n">
        <f aca="false">X50/T50</f>
        <v>1.19824817790048</v>
      </c>
    </row>
    <row r="51" customFormat="false" ht="13.8" hidden="false" customHeight="false" outlineLevel="0" collapsed="false">
      <c r="A51" s="255" t="s">
        <v>8020</v>
      </c>
      <c r="B51" s="256"/>
      <c r="C51" s="256"/>
      <c r="E51" s="257" t="s">
        <v>8014</v>
      </c>
      <c r="F51" s="257" t="s">
        <v>662</v>
      </c>
      <c r="I51" s="268" t="n">
        <v>3412</v>
      </c>
      <c r="J51" s="268" t="s">
        <v>768</v>
      </c>
      <c r="K51" s="268" t="n">
        <v>6</v>
      </c>
      <c r="L51" s="268" t="s">
        <v>768</v>
      </c>
      <c r="M51" s="256" t="s">
        <v>768</v>
      </c>
      <c r="N51" s="256" t="n">
        <v>748.1</v>
      </c>
      <c r="O51" s="256" t="s">
        <v>768</v>
      </c>
      <c r="P51" s="256" t="s">
        <v>768</v>
      </c>
      <c r="Q51" s="256" t="n">
        <v>263.3</v>
      </c>
      <c r="R51" s="256" t="s">
        <v>768</v>
      </c>
      <c r="S51" s="256" t="s">
        <v>768</v>
      </c>
      <c r="T51" s="256" t="s">
        <v>768</v>
      </c>
      <c r="U51" s="256"/>
      <c r="V51" s="256"/>
      <c r="W51" s="256" t="s">
        <v>768</v>
      </c>
      <c r="X51" s="269" t="s">
        <v>768</v>
      </c>
      <c r="Y51" s="256" t="s">
        <v>768</v>
      </c>
    </row>
    <row r="52" customFormat="false" ht="13.8" hidden="false" customHeight="false" outlineLevel="0" collapsed="false">
      <c r="A52" s="255" t="s">
        <v>8020</v>
      </c>
      <c r="B52" s="256"/>
      <c r="C52" s="256"/>
      <c r="E52" s="257" t="s">
        <v>8018</v>
      </c>
      <c r="F52" s="257" t="s">
        <v>662</v>
      </c>
      <c r="I52" s="268" t="n">
        <v>3195</v>
      </c>
      <c r="J52" s="268" t="s">
        <v>768</v>
      </c>
      <c r="K52" s="268" t="n">
        <v>6</v>
      </c>
      <c r="L52" s="268" t="s">
        <v>768</v>
      </c>
      <c r="M52" s="256" t="s">
        <v>768</v>
      </c>
      <c r="N52" s="256" t="n">
        <v>715.4</v>
      </c>
      <c r="O52" s="256" t="s">
        <v>768</v>
      </c>
      <c r="P52" s="256" t="s">
        <v>768</v>
      </c>
      <c r="Q52" s="256" t="n">
        <v>211.9</v>
      </c>
      <c r="R52" s="256" t="s">
        <v>768</v>
      </c>
      <c r="S52" s="256" t="s">
        <v>768</v>
      </c>
      <c r="T52" s="256" t="s">
        <v>768</v>
      </c>
      <c r="U52" s="256"/>
      <c r="V52" s="256"/>
      <c r="W52" s="256" t="s">
        <v>768</v>
      </c>
      <c r="X52" s="269" t="s">
        <v>768</v>
      </c>
      <c r="Y52" s="256" t="s">
        <v>768</v>
      </c>
    </row>
    <row r="53" customFormat="false" ht="13.8" hidden="false" customHeight="false" outlineLevel="0" collapsed="false">
      <c r="A53" s="255" t="s">
        <v>8020</v>
      </c>
      <c r="B53" s="256"/>
      <c r="C53" s="256"/>
      <c r="E53" s="257" t="s">
        <v>8015</v>
      </c>
      <c r="F53" s="257" t="s">
        <v>662</v>
      </c>
      <c r="I53" s="268" t="n">
        <v>2390</v>
      </c>
      <c r="J53" s="268" t="s">
        <v>768</v>
      </c>
      <c r="K53" s="268" t="n">
        <v>7</v>
      </c>
      <c r="L53" s="268" t="s">
        <v>768</v>
      </c>
      <c r="M53" s="256" t="s">
        <v>768</v>
      </c>
      <c r="N53" s="256" t="n">
        <v>682.8</v>
      </c>
      <c r="O53" s="256" t="s">
        <v>768</v>
      </c>
      <c r="P53" s="256" t="s">
        <v>768</v>
      </c>
      <c r="Q53" s="256" t="n">
        <v>237.5</v>
      </c>
      <c r="R53" s="256" t="s">
        <v>768</v>
      </c>
      <c r="S53" s="256" t="s">
        <v>768</v>
      </c>
      <c r="T53" s="256" t="s">
        <v>768</v>
      </c>
      <c r="U53" s="256"/>
      <c r="V53" s="256"/>
      <c r="W53" s="256" t="s">
        <v>768</v>
      </c>
      <c r="X53" s="269" t="s">
        <v>768</v>
      </c>
      <c r="Y53" s="256" t="s">
        <v>768</v>
      </c>
    </row>
    <row r="54" customFormat="false" ht="13.8" hidden="false" customHeight="false" outlineLevel="0" collapsed="false">
      <c r="A54" s="255" t="s">
        <v>8020</v>
      </c>
      <c r="B54" s="256"/>
      <c r="C54" s="256"/>
      <c r="E54" s="257" t="s">
        <v>8019</v>
      </c>
      <c r="F54" s="257" t="s">
        <v>662</v>
      </c>
      <c r="I54" s="268" t="n">
        <v>2530</v>
      </c>
      <c r="J54" s="268" t="s">
        <v>768</v>
      </c>
      <c r="K54" s="268" t="n">
        <v>9</v>
      </c>
      <c r="L54" s="268" t="s">
        <v>768</v>
      </c>
      <c r="M54" s="256" t="s">
        <v>768</v>
      </c>
      <c r="N54" s="256" t="n">
        <v>547.3</v>
      </c>
      <c r="O54" s="256" t="s">
        <v>768</v>
      </c>
      <c r="P54" s="256" t="s">
        <v>768</v>
      </c>
      <c r="Q54" s="256" t="n">
        <v>197.9</v>
      </c>
      <c r="R54" s="256" t="s">
        <v>768</v>
      </c>
      <c r="S54" s="256" t="s">
        <v>768</v>
      </c>
      <c r="T54" s="256" t="s">
        <v>768</v>
      </c>
      <c r="U54" s="256"/>
      <c r="V54" s="256"/>
      <c r="W54" s="256" t="s">
        <v>768</v>
      </c>
      <c r="X54" s="269" t="s">
        <v>768</v>
      </c>
      <c r="Y54" s="256" t="s">
        <v>768</v>
      </c>
    </row>
    <row r="55" customFormat="false" ht="13.8" hidden="false" customHeight="false" outlineLevel="0" collapsed="false">
      <c r="A55" s="255" t="s">
        <v>8020</v>
      </c>
      <c r="B55" s="256"/>
      <c r="C55" s="256"/>
      <c r="E55" s="257" t="s">
        <v>8014</v>
      </c>
      <c r="F55" s="257" t="s">
        <v>664</v>
      </c>
      <c r="I55" s="256" t="n">
        <v>2190</v>
      </c>
      <c r="J55" s="256" t="s">
        <v>768</v>
      </c>
      <c r="K55" s="256" t="n">
        <v>7</v>
      </c>
      <c r="L55" s="256" t="s">
        <v>768</v>
      </c>
      <c r="M55" s="256" t="s">
        <v>768</v>
      </c>
      <c r="N55" s="256" t="n">
        <v>498.4</v>
      </c>
      <c r="O55" s="256" t="s">
        <v>768</v>
      </c>
      <c r="P55" s="256" t="s">
        <v>768</v>
      </c>
      <c r="Q55" s="256" t="n">
        <v>186.4</v>
      </c>
      <c r="R55" s="256" t="s">
        <v>768</v>
      </c>
      <c r="S55" s="256" t="s">
        <v>768</v>
      </c>
      <c r="T55" s="256" t="s">
        <v>768</v>
      </c>
      <c r="U55" s="256"/>
      <c r="V55" s="256"/>
      <c r="W55" s="256" t="s">
        <v>768</v>
      </c>
      <c r="X55" s="269" t="s">
        <v>768</v>
      </c>
      <c r="Y55" s="256" t="s">
        <v>768</v>
      </c>
    </row>
    <row r="56" customFormat="false" ht="13.8" hidden="false" customHeight="false" outlineLevel="0" collapsed="false">
      <c r="A56" s="255" t="s">
        <v>8020</v>
      </c>
      <c r="B56" s="256"/>
      <c r="C56" s="256"/>
      <c r="E56" s="257" t="s">
        <v>8018</v>
      </c>
      <c r="F56" s="257" t="s">
        <v>664</v>
      </c>
      <c r="I56" s="256" t="n">
        <v>2675</v>
      </c>
      <c r="J56" s="256" t="s">
        <v>768</v>
      </c>
      <c r="K56" s="256" t="n">
        <v>7</v>
      </c>
      <c r="L56" s="256" t="s">
        <v>768</v>
      </c>
      <c r="M56" s="256" t="s">
        <v>768</v>
      </c>
      <c r="N56" s="256" t="n">
        <v>744.2</v>
      </c>
      <c r="O56" s="256" t="s">
        <v>768</v>
      </c>
      <c r="P56" s="256" t="s">
        <v>768</v>
      </c>
      <c r="Q56" s="256" t="n">
        <v>237.3</v>
      </c>
      <c r="R56" s="256" t="s">
        <v>768</v>
      </c>
      <c r="S56" s="256" t="s">
        <v>768</v>
      </c>
      <c r="T56" s="256" t="s">
        <v>768</v>
      </c>
      <c r="U56" s="256"/>
      <c r="V56" s="256"/>
      <c r="W56" s="256" t="s">
        <v>768</v>
      </c>
      <c r="X56" s="269" t="s">
        <v>768</v>
      </c>
      <c r="Y56" s="256" t="s">
        <v>768</v>
      </c>
    </row>
    <row r="57" customFormat="false" ht="13.8" hidden="false" customHeight="false" outlineLevel="0" collapsed="false">
      <c r="A57" s="255" t="s">
        <v>8020</v>
      </c>
      <c r="B57" s="256"/>
      <c r="C57" s="256"/>
      <c r="E57" s="257" t="s">
        <v>8015</v>
      </c>
      <c r="F57" s="257" t="s">
        <v>664</v>
      </c>
      <c r="I57" s="256" t="n">
        <v>2150</v>
      </c>
      <c r="J57" s="256" t="s">
        <v>768</v>
      </c>
      <c r="K57" s="256" t="n">
        <v>9</v>
      </c>
      <c r="L57" s="256" t="s">
        <v>768</v>
      </c>
      <c r="M57" s="256" t="s">
        <v>768</v>
      </c>
      <c r="N57" s="256" t="n">
        <v>547.3</v>
      </c>
      <c r="O57" s="256" t="s">
        <v>768</v>
      </c>
      <c r="P57" s="256" t="s">
        <v>768</v>
      </c>
      <c r="Q57" s="256" t="n">
        <v>202.3</v>
      </c>
      <c r="R57" s="256" t="s">
        <v>768</v>
      </c>
      <c r="S57" s="256" t="s">
        <v>768</v>
      </c>
      <c r="T57" s="256" t="s">
        <v>768</v>
      </c>
      <c r="U57" s="256"/>
      <c r="V57" s="256"/>
      <c r="W57" s="256" t="s">
        <v>768</v>
      </c>
      <c r="X57" s="269" t="s">
        <v>768</v>
      </c>
      <c r="Y57" s="256" t="s">
        <v>768</v>
      </c>
    </row>
    <row r="58" customFormat="false" ht="13.8" hidden="false" customHeight="false" outlineLevel="0" collapsed="false">
      <c r="A58" s="255" t="s">
        <v>8020</v>
      </c>
      <c r="B58" s="256"/>
      <c r="C58" s="256"/>
      <c r="E58" s="257" t="s">
        <v>8019</v>
      </c>
      <c r="F58" s="257" t="s">
        <v>664</v>
      </c>
      <c r="I58" s="256" t="n">
        <v>2440</v>
      </c>
      <c r="J58" s="256" t="s">
        <v>768</v>
      </c>
      <c r="K58" s="256" t="n">
        <v>10</v>
      </c>
      <c r="L58" s="256" t="s">
        <v>768</v>
      </c>
      <c r="M58" s="256" t="s">
        <v>768</v>
      </c>
      <c r="N58" s="256" t="n">
        <v>770.8</v>
      </c>
      <c r="O58" s="256" t="s">
        <v>768</v>
      </c>
      <c r="P58" s="256" t="s">
        <v>768</v>
      </c>
      <c r="Q58" s="256" t="n">
        <v>276.2</v>
      </c>
      <c r="R58" s="256" t="s">
        <v>768</v>
      </c>
      <c r="S58" s="256" t="s">
        <v>768</v>
      </c>
      <c r="T58" s="256" t="s">
        <v>768</v>
      </c>
      <c r="U58" s="256"/>
      <c r="V58" s="256"/>
      <c r="W58" s="256" t="s">
        <v>768</v>
      </c>
      <c r="X58" s="269" t="s">
        <v>768</v>
      </c>
      <c r="Y58" s="256" t="s">
        <v>768</v>
      </c>
    </row>
    <row r="59" customFormat="false" ht="12.75" hidden="false" customHeight="false" outlineLevel="0" collapsed="false">
      <c r="P59" s="270"/>
      <c r="Q59" s="270"/>
    </row>
    <row r="60" customFormat="false" ht="12.75" hidden="false" customHeight="false" outlineLevel="0" collapsed="false">
      <c r="P60" s="270"/>
      <c r="Q60" s="270"/>
    </row>
    <row r="61" customFormat="false" ht="12.75" hidden="false" customHeight="false" outlineLevel="0" collapsed="false">
      <c r="P61" s="270"/>
      <c r="Q61" s="270"/>
    </row>
    <row r="62" customFormat="false" ht="12.75" hidden="false" customHeight="false" outlineLevel="0" collapsed="false">
      <c r="A62" s="271" t="s">
        <v>8021</v>
      </c>
      <c r="P62" s="270"/>
      <c r="Q62" s="270"/>
    </row>
    <row r="63" customFormat="false" ht="12.75" hidden="false" customHeight="false" outlineLevel="0" collapsed="false">
      <c r="A63" s="271" t="s">
        <v>8022</v>
      </c>
      <c r="P63" s="270"/>
      <c r="Q63" s="270"/>
    </row>
    <row r="64" customFormat="false" ht="12.75" hidden="false" customHeight="false" outlineLevel="0" collapsed="false">
      <c r="A64" s="271" t="s">
        <v>8023</v>
      </c>
    </row>
    <row r="65" customFormat="false" ht="12.75" hidden="false" customHeight="false" outlineLevel="0" collapsed="false">
      <c r="A65" s="271" t="s">
        <v>8024</v>
      </c>
    </row>
    <row r="66" customFormat="false" ht="12.75" hidden="false" customHeight="false" outlineLevel="0" collapsed="false">
      <c r="A66" s="271" t="s">
        <v>8025</v>
      </c>
      <c r="P66" s="270"/>
      <c r="Q66" s="270"/>
    </row>
    <row r="67" customFormat="false" ht="12.75" hidden="false" customHeight="false" outlineLevel="0" collapsed="false">
      <c r="A67" s="271" t="s">
        <v>8026</v>
      </c>
      <c r="P67" s="270"/>
      <c r="Q67" s="270"/>
    </row>
    <row r="68" customFormat="false" ht="12.75" hidden="false" customHeight="false" outlineLevel="0" collapsed="false">
      <c r="A68" s="271" t="s">
        <v>8027</v>
      </c>
    </row>
    <row r="69" customFormat="false" ht="12.75" hidden="false" customHeight="false" outlineLevel="0" collapsed="false">
      <c r="A69" s="271" t="s">
        <v>8028</v>
      </c>
    </row>
    <row r="70" customFormat="false" ht="12.75" hidden="false" customHeight="false" outlineLevel="0" collapsed="false">
      <c r="A70" s="271" t="s">
        <v>8029</v>
      </c>
    </row>
    <row r="71" customFormat="false" ht="12.75" hidden="false" customHeight="false" outlineLevel="0" collapsed="false">
      <c r="A71" s="271" t="s">
        <v>8030</v>
      </c>
    </row>
    <row r="72" customFormat="false" ht="12.75" hidden="false" customHeight="false" outlineLevel="0" collapsed="false">
      <c r="A72" s="271" t="s">
        <v>8031</v>
      </c>
    </row>
    <row r="74" customFormat="false" ht="12.75" hidden="false" customHeight="false" outlineLevel="0" collapsed="false">
      <c r="A74" s="271" t="s">
        <v>8032</v>
      </c>
    </row>
  </sheetData>
  <mergeCells count="4">
    <mergeCell ref="H1:J1"/>
    <mergeCell ref="K1:R1"/>
    <mergeCell ref="S1:T1"/>
    <mergeCell ref="U1:W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R43" activeCellId="0" sqref="R43"/>
    </sheetView>
  </sheetViews>
  <sheetFormatPr defaultColWidth="10.6015625" defaultRowHeight="12" customHeight="true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5.29"/>
    <col collapsed="false" customWidth="true" hidden="false" outlineLevel="0" max="3" min="3" style="0" width="5.57"/>
    <col collapsed="false" customWidth="true" hidden="false" outlineLevel="0" max="4" min="4" style="0" width="7.86"/>
    <col collapsed="false" customWidth="true" hidden="false" outlineLevel="0" max="5" min="5" style="0" width="3.29"/>
    <col collapsed="false" customWidth="true" hidden="false" outlineLevel="0" max="7" min="6" style="0" width="4.43"/>
    <col collapsed="false" customWidth="true" hidden="false" outlineLevel="0" max="8" min="8" style="0" width="4.71"/>
    <col collapsed="false" customWidth="true" hidden="false" outlineLevel="0" max="13" min="9" style="0" width="4.43"/>
    <col collapsed="false" customWidth="true" hidden="false" outlineLevel="0" max="14" min="14" style="0" width="4.86"/>
    <col collapsed="false" customWidth="true" hidden="false" outlineLevel="0" max="15" min="15" style="0" width="4.43"/>
    <col collapsed="false" customWidth="true" hidden="false" outlineLevel="0" max="16" min="16" style="0" width="4.86"/>
    <col collapsed="false" customWidth="true" hidden="false" outlineLevel="0" max="17" min="17" style="0" width="4"/>
    <col collapsed="false" customWidth="true" hidden="false" outlineLevel="0" max="19" min="18" style="0" width="4.86"/>
    <col collapsed="false" customWidth="true" hidden="false" outlineLevel="0" max="20" min="20" style="0" width="4.29"/>
    <col collapsed="false" customWidth="true" hidden="false" outlineLevel="0" max="23" min="21" style="0" width="4.86"/>
    <col collapsed="false" customWidth="true" hidden="false" outlineLevel="0" max="24" min="24" style="0" width="5.43"/>
    <col collapsed="false" customWidth="true" hidden="false" outlineLevel="0" max="25" min="25" style="0" width="4.86"/>
    <col collapsed="false" customWidth="true" hidden="false" outlineLevel="0" max="33" min="26" style="0" width="5.43"/>
    <col collapsed="false" customWidth="true" hidden="false" outlineLevel="0" max="34" min="34" style="0" width="5.14"/>
    <col collapsed="false" customWidth="true" hidden="false" outlineLevel="0" max="35" min="35" style="0" width="4.86"/>
    <col collapsed="false" customWidth="true" hidden="false" outlineLevel="0" max="44" min="36" style="0" width="5.43"/>
    <col collapsed="false" customWidth="true" hidden="false" outlineLevel="0" max="45" min="45" style="0" width="4.86"/>
    <col collapsed="false" customWidth="true" hidden="false" outlineLevel="0" max="54" min="46" style="0" width="5.43"/>
    <col collapsed="false" customWidth="true" hidden="false" outlineLevel="0" max="55" min="55" style="0" width="4.86"/>
    <col collapsed="false" customWidth="true" hidden="false" outlineLevel="0" max="59" min="56" style="0" width="5.43"/>
    <col collapsed="false" customWidth="true" hidden="false" outlineLevel="0" max="60" min="60" style="0" width="7.71"/>
    <col collapsed="false" customWidth="true" hidden="false" outlineLevel="0" max="61" min="61" style="0" width="5.43"/>
  </cols>
  <sheetData>
    <row r="1" customFormat="false" ht="22.05" hidden="false" customHeight="true" outlineLevel="0" collapsed="false">
      <c r="A1" s="272" t="s">
        <v>8033</v>
      </c>
      <c r="B1" s="273"/>
      <c r="C1" s="274"/>
      <c r="D1" s="275"/>
      <c r="E1" s="276" t="n">
        <v>1</v>
      </c>
      <c r="F1" s="276" t="n">
        <v>2</v>
      </c>
      <c r="G1" s="276" t="n">
        <v>3</v>
      </c>
      <c r="H1" s="276" t="n">
        <v>4</v>
      </c>
      <c r="I1" s="276" t="n">
        <v>5</v>
      </c>
      <c r="J1" s="276" t="n">
        <v>6</v>
      </c>
      <c r="K1" s="276" t="n">
        <v>7</v>
      </c>
      <c r="L1" s="276" t="n">
        <v>8</v>
      </c>
      <c r="M1" s="276" t="n">
        <v>9</v>
      </c>
      <c r="N1" s="276" t="n">
        <v>10</v>
      </c>
      <c r="O1" s="276" t="n">
        <v>11</v>
      </c>
      <c r="P1" s="276" t="n">
        <v>12</v>
      </c>
      <c r="Q1" s="276" t="n">
        <v>13</v>
      </c>
      <c r="R1" s="276" t="n">
        <v>14</v>
      </c>
      <c r="S1" s="276" t="n">
        <v>15</v>
      </c>
      <c r="T1" s="276" t="n">
        <v>16</v>
      </c>
      <c r="U1" s="276" t="n">
        <v>17</v>
      </c>
      <c r="V1" s="276" t="n">
        <v>18</v>
      </c>
      <c r="W1" s="276" t="n">
        <v>19</v>
      </c>
      <c r="X1" s="276" t="n">
        <v>20</v>
      </c>
      <c r="Y1" s="276" t="n">
        <v>21</v>
      </c>
      <c r="Z1" s="276" t="n">
        <v>22</v>
      </c>
      <c r="AA1" s="276" t="n">
        <v>23</v>
      </c>
      <c r="AB1" s="276" t="n">
        <v>24</v>
      </c>
      <c r="AC1" s="276" t="n">
        <v>25</v>
      </c>
      <c r="AD1" s="276" t="n">
        <v>26</v>
      </c>
      <c r="AE1" s="276" t="n">
        <v>27</v>
      </c>
      <c r="AF1" s="276" t="n">
        <v>28</v>
      </c>
      <c r="AG1" s="276" t="n">
        <v>29</v>
      </c>
      <c r="AH1" s="276" t="n">
        <v>30</v>
      </c>
      <c r="AI1" s="276" t="n">
        <v>31</v>
      </c>
      <c r="AJ1" s="276" t="n">
        <v>32</v>
      </c>
      <c r="AK1" s="276" t="n">
        <v>33</v>
      </c>
      <c r="AL1" s="276" t="n">
        <v>34</v>
      </c>
      <c r="AM1" s="276" t="n">
        <v>35</v>
      </c>
      <c r="AN1" s="276" t="n">
        <v>36</v>
      </c>
      <c r="AO1" s="276" t="n">
        <v>37</v>
      </c>
      <c r="AP1" s="276" t="n">
        <v>38</v>
      </c>
      <c r="AQ1" s="276" t="n">
        <v>39</v>
      </c>
      <c r="AR1" s="276" t="n">
        <v>40</v>
      </c>
      <c r="AS1" s="276" t="n">
        <v>41</v>
      </c>
      <c r="AT1" s="276" t="n">
        <v>42</v>
      </c>
      <c r="AU1" s="276" t="n">
        <v>43</v>
      </c>
      <c r="AV1" s="276" t="n">
        <v>44</v>
      </c>
      <c r="AW1" s="276" t="n">
        <v>45</v>
      </c>
      <c r="AX1" s="276" t="n">
        <v>46</v>
      </c>
      <c r="AY1" s="276" t="n">
        <v>47</v>
      </c>
      <c r="AZ1" s="276" t="n">
        <v>48</v>
      </c>
      <c r="BA1" s="276" t="n">
        <v>49</v>
      </c>
      <c r="BB1" s="276" t="n">
        <v>50</v>
      </c>
      <c r="BC1" s="276" t="n">
        <v>51</v>
      </c>
      <c r="BD1" s="276" t="n">
        <v>52</v>
      </c>
      <c r="BE1" s="276" t="n">
        <v>53</v>
      </c>
      <c r="BF1" s="276" t="n">
        <v>54</v>
      </c>
      <c r="BG1" s="276" t="n">
        <v>55</v>
      </c>
      <c r="BH1" s="276" t="n">
        <v>56</v>
      </c>
      <c r="BI1" s="273"/>
      <c r="BJ1" s="277"/>
      <c r="BK1" s="277"/>
    </row>
    <row r="2" customFormat="false" ht="22.85" hidden="false" customHeight="true" outlineLevel="0" collapsed="false">
      <c r="A2" s="272"/>
      <c r="B2" s="278" t="s">
        <v>8034</v>
      </c>
      <c r="C2" s="279" t="s">
        <v>669</v>
      </c>
      <c r="D2" s="276" t="n">
        <v>12</v>
      </c>
      <c r="E2" s="280" t="s">
        <v>8035</v>
      </c>
      <c r="F2" s="281" t="n">
        <v>32</v>
      </c>
      <c r="G2" s="282" t="n">
        <v>27</v>
      </c>
      <c r="H2" s="282" t="n">
        <v>52</v>
      </c>
      <c r="I2" s="282" t="n">
        <v>36</v>
      </c>
      <c r="J2" s="282" t="n">
        <v>34</v>
      </c>
      <c r="K2" s="282" t="n">
        <v>45</v>
      </c>
      <c r="L2" s="282" t="n">
        <v>25</v>
      </c>
      <c r="M2" s="283" t="n">
        <v>6</v>
      </c>
      <c r="N2" s="282" t="n">
        <v>35</v>
      </c>
      <c r="O2" s="284" t="n">
        <v>1</v>
      </c>
      <c r="P2" s="282" t="n">
        <v>28</v>
      </c>
      <c r="Q2" s="282" t="n">
        <v>30</v>
      </c>
      <c r="R2" s="282" t="n">
        <v>12</v>
      </c>
      <c r="S2" s="282" t="n">
        <v>46</v>
      </c>
      <c r="T2" s="282" t="n">
        <v>23</v>
      </c>
      <c r="U2" s="282" t="n">
        <v>37</v>
      </c>
      <c r="V2" s="282" t="n">
        <v>29</v>
      </c>
      <c r="W2" s="285" t="n">
        <v>5</v>
      </c>
      <c r="X2" s="281" t="n">
        <v>32</v>
      </c>
      <c r="Y2" s="282" t="n">
        <v>27</v>
      </c>
      <c r="Z2" s="282" t="n">
        <v>52</v>
      </c>
      <c r="AA2" s="282" t="n">
        <v>36</v>
      </c>
      <c r="AB2" s="282" t="n">
        <v>34</v>
      </c>
      <c r="AC2" s="282" t="n">
        <v>45</v>
      </c>
      <c r="AD2" s="282" t="n">
        <v>25</v>
      </c>
      <c r="AE2" s="283" t="n">
        <v>6</v>
      </c>
      <c r="AF2" s="282" t="n">
        <v>35</v>
      </c>
      <c r="AG2" s="284" t="n">
        <v>1</v>
      </c>
      <c r="AH2" s="282" t="n">
        <v>28</v>
      </c>
      <c r="AI2" s="282" t="n">
        <v>30</v>
      </c>
      <c r="AJ2" s="282" t="n">
        <v>12</v>
      </c>
      <c r="AK2" s="282" t="n">
        <v>46</v>
      </c>
      <c r="AL2" s="282" t="n">
        <v>23</v>
      </c>
      <c r="AM2" s="282" t="n">
        <v>37</v>
      </c>
      <c r="AN2" s="282" t="n">
        <v>29</v>
      </c>
      <c r="AO2" s="285" t="n">
        <v>5</v>
      </c>
      <c r="AP2" s="281" t="n">
        <v>32</v>
      </c>
      <c r="AQ2" s="282" t="n">
        <v>27</v>
      </c>
      <c r="AR2" s="282" t="n">
        <v>52</v>
      </c>
      <c r="AS2" s="282" t="n">
        <v>36</v>
      </c>
      <c r="AT2" s="282" t="n">
        <v>34</v>
      </c>
      <c r="AU2" s="282" t="n">
        <v>45</v>
      </c>
      <c r="AV2" s="282" t="n">
        <v>25</v>
      </c>
      <c r="AW2" s="283" t="n">
        <v>6</v>
      </c>
      <c r="AX2" s="282" t="n">
        <v>35</v>
      </c>
      <c r="AY2" s="284" t="n">
        <v>1</v>
      </c>
      <c r="AZ2" s="282" t="n">
        <v>28</v>
      </c>
      <c r="BA2" s="282" t="n">
        <v>30</v>
      </c>
      <c r="BB2" s="282" t="n">
        <v>12</v>
      </c>
      <c r="BC2" s="282" t="n">
        <v>46</v>
      </c>
      <c r="BD2" s="282" t="n">
        <v>23</v>
      </c>
      <c r="BE2" s="282" t="n">
        <v>37</v>
      </c>
      <c r="BF2" s="282" t="n">
        <v>29</v>
      </c>
      <c r="BG2" s="285" t="n">
        <v>5</v>
      </c>
      <c r="BH2" s="286" t="s">
        <v>8035</v>
      </c>
      <c r="BI2" s="276" t="n">
        <v>12</v>
      </c>
      <c r="BJ2" s="277"/>
      <c r="BK2" s="277"/>
    </row>
    <row r="3" customFormat="false" ht="22.85" hidden="false" customHeight="false" outlineLevel="0" collapsed="false">
      <c r="A3" s="272"/>
      <c r="B3" s="278"/>
      <c r="C3" s="279"/>
      <c r="D3" s="276" t="n">
        <v>11</v>
      </c>
      <c r="E3" s="287" t="s">
        <v>8035</v>
      </c>
      <c r="F3" s="288" t="n">
        <v>24</v>
      </c>
      <c r="G3" s="289" t="n">
        <v>31</v>
      </c>
      <c r="H3" s="289" t="n">
        <v>13</v>
      </c>
      <c r="I3" s="290" t="n">
        <v>2</v>
      </c>
      <c r="J3" s="289" t="n">
        <v>8</v>
      </c>
      <c r="K3" s="289" t="n">
        <v>22</v>
      </c>
      <c r="L3" s="289" t="n">
        <v>42</v>
      </c>
      <c r="M3" s="289" t="n">
        <v>9</v>
      </c>
      <c r="N3" s="289" t="n">
        <v>11</v>
      </c>
      <c r="O3" s="289" t="n">
        <v>18</v>
      </c>
      <c r="P3" s="289" t="n">
        <v>50</v>
      </c>
      <c r="Q3" s="289" t="n">
        <v>41</v>
      </c>
      <c r="R3" s="291" t="n">
        <v>4</v>
      </c>
      <c r="S3" s="289" t="n">
        <v>53</v>
      </c>
      <c r="T3" s="289" t="n">
        <v>17</v>
      </c>
      <c r="U3" s="289" t="n">
        <v>14</v>
      </c>
      <c r="V3" s="289" t="n">
        <v>44</v>
      </c>
      <c r="W3" s="292" t="n">
        <v>48</v>
      </c>
      <c r="X3" s="288" t="n">
        <v>24</v>
      </c>
      <c r="Y3" s="289" t="n">
        <v>31</v>
      </c>
      <c r="Z3" s="289" t="n">
        <v>13</v>
      </c>
      <c r="AA3" s="290" t="n">
        <v>2</v>
      </c>
      <c r="AB3" s="289" t="n">
        <v>8</v>
      </c>
      <c r="AC3" s="289" t="n">
        <v>22</v>
      </c>
      <c r="AD3" s="289" t="n">
        <v>42</v>
      </c>
      <c r="AE3" s="289" t="n">
        <v>9</v>
      </c>
      <c r="AF3" s="289" t="n">
        <v>11</v>
      </c>
      <c r="AG3" s="289" t="n">
        <v>18</v>
      </c>
      <c r="AH3" s="289" t="n">
        <v>50</v>
      </c>
      <c r="AI3" s="289" t="n">
        <v>41</v>
      </c>
      <c r="AJ3" s="291" t="n">
        <v>4</v>
      </c>
      <c r="AK3" s="289" t="n">
        <v>53</v>
      </c>
      <c r="AL3" s="289" t="n">
        <v>17</v>
      </c>
      <c r="AM3" s="289" t="n">
        <v>14</v>
      </c>
      <c r="AN3" s="289" t="n">
        <v>44</v>
      </c>
      <c r="AO3" s="292" t="n">
        <v>48</v>
      </c>
      <c r="AP3" s="288" t="n">
        <v>24</v>
      </c>
      <c r="AQ3" s="289" t="n">
        <v>31</v>
      </c>
      <c r="AR3" s="289" t="n">
        <v>13</v>
      </c>
      <c r="AS3" s="290" t="n">
        <v>2</v>
      </c>
      <c r="AT3" s="289" t="n">
        <v>8</v>
      </c>
      <c r="AU3" s="289" t="n">
        <v>22</v>
      </c>
      <c r="AV3" s="289" t="n">
        <v>42</v>
      </c>
      <c r="AW3" s="289" t="n">
        <v>9</v>
      </c>
      <c r="AX3" s="289" t="n">
        <v>11</v>
      </c>
      <c r="AY3" s="289" t="n">
        <v>18</v>
      </c>
      <c r="AZ3" s="289" t="n">
        <v>50</v>
      </c>
      <c r="BA3" s="289" t="n">
        <v>41</v>
      </c>
      <c r="BB3" s="291" t="n">
        <v>4</v>
      </c>
      <c r="BC3" s="289" t="n">
        <v>53</v>
      </c>
      <c r="BD3" s="289" t="n">
        <v>17</v>
      </c>
      <c r="BE3" s="289" t="n">
        <v>14</v>
      </c>
      <c r="BF3" s="289" t="n">
        <v>44</v>
      </c>
      <c r="BG3" s="292" t="n">
        <v>48</v>
      </c>
      <c r="BH3" s="293" t="s">
        <v>8035</v>
      </c>
      <c r="BI3" s="276" t="n">
        <v>11</v>
      </c>
      <c r="BJ3" s="277"/>
      <c r="BK3" s="277"/>
    </row>
    <row r="4" customFormat="false" ht="22.85" hidden="false" customHeight="false" outlineLevel="0" collapsed="false">
      <c r="A4" s="272"/>
      <c r="B4" s="278"/>
      <c r="C4" s="279"/>
      <c r="D4" s="294" t="n">
        <v>10</v>
      </c>
      <c r="E4" s="295" t="s">
        <v>8035</v>
      </c>
      <c r="F4" s="296" t="n">
        <v>3</v>
      </c>
      <c r="G4" s="297" t="n">
        <v>20</v>
      </c>
      <c r="H4" s="297" t="n">
        <v>16</v>
      </c>
      <c r="I4" s="297" t="n">
        <v>26</v>
      </c>
      <c r="J4" s="297" t="n">
        <v>33</v>
      </c>
      <c r="K4" s="297" t="n">
        <v>15</v>
      </c>
      <c r="L4" s="297" t="n">
        <v>10</v>
      </c>
      <c r="M4" s="297" t="n">
        <v>19</v>
      </c>
      <c r="N4" s="297" t="n">
        <v>54</v>
      </c>
      <c r="O4" s="297" t="n">
        <v>7</v>
      </c>
      <c r="P4" s="297" t="n">
        <v>49</v>
      </c>
      <c r="Q4" s="297" t="n">
        <v>51</v>
      </c>
      <c r="R4" s="297" t="n">
        <v>43</v>
      </c>
      <c r="S4" s="297" t="n">
        <v>39</v>
      </c>
      <c r="T4" s="297" t="n">
        <v>40</v>
      </c>
      <c r="U4" s="297" t="n">
        <v>21</v>
      </c>
      <c r="V4" s="297" t="n">
        <v>38</v>
      </c>
      <c r="W4" s="298" t="n">
        <v>47</v>
      </c>
      <c r="X4" s="296" t="n">
        <v>3</v>
      </c>
      <c r="Y4" s="297" t="n">
        <v>20</v>
      </c>
      <c r="Z4" s="297" t="n">
        <v>16</v>
      </c>
      <c r="AA4" s="297" t="n">
        <v>26</v>
      </c>
      <c r="AB4" s="297" t="n">
        <v>33</v>
      </c>
      <c r="AC4" s="297" t="n">
        <v>15</v>
      </c>
      <c r="AD4" s="297" t="n">
        <v>10</v>
      </c>
      <c r="AE4" s="297" t="n">
        <v>19</v>
      </c>
      <c r="AF4" s="297" t="n">
        <v>54</v>
      </c>
      <c r="AG4" s="297" t="n">
        <v>7</v>
      </c>
      <c r="AH4" s="297" t="n">
        <v>49</v>
      </c>
      <c r="AI4" s="297" t="n">
        <v>51</v>
      </c>
      <c r="AJ4" s="297" t="n">
        <v>43</v>
      </c>
      <c r="AK4" s="297" t="n">
        <v>39</v>
      </c>
      <c r="AL4" s="297" t="n">
        <v>40</v>
      </c>
      <c r="AM4" s="297" t="n">
        <v>21</v>
      </c>
      <c r="AN4" s="297" t="n">
        <v>38</v>
      </c>
      <c r="AO4" s="298" t="n">
        <v>47</v>
      </c>
      <c r="AP4" s="296" t="n">
        <v>3</v>
      </c>
      <c r="AQ4" s="297" t="n">
        <v>20</v>
      </c>
      <c r="AR4" s="297" t="n">
        <v>16</v>
      </c>
      <c r="AS4" s="297" t="n">
        <v>26</v>
      </c>
      <c r="AT4" s="297" t="n">
        <v>33</v>
      </c>
      <c r="AU4" s="297" t="n">
        <v>15</v>
      </c>
      <c r="AV4" s="297" t="n">
        <v>10</v>
      </c>
      <c r="AW4" s="297" t="n">
        <v>19</v>
      </c>
      <c r="AX4" s="297" t="n">
        <v>54</v>
      </c>
      <c r="AY4" s="297" t="n">
        <v>7</v>
      </c>
      <c r="AZ4" s="297" t="n">
        <v>49</v>
      </c>
      <c r="BA4" s="297" t="n">
        <v>51</v>
      </c>
      <c r="BB4" s="297" t="n">
        <v>43</v>
      </c>
      <c r="BC4" s="297" t="n">
        <v>39</v>
      </c>
      <c r="BD4" s="297" t="n">
        <v>40</v>
      </c>
      <c r="BE4" s="297" t="n">
        <v>21</v>
      </c>
      <c r="BF4" s="297" t="n">
        <v>38</v>
      </c>
      <c r="BG4" s="298" t="n">
        <v>47</v>
      </c>
      <c r="BH4" s="293" t="s">
        <v>8035</v>
      </c>
      <c r="BI4" s="276" t="n">
        <v>10</v>
      </c>
      <c r="BJ4" s="277"/>
      <c r="BK4" s="277"/>
    </row>
    <row r="5" customFormat="false" ht="22.85" hidden="false" customHeight="true" outlineLevel="0" collapsed="false">
      <c r="A5" s="272"/>
      <c r="B5" s="278"/>
      <c r="C5" s="299" t="s">
        <v>666</v>
      </c>
      <c r="D5" s="276" t="n">
        <v>9</v>
      </c>
      <c r="E5" s="280" t="s">
        <v>8035</v>
      </c>
      <c r="F5" s="300" t="n">
        <v>31</v>
      </c>
      <c r="G5" s="301" t="n">
        <v>44</v>
      </c>
      <c r="H5" s="302" t="n">
        <v>3</v>
      </c>
      <c r="I5" s="303" t="n">
        <v>51</v>
      </c>
      <c r="J5" s="304" t="n">
        <v>4</v>
      </c>
      <c r="K5" s="305" t="n">
        <v>15</v>
      </c>
      <c r="L5" s="306" t="n">
        <v>37</v>
      </c>
      <c r="M5" s="306" t="n">
        <v>28</v>
      </c>
      <c r="N5" s="306" t="n">
        <v>36</v>
      </c>
      <c r="O5" s="306" t="n">
        <v>29</v>
      </c>
      <c r="P5" s="306" t="n">
        <v>35</v>
      </c>
      <c r="Q5" s="306" t="n">
        <v>25</v>
      </c>
      <c r="R5" s="306" t="n">
        <v>30</v>
      </c>
      <c r="S5" s="306" t="n">
        <v>14</v>
      </c>
      <c r="T5" s="306" t="n">
        <v>42</v>
      </c>
      <c r="U5" s="306" t="n">
        <v>46</v>
      </c>
      <c r="V5" s="306" t="n">
        <v>19</v>
      </c>
      <c r="W5" s="307" t="n">
        <v>13</v>
      </c>
      <c r="X5" s="300" t="n">
        <v>31</v>
      </c>
      <c r="Y5" s="301" t="n">
        <v>44</v>
      </c>
      <c r="Z5" s="302" t="n">
        <v>3</v>
      </c>
      <c r="AA5" s="303" t="n">
        <v>51</v>
      </c>
      <c r="AB5" s="304" t="n">
        <v>4</v>
      </c>
      <c r="AC5" s="305" t="n">
        <v>15</v>
      </c>
      <c r="AD5" s="306" t="n">
        <v>37</v>
      </c>
      <c r="AE5" s="306" t="n">
        <v>28</v>
      </c>
      <c r="AF5" s="306" t="n">
        <v>36</v>
      </c>
      <c r="AG5" s="306" t="n">
        <v>29</v>
      </c>
      <c r="AH5" s="306" t="n">
        <v>35</v>
      </c>
      <c r="AI5" s="306" t="n">
        <v>25</v>
      </c>
      <c r="AJ5" s="306" t="n">
        <v>30</v>
      </c>
      <c r="AK5" s="306" t="n">
        <v>14</v>
      </c>
      <c r="AL5" s="306" t="n">
        <v>42</v>
      </c>
      <c r="AM5" s="306" t="n">
        <v>46</v>
      </c>
      <c r="AN5" s="306" t="n">
        <v>19</v>
      </c>
      <c r="AO5" s="307" t="n">
        <v>13</v>
      </c>
      <c r="AP5" s="300" t="n">
        <v>31</v>
      </c>
      <c r="AQ5" s="301" t="n">
        <v>44</v>
      </c>
      <c r="AR5" s="302" t="n">
        <v>3</v>
      </c>
      <c r="AS5" s="303" t="n">
        <v>51</v>
      </c>
      <c r="AT5" s="304" t="n">
        <v>4</v>
      </c>
      <c r="AU5" s="305" t="n">
        <v>15</v>
      </c>
      <c r="AV5" s="306" t="n">
        <v>37</v>
      </c>
      <c r="AW5" s="306" t="n">
        <v>28</v>
      </c>
      <c r="AX5" s="306" t="n">
        <v>36</v>
      </c>
      <c r="AY5" s="306" t="n">
        <v>29</v>
      </c>
      <c r="AZ5" s="306" t="n">
        <v>35</v>
      </c>
      <c r="BA5" s="306" t="n">
        <v>25</v>
      </c>
      <c r="BB5" s="306" t="n">
        <v>30</v>
      </c>
      <c r="BC5" s="306" t="n">
        <v>14</v>
      </c>
      <c r="BD5" s="306" t="n">
        <v>42</v>
      </c>
      <c r="BE5" s="306" t="n">
        <v>46</v>
      </c>
      <c r="BF5" s="306" t="n">
        <v>19</v>
      </c>
      <c r="BG5" s="307" t="n">
        <v>13</v>
      </c>
      <c r="BH5" s="293" t="s">
        <v>8035</v>
      </c>
      <c r="BI5" s="276" t="n">
        <v>9</v>
      </c>
      <c r="BJ5" s="277"/>
      <c r="BK5" s="277"/>
    </row>
    <row r="6" customFormat="false" ht="22.85" hidden="false" customHeight="false" outlineLevel="0" collapsed="false">
      <c r="A6" s="272"/>
      <c r="B6" s="278"/>
      <c r="C6" s="299"/>
      <c r="D6" s="276" t="n">
        <v>8</v>
      </c>
      <c r="E6" s="287" t="s">
        <v>8035</v>
      </c>
      <c r="F6" s="308" t="n">
        <v>49</v>
      </c>
      <c r="G6" s="309" t="n">
        <v>9</v>
      </c>
      <c r="H6" s="310" t="n">
        <v>22</v>
      </c>
      <c r="I6" s="309" t="n">
        <v>34</v>
      </c>
      <c r="J6" s="310" t="n">
        <v>18</v>
      </c>
      <c r="K6" s="309" t="n">
        <v>23</v>
      </c>
      <c r="L6" s="309" t="n">
        <v>21</v>
      </c>
      <c r="M6" s="309" t="n">
        <v>45</v>
      </c>
      <c r="N6" s="309" t="n">
        <v>16</v>
      </c>
      <c r="O6" s="309" t="n">
        <v>20</v>
      </c>
      <c r="P6" s="309" t="n">
        <v>26</v>
      </c>
      <c r="Q6" s="309" t="n">
        <v>39</v>
      </c>
      <c r="R6" s="309" t="n">
        <v>24</v>
      </c>
      <c r="S6" s="309" t="n">
        <v>11</v>
      </c>
      <c r="T6" s="309" t="n">
        <v>48</v>
      </c>
      <c r="U6" s="309" t="n">
        <v>50</v>
      </c>
      <c r="V6" s="309" t="n">
        <v>10</v>
      </c>
      <c r="W6" s="311" t="n">
        <v>40</v>
      </c>
      <c r="X6" s="308" t="n">
        <v>49</v>
      </c>
      <c r="Y6" s="309" t="n">
        <v>9</v>
      </c>
      <c r="Z6" s="310" t="n">
        <v>22</v>
      </c>
      <c r="AA6" s="309" t="n">
        <v>34</v>
      </c>
      <c r="AB6" s="310" t="n">
        <v>18</v>
      </c>
      <c r="AC6" s="309" t="n">
        <v>23</v>
      </c>
      <c r="AD6" s="309" t="n">
        <v>21</v>
      </c>
      <c r="AE6" s="309" t="n">
        <v>45</v>
      </c>
      <c r="AF6" s="309" t="n">
        <v>16</v>
      </c>
      <c r="AG6" s="309" t="n">
        <v>20</v>
      </c>
      <c r="AH6" s="309" t="n">
        <v>26</v>
      </c>
      <c r="AI6" s="309" t="n">
        <v>39</v>
      </c>
      <c r="AJ6" s="309" t="n">
        <v>24</v>
      </c>
      <c r="AK6" s="309" t="n">
        <v>11</v>
      </c>
      <c r="AL6" s="309" t="n">
        <v>48</v>
      </c>
      <c r="AM6" s="309" t="n">
        <v>50</v>
      </c>
      <c r="AN6" s="309" t="n">
        <v>10</v>
      </c>
      <c r="AO6" s="311" t="n">
        <v>40</v>
      </c>
      <c r="AP6" s="308" t="n">
        <v>49</v>
      </c>
      <c r="AQ6" s="309" t="n">
        <v>9</v>
      </c>
      <c r="AR6" s="310" t="n">
        <v>22</v>
      </c>
      <c r="AS6" s="309" t="n">
        <v>34</v>
      </c>
      <c r="AT6" s="310" t="n">
        <v>18</v>
      </c>
      <c r="AU6" s="309" t="n">
        <v>23</v>
      </c>
      <c r="AV6" s="309" t="n">
        <v>21</v>
      </c>
      <c r="AW6" s="309" t="n">
        <v>45</v>
      </c>
      <c r="AX6" s="309" t="n">
        <v>16</v>
      </c>
      <c r="AY6" s="309" t="n">
        <v>20</v>
      </c>
      <c r="AZ6" s="309" t="n">
        <v>26</v>
      </c>
      <c r="BA6" s="309" t="n">
        <v>39</v>
      </c>
      <c r="BB6" s="309" t="n">
        <v>24</v>
      </c>
      <c r="BC6" s="309" t="n">
        <v>11</v>
      </c>
      <c r="BD6" s="309" t="n">
        <v>48</v>
      </c>
      <c r="BE6" s="309" t="n">
        <v>50</v>
      </c>
      <c r="BF6" s="309" t="n">
        <v>10</v>
      </c>
      <c r="BG6" s="311" t="n">
        <v>40</v>
      </c>
      <c r="BH6" s="293" t="s">
        <v>8035</v>
      </c>
      <c r="BI6" s="276" t="n">
        <v>8</v>
      </c>
      <c r="BJ6" s="277"/>
      <c r="BK6" s="277"/>
    </row>
    <row r="7" customFormat="false" ht="22.85" hidden="false" customHeight="false" outlineLevel="0" collapsed="false">
      <c r="A7" s="272"/>
      <c r="B7" s="278"/>
      <c r="C7" s="299"/>
      <c r="D7" s="294" t="n">
        <v>7</v>
      </c>
      <c r="E7" s="295" t="s">
        <v>8035</v>
      </c>
      <c r="F7" s="312" t="n">
        <v>41</v>
      </c>
      <c r="G7" s="313" t="n">
        <v>7</v>
      </c>
      <c r="H7" s="313" t="n">
        <v>54</v>
      </c>
      <c r="I7" s="313" t="n">
        <v>47</v>
      </c>
      <c r="J7" s="313" t="n">
        <v>8</v>
      </c>
      <c r="K7" s="313" t="n">
        <v>33</v>
      </c>
      <c r="L7" s="313" t="n">
        <v>43</v>
      </c>
      <c r="M7" s="314" t="n">
        <v>1</v>
      </c>
      <c r="N7" s="313" t="n">
        <v>12</v>
      </c>
      <c r="O7" s="313" t="n">
        <v>52</v>
      </c>
      <c r="P7" s="315" t="n">
        <v>6</v>
      </c>
      <c r="Q7" s="313" t="n">
        <v>38</v>
      </c>
      <c r="R7" s="313" t="n">
        <v>32</v>
      </c>
      <c r="S7" s="316" t="n">
        <v>5</v>
      </c>
      <c r="T7" s="313" t="n">
        <v>27</v>
      </c>
      <c r="U7" s="313" t="n">
        <v>17</v>
      </c>
      <c r="V7" s="313" t="n">
        <v>53</v>
      </c>
      <c r="W7" s="317" t="n">
        <v>2</v>
      </c>
      <c r="X7" s="312" t="n">
        <v>41</v>
      </c>
      <c r="Y7" s="313" t="n">
        <v>7</v>
      </c>
      <c r="Z7" s="313" t="n">
        <v>54</v>
      </c>
      <c r="AA7" s="313" t="n">
        <v>47</v>
      </c>
      <c r="AB7" s="313" t="n">
        <v>8</v>
      </c>
      <c r="AC7" s="313" t="n">
        <v>33</v>
      </c>
      <c r="AD7" s="313" t="n">
        <v>43</v>
      </c>
      <c r="AE7" s="314" t="n">
        <v>1</v>
      </c>
      <c r="AF7" s="313" t="n">
        <v>12</v>
      </c>
      <c r="AG7" s="313" t="n">
        <v>52</v>
      </c>
      <c r="AH7" s="315" t="n">
        <v>6</v>
      </c>
      <c r="AI7" s="313" t="n">
        <v>38</v>
      </c>
      <c r="AJ7" s="313" t="n">
        <v>32</v>
      </c>
      <c r="AK7" s="316" t="n">
        <v>5</v>
      </c>
      <c r="AL7" s="313" t="n">
        <v>27</v>
      </c>
      <c r="AM7" s="313" t="n">
        <v>17</v>
      </c>
      <c r="AN7" s="313" t="n">
        <v>53</v>
      </c>
      <c r="AO7" s="317" t="n">
        <v>2</v>
      </c>
      <c r="AP7" s="312" t="n">
        <v>41</v>
      </c>
      <c r="AQ7" s="313" t="n">
        <v>7</v>
      </c>
      <c r="AR7" s="313" t="n">
        <v>54</v>
      </c>
      <c r="AS7" s="313" t="n">
        <v>47</v>
      </c>
      <c r="AT7" s="313" t="n">
        <v>8</v>
      </c>
      <c r="AU7" s="313" t="n">
        <v>33</v>
      </c>
      <c r="AV7" s="313" t="n">
        <v>43</v>
      </c>
      <c r="AW7" s="314" t="n">
        <v>1</v>
      </c>
      <c r="AX7" s="313" t="n">
        <v>12</v>
      </c>
      <c r="AY7" s="313" t="n">
        <v>52</v>
      </c>
      <c r="AZ7" s="315" t="n">
        <v>6</v>
      </c>
      <c r="BA7" s="313" t="n">
        <v>38</v>
      </c>
      <c r="BB7" s="313" t="n">
        <v>32</v>
      </c>
      <c r="BC7" s="316" t="n">
        <v>5</v>
      </c>
      <c r="BD7" s="313" t="n">
        <v>27</v>
      </c>
      <c r="BE7" s="313" t="n">
        <v>17</v>
      </c>
      <c r="BF7" s="313" t="n">
        <v>53</v>
      </c>
      <c r="BG7" s="317" t="n">
        <v>2</v>
      </c>
      <c r="BH7" s="293" t="s">
        <v>8035</v>
      </c>
      <c r="BI7" s="276" t="n">
        <v>7</v>
      </c>
      <c r="BJ7" s="277"/>
      <c r="BK7" s="277"/>
    </row>
    <row r="8" customFormat="false" ht="22.85" hidden="false" customHeight="true" outlineLevel="0" collapsed="false">
      <c r="A8" s="272"/>
      <c r="B8" s="318" t="s">
        <v>8036</v>
      </c>
      <c r="C8" s="319" t="s">
        <v>669</v>
      </c>
      <c r="D8" s="276" t="n">
        <v>6</v>
      </c>
      <c r="E8" s="280" t="s">
        <v>8035</v>
      </c>
      <c r="F8" s="320" t="n">
        <v>36</v>
      </c>
      <c r="G8" s="321" t="n">
        <v>18</v>
      </c>
      <c r="H8" s="321" t="n">
        <v>27</v>
      </c>
      <c r="I8" s="321" t="n">
        <v>54</v>
      </c>
      <c r="J8" s="321" t="n">
        <v>45</v>
      </c>
      <c r="K8" s="321" t="n">
        <v>9</v>
      </c>
      <c r="L8" s="321" t="n">
        <v>39</v>
      </c>
      <c r="M8" s="322" t="n">
        <v>4</v>
      </c>
      <c r="N8" s="321" t="n">
        <v>30</v>
      </c>
      <c r="O8" s="321" t="n">
        <v>48</v>
      </c>
      <c r="P8" s="321" t="n">
        <v>21</v>
      </c>
      <c r="Q8" s="323" t="n">
        <v>3</v>
      </c>
      <c r="R8" s="321" t="n">
        <v>40</v>
      </c>
      <c r="S8" s="321" t="n">
        <v>22</v>
      </c>
      <c r="T8" s="321" t="n">
        <v>12</v>
      </c>
      <c r="U8" s="321" t="n">
        <v>31</v>
      </c>
      <c r="V8" s="321" t="n">
        <v>49</v>
      </c>
      <c r="W8" s="324" t="n">
        <v>13</v>
      </c>
      <c r="X8" s="320" t="n">
        <v>36</v>
      </c>
      <c r="Y8" s="321" t="n">
        <v>18</v>
      </c>
      <c r="Z8" s="321" t="n">
        <v>27</v>
      </c>
      <c r="AA8" s="321" t="n">
        <v>54</v>
      </c>
      <c r="AB8" s="321" t="n">
        <v>45</v>
      </c>
      <c r="AC8" s="321" t="n">
        <v>9</v>
      </c>
      <c r="AD8" s="321" t="n">
        <v>39</v>
      </c>
      <c r="AE8" s="322" t="n">
        <v>4</v>
      </c>
      <c r="AF8" s="321" t="n">
        <v>30</v>
      </c>
      <c r="AG8" s="321" t="n">
        <v>48</v>
      </c>
      <c r="AH8" s="321" t="n">
        <v>21</v>
      </c>
      <c r="AI8" s="323" t="n">
        <v>3</v>
      </c>
      <c r="AJ8" s="321" t="n">
        <v>40</v>
      </c>
      <c r="AK8" s="321" t="n">
        <v>22</v>
      </c>
      <c r="AL8" s="321" t="n">
        <v>12</v>
      </c>
      <c r="AM8" s="321" t="n">
        <v>31</v>
      </c>
      <c r="AN8" s="321" t="n">
        <v>49</v>
      </c>
      <c r="AO8" s="324" t="n">
        <v>13</v>
      </c>
      <c r="AP8" s="320" t="n">
        <v>36</v>
      </c>
      <c r="AQ8" s="321" t="n">
        <v>18</v>
      </c>
      <c r="AR8" s="321" t="n">
        <v>27</v>
      </c>
      <c r="AS8" s="321" t="n">
        <v>54</v>
      </c>
      <c r="AT8" s="321" t="n">
        <v>45</v>
      </c>
      <c r="AU8" s="321" t="n">
        <v>9</v>
      </c>
      <c r="AV8" s="321" t="n">
        <v>39</v>
      </c>
      <c r="AW8" s="322" t="n">
        <v>4</v>
      </c>
      <c r="AX8" s="321" t="n">
        <v>30</v>
      </c>
      <c r="AY8" s="321" t="n">
        <v>48</v>
      </c>
      <c r="AZ8" s="321" t="n">
        <v>21</v>
      </c>
      <c r="BA8" s="323" t="n">
        <v>3</v>
      </c>
      <c r="BB8" s="321" t="n">
        <v>40</v>
      </c>
      <c r="BC8" s="321" t="n">
        <v>22</v>
      </c>
      <c r="BD8" s="321" t="n">
        <v>12</v>
      </c>
      <c r="BE8" s="321" t="n">
        <v>31</v>
      </c>
      <c r="BF8" s="321" t="n">
        <v>49</v>
      </c>
      <c r="BG8" s="324" t="n">
        <v>13</v>
      </c>
      <c r="BH8" s="293" t="s">
        <v>8035</v>
      </c>
      <c r="BI8" s="276" t="n">
        <v>6</v>
      </c>
      <c r="BJ8" s="277"/>
      <c r="BK8" s="277"/>
    </row>
    <row r="9" customFormat="false" ht="22.85" hidden="false" customHeight="false" outlineLevel="0" collapsed="false">
      <c r="A9" s="272"/>
      <c r="B9" s="318"/>
      <c r="C9" s="319"/>
      <c r="D9" s="276" t="n">
        <v>5</v>
      </c>
      <c r="E9" s="287" t="s">
        <v>8035</v>
      </c>
      <c r="F9" s="325" t="n">
        <v>32</v>
      </c>
      <c r="G9" s="326" t="n">
        <v>23</v>
      </c>
      <c r="H9" s="326" t="n">
        <v>14</v>
      </c>
      <c r="I9" s="327" t="n">
        <v>5</v>
      </c>
      <c r="J9" s="326" t="n">
        <v>41</v>
      </c>
      <c r="K9" s="326" t="n">
        <v>50</v>
      </c>
      <c r="L9" s="326" t="n">
        <v>16</v>
      </c>
      <c r="M9" s="326" t="n">
        <v>7</v>
      </c>
      <c r="N9" s="326" t="n">
        <v>34</v>
      </c>
      <c r="O9" s="326" t="n">
        <v>25</v>
      </c>
      <c r="P9" s="326" t="n">
        <v>43</v>
      </c>
      <c r="Q9" s="326" t="n">
        <v>52</v>
      </c>
      <c r="R9" s="326" t="n">
        <v>44</v>
      </c>
      <c r="S9" s="326" t="n">
        <v>26</v>
      </c>
      <c r="T9" s="326" t="n">
        <v>17</v>
      </c>
      <c r="U9" s="326" t="n">
        <v>53</v>
      </c>
      <c r="V9" s="326" t="n">
        <v>35</v>
      </c>
      <c r="W9" s="328" t="n">
        <v>8</v>
      </c>
      <c r="X9" s="325" t="n">
        <v>32</v>
      </c>
      <c r="Y9" s="326" t="n">
        <v>23</v>
      </c>
      <c r="Z9" s="326" t="n">
        <v>14</v>
      </c>
      <c r="AA9" s="327" t="n">
        <v>5</v>
      </c>
      <c r="AB9" s="326" t="n">
        <v>41</v>
      </c>
      <c r="AC9" s="326" t="n">
        <v>50</v>
      </c>
      <c r="AD9" s="326" t="n">
        <v>16</v>
      </c>
      <c r="AE9" s="326" t="n">
        <v>7</v>
      </c>
      <c r="AF9" s="326" t="n">
        <v>34</v>
      </c>
      <c r="AG9" s="326" t="n">
        <v>25</v>
      </c>
      <c r="AH9" s="326" t="n">
        <v>43</v>
      </c>
      <c r="AI9" s="326" t="n">
        <v>52</v>
      </c>
      <c r="AJ9" s="326" t="n">
        <v>44</v>
      </c>
      <c r="AK9" s="326" t="n">
        <v>26</v>
      </c>
      <c r="AL9" s="326" t="n">
        <v>17</v>
      </c>
      <c r="AM9" s="326" t="n">
        <v>53</v>
      </c>
      <c r="AN9" s="326" t="n">
        <v>35</v>
      </c>
      <c r="AO9" s="328" t="n">
        <v>8</v>
      </c>
      <c r="AP9" s="325" t="n">
        <v>32</v>
      </c>
      <c r="AQ9" s="326" t="n">
        <v>23</v>
      </c>
      <c r="AR9" s="326" t="n">
        <v>14</v>
      </c>
      <c r="AS9" s="327" t="n">
        <v>5</v>
      </c>
      <c r="AT9" s="326" t="n">
        <v>41</v>
      </c>
      <c r="AU9" s="326" t="n">
        <v>50</v>
      </c>
      <c r="AV9" s="326" t="n">
        <v>16</v>
      </c>
      <c r="AW9" s="326" t="n">
        <v>7</v>
      </c>
      <c r="AX9" s="326" t="n">
        <v>34</v>
      </c>
      <c r="AY9" s="326" t="n">
        <v>25</v>
      </c>
      <c r="AZ9" s="326" t="n">
        <v>43</v>
      </c>
      <c r="BA9" s="326" t="n">
        <v>52</v>
      </c>
      <c r="BB9" s="326" t="n">
        <v>44</v>
      </c>
      <c r="BC9" s="326" t="n">
        <v>26</v>
      </c>
      <c r="BD9" s="326" t="n">
        <v>17</v>
      </c>
      <c r="BE9" s="326" t="n">
        <v>53</v>
      </c>
      <c r="BF9" s="326" t="n">
        <v>35</v>
      </c>
      <c r="BG9" s="328" t="n">
        <v>8</v>
      </c>
      <c r="BH9" s="293" t="s">
        <v>8035</v>
      </c>
      <c r="BI9" s="276" t="n">
        <v>5</v>
      </c>
      <c r="BJ9" s="277"/>
      <c r="BK9" s="277"/>
    </row>
    <row r="10" customFormat="false" ht="22.85" hidden="false" customHeight="false" outlineLevel="0" collapsed="false">
      <c r="A10" s="272"/>
      <c r="B10" s="318"/>
      <c r="C10" s="319"/>
      <c r="D10" s="294" t="n">
        <v>4</v>
      </c>
      <c r="E10" s="295" t="s">
        <v>8035</v>
      </c>
      <c r="F10" s="329" t="n">
        <v>42</v>
      </c>
      <c r="G10" s="330" t="n">
        <v>24</v>
      </c>
      <c r="H10" s="331" t="n">
        <v>6</v>
      </c>
      <c r="I10" s="330" t="n">
        <v>51</v>
      </c>
      <c r="J10" s="330" t="n">
        <v>33</v>
      </c>
      <c r="K10" s="330" t="n">
        <v>15</v>
      </c>
      <c r="L10" s="330" t="n">
        <v>38</v>
      </c>
      <c r="M10" s="330" t="n">
        <v>20</v>
      </c>
      <c r="N10" s="330" t="n">
        <v>29</v>
      </c>
      <c r="O10" s="330" t="n">
        <v>11</v>
      </c>
      <c r="P10" s="332" t="n">
        <v>2</v>
      </c>
      <c r="Q10" s="330" t="n">
        <v>47</v>
      </c>
      <c r="R10" s="330" t="n">
        <v>28</v>
      </c>
      <c r="S10" s="330" t="n">
        <v>10</v>
      </c>
      <c r="T10" s="330" t="n">
        <v>46</v>
      </c>
      <c r="U10" s="330" t="n">
        <v>37</v>
      </c>
      <c r="V10" s="330" t="n">
        <v>19</v>
      </c>
      <c r="W10" s="333" t="n">
        <v>1</v>
      </c>
      <c r="X10" s="329" t="n">
        <v>42</v>
      </c>
      <c r="Y10" s="330" t="n">
        <v>24</v>
      </c>
      <c r="Z10" s="331" t="n">
        <v>6</v>
      </c>
      <c r="AA10" s="330" t="n">
        <v>51</v>
      </c>
      <c r="AB10" s="330" t="n">
        <v>33</v>
      </c>
      <c r="AC10" s="330" t="n">
        <v>15</v>
      </c>
      <c r="AD10" s="330" t="n">
        <v>38</v>
      </c>
      <c r="AE10" s="330" t="n">
        <v>20</v>
      </c>
      <c r="AF10" s="330" t="n">
        <v>29</v>
      </c>
      <c r="AG10" s="330" t="n">
        <v>11</v>
      </c>
      <c r="AH10" s="332" t="n">
        <v>2</v>
      </c>
      <c r="AI10" s="330" t="n">
        <v>47</v>
      </c>
      <c r="AJ10" s="330" t="n">
        <v>28</v>
      </c>
      <c r="AK10" s="330" t="n">
        <v>10</v>
      </c>
      <c r="AL10" s="330" t="n">
        <v>46</v>
      </c>
      <c r="AM10" s="330" t="n">
        <v>37</v>
      </c>
      <c r="AN10" s="330" t="n">
        <v>19</v>
      </c>
      <c r="AO10" s="333" t="n">
        <v>1</v>
      </c>
      <c r="AP10" s="329" t="n">
        <v>42</v>
      </c>
      <c r="AQ10" s="330" t="n">
        <v>24</v>
      </c>
      <c r="AR10" s="331" t="n">
        <v>6</v>
      </c>
      <c r="AS10" s="330" t="n">
        <v>51</v>
      </c>
      <c r="AT10" s="330" t="n">
        <v>33</v>
      </c>
      <c r="AU10" s="330" t="n">
        <v>15</v>
      </c>
      <c r="AV10" s="330" t="n">
        <v>38</v>
      </c>
      <c r="AW10" s="330" t="n">
        <v>20</v>
      </c>
      <c r="AX10" s="330" t="n">
        <v>29</v>
      </c>
      <c r="AY10" s="330" t="n">
        <v>11</v>
      </c>
      <c r="AZ10" s="332" t="n">
        <v>2</v>
      </c>
      <c r="BA10" s="330" t="n">
        <v>47</v>
      </c>
      <c r="BB10" s="330" t="n">
        <v>28</v>
      </c>
      <c r="BC10" s="330" t="n">
        <v>10</v>
      </c>
      <c r="BD10" s="330" t="n">
        <v>46</v>
      </c>
      <c r="BE10" s="330" t="n">
        <v>37</v>
      </c>
      <c r="BF10" s="330" t="n">
        <v>19</v>
      </c>
      <c r="BG10" s="333" t="n">
        <v>1</v>
      </c>
      <c r="BH10" s="293" t="s">
        <v>8035</v>
      </c>
      <c r="BI10" s="276" t="n">
        <v>4</v>
      </c>
      <c r="BJ10" s="277"/>
      <c r="BK10" s="277"/>
    </row>
    <row r="11" customFormat="false" ht="22.85" hidden="false" customHeight="true" outlineLevel="0" collapsed="false">
      <c r="A11" s="272"/>
      <c r="B11" s="318"/>
      <c r="C11" s="274" t="s">
        <v>666</v>
      </c>
      <c r="D11" s="276" t="n">
        <v>3</v>
      </c>
      <c r="E11" s="280" t="s">
        <v>8035</v>
      </c>
      <c r="F11" s="334" t="n">
        <v>19</v>
      </c>
      <c r="G11" s="335" t="n">
        <v>1</v>
      </c>
      <c r="H11" s="336" t="n">
        <v>46</v>
      </c>
      <c r="I11" s="336" t="n">
        <v>10</v>
      </c>
      <c r="J11" s="336" t="n">
        <v>28</v>
      </c>
      <c r="K11" s="336" t="n">
        <v>37</v>
      </c>
      <c r="L11" s="336" t="n">
        <v>47</v>
      </c>
      <c r="M11" s="337" t="n">
        <v>2</v>
      </c>
      <c r="N11" s="336" t="n">
        <v>11</v>
      </c>
      <c r="O11" s="338" t="n">
        <v>20</v>
      </c>
      <c r="P11" s="336" t="n">
        <v>38</v>
      </c>
      <c r="Q11" s="336" t="n">
        <v>29</v>
      </c>
      <c r="R11" s="336" t="n">
        <v>42</v>
      </c>
      <c r="S11" s="336" t="n">
        <v>24</v>
      </c>
      <c r="T11" s="339" t="n">
        <v>6</v>
      </c>
      <c r="U11" s="336" t="n">
        <v>33</v>
      </c>
      <c r="V11" s="336" t="n">
        <v>51</v>
      </c>
      <c r="W11" s="340" t="n">
        <v>15</v>
      </c>
      <c r="X11" s="334" t="n">
        <v>19</v>
      </c>
      <c r="Y11" s="335" t="n">
        <v>1</v>
      </c>
      <c r="Z11" s="336" t="n">
        <v>46</v>
      </c>
      <c r="AA11" s="336" t="n">
        <v>10</v>
      </c>
      <c r="AB11" s="336" t="n">
        <v>28</v>
      </c>
      <c r="AC11" s="336" t="n">
        <v>37</v>
      </c>
      <c r="AD11" s="336" t="n">
        <v>47</v>
      </c>
      <c r="AE11" s="337" t="n">
        <v>2</v>
      </c>
      <c r="AF11" s="336" t="n">
        <v>11</v>
      </c>
      <c r="AG11" s="338" t="n">
        <v>20</v>
      </c>
      <c r="AH11" s="336" t="n">
        <v>38</v>
      </c>
      <c r="AI11" s="336" t="n">
        <v>29</v>
      </c>
      <c r="AJ11" s="336" t="n">
        <v>42</v>
      </c>
      <c r="AK11" s="336" t="n">
        <v>24</v>
      </c>
      <c r="AL11" s="339" t="n">
        <v>6</v>
      </c>
      <c r="AM11" s="336" t="n">
        <v>33</v>
      </c>
      <c r="AN11" s="336" t="n">
        <v>51</v>
      </c>
      <c r="AO11" s="340" t="n">
        <v>15</v>
      </c>
      <c r="AP11" s="334" t="n">
        <v>19</v>
      </c>
      <c r="AQ11" s="335" t="n">
        <v>1</v>
      </c>
      <c r="AR11" s="336" t="n">
        <v>46</v>
      </c>
      <c r="AS11" s="336" t="n">
        <v>10</v>
      </c>
      <c r="AT11" s="336" t="n">
        <v>28</v>
      </c>
      <c r="AU11" s="336" t="n">
        <v>37</v>
      </c>
      <c r="AV11" s="336" t="n">
        <v>47</v>
      </c>
      <c r="AW11" s="337" t="n">
        <v>2</v>
      </c>
      <c r="AX11" s="336" t="n">
        <v>11</v>
      </c>
      <c r="AY11" s="338" t="n">
        <v>20</v>
      </c>
      <c r="AZ11" s="336" t="n">
        <v>38</v>
      </c>
      <c r="BA11" s="336" t="n">
        <v>29</v>
      </c>
      <c r="BB11" s="336" t="n">
        <v>42</v>
      </c>
      <c r="BC11" s="336" t="n">
        <v>24</v>
      </c>
      <c r="BD11" s="339" t="n">
        <v>6</v>
      </c>
      <c r="BE11" s="336" t="n">
        <v>33</v>
      </c>
      <c r="BF11" s="336" t="n">
        <v>51</v>
      </c>
      <c r="BG11" s="340" t="n">
        <v>15</v>
      </c>
      <c r="BH11" s="293" t="s">
        <v>8035</v>
      </c>
      <c r="BI11" s="276" t="n">
        <v>3</v>
      </c>
      <c r="BJ11" s="277"/>
      <c r="BK11" s="277"/>
    </row>
    <row r="12" customFormat="false" ht="22.85" hidden="false" customHeight="false" outlineLevel="0" collapsed="false">
      <c r="A12" s="272"/>
      <c r="B12" s="318"/>
      <c r="C12" s="274"/>
      <c r="D12" s="276" t="n">
        <v>2</v>
      </c>
      <c r="E12" s="287" t="s">
        <v>8035</v>
      </c>
      <c r="F12" s="341" t="n">
        <v>12</v>
      </c>
      <c r="G12" s="342" t="n">
        <v>3</v>
      </c>
      <c r="H12" s="343" t="n">
        <v>21</v>
      </c>
      <c r="I12" s="344" t="n">
        <v>43</v>
      </c>
      <c r="J12" s="344" t="n">
        <v>48</v>
      </c>
      <c r="K12" s="344" t="n">
        <v>49</v>
      </c>
      <c r="L12" s="344" t="n">
        <v>31</v>
      </c>
      <c r="M12" s="344" t="n">
        <v>13</v>
      </c>
      <c r="N12" s="345" t="n">
        <v>22</v>
      </c>
      <c r="O12" s="346" t="n">
        <v>4</v>
      </c>
      <c r="P12" s="343" t="n">
        <v>16</v>
      </c>
      <c r="Q12" s="344" t="n">
        <v>30</v>
      </c>
      <c r="R12" s="344" t="n">
        <v>45</v>
      </c>
      <c r="S12" s="344" t="n">
        <v>9</v>
      </c>
      <c r="T12" s="344" t="n">
        <v>27</v>
      </c>
      <c r="U12" s="344" t="n">
        <v>36</v>
      </c>
      <c r="V12" s="344" t="n">
        <v>18</v>
      </c>
      <c r="W12" s="347" t="n">
        <v>54</v>
      </c>
      <c r="X12" s="341" t="n">
        <v>12</v>
      </c>
      <c r="Y12" s="342" t="n">
        <v>3</v>
      </c>
      <c r="Z12" s="343" t="n">
        <v>21</v>
      </c>
      <c r="AA12" s="344" t="n">
        <v>43</v>
      </c>
      <c r="AB12" s="344" t="n">
        <v>48</v>
      </c>
      <c r="AC12" s="344" t="n">
        <v>49</v>
      </c>
      <c r="AD12" s="344" t="n">
        <v>31</v>
      </c>
      <c r="AE12" s="344" t="n">
        <v>13</v>
      </c>
      <c r="AF12" s="345" t="n">
        <v>22</v>
      </c>
      <c r="AG12" s="346" t="n">
        <v>4</v>
      </c>
      <c r="AH12" s="343" t="n">
        <v>16</v>
      </c>
      <c r="AI12" s="344" t="n">
        <v>30</v>
      </c>
      <c r="AJ12" s="344" t="n">
        <v>45</v>
      </c>
      <c r="AK12" s="344" t="n">
        <v>9</v>
      </c>
      <c r="AL12" s="344" t="n">
        <v>27</v>
      </c>
      <c r="AM12" s="344" t="n">
        <v>36</v>
      </c>
      <c r="AN12" s="344" t="n">
        <v>18</v>
      </c>
      <c r="AO12" s="347" t="n">
        <v>54</v>
      </c>
      <c r="AP12" s="341" t="n">
        <v>12</v>
      </c>
      <c r="AQ12" s="342" t="n">
        <v>3</v>
      </c>
      <c r="AR12" s="343" t="n">
        <v>21</v>
      </c>
      <c r="AS12" s="344" t="n">
        <v>43</v>
      </c>
      <c r="AT12" s="344" t="n">
        <v>48</v>
      </c>
      <c r="AU12" s="344" t="n">
        <v>49</v>
      </c>
      <c r="AV12" s="344" t="n">
        <v>31</v>
      </c>
      <c r="AW12" s="344" t="n">
        <v>13</v>
      </c>
      <c r="AX12" s="345" t="n">
        <v>22</v>
      </c>
      <c r="AY12" s="346" t="n">
        <v>4</v>
      </c>
      <c r="AZ12" s="343" t="n">
        <v>16</v>
      </c>
      <c r="BA12" s="344" t="n">
        <v>30</v>
      </c>
      <c r="BB12" s="344" t="n">
        <v>45</v>
      </c>
      <c r="BC12" s="344" t="n">
        <v>9</v>
      </c>
      <c r="BD12" s="344" t="n">
        <v>27</v>
      </c>
      <c r="BE12" s="344" t="n">
        <v>36</v>
      </c>
      <c r="BF12" s="344" t="n">
        <v>18</v>
      </c>
      <c r="BG12" s="347" t="n">
        <v>54</v>
      </c>
      <c r="BH12" s="293" t="s">
        <v>8035</v>
      </c>
      <c r="BI12" s="276" t="n">
        <v>2</v>
      </c>
      <c r="BJ12" s="277"/>
      <c r="BK12" s="277"/>
    </row>
    <row r="13" customFormat="false" ht="22.85" hidden="false" customHeight="false" outlineLevel="0" collapsed="false">
      <c r="A13" s="272"/>
      <c r="B13" s="318"/>
      <c r="C13" s="274"/>
      <c r="D13" s="294" t="n">
        <v>1</v>
      </c>
      <c r="E13" s="295" t="s">
        <v>8035</v>
      </c>
      <c r="F13" s="348" t="n">
        <v>44</v>
      </c>
      <c r="G13" s="349" t="n">
        <v>17</v>
      </c>
      <c r="H13" s="350" t="n">
        <v>8</v>
      </c>
      <c r="I13" s="350" t="n">
        <v>35</v>
      </c>
      <c r="J13" s="350" t="n">
        <v>26</v>
      </c>
      <c r="K13" s="350" t="n">
        <v>53</v>
      </c>
      <c r="L13" s="350" t="n">
        <v>25</v>
      </c>
      <c r="M13" s="350" t="n">
        <v>40</v>
      </c>
      <c r="N13" s="350" t="n">
        <v>52</v>
      </c>
      <c r="O13" s="349" t="n">
        <v>34</v>
      </c>
      <c r="P13" s="350" t="n">
        <v>39</v>
      </c>
      <c r="Q13" s="350" t="n">
        <v>7</v>
      </c>
      <c r="R13" s="350" t="n">
        <v>41</v>
      </c>
      <c r="S13" s="350" t="n">
        <v>23</v>
      </c>
      <c r="T13" s="350" t="n">
        <v>14</v>
      </c>
      <c r="U13" s="350" t="n">
        <v>50</v>
      </c>
      <c r="V13" s="351" t="n">
        <v>5</v>
      </c>
      <c r="W13" s="352" t="n">
        <v>32</v>
      </c>
      <c r="X13" s="348" t="n">
        <v>44</v>
      </c>
      <c r="Y13" s="349" t="n">
        <v>17</v>
      </c>
      <c r="Z13" s="350" t="n">
        <v>8</v>
      </c>
      <c r="AA13" s="350" t="n">
        <v>35</v>
      </c>
      <c r="AB13" s="350" t="n">
        <v>26</v>
      </c>
      <c r="AC13" s="350" t="n">
        <v>53</v>
      </c>
      <c r="AD13" s="350" t="n">
        <v>25</v>
      </c>
      <c r="AE13" s="350" t="n">
        <v>40</v>
      </c>
      <c r="AF13" s="350" t="n">
        <v>52</v>
      </c>
      <c r="AG13" s="349" t="n">
        <v>34</v>
      </c>
      <c r="AH13" s="350" t="n">
        <v>39</v>
      </c>
      <c r="AI13" s="350" t="n">
        <v>7</v>
      </c>
      <c r="AJ13" s="350" t="n">
        <v>41</v>
      </c>
      <c r="AK13" s="350" t="n">
        <v>23</v>
      </c>
      <c r="AL13" s="350" t="n">
        <v>14</v>
      </c>
      <c r="AM13" s="350" t="n">
        <v>50</v>
      </c>
      <c r="AN13" s="351" t="n">
        <v>5</v>
      </c>
      <c r="AO13" s="352" t="n">
        <v>32</v>
      </c>
      <c r="AP13" s="348" t="n">
        <v>44</v>
      </c>
      <c r="AQ13" s="349" t="n">
        <v>17</v>
      </c>
      <c r="AR13" s="350" t="n">
        <v>8</v>
      </c>
      <c r="AS13" s="350" t="n">
        <v>35</v>
      </c>
      <c r="AT13" s="350" t="n">
        <v>26</v>
      </c>
      <c r="AU13" s="350" t="n">
        <v>53</v>
      </c>
      <c r="AV13" s="350" t="n">
        <v>25</v>
      </c>
      <c r="AW13" s="350" t="n">
        <v>40</v>
      </c>
      <c r="AX13" s="350" t="n">
        <v>52</v>
      </c>
      <c r="AY13" s="349" t="n">
        <v>34</v>
      </c>
      <c r="AZ13" s="350" t="n">
        <v>39</v>
      </c>
      <c r="BA13" s="350" t="n">
        <v>7</v>
      </c>
      <c r="BB13" s="350" t="n">
        <v>41</v>
      </c>
      <c r="BC13" s="350" t="n">
        <v>23</v>
      </c>
      <c r="BD13" s="350" t="n">
        <v>14</v>
      </c>
      <c r="BE13" s="350" t="n">
        <v>50</v>
      </c>
      <c r="BF13" s="351" t="n">
        <v>5</v>
      </c>
      <c r="BG13" s="352" t="n">
        <v>32</v>
      </c>
      <c r="BH13" s="353" t="s">
        <v>8035</v>
      </c>
      <c r="BI13" s="276" t="n">
        <v>1</v>
      </c>
      <c r="BJ13" s="277"/>
      <c r="BK13" s="277"/>
    </row>
    <row r="14" customFormat="false" ht="22.05" hidden="false" customHeight="false" outlineLevel="0" collapsed="false">
      <c r="A14" s="354"/>
      <c r="B14" s="273"/>
      <c r="C14" s="273"/>
      <c r="D14" s="273"/>
      <c r="E14" s="276" t="n">
        <v>1</v>
      </c>
      <c r="F14" s="276" t="n">
        <v>2</v>
      </c>
      <c r="G14" s="276" t="n">
        <v>3</v>
      </c>
      <c r="H14" s="276" t="n">
        <v>4</v>
      </c>
      <c r="I14" s="276" t="n">
        <v>5</v>
      </c>
      <c r="J14" s="276" t="n">
        <v>6</v>
      </c>
      <c r="K14" s="276" t="n">
        <v>7</v>
      </c>
      <c r="L14" s="276" t="n">
        <v>8</v>
      </c>
      <c r="M14" s="276" t="n">
        <v>9</v>
      </c>
      <c r="N14" s="276" t="n">
        <v>10</v>
      </c>
      <c r="O14" s="276" t="n">
        <v>11</v>
      </c>
      <c r="P14" s="276" t="n">
        <v>12</v>
      </c>
      <c r="Q14" s="276" t="n">
        <v>13</v>
      </c>
      <c r="R14" s="276" t="n">
        <v>14</v>
      </c>
      <c r="S14" s="276" t="n">
        <v>15</v>
      </c>
      <c r="T14" s="276" t="n">
        <v>16</v>
      </c>
      <c r="U14" s="276" t="n">
        <v>17</v>
      </c>
      <c r="V14" s="276" t="n">
        <v>18</v>
      </c>
      <c r="W14" s="276" t="n">
        <v>19</v>
      </c>
      <c r="X14" s="276" t="n">
        <v>20</v>
      </c>
      <c r="Y14" s="276" t="n">
        <v>21</v>
      </c>
      <c r="Z14" s="276" t="n">
        <v>22</v>
      </c>
      <c r="AA14" s="276" t="n">
        <v>23</v>
      </c>
      <c r="AB14" s="276" t="n">
        <v>24</v>
      </c>
      <c r="AC14" s="276" t="n">
        <v>25</v>
      </c>
      <c r="AD14" s="276" t="n">
        <v>26</v>
      </c>
      <c r="AE14" s="276" t="n">
        <v>27</v>
      </c>
      <c r="AF14" s="276" t="n">
        <v>28</v>
      </c>
      <c r="AG14" s="276" t="n">
        <v>29</v>
      </c>
      <c r="AH14" s="276" t="n">
        <v>30</v>
      </c>
      <c r="AI14" s="276" t="n">
        <v>31</v>
      </c>
      <c r="AJ14" s="276" t="n">
        <v>32</v>
      </c>
      <c r="AK14" s="276" t="n">
        <v>33</v>
      </c>
      <c r="AL14" s="276" t="n">
        <v>34</v>
      </c>
      <c r="AM14" s="276" t="n">
        <v>35</v>
      </c>
      <c r="AN14" s="276" t="n">
        <v>36</v>
      </c>
      <c r="AO14" s="276" t="n">
        <v>37</v>
      </c>
      <c r="AP14" s="276" t="n">
        <v>38</v>
      </c>
      <c r="AQ14" s="276" t="n">
        <v>39</v>
      </c>
      <c r="AR14" s="276" t="n">
        <v>40</v>
      </c>
      <c r="AS14" s="276" t="n">
        <v>41</v>
      </c>
      <c r="AT14" s="276" t="n">
        <v>42</v>
      </c>
      <c r="AU14" s="276" t="n">
        <v>43</v>
      </c>
      <c r="AV14" s="276" t="n">
        <v>44</v>
      </c>
      <c r="AW14" s="276" t="n">
        <v>45</v>
      </c>
      <c r="AX14" s="276" t="n">
        <v>46</v>
      </c>
      <c r="AY14" s="276" t="n">
        <v>47</v>
      </c>
      <c r="AZ14" s="276" t="n">
        <v>48</v>
      </c>
      <c r="BA14" s="276" t="n">
        <v>49</v>
      </c>
      <c r="BB14" s="276" t="n">
        <v>50</v>
      </c>
      <c r="BC14" s="276" t="n">
        <v>51</v>
      </c>
      <c r="BD14" s="276" t="n">
        <v>52</v>
      </c>
      <c r="BE14" s="276" t="n">
        <v>53</v>
      </c>
      <c r="BF14" s="276" t="n">
        <v>54</v>
      </c>
      <c r="BG14" s="276" t="n">
        <v>55</v>
      </c>
      <c r="BH14" s="276" t="n">
        <v>56</v>
      </c>
      <c r="BI14" s="273"/>
      <c r="BJ14" s="277"/>
      <c r="BK14" s="277"/>
    </row>
    <row r="15" customFormat="false" ht="15" hidden="false" customHeight="false" outlineLevel="0" collapsed="false">
      <c r="A15" s="354"/>
      <c r="B15" s="277"/>
      <c r="C15" s="277"/>
      <c r="D15" s="277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  <c r="AA15" s="277"/>
      <c r="AB15" s="277"/>
      <c r="AC15" s="277"/>
      <c r="AD15" s="277"/>
      <c r="AE15" s="277"/>
      <c r="AF15" s="277"/>
      <c r="AG15" s="277"/>
      <c r="AH15" s="277"/>
      <c r="AI15" s="277"/>
      <c r="AJ15" s="277"/>
      <c r="AK15" s="277"/>
      <c r="AL15" s="277"/>
      <c r="AM15" s="277"/>
      <c r="AN15" s="277"/>
      <c r="AO15" s="277"/>
      <c r="AP15" s="277"/>
      <c r="AQ15" s="277"/>
      <c r="AR15" s="277"/>
      <c r="AS15" s="277"/>
      <c r="AT15" s="277"/>
      <c r="AU15" s="277"/>
      <c r="AV15" s="277"/>
      <c r="AW15" s="277"/>
      <c r="AX15" s="277"/>
      <c r="AY15" s="277"/>
      <c r="AZ15" s="277"/>
      <c r="BA15" s="277"/>
      <c r="BB15" s="277"/>
      <c r="BC15" s="277"/>
      <c r="BD15" s="277"/>
      <c r="BE15" s="277"/>
      <c r="BF15" s="277"/>
      <c r="BG15" s="277"/>
      <c r="BH15" s="277"/>
      <c r="BI15" s="277"/>
      <c r="BJ15" s="277"/>
      <c r="BK15" s="277"/>
    </row>
    <row r="16" customFormat="false" ht="15" hidden="false" customHeight="false" outlineLevel="0" collapsed="false">
      <c r="A16" s="354"/>
      <c r="B16" s="277"/>
      <c r="C16" s="277"/>
      <c r="D16" s="277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7"/>
      <c r="AR16" s="277"/>
      <c r="AS16" s="277"/>
      <c r="AT16" s="277"/>
      <c r="AU16" s="277"/>
      <c r="AV16" s="277"/>
      <c r="AW16" s="277"/>
      <c r="AX16" s="277"/>
      <c r="AY16" s="277"/>
      <c r="AZ16" s="277"/>
      <c r="BA16" s="277"/>
      <c r="BB16" s="277"/>
      <c r="BC16" s="277"/>
      <c r="BD16" s="277"/>
      <c r="BE16" s="277"/>
      <c r="BF16" s="277"/>
      <c r="BG16" s="277"/>
      <c r="BH16" s="277"/>
      <c r="BI16" s="277"/>
      <c r="BJ16" s="277"/>
      <c r="BK16" s="277"/>
    </row>
    <row r="17" customFormat="false" ht="15" hidden="false" customHeight="false" outlineLevel="0" collapsed="false">
      <c r="A17" s="354"/>
      <c r="B17" s="277"/>
      <c r="C17" s="277"/>
      <c r="D17" s="277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7"/>
      <c r="AR17" s="277"/>
      <c r="AS17" s="277"/>
      <c r="AT17" s="277"/>
      <c r="AU17" s="277"/>
      <c r="AV17" s="277"/>
      <c r="AW17" s="277"/>
      <c r="AX17" s="277"/>
      <c r="AY17" s="277"/>
      <c r="AZ17" s="277"/>
      <c r="BA17" s="277"/>
      <c r="BB17" s="277"/>
      <c r="BC17" s="277"/>
      <c r="BD17" s="277"/>
      <c r="BE17" s="277"/>
      <c r="BF17" s="277"/>
      <c r="BG17" s="277"/>
      <c r="BH17" s="277"/>
      <c r="BI17" s="277"/>
      <c r="BJ17" s="277"/>
      <c r="BK17" s="277"/>
    </row>
    <row r="18" customFormat="false" ht="15" hidden="false" customHeight="true" outlineLevel="0" collapsed="false">
      <c r="A18" s="354"/>
      <c r="B18" s="355" t="n">
        <v>1</v>
      </c>
      <c r="C18" s="355"/>
      <c r="D18" s="355"/>
      <c r="E18" s="356" t="s">
        <v>8037</v>
      </c>
      <c r="F18" s="356"/>
      <c r="G18" s="356"/>
      <c r="H18" s="356"/>
      <c r="I18" s="356"/>
      <c r="J18" s="356"/>
      <c r="K18" s="356"/>
      <c r="L18" s="357"/>
      <c r="M18" s="277"/>
      <c r="N18" s="277"/>
      <c r="O18" s="277"/>
      <c r="P18" s="277"/>
      <c r="Q18" s="358" t="s">
        <v>8038</v>
      </c>
      <c r="R18" s="359"/>
      <c r="S18" s="277"/>
      <c r="T18" s="277" t="s">
        <v>8039</v>
      </c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277"/>
      <c r="AR18" s="277"/>
      <c r="AS18" s="277"/>
      <c r="AT18" s="277"/>
      <c r="AU18" s="277"/>
      <c r="AV18" s="277"/>
      <c r="AW18" s="277"/>
      <c r="AX18" s="277"/>
      <c r="AY18" s="277"/>
      <c r="AZ18" s="277"/>
      <c r="BA18" s="277"/>
      <c r="BB18" s="277"/>
      <c r="BC18" s="277"/>
      <c r="BD18" s="277"/>
      <c r="BE18" s="277"/>
      <c r="BF18" s="277"/>
      <c r="BG18" s="277"/>
      <c r="BH18" s="277"/>
      <c r="BI18" s="277"/>
      <c r="BJ18" s="277"/>
      <c r="BK18" s="277"/>
    </row>
    <row r="19" customFormat="false" ht="15" hidden="false" customHeight="true" outlineLevel="0" collapsed="false">
      <c r="A19" s="354"/>
      <c r="B19" s="360" t="n">
        <v>3</v>
      </c>
      <c r="C19" s="360"/>
      <c r="D19" s="360"/>
      <c r="E19" s="356" t="s">
        <v>8040</v>
      </c>
      <c r="F19" s="356"/>
      <c r="G19" s="356"/>
      <c r="H19" s="356"/>
      <c r="I19" s="356"/>
      <c r="J19" s="356"/>
      <c r="K19" s="356"/>
      <c r="L19" s="357"/>
      <c r="M19" s="277"/>
      <c r="N19" s="277"/>
      <c r="O19" s="277"/>
      <c r="P19" s="277"/>
      <c r="Q19" s="277"/>
      <c r="R19" s="359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277"/>
      <c r="AR19" s="277"/>
      <c r="AS19" s="277"/>
      <c r="AT19" s="277"/>
      <c r="AU19" s="277"/>
      <c r="AV19" s="277"/>
      <c r="AW19" s="277"/>
      <c r="AX19" s="277"/>
      <c r="AY19" s="277"/>
      <c r="AZ19" s="277"/>
      <c r="BA19" s="277"/>
      <c r="BB19" s="277"/>
      <c r="BC19" s="277"/>
      <c r="BD19" s="277"/>
      <c r="BE19" s="277"/>
      <c r="BF19" s="277"/>
      <c r="BG19" s="277"/>
      <c r="BH19" s="277"/>
      <c r="BI19" s="277"/>
      <c r="BJ19" s="277"/>
      <c r="BK19" s="277"/>
    </row>
    <row r="20" customFormat="false" ht="19.7" hidden="false" customHeight="true" outlineLevel="0" collapsed="false">
      <c r="A20" s="354"/>
      <c r="B20" s="361" t="n">
        <v>5</v>
      </c>
      <c r="C20" s="361"/>
      <c r="D20" s="361"/>
      <c r="E20" s="356" t="s">
        <v>8041</v>
      </c>
      <c r="F20" s="356"/>
      <c r="G20" s="356"/>
      <c r="H20" s="356"/>
      <c r="I20" s="356"/>
      <c r="J20" s="356"/>
      <c r="K20" s="356"/>
      <c r="L20" s="35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355" t="n">
        <v>1</v>
      </c>
      <c r="AA20" s="362" t="s">
        <v>8042</v>
      </c>
      <c r="AB20" s="363" t="n">
        <v>2</v>
      </c>
      <c r="AC20" s="277"/>
      <c r="AD20" s="364" t="s">
        <v>8043</v>
      </c>
      <c r="AE20" s="364"/>
      <c r="AF20" s="364"/>
      <c r="AG20" s="364"/>
      <c r="AH20" s="365" t="s">
        <v>8044</v>
      </c>
      <c r="AI20" s="365"/>
      <c r="AJ20" s="365"/>
      <c r="AK20" s="365"/>
      <c r="AL20" s="365"/>
      <c r="AM20" s="365"/>
      <c r="AN20" s="365"/>
      <c r="AO20" s="365"/>
      <c r="AP20" s="365"/>
      <c r="AQ20" s="365"/>
      <c r="AR20" s="365"/>
      <c r="AS20" s="365"/>
      <c r="AT20" s="365"/>
      <c r="AU20" s="365"/>
      <c r="AV20" s="365"/>
      <c r="AW20" s="365"/>
      <c r="AX20" s="365"/>
      <c r="AY20" s="365"/>
      <c r="AZ20" s="365"/>
      <c r="BA20" s="365"/>
      <c r="BB20" s="365"/>
      <c r="BC20" s="365"/>
      <c r="BD20" s="365"/>
      <c r="BE20" s="365"/>
      <c r="BF20" s="277"/>
      <c r="BG20" s="365"/>
      <c r="BH20" s="365"/>
      <c r="BI20" s="365"/>
      <c r="BJ20" s="365"/>
      <c r="BK20" s="365"/>
    </row>
    <row r="21" customFormat="false" ht="15" hidden="false" customHeight="false" outlineLevel="0" collapsed="false">
      <c r="A21" s="354"/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 t="s">
        <v>8045</v>
      </c>
      <c r="R21" s="277"/>
      <c r="S21" s="277"/>
      <c r="T21" s="277" t="s">
        <v>8046</v>
      </c>
      <c r="U21" s="277"/>
      <c r="V21" s="277"/>
      <c r="W21" s="277"/>
      <c r="X21" s="277"/>
      <c r="Y21" s="277"/>
      <c r="Z21" s="355"/>
      <c r="AA21" s="277"/>
      <c r="AB21" s="363"/>
      <c r="AC21" s="277"/>
      <c r="AD21" s="277"/>
      <c r="AE21" s="277"/>
      <c r="AF21" s="277"/>
      <c r="AG21" s="277"/>
      <c r="AH21" s="277"/>
      <c r="AI21" s="277"/>
      <c r="AJ21" s="277"/>
      <c r="AK21" s="277"/>
      <c r="AL21" s="277"/>
      <c r="AM21" s="277"/>
      <c r="AN21" s="277"/>
      <c r="AO21" s="277"/>
      <c r="AP21" s="277"/>
      <c r="AQ21" s="277"/>
      <c r="AR21" s="277"/>
      <c r="AS21" s="277"/>
      <c r="AT21" s="277"/>
      <c r="AU21" s="277"/>
      <c r="AV21" s="277"/>
      <c r="AW21" s="277"/>
      <c r="AX21" s="277"/>
      <c r="AY21" s="277"/>
      <c r="AZ21" s="277"/>
      <c r="BA21" s="277"/>
      <c r="BB21" s="277"/>
      <c r="BC21" s="277"/>
      <c r="BD21" s="277"/>
      <c r="BE21" s="277"/>
      <c r="BF21" s="277"/>
      <c r="BG21" s="277"/>
      <c r="BH21" s="277"/>
      <c r="BI21" s="277"/>
      <c r="BJ21" s="277"/>
      <c r="BK21" s="277"/>
    </row>
    <row r="22" customFormat="false" ht="15" hidden="false" customHeight="false" outlineLevel="0" collapsed="false">
      <c r="A22" s="354"/>
      <c r="B22" s="277"/>
      <c r="C22" s="277"/>
      <c r="D22" s="277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365"/>
      <c r="AE22" s="365"/>
      <c r="AF22" s="365"/>
      <c r="AG22" s="365"/>
      <c r="AH22" s="365"/>
      <c r="AI22" s="365"/>
      <c r="AJ22" s="365"/>
      <c r="AK22" s="365"/>
      <c r="AL22" s="365"/>
      <c r="AM22" s="365"/>
      <c r="AN22" s="365"/>
      <c r="AO22" s="365"/>
      <c r="AP22" s="365"/>
      <c r="AQ22" s="365"/>
      <c r="AR22" s="365"/>
      <c r="AS22" s="365"/>
      <c r="AT22" s="365"/>
      <c r="AU22" s="365"/>
      <c r="AV22" s="365"/>
      <c r="AW22" s="365"/>
      <c r="AX22" s="365"/>
      <c r="AY22" s="365"/>
      <c r="AZ22" s="365"/>
      <c r="BA22" s="365"/>
      <c r="BB22" s="365"/>
      <c r="BC22" s="277"/>
      <c r="BD22" s="365"/>
      <c r="BE22" s="365"/>
      <c r="BF22" s="365"/>
      <c r="BG22" s="365"/>
      <c r="BH22" s="365"/>
      <c r="BI22" s="277"/>
      <c r="BJ22" s="277"/>
      <c r="BK22" s="277"/>
    </row>
    <row r="23" customFormat="false" ht="15" hidden="false" customHeight="true" outlineLevel="0" collapsed="false">
      <c r="A23" s="354"/>
      <c r="B23" s="363" t="n">
        <v>2</v>
      </c>
      <c r="C23" s="363"/>
      <c r="D23" s="363"/>
      <c r="E23" s="356" t="s">
        <v>8047</v>
      </c>
      <c r="F23" s="356"/>
      <c r="G23" s="356"/>
      <c r="H23" s="356"/>
      <c r="I23" s="356"/>
      <c r="J23" s="356"/>
      <c r="K23" s="356"/>
      <c r="L23" s="35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  <c r="AA23" s="277"/>
      <c r="AB23" s="277"/>
      <c r="AC23" s="277"/>
      <c r="AD23" s="277"/>
      <c r="AE23" s="277"/>
      <c r="AF23" s="277"/>
      <c r="AG23" s="277"/>
      <c r="AH23" s="277"/>
      <c r="AI23" s="277"/>
      <c r="AJ23" s="277"/>
      <c r="AK23" s="277"/>
      <c r="AL23" s="277"/>
      <c r="AM23" s="277"/>
      <c r="AN23" s="277"/>
      <c r="AO23" s="277"/>
      <c r="AP23" s="277"/>
      <c r="AQ23" s="277"/>
      <c r="AR23" s="277"/>
      <c r="AS23" s="277"/>
      <c r="AT23" s="277"/>
      <c r="AU23" s="277"/>
      <c r="AV23" s="277"/>
      <c r="AW23" s="277"/>
      <c r="AX23" s="277"/>
      <c r="AY23" s="277"/>
      <c r="AZ23" s="277"/>
      <c r="BA23" s="277"/>
      <c r="BB23" s="277"/>
      <c r="BC23" s="277"/>
      <c r="BD23" s="277"/>
      <c r="BE23" s="277"/>
      <c r="BF23" s="277"/>
      <c r="BG23" s="277"/>
      <c r="BH23" s="277"/>
      <c r="BI23" s="277"/>
      <c r="BJ23" s="277"/>
      <c r="BK23" s="277"/>
    </row>
    <row r="24" customFormat="false" ht="15" hidden="false" customHeight="true" outlineLevel="0" collapsed="false">
      <c r="A24" s="354"/>
      <c r="B24" s="366" t="n">
        <v>4</v>
      </c>
      <c r="C24" s="366"/>
      <c r="D24" s="366"/>
      <c r="E24" s="356" t="s">
        <v>8040</v>
      </c>
      <c r="F24" s="356"/>
      <c r="G24" s="356"/>
      <c r="H24" s="356"/>
      <c r="I24" s="356"/>
      <c r="J24" s="356"/>
      <c r="K24" s="356"/>
      <c r="L24" s="357"/>
      <c r="M24" s="277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  <c r="AG24" s="277"/>
      <c r="AH24" s="277"/>
      <c r="AI24" s="277"/>
      <c r="AJ24" s="277"/>
      <c r="AK24" s="277"/>
      <c r="AL24" s="277"/>
      <c r="AM24" s="277"/>
      <c r="AN24" s="277"/>
      <c r="AO24" s="277"/>
      <c r="AP24" s="277"/>
      <c r="AQ24" s="277"/>
      <c r="AR24" s="277"/>
      <c r="AS24" s="277"/>
      <c r="AT24" s="277"/>
      <c r="AU24" s="277"/>
      <c r="AV24" s="277"/>
      <c r="AW24" s="277"/>
      <c r="AX24" s="277"/>
      <c r="AY24" s="277"/>
      <c r="AZ24" s="277"/>
      <c r="BA24" s="277"/>
      <c r="BB24" s="277"/>
      <c r="BC24" s="277"/>
      <c r="BD24" s="277"/>
      <c r="BE24" s="277"/>
      <c r="BF24" s="277"/>
      <c r="BG24" s="277"/>
      <c r="BH24" s="277"/>
      <c r="BI24" s="277"/>
      <c r="BJ24" s="277"/>
      <c r="BK24" s="277"/>
    </row>
    <row r="25" customFormat="false" ht="15" hidden="false" customHeight="true" outlineLevel="0" collapsed="false">
      <c r="A25" s="354"/>
      <c r="B25" s="367" t="n">
        <v>6</v>
      </c>
      <c r="C25" s="367"/>
      <c r="D25" s="367"/>
      <c r="E25" s="356" t="s">
        <v>8041</v>
      </c>
      <c r="F25" s="356"/>
      <c r="G25" s="356"/>
      <c r="H25" s="356"/>
      <c r="I25" s="356"/>
      <c r="J25" s="356"/>
      <c r="K25" s="356"/>
      <c r="L25" s="357"/>
      <c r="M25" s="277"/>
      <c r="N25" s="277"/>
      <c r="O25" s="277"/>
      <c r="P25" s="277"/>
      <c r="Q25" s="277" t="s">
        <v>8048</v>
      </c>
      <c r="R25" s="277"/>
      <c r="S25" s="277"/>
      <c r="T25" s="277" t="s">
        <v>8049</v>
      </c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  <c r="AG25" s="277"/>
      <c r="AH25" s="277"/>
      <c r="AI25" s="277"/>
      <c r="AJ25" s="277"/>
      <c r="AK25" s="277"/>
      <c r="AL25" s="277"/>
      <c r="AM25" s="277"/>
      <c r="AN25" s="277"/>
      <c r="AO25" s="277"/>
      <c r="AP25" s="277"/>
      <c r="AQ25" s="277"/>
      <c r="AR25" s="277"/>
      <c r="AS25" s="277"/>
      <c r="AT25" s="277"/>
      <c r="AU25" s="277"/>
      <c r="AV25" s="277"/>
      <c r="AW25" s="277"/>
      <c r="AX25" s="277"/>
      <c r="AY25" s="277"/>
      <c r="AZ25" s="277"/>
      <c r="BA25" s="277"/>
      <c r="BB25" s="277"/>
      <c r="BC25" s="277"/>
      <c r="BD25" s="277"/>
      <c r="BE25" s="277"/>
      <c r="BF25" s="277"/>
      <c r="BG25" s="277"/>
      <c r="BH25" s="277"/>
      <c r="BI25" s="277"/>
      <c r="BJ25" s="277"/>
      <c r="BK25" s="277"/>
    </row>
    <row r="26" customFormat="false" ht="15" hidden="false" customHeight="false" outlineLevel="0" collapsed="false">
      <c r="A26" s="354"/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7"/>
      <c r="AG26" s="277"/>
      <c r="AH26" s="277"/>
      <c r="AI26" s="277"/>
      <c r="AJ26" s="277"/>
      <c r="AK26" s="277"/>
      <c r="AL26" s="277"/>
      <c r="AM26" s="277"/>
      <c r="AN26" s="277"/>
      <c r="AO26" s="277"/>
      <c r="AP26" s="277"/>
      <c r="AQ26" s="277"/>
      <c r="AR26" s="277"/>
      <c r="AS26" s="277"/>
      <c r="AT26" s="277"/>
      <c r="AU26" s="277"/>
      <c r="AV26" s="277"/>
      <c r="AW26" s="277"/>
      <c r="AX26" s="277"/>
      <c r="AY26" s="277"/>
      <c r="AZ26" s="277"/>
      <c r="BA26" s="277"/>
      <c r="BB26" s="277"/>
      <c r="BC26" s="277"/>
      <c r="BD26" s="277"/>
      <c r="BE26" s="277"/>
      <c r="BF26" s="277"/>
      <c r="BG26" s="277"/>
      <c r="BH26" s="277"/>
      <c r="BI26" s="277"/>
      <c r="BJ26" s="277"/>
      <c r="BK26" s="277"/>
    </row>
    <row r="27" customFormat="false" ht="15" hidden="false" customHeight="false" outlineLevel="0" collapsed="false">
      <c r="A27" s="354"/>
      <c r="B27" s="277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277"/>
      <c r="AT27" s="277"/>
      <c r="AU27" s="277"/>
      <c r="AV27" s="277"/>
      <c r="AW27" s="277"/>
      <c r="AX27" s="277"/>
      <c r="AY27" s="277"/>
      <c r="AZ27" s="277"/>
      <c r="BA27" s="277"/>
      <c r="BB27" s="277"/>
      <c r="BC27" s="277"/>
      <c r="BD27" s="277"/>
      <c r="BE27" s="277"/>
      <c r="BF27" s="277"/>
      <c r="BG27" s="277"/>
      <c r="BH27" s="277"/>
      <c r="BI27" s="277"/>
      <c r="BJ27" s="277"/>
      <c r="BK27" s="277"/>
    </row>
    <row r="28" customFormat="false" ht="15" hidden="false" customHeight="false" outlineLevel="0" collapsed="false">
      <c r="A28" s="354"/>
      <c r="B28" s="277"/>
      <c r="C28" s="277"/>
      <c r="D28" s="277"/>
      <c r="E28" s="277"/>
      <c r="F28" s="277"/>
      <c r="G28" s="277"/>
      <c r="H28" s="277" t="s">
        <v>8050</v>
      </c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  <c r="AG28" s="277"/>
      <c r="AH28" s="277"/>
      <c r="AI28" s="277"/>
      <c r="AJ28" s="277"/>
      <c r="AK28" s="277"/>
      <c r="AL28" s="277"/>
      <c r="AM28" s="277"/>
      <c r="AN28" s="277"/>
      <c r="AO28" s="277"/>
      <c r="AP28" s="277"/>
      <c r="AQ28" s="277"/>
      <c r="AR28" s="277"/>
      <c r="AS28" s="277"/>
      <c r="AT28" s="277"/>
      <c r="AU28" s="277"/>
      <c r="AV28" s="277"/>
      <c r="AW28" s="277"/>
      <c r="AX28" s="277"/>
      <c r="AY28" s="277"/>
      <c r="AZ28" s="277"/>
      <c r="BA28" s="277"/>
      <c r="BB28" s="277"/>
      <c r="BC28" s="277"/>
      <c r="BD28" s="277"/>
      <c r="BE28" s="277"/>
      <c r="BF28" s="277"/>
      <c r="BG28" s="277"/>
      <c r="BH28" s="277"/>
      <c r="BI28" s="277"/>
      <c r="BJ28" s="277"/>
      <c r="BK28" s="277"/>
    </row>
    <row r="29" customFormat="false" ht="15" hidden="false" customHeight="false" outlineLevel="0" collapsed="false">
      <c r="A29" s="354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277"/>
      <c r="AR29" s="277"/>
      <c r="AS29" s="277"/>
      <c r="AT29" s="277"/>
      <c r="AU29" s="277"/>
      <c r="AV29" s="277"/>
      <c r="AW29" s="277"/>
      <c r="AX29" s="277"/>
      <c r="AY29" s="277"/>
      <c r="AZ29" s="277"/>
      <c r="BA29" s="277"/>
      <c r="BB29" s="277"/>
      <c r="BC29" s="277"/>
      <c r="BD29" s="277"/>
      <c r="BE29" s="277"/>
      <c r="BF29" s="277"/>
      <c r="BG29" s="277"/>
      <c r="BH29" s="277"/>
      <c r="BI29" s="277"/>
      <c r="BJ29" s="277"/>
      <c r="BK29" s="277"/>
    </row>
  </sheetData>
  <mergeCells count="22">
    <mergeCell ref="A1:A13"/>
    <mergeCell ref="B2:B7"/>
    <mergeCell ref="C2:C4"/>
    <mergeCell ref="C5:C7"/>
    <mergeCell ref="B8:B13"/>
    <mergeCell ref="C8:C10"/>
    <mergeCell ref="C11:C13"/>
    <mergeCell ref="B18:D18"/>
    <mergeCell ref="E18:K18"/>
    <mergeCell ref="B19:D19"/>
    <mergeCell ref="E19:K19"/>
    <mergeCell ref="B20:D20"/>
    <mergeCell ref="E20:K20"/>
    <mergeCell ref="Z20:Z21"/>
    <mergeCell ref="AB20:AB21"/>
    <mergeCell ref="AD20:AG20"/>
    <mergeCell ref="B23:D23"/>
    <mergeCell ref="E23:K23"/>
    <mergeCell ref="B24:D24"/>
    <mergeCell ref="E24:K24"/>
    <mergeCell ref="B25:D25"/>
    <mergeCell ref="E25:K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1.43359375" defaultRowHeight="12" customHeight="true" zeroHeight="false" outlineLevelRow="0" outlineLevelCol="0"/>
  <cols>
    <col collapsed="false" customWidth="true" hidden="false" outlineLevel="0" max="1" min="1" style="368" width="17.14"/>
    <col collapsed="false" customWidth="true" hidden="false" outlineLevel="0" max="2" min="2" style="368" width="14.86"/>
    <col collapsed="false" customWidth="true" hidden="false" outlineLevel="0" max="3" min="3" style="368" width="28.86"/>
    <col collapsed="false" customWidth="true" hidden="false" outlineLevel="0" max="4" min="4" style="368" width="13.71"/>
    <col collapsed="false" customWidth="true" hidden="false" outlineLevel="0" max="5" min="5" style="368" width="35.86"/>
    <col collapsed="false" customWidth="false" hidden="false" outlineLevel="0" max="16384" min="6" style="369" width="11.43"/>
  </cols>
  <sheetData>
    <row r="1" customFormat="false" ht="15" hidden="false" customHeight="false" outlineLevel="0" collapsed="false">
      <c r="A1" s="370" t="s">
        <v>8051</v>
      </c>
      <c r="B1" s="370" t="s">
        <v>213</v>
      </c>
      <c r="C1" s="370" t="s">
        <v>8052</v>
      </c>
      <c r="D1" s="370" t="s">
        <v>8053</v>
      </c>
      <c r="E1" s="370" t="s">
        <v>8054</v>
      </c>
    </row>
    <row r="2" customFormat="false" ht="15" hidden="false" customHeight="false" outlineLevel="0" collapsed="false">
      <c r="A2" s="371" t="s">
        <v>8055</v>
      </c>
      <c r="B2" s="372" t="n">
        <v>40413</v>
      </c>
      <c r="C2" s="372" t="s">
        <v>8056</v>
      </c>
      <c r="D2" s="373"/>
      <c r="E2" s="373" t="s">
        <v>8057</v>
      </c>
    </row>
    <row r="3" customFormat="false" ht="15" hidden="false" customHeight="false" outlineLevel="0" collapsed="false">
      <c r="A3" s="371" t="s">
        <v>8055</v>
      </c>
      <c r="B3" s="372" t="n">
        <v>40418</v>
      </c>
      <c r="C3" s="372" t="s">
        <v>8058</v>
      </c>
      <c r="D3" s="373"/>
      <c r="E3" s="373" t="s">
        <v>8059</v>
      </c>
    </row>
    <row r="4" customFormat="false" ht="15" hidden="false" customHeight="false" outlineLevel="0" collapsed="false">
      <c r="A4" s="371" t="s">
        <v>8060</v>
      </c>
      <c r="B4" s="372" t="n">
        <v>40429</v>
      </c>
      <c r="C4" s="372"/>
      <c r="D4" s="373"/>
      <c r="E4" s="373" t="s">
        <v>8061</v>
      </c>
    </row>
    <row r="5" customFormat="false" ht="15" hidden="false" customHeight="false" outlineLevel="0" collapsed="false">
      <c r="A5" s="371" t="s">
        <v>8062</v>
      </c>
      <c r="B5" s="374" t="n">
        <v>40453</v>
      </c>
      <c r="C5" s="372" t="s">
        <v>8063</v>
      </c>
      <c r="D5" s="372"/>
      <c r="E5" s="372" t="s">
        <v>8064</v>
      </c>
    </row>
    <row r="6" customFormat="false" ht="15" hidden="false" customHeight="false" outlineLevel="0" collapsed="false">
      <c r="A6" s="371" t="s">
        <v>8065</v>
      </c>
      <c r="B6" s="372" t="n">
        <v>40457</v>
      </c>
      <c r="C6" s="372" t="s">
        <v>8066</v>
      </c>
      <c r="D6" s="372"/>
      <c r="E6" s="372" t="s">
        <v>8067</v>
      </c>
    </row>
    <row r="7" customFormat="false" ht="15" hidden="false" customHeight="false" outlineLevel="0" collapsed="false">
      <c r="A7" s="371" t="s">
        <v>8065</v>
      </c>
      <c r="B7" s="372" t="n">
        <v>40480</v>
      </c>
      <c r="C7" s="372" t="s">
        <v>8068</v>
      </c>
      <c r="D7" s="372"/>
      <c r="E7" s="372" t="s">
        <v>8064</v>
      </c>
    </row>
    <row r="8" customFormat="false" ht="15" hidden="false" customHeight="false" outlineLevel="0" collapsed="false">
      <c r="A8" s="371" t="s">
        <v>8055</v>
      </c>
      <c r="B8" s="372" t="n">
        <v>40590</v>
      </c>
      <c r="C8" s="372" t="s">
        <v>8069</v>
      </c>
      <c r="D8" s="372"/>
      <c r="E8" s="372"/>
    </row>
    <row r="9" customFormat="false" ht="15" hidden="false" customHeight="false" outlineLevel="0" collapsed="false">
      <c r="A9" s="371" t="s">
        <v>8065</v>
      </c>
      <c r="B9" s="374" t="n">
        <v>40606</v>
      </c>
      <c r="C9" s="372" t="s">
        <v>8068</v>
      </c>
      <c r="D9" s="372"/>
      <c r="E9" s="372" t="s">
        <v>8070</v>
      </c>
    </row>
    <row r="10" customFormat="false" ht="15" hidden="false" customHeight="false" outlineLevel="0" collapsed="false">
      <c r="A10" s="371" t="s">
        <v>8062</v>
      </c>
      <c r="B10" s="372" t="n">
        <v>40606</v>
      </c>
      <c r="C10" s="372" t="s">
        <v>8063</v>
      </c>
      <c r="D10" s="372"/>
      <c r="E10" s="372" t="s">
        <v>8071</v>
      </c>
    </row>
    <row r="11" customFormat="false" ht="15" hidden="false" customHeight="false" outlineLevel="0" collapsed="false">
      <c r="A11" s="371" t="s">
        <v>8055</v>
      </c>
      <c r="B11" s="372" t="n">
        <v>40612</v>
      </c>
      <c r="C11" s="372" t="s">
        <v>8072</v>
      </c>
      <c r="D11" s="372"/>
      <c r="E11" s="372"/>
    </row>
    <row r="12" customFormat="false" ht="15" hidden="false" customHeight="false" outlineLevel="0" collapsed="false">
      <c r="A12" s="371" t="s">
        <v>8073</v>
      </c>
      <c r="B12" s="372" t="n">
        <v>40641</v>
      </c>
      <c r="C12" s="372" t="s">
        <v>8074</v>
      </c>
      <c r="D12" s="372"/>
      <c r="E12" s="372" t="s">
        <v>8075</v>
      </c>
    </row>
    <row r="13" customFormat="false" ht="15" hidden="false" customHeight="false" outlineLevel="0" collapsed="false">
      <c r="A13" s="371" t="s">
        <v>8073</v>
      </c>
      <c r="B13" s="372" t="n">
        <v>40641</v>
      </c>
      <c r="C13" s="373" t="s">
        <v>8076</v>
      </c>
      <c r="D13" s="375"/>
      <c r="E13" s="372" t="s">
        <v>8077</v>
      </c>
    </row>
    <row r="14" customFormat="false" ht="12" hidden="false" customHeight="false" outlineLevel="0" collapsed="false">
      <c r="D14" s="369"/>
      <c r="E14" s="36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LibreOffice/25.2.7.2$Windows_X86_64 LibreOffice_project/5cbfd1ab6520636bb5f7b99185aa69bd7456825d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2013-10-04T13:51:10Z</dcterms:created>
  <dc:creator>cmichotey</dc:creator>
  <dc:description/>
  <dc:language>fr-FR</dc:language>
  <cp:lastModifiedBy/>
  <cp:lastPrinted>1601-01-01T00:00:00Z</cp:lastPrinted>
  <dcterms:modified xsi:type="dcterms:W3CDTF">2025-12-10T10:24:44Z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