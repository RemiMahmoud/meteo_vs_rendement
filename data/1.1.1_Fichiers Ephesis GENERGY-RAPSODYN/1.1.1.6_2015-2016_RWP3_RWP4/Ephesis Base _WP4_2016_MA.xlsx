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9230" windowHeight="5775" tabRatio="712" firstSheet="2" activeTab="13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Data" sheetId="9" r:id="rId8"/>
    <sheet name="Level" sheetId="8" r:id="rId9"/>
    <sheet name="Files" sheetId="10" r:id="rId10"/>
    <sheet name="ForestComplementaryInfo" sheetId="11" r:id="rId11"/>
    <sheet name="StaticData" sheetId="12" r:id="rId12"/>
    <sheet name="INN" sheetId="13" r:id="rId13"/>
    <sheet name="CARTO" sheetId="15" r:id="rId14"/>
  </sheets>
  <definedNames>
    <definedName name="HoldingInstitution">StaticData!$C$1:$C$21</definedName>
    <definedName name="_xlnm.Print_Titles" localSheetId="4">Variable!$1:$1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  <definedName name="_xlnm.Print_Area" localSheetId="4">Variable!$A$2:$F$44</definedName>
  </definedNames>
  <calcPr calcId="145621"/>
</workbook>
</file>

<file path=xl/calcChain.xml><?xml version="1.0" encoding="utf-8"?>
<calcChain xmlns="http://schemas.openxmlformats.org/spreadsheetml/2006/main">
  <c r="K10" i="13" l="1"/>
  <c r="M10" i="13" s="1"/>
  <c r="N10" i="13" s="1"/>
  <c r="E10" i="13"/>
  <c r="G10" i="13" s="1"/>
  <c r="H10" i="13" s="1"/>
  <c r="O10" i="13" s="1"/>
  <c r="M9" i="13"/>
  <c r="N9" i="13" s="1"/>
  <c r="E9" i="13"/>
  <c r="G9" i="13" s="1"/>
  <c r="H9" i="13" s="1"/>
  <c r="K8" i="13"/>
  <c r="M8" i="13" s="1"/>
  <c r="N8" i="13" s="1"/>
  <c r="E8" i="13"/>
  <c r="G8" i="13" s="1"/>
  <c r="H8" i="13" s="1"/>
  <c r="O9" i="13" l="1"/>
  <c r="O8" i="13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<sst xmlns="http://schemas.openxmlformats.org/spreadsheetml/2006/main" count="8462" uniqueCount="7748">
  <si>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</si>
  <si>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</si>
  <si>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</si>
  <si>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</si>
  <si>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</si>
  <si>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</si>
  <si>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</si>
  <si>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</si>
  <si>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</si>
  <si>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</si>
  <si>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</si>
  <si>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</si>
  <si>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</si>
  <si>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</si>
  <si>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</si>
  <si>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</si>
  <si>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</si>
  <si>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</si>
  <si>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</si>
  <si>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</si>
  <si>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</si>
  <si>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</si>
  <si>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</si>
  <si>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</si>
  <si>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</si>
  <si>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</si>
  <si>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</si>
  <si>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</si>
  <si>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</si>
  <si>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</si>
  <si>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</si>
  <si>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</si>
  <si>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</si>
  <si>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</si>
  <si>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</si>
  <si>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</si>
  <si>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</si>
  <si>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</si>
  <si>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</si>
  <si>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</si>
  <si>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</si>
  <si>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</si>
  <si>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</si>
  <si>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</si>
  <si>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</si>
  <si>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</si>
  <si>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</si>
  <si>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</si>
  <si>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</si>
  <si>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</si>
  <si>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</si>
  <si>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</si>
  <si>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</si>
  <si>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</si>
  <si>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</si>
  <si>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</si>
  <si>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</si>
  <si>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</si>
  <si>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</si>
  <si>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</si>
  <si>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</si>
  <si>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</si>
  <si>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</si>
  <si>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</si>
  <si>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</si>
  <si>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</si>
  <si>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</si>
  <si>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</si>
  <si>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</si>
  <si>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</si>
  <si>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</si>
  <si>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</si>
  <si>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</si>
  <si>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</si>
  <si>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</si>
  <si>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</si>
  <si>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</si>
  <si>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</si>
  <si>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</si>
  <si>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</si>
  <si>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</si>
  <si>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</si>
  <si>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</si>
  <si>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</si>
  <si>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</si>
  <si>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</si>
  <si>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</si>
  <si>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</si>
  <si>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</si>
  <si>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</si>
  <si>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</si>
  <si>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</si>
  <si>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</si>
  <si>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</si>
  <si>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</si>
  <si>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</si>
  <si>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</si>
  <si>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</si>
  <si>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</si>
  <si>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</si>
  <si>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</si>
  <si>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</si>
  <si>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</si>
  <si>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</si>
  <si>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</si>
  <si>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</si>
  <si>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</si>
  <si>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</si>
  <si>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</si>
  <si>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</si>
  <si>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</si>
  <si>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</si>
  <si>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</si>
  <si>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</si>
  <si>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</si>
  <si>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</si>
  <si>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</si>
  <si>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</si>
  <si>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</si>
  <si>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</si>
  <si>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</si>
  <si>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</si>
  <si>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</si>
  <si>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</si>
  <si>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</si>
  <si>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</si>
  <si>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</si>
  <si>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</si>
  <si>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</si>
  <si>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</si>
  <si>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</si>
  <si>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</si>
  <si>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</si>
  <si>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</si>
  <si>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</si>
  <si>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</si>
  <si>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</si>
  <si>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</si>
  <si>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</si>
  <si>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</si>
  <si>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</si>
  <si>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</si>
  <si>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</si>
  <si>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</si>
  <si>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</si>
  <si>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</si>
  <si>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</si>
  <si>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</si>
  <si>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</si>
  <si>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</si>
  <si>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</si>
  <si>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</si>
  <si>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</si>
  <si>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</si>
  <si>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</si>
  <si>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</si>
  <si>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</si>
  <si>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</si>
  <si>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</si>
  <si>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</si>
  <si>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</si>
  <si>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</si>
  <si>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</si>
  <si>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</si>
  <si>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</si>
  <si>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</si>
  <si>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</si>
  <si>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</si>
  <si>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</si>
  <si>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</si>
  <si>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</si>
  <si>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</si>
  <si>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</si>
  <si>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</si>
  <si>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</si>
  <si>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</si>
  <si>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</si>
  <si>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</si>
  <si>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</si>
  <si>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</si>
  <si>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</si>
  <si>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</si>
  <si>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</si>
  <si>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</si>
  <si>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</si>
  <si>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</si>
  <si>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</si>
  <si>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</si>
  <si>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</si>
  <si>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</si>
  <si>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</si>
  <si>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</si>
  <si>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</si>
  <si>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</si>
  <si>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</si>
  <si>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</si>
  <si>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</si>
  <si>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</si>
  <si>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</si>
  <si>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</si>
  <si>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</si>
  <si>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</si>
  <si>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</si>
  <si>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</si>
  <si>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</si>
  <si>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</si>
  <si>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</si>
  <si>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</si>
  <si>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</si>
  <si>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</si>
  <si>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</si>
  <si>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</si>
  <si>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</si>
  <si>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</si>
  <si>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</si>
  <si>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</si>
  <si>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</si>
  <si>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</si>
  <si>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</si>
  <si>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</si>
  <si>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</si>
  <si>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</si>
  <si>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</si>
  <si>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</si>
  <si>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</si>
  <si>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</si>
  <si>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</si>
  <si>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</si>
  <si>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</si>
  <si>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</si>
  <si>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</si>
  <si>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</si>
  <si>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</si>
  <si>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</si>
  <si>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</si>
  <si>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</si>
  <si>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</si>
  <si>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</si>
  <si>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</si>
  <si>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</si>
  <si>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</si>
  <si>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</si>
  <si>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</si>
  <si>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</si>
  <si>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</si>
  <si>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</si>
  <si>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</si>
  <si>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</si>
  <si>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</si>
  <si>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</si>
  <si>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</si>
  <si>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</si>
  <si>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</si>
  <si>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</si>
  <si>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</si>
  <si>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</si>
  <si>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Express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</si>
  <si>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</si>
  <si>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</si>
  <si>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</si>
  <si>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</si>
  <si>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</si>
  <si>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</si>
  <si>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</si>
  <si>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</si>
  <si>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</si>
  <si>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</si>
  <si>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</si>
  <si>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</si>
  <si>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</si>
  <si>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</si>
  <si>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</si>
  <si>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</si>
  <si>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</si>
  <si>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</si>
  <si>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</si>
  <si>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</si>
  <si>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</si>
  <si>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</si>
  <si>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</si>
  <si>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</si>
  <si>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</si>
  <si>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</si>
  <si>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</si>
  <si>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</si>
  <si>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</si>
  <si>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</si>
  <si>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</si>
  <si>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</si>
  <si>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</si>
  <si>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</si>
  <si>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</si>
  <si>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</si>
  <si>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</si>
  <si>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</si>
  <si>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</si>
  <si>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</si>
  <si>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</si>
  <si>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</si>
  <si>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</si>
  <si>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</si>
  <si>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</si>
  <si>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</si>
  <si>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</si>
  <si>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</si>
  <si>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</si>
  <si>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</si>
  <si>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</si>
  <si>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</si>
  <si>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</si>
  <si>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</si>
  <si>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</si>
  <si>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</si>
  <si>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</si>
  <si>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</si>
  <si>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</si>
  <si>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</si>
  <si>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</si>
  <si>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</si>
  <si>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</si>
  <si>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</si>
  <si>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</si>
  <si>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</si>
  <si>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</si>
  <si>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</si>
  <si>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</si>
  <si>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</si>
  <si>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</si>
  <si>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</si>
  <si>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</si>
  <si>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</si>
  <si>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</si>
  <si>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</si>
  <si>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</si>
  <si>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</si>
  <si>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</si>
  <si>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</si>
  <si>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</si>
  <si>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</si>
  <si>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</si>
  <si>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</si>
  <si>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</si>
  <si>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</si>
  <si>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</si>
  <si>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</si>
  <si>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</si>
  <si>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</si>
  <si>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</si>
  <si>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</si>
  <si>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</si>
  <si>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</si>
  <si>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</si>
  <si>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</si>
  <si>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</si>
  <si>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</si>
  <si>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</si>
  <si>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</si>
  <si>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</si>
  <si>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</si>
  <si>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</si>
  <si>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</si>
  <si>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</si>
  <si>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</si>
  <si>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</si>
  <si>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</si>
  <si>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</si>
  <si>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</si>
  <si>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</si>
  <si>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</si>
  <si>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</si>
  <si>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</si>
  <si>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</si>
  <si>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</si>
  <si>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</si>
  <si>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</si>
  <si>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</si>
  <si>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</si>
  <si>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</si>
  <si>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</si>
  <si>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</si>
  <si>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</si>
  <si>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</si>
  <si>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</si>
  <si>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</si>
  <si>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</si>
  <si>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</si>
  <si>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</si>
  <si>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</si>
  <si>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</si>
  <si>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</si>
  <si>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</si>
  <si>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</si>
  <si>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</si>
  <si>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</si>
  <si>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</si>
  <si>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</si>
  <si>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</si>
  <si>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</si>
  <si>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</si>
  <si>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</si>
  <si>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</si>
  <si>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</si>
  <si>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</si>
  <si>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</si>
  <si>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</si>
  <si>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</si>
  <si>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</si>
  <si>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</si>
  <si>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</si>
  <si>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</si>
  <si>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</si>
  <si>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</si>
  <si>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</si>
  <si>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</si>
  <si>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</si>
  <si>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</si>
  <si>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</si>
  <si>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</si>
  <si>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</si>
  <si>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</si>
  <si>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</si>
  <si>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</si>
  <si>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</si>
  <si>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</si>
  <si>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</si>
  <si>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</si>
  <si>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</si>
  <si>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</si>
  <si>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</si>
  <si>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</si>
  <si>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</si>
  <si>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</si>
  <si>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</si>
  <si>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</si>
  <si>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</si>
  <si>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</si>
  <si>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</si>
  <si>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</si>
  <si>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</si>
  <si>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</si>
  <si>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</si>
  <si>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</si>
  <si>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</si>
  <si>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</si>
  <si>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</si>
  <si>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</si>
  <si>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</si>
  <si>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</si>
  <si>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</si>
  <si>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</si>
  <si>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</si>
  <si>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</si>
  <si>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</si>
  <si>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</si>
  <si>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</si>
  <si>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</si>
  <si>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</si>
  <si>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</si>
  <si>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</si>
  <si>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</si>
  <si>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</si>
  <si>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</si>
  <si>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</si>
  <si>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</si>
  <si>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</si>
  <si>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</si>
  <si>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</si>
  <si>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</si>
  <si>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</si>
  <si>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</si>
  <si>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</si>
  <si>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</si>
  <si>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</si>
  <si>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</si>
  <si>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</si>
  <si>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</si>
  <si>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</si>
  <si>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</si>
  <si>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</si>
  <si>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</si>
  <si>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</si>
  <si>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</si>
  <si>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</si>
  <si>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</si>
  <si>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</si>
  <si>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</si>
  <si>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</si>
  <si>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</si>
  <si>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</si>
  <si>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</si>
  <si>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</si>
  <si>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</si>
  <si>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</si>
  <si>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</si>
  <si>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</si>
  <si>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</si>
  <si>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</si>
  <si>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</si>
  <si>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</si>
  <si>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</si>
  <si>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</si>
  <si>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</si>
  <si>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</si>
  <si>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</si>
  <si>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</si>
  <si>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</si>
  <si>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</si>
  <si>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</si>
  <si>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</si>
  <si>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</si>
  <si>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</si>
  <si>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</si>
  <si>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</si>
  <si>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</si>
  <si>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</si>
  <si>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</si>
  <si>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</si>
  <si>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</si>
  <si>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</si>
  <si>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</si>
  <si>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</si>
  <si>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</si>
  <si>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</si>
  <si>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</si>
  <si>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</si>
  <si>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</si>
  <si>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</si>
  <si>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</si>
  <si>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</si>
  <si>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</si>
  <si>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</si>
  <si>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</si>
  <si>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</si>
  <si>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</si>
  <si>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</si>
  <si>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</si>
  <si>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</si>
  <si>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</si>
  <si>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</si>
  <si>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</si>
  <si>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</si>
  <si>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</si>
  <si>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</si>
  <si>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</si>
  <si>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</si>
  <si>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</si>
  <si>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</si>
  <si>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</si>
  <si>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</si>
  <si>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</si>
  <si>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</si>
  <si>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</si>
  <si>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</si>
  <si>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</si>
  <si>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</si>
  <si>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</si>
  <si>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</si>
  <si>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</si>
  <si>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</si>
  <si>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</si>
  <si>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</si>
  <si>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</si>
  <si>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</si>
  <si>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</si>
  <si>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</si>
  <si>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</si>
  <si>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</si>
  <si>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</si>
  <si>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</si>
  <si>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</si>
  <si>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</si>
  <si>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</si>
  <si>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</si>
  <si>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</si>
  <si>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</si>
  <si>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</si>
  <si>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</si>
  <si>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</si>
  <si>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</si>
  <si>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</si>
  <si>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</si>
  <si>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</si>
  <si>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</si>
  <si>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</si>
  <si>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</si>
  <si>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</si>
  <si>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</si>
  <si>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</si>
  <si>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</si>
  <si>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</si>
  <si>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</si>
  <si>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</si>
  <si>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</si>
  <si>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</si>
  <si>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</si>
  <si>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</si>
  <si>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</si>
  <si>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</si>
  <si>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</si>
  <si>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</si>
  <si>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</si>
  <si>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</si>
  <si>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</si>
  <si>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</si>
  <si>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</si>
  <si>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</si>
  <si>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</si>
  <si>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</si>
  <si>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</si>
  <si>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</si>
  <si>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</si>
  <si>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</si>
  <si>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</si>
  <si>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</si>
  <si>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</si>
  <si>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</si>
  <si>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</si>
  <si>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</si>
  <si>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</si>
  <si>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</si>
  <si>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</si>
  <si>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</si>
  <si>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</si>
  <si>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</si>
  <si>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</si>
  <si>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</si>
  <si>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</si>
  <si>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</si>
  <si>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</si>
  <si>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</si>
  <si>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</si>
  <si>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</si>
  <si>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</si>
  <si>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</si>
  <si>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</si>
  <si>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</si>
  <si>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</si>
  <si>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</si>
  <si>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</si>
  <si>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</si>
  <si>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</si>
  <si>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</si>
  <si>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</si>
  <si>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</si>
  <si>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</si>
  <si>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</si>
  <si>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</si>
  <si>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</si>
  <si>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</si>
  <si>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</si>
  <si>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</si>
  <si>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</si>
  <si>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</si>
  <si>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</si>
  <si>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</si>
  <si>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</si>
  <si>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</si>
  <si>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</si>
  <si>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</si>
  <si>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</si>
  <si>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</si>
  <si>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</si>
  <si>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</si>
  <si>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</si>
  <si>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</si>
  <si>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</si>
  <si>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</si>
  <si>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</si>
  <si>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</si>
  <si>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</si>
  <si>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</si>
  <si>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</si>
  <si>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</si>
  <si>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</si>
  <si>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</si>
  <si>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</si>
  <si>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</si>
  <si>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</si>
  <si>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</si>
  <si>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</si>
  <si>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</si>
  <si>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</si>
  <si>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</si>
  <si>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</si>
  <si>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</si>
  <si>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</si>
  <si>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</si>
  <si>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</si>
  <si>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</si>
  <si>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</si>
  <si>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</si>
  <si>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</si>
  <si>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</si>
  <si>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</si>
  <si>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</si>
  <si>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</si>
  <si>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</si>
  <si>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</si>
  <si>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</si>
  <si>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</si>
  <si>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</si>
  <si>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</si>
  <si>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</si>
  <si>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</si>
  <si>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</si>
  <si>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</si>
  <si>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</si>
  <si>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</si>
  <si>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</si>
  <si>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</si>
  <si>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</si>
  <si>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</si>
  <si>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</si>
  <si>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</si>
  <si>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</si>
  <si>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</si>
  <si>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</si>
  <si>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</si>
  <si>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</si>
  <si>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</si>
  <si>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</si>
  <si>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</si>
  <si>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</si>
  <si>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</si>
  <si>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</si>
  <si>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</si>
  <si>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</si>
  <si>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</si>
  <si>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</si>
  <si>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</si>
  <si>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</si>
  <si>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</si>
  <si>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</si>
  <si>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</si>
  <si>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</si>
  <si>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</si>
  <si>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</si>
  <si>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</si>
  <si>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</si>
  <si>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</si>
  <si>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</si>
  <si>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</si>
  <si>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</si>
  <si>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</si>
  <si>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</si>
  <si>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</si>
  <si>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</si>
  <si>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</si>
  <si>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</si>
  <si>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</si>
  <si>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</si>
  <si>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</si>
  <si>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</si>
  <si>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</si>
  <si>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</si>
  <si>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</si>
  <si>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</si>
  <si>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</si>
  <si>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</si>
  <si>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</si>
  <si>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</si>
  <si>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</si>
  <si>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</si>
  <si>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</si>
  <si>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</si>
  <si>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</si>
  <si>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</si>
  <si>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</si>
  <si>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</si>
  <si>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</si>
  <si>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</si>
  <si>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</si>
  <si>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</si>
  <si>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</si>
  <si>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</si>
  <si>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</si>
  <si>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</si>
  <si>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</si>
  <si>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</si>
  <si>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</si>
  <si>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</si>
  <si>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</si>
  <si>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</si>
  <si>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</si>
  <si>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</si>
  <si>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</si>
  <si>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</si>
  <si>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</si>
  <si>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</si>
  <si>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</si>
  <si>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</si>
  <si>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</si>
  <si>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</si>
  <si>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</si>
  <si>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</si>
  <si>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</si>
  <si>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</si>
  <si>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</si>
  <si>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</si>
  <si>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</si>
  <si>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</si>
  <si>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</si>
  <si>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</si>
  <si>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</si>
  <si>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</si>
  <si>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</si>
  <si>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</si>
  <si>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</si>
  <si>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</si>
  <si>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</si>
  <si>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</si>
  <si>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</si>
  <si>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</si>
  <si>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</si>
  <si>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</si>
  <si>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</si>
  <si>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</si>
  <si>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</si>
  <si>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</si>
  <si>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</si>
  <si>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</si>
  <si>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</si>
  <si>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</si>
  <si>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</si>
  <si>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</si>
  <si>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</si>
  <si>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</si>
  <si>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</si>
  <si>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</si>
  <si>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</si>
  <si>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</si>
  <si>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</si>
  <si>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</si>
  <si>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</si>
  <si>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</si>
  <si>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</si>
  <si>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</si>
  <si>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</si>
  <si>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</si>
  <si>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</si>
  <si>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</si>
  <si>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</si>
  <si>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</si>
  <si>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</si>
  <si>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</si>
  <si>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</si>
  <si>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</si>
  <si>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</si>
  <si>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</si>
  <si>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</si>
  <si>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</si>
  <si>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</si>
  <si>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</si>
  <si>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</si>
  <si>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</si>
  <si>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</si>
  <si>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</si>
  <si>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</si>
  <si>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</si>
  <si>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</si>
  <si>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</si>
  <si>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</si>
  <si>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</si>
  <si>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</si>
  <si>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</si>
  <si>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</si>
  <si>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</si>
  <si>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</si>
  <si>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</si>
  <si>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</si>
  <si>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</si>
  <si>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</si>
  <si>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</si>
  <si>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</si>
  <si>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</si>
  <si>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</si>
  <si>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</si>
  <si>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</si>
  <si>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</si>
  <si>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</si>
  <si>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</si>
  <si>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</si>
  <si>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</si>
  <si>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</si>
  <si>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</si>
  <si>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</si>
  <si>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</si>
  <si>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</si>
  <si>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</si>
  <si>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</si>
  <si>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</si>
  <si>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</si>
  <si>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</si>
  <si>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</si>
  <si>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</si>
  <si>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</si>
  <si>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</si>
  <si>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</si>
  <si>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</si>
  <si>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</si>
  <si>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</si>
  <si>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</si>
  <si>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</si>
  <si>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</si>
  <si>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</si>
  <si>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</si>
  <si>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</si>
  <si>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</si>
  <si>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</si>
  <si>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</si>
  <si>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</si>
  <si>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</si>
  <si>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</si>
  <si>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</si>
  <si>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</si>
  <si>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</si>
  <si>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</si>
  <si>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</si>
  <si>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</si>
  <si>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</si>
  <si>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</si>
  <si>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</si>
  <si>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</si>
  <si>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</si>
  <si>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</si>
  <si>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</si>
  <si>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</si>
  <si>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</si>
  <si>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</si>
  <si>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</si>
  <si>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</si>
  <si>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</si>
  <si>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</si>
  <si>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</si>
  <si>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</si>
  <si>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</si>
  <si>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</si>
  <si>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</si>
  <si>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</si>
  <si>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</si>
  <si>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</si>
  <si>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</si>
  <si>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</si>
  <si>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</si>
  <si>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</si>
  <si>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</si>
  <si>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</si>
  <si>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</si>
  <si>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</si>
  <si>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</si>
  <si>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</si>
  <si>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</si>
  <si>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</si>
  <si>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</si>
  <si>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</si>
  <si>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</si>
  <si>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</si>
  <si>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</si>
  <si>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</si>
  <si>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</si>
  <si>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</si>
  <si>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</si>
  <si>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</si>
  <si>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</si>
  <si>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</si>
  <si>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</si>
  <si>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</si>
  <si>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</si>
  <si>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</si>
  <si>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</si>
  <si>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</si>
  <si>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</si>
  <si>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</si>
  <si>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</si>
  <si>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</si>
  <si>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</si>
  <si>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</si>
  <si>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</si>
  <si>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</si>
  <si>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</si>
  <si>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</si>
  <si>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</si>
  <si>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</si>
  <si>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</si>
  <si>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</si>
  <si>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</si>
  <si>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</si>
  <si>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</si>
  <si>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</si>
  <si>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</si>
  <si>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</si>
  <si>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</si>
  <si>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</si>
  <si>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</si>
  <si>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</si>
  <si>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</si>
  <si>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</si>
  <si>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</si>
  <si>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</si>
  <si>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</si>
  <si>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</si>
  <si>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</si>
  <si>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</si>
  <si>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</si>
  <si>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</si>
  <si>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</si>
  <si>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</si>
  <si>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</si>
  <si>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</si>
  <si>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</si>
  <si>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</si>
  <si>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</si>
  <si>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</si>
  <si>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</si>
  <si>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</si>
  <si>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</si>
  <si>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</si>
  <si>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</si>
  <si>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</si>
  <si>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</si>
  <si>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</si>
  <si>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</si>
  <si>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</si>
  <si>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</si>
  <si>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</si>
  <si>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</si>
  <si>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</si>
  <si>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</si>
  <si>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</si>
  <si>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</si>
  <si>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</si>
  <si>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</si>
  <si>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</si>
  <si>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</si>
  <si>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</si>
  <si>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</si>
  <si>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</si>
  <si>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</si>
  <si>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</si>
  <si>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</si>
  <si>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</si>
  <si>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</si>
  <si>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</si>
  <si>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</si>
  <si>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</si>
  <si>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</si>
  <si>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</si>
  <si>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</si>
  <si>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</si>
  <si>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</si>
  <si>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</si>
  <si>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</si>
  <si>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</si>
  <si>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</si>
  <si>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</si>
  <si>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</si>
  <si>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</si>
  <si>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</si>
  <si>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</si>
  <si>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</si>
  <si>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</si>
  <si>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</si>
  <si>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</si>
  <si>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</si>
  <si>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</si>
  <si>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</si>
  <si>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</si>
  <si>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</si>
  <si>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</si>
  <si>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</si>
  <si>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</si>
  <si>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</si>
  <si>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</si>
  <si>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</si>
  <si>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</si>
  <si>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</si>
  <si>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</si>
  <si>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</si>
  <si>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</si>
  <si>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</si>
  <si>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</si>
  <si>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</si>
  <si>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</si>
  <si>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</si>
  <si>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</si>
  <si>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</si>
  <si>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</si>
  <si>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</si>
  <si>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</si>
  <si>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</si>
  <si>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</si>
  <si>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</si>
  <si>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</si>
  <si>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</si>
  <si>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</si>
  <si>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</si>
  <si>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</si>
  <si>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</si>
  <si>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</si>
  <si>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</si>
  <si>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</si>
  <si>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</si>
  <si>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</si>
  <si>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</si>
  <si>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</si>
  <si>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</si>
  <si>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</si>
  <si>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</si>
  <si>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</si>
  <si>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</si>
  <si>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</si>
  <si>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</si>
  <si>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</si>
  <si>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</si>
  <si>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</si>
  <si>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</si>
  <si>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</si>
  <si>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</si>
  <si>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</si>
  <si>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</si>
  <si>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</si>
  <si>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</si>
  <si>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</si>
  <si>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</si>
  <si>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</si>
  <si>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</si>
  <si>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</si>
  <si>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</si>
  <si>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</si>
  <si>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</si>
  <si>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</si>
  <si>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</si>
  <si>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</si>
  <si>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</si>
  <si>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</si>
  <si>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</si>
  <si>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</si>
  <si>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</si>
  <si>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</si>
  <si>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</si>
  <si>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</si>
  <si>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</si>
  <si>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</si>
  <si>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</si>
  <si>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</si>
  <si>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</si>
  <si>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</si>
  <si>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</si>
  <si>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</si>
  <si>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</si>
  <si>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</si>
  <si>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</si>
  <si>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</si>
  <si>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</si>
  <si>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</si>
  <si>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</si>
  <si>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</si>
  <si>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</si>
  <si>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</si>
  <si>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</si>
  <si>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</si>
  <si>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</si>
  <si>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</si>
  <si>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</si>
  <si>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</si>
  <si>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</si>
  <si>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</si>
  <si>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</si>
  <si>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</si>
  <si>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</si>
  <si>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</si>
  <si>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</si>
  <si>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</si>
  <si>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</si>
  <si>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</si>
  <si>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</si>
  <si>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</si>
  <si>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</si>
  <si>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</si>
  <si>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</si>
  <si>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</si>
  <si>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</si>
  <si>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</si>
  <si>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</si>
  <si>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</si>
  <si>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</si>
  <si>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</si>
  <si>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</si>
  <si>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</si>
  <si>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</si>
  <si>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</si>
  <si>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</si>
  <si>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</si>
  <si>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</si>
  <si>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</si>
  <si>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</si>
  <si>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</si>
  <si>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</si>
  <si>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</si>
  <si>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</si>
  <si>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</si>
  <si>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</si>
  <si>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</si>
  <si>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</si>
  <si>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</si>
  <si>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</si>
  <si>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</si>
  <si>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</si>
  <si>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</si>
  <si>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</si>
  <si>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</si>
  <si>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</si>
  <si>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</si>
  <si>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</si>
  <si>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</si>
  <si>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</si>
  <si>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</si>
  <si>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</si>
  <si>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</si>
  <si>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</si>
  <si>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</si>
  <si>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</si>
  <si>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</si>
  <si>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</si>
  <si>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</si>
  <si>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</si>
  <si>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</si>
  <si>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</si>
  <si>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</si>
  <si>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</si>
  <si>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</si>
  <si>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</si>
  <si>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</si>
  <si>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</si>
  <si>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</si>
  <si>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</si>
  <si>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</si>
  <si>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</si>
  <si>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</si>
  <si>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</si>
  <si>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</si>
  <si>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</si>
  <si>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</si>
  <si>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</si>
  <si>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</si>
  <si>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</si>
  <si>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</si>
  <si>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</si>
  <si>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</si>
  <si>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</si>
  <si>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</si>
  <si>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</si>
  <si>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</si>
  <si>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</si>
  <si>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</si>
  <si>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</si>
  <si>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</si>
  <si>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</si>
  <si>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</si>
  <si>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</si>
  <si>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</si>
  <si>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</si>
  <si>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</si>
  <si>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</si>
  <si>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</si>
  <si>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</si>
  <si>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</si>
  <si>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</si>
  <si>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</si>
  <si>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</si>
  <si>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</si>
  <si>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</si>
  <si>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</si>
  <si>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</si>
  <si>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</si>
  <si>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</si>
  <si>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</si>
  <si>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</si>
  <si>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</si>
  <si>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</si>
  <si>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</si>
  <si>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</si>
  <si>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</si>
  <si>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</si>
  <si>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</si>
  <si>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</si>
  <si>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</si>
  <si>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</si>
  <si>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</si>
  <si>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</si>
  <si>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</si>
  <si>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</si>
  <si>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</si>
  <si>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</si>
  <si>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</si>
  <si>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</si>
  <si>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</si>
  <si>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</si>
  <si>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</si>
  <si>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</si>
  <si>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</si>
  <si>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</si>
  <si>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</si>
  <si>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</si>
  <si>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</si>
  <si>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</si>
  <si>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</si>
  <si>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</si>
  <si>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</si>
  <si>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</si>
  <si>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</si>
  <si>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</si>
  <si>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</si>
  <si>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</si>
  <si>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</si>
  <si>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</si>
  <si>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</si>
  <si>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</si>
  <si>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</si>
  <si>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</si>
  <si>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</si>
  <si>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</si>
  <si>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</si>
  <si>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</si>
  <si>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</si>
  <si>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</si>
  <si>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</si>
  <si>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</si>
  <si>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</si>
  <si>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</si>
  <si>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</si>
  <si>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</si>
  <si>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</si>
  <si>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</si>
  <si>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</si>
  <si>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</si>
  <si>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</si>
  <si>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</si>
  <si>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</si>
  <si>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</si>
  <si>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</si>
  <si>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</si>
  <si>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</si>
  <si>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</si>
  <si>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</si>
  <si>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</si>
  <si>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</si>
  <si>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</si>
  <si>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</si>
  <si>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</si>
  <si>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</si>
  <si>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</si>
  <si>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</si>
  <si>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</si>
  <si>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</si>
  <si>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</si>
  <si>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</si>
  <si>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</si>
  <si>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</si>
  <si>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</si>
  <si>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</si>
  <si>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</si>
  <si>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</si>
  <si>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</si>
  <si>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</si>
  <si>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</si>
  <si>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</si>
  <si>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</si>
  <si>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</si>
  <si>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</si>
  <si>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</si>
  <si>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</si>
  <si>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</si>
  <si>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</si>
  <si>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</si>
  <si>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</si>
  <si>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</si>
  <si>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</si>
  <si>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</si>
  <si>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</si>
  <si>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</si>
  <si>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</si>
  <si>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</si>
  <si>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</si>
  <si>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</si>
  <si>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</si>
  <si>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</si>
  <si>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</si>
  <si>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</si>
  <si>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</si>
  <si>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</si>
  <si>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</si>
  <si>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</si>
  <si>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</si>
  <si>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</si>
  <si>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</si>
  <si>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</si>
  <si>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</si>
  <si>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</si>
  <si>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</si>
  <si>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</si>
  <si>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</si>
  <si>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</si>
  <si>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</si>
  <si>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</si>
  <si>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</si>
  <si>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</si>
  <si>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</si>
  <si>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</si>
  <si>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</si>
  <si>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</si>
  <si>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</si>
  <si>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</si>
  <si>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</si>
  <si>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</si>
  <si>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</si>
  <si>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</si>
  <si>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</si>
  <si>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</si>
  <si>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</si>
  <si>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</si>
  <si>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</si>
  <si>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</si>
  <si>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</si>
  <si>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</si>
  <si>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</si>
  <si>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</si>
  <si>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</si>
  <si>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</si>
  <si>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</si>
  <si>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</si>
  <si>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</si>
  <si>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</si>
  <si>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</si>
  <si>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</si>
  <si>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</si>
  <si>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</si>
  <si>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</si>
  <si>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</si>
  <si>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</si>
  <si>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</si>
  <si>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</si>
  <si>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</si>
  <si>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</si>
  <si>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</si>
  <si>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</si>
  <si>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</si>
  <si>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</si>
  <si>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</si>
  <si>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</si>
  <si>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</si>
  <si>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</si>
  <si>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</si>
  <si>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</si>
  <si>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</si>
  <si>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</si>
  <si>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</si>
  <si>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</si>
  <si>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</si>
  <si>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</si>
  <si>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</si>
  <si>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</si>
  <si>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</si>
  <si>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</si>
  <si>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</si>
  <si>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</si>
  <si>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</si>
  <si>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</si>
  <si>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</si>
  <si>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</si>
  <si>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</si>
  <si>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</si>
  <si>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</si>
  <si>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</si>
  <si>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</si>
  <si>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</si>
  <si>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</si>
  <si>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</si>
  <si>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</si>
  <si>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</si>
  <si>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</si>
  <si>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</si>
  <si>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</si>
  <si>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</si>
  <si>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</si>
  <si>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</si>
  <si>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</si>
  <si>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</si>
  <si>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</si>
  <si>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</si>
  <si>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</si>
  <si>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</si>
  <si>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</si>
  <si>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</si>
  <si>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</si>
  <si>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</si>
  <si>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</si>
  <si>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</si>
  <si>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</si>
  <si>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</si>
  <si>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</si>
  <si>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</si>
  <si>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</si>
  <si>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</si>
  <si>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</si>
  <si>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</si>
  <si>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</si>
  <si>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</si>
  <si>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</si>
  <si>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</si>
  <si>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</si>
  <si>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</si>
  <si>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</si>
  <si>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</si>
  <si>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</si>
  <si>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</si>
  <si>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</si>
  <si>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</si>
  <si>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</si>
  <si>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</si>
  <si>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</si>
  <si>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</si>
  <si>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</si>
  <si>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</si>
  <si>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</si>
  <si>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</si>
  <si>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</si>
  <si>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</si>
  <si>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</si>
  <si>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</si>
  <si>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</si>
  <si>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</si>
  <si>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</si>
  <si>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</si>
  <si>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</si>
  <si>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</si>
  <si>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</si>
  <si>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</si>
  <si>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</si>
  <si>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</si>
  <si>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</si>
  <si>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</si>
  <si>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</si>
  <si>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</si>
  <si>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</si>
  <si>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</si>
  <si>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</si>
  <si>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</si>
  <si>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</si>
  <si>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</si>
  <si>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</si>
  <si>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</si>
  <si>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</si>
  <si>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</si>
  <si>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</si>
  <si>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</si>
  <si>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</si>
  <si>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</si>
  <si>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</si>
  <si>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</si>
  <si>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</si>
  <si>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</si>
  <si>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</si>
  <si>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</si>
  <si>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</si>
  <si>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</si>
  <si>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</si>
  <si>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</si>
  <si>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</si>
  <si>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</si>
  <si>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</si>
  <si>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</si>
  <si>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</si>
  <si>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</si>
  <si>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</si>
  <si>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</si>
  <si>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</si>
  <si>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</si>
  <si>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</si>
  <si>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</si>
  <si>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</si>
  <si>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</si>
  <si>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</si>
  <si>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</si>
  <si>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</si>
  <si>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</si>
  <si>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</si>
  <si>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</si>
  <si>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</si>
  <si>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</si>
  <si>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</si>
  <si>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</si>
  <si>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</si>
  <si>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</si>
  <si>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</si>
  <si>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</si>
  <si>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</si>
  <si>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</si>
  <si>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</si>
  <si>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</si>
  <si>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</si>
  <si>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</si>
  <si>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</si>
  <si>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</si>
  <si>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</si>
  <si>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</si>
  <si>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</si>
  <si>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</si>
  <si>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</si>
  <si>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</si>
  <si>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</si>
  <si>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</si>
  <si>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</si>
  <si>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</si>
  <si>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</si>
  <si>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</si>
  <si>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</si>
  <si>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</si>
  <si>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</si>
  <si>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</si>
  <si>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</si>
  <si>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</si>
  <si>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</si>
  <si>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</si>
  <si>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</si>
  <si>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</si>
  <si>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</si>
  <si>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</si>
  <si>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</si>
  <si>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</si>
  <si>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</si>
  <si>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</si>
  <si>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</si>
  <si>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</si>
  <si>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</si>
  <si>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</si>
  <si>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</si>
  <si>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</si>
  <si>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</si>
  <si>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</si>
  <si>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</si>
  <si>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</si>
  <si>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</si>
  <si>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</si>
  <si>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</si>
  <si>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</si>
  <si>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</si>
  <si>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</si>
  <si>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</si>
  <si>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</si>
  <si>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</si>
  <si>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</si>
  <si>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</si>
  <si>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</si>
  <si>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</si>
  <si>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</si>
  <si>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</si>
  <si>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</si>
  <si>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</si>
  <si>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</si>
  <si>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</si>
  <si>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</si>
  <si>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</si>
  <si>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</si>
  <si>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</si>
  <si>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</si>
  <si>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</si>
  <si>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</si>
  <si>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</si>
  <si>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</si>
  <si>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</si>
  <si>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</si>
  <si>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</si>
  <si>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</si>
  <si>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</si>
  <si>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</si>
  <si>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</si>
  <si>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</si>
  <si>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</si>
  <si>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</si>
  <si>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</si>
  <si>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</si>
  <si>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</si>
  <si>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</si>
  <si>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</si>
  <si>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</si>
  <si>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</si>
  <si>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</si>
  <si>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</si>
  <si>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</si>
  <si>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</si>
  <si>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</si>
  <si>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</si>
  <si>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</si>
  <si>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</si>
  <si>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</si>
  <si>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</si>
  <si>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</si>
  <si>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</si>
  <si>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</si>
  <si>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</si>
  <si>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</si>
  <si>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</si>
  <si>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</si>
  <si>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</si>
  <si>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</si>
  <si>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</si>
  <si>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</si>
  <si>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</si>
  <si>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</si>
  <si>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</si>
  <si>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</si>
  <si>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</si>
  <si>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</si>
  <si>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</si>
  <si>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</si>
  <si>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</si>
  <si>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</si>
  <si>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</si>
  <si>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</si>
  <si>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</si>
  <si>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</si>
  <si>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</si>
  <si>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</si>
  <si>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</si>
  <si>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</si>
  <si>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</si>
  <si>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</si>
  <si>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</si>
  <si>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</si>
  <si>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</si>
  <si>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</si>
  <si>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</si>
  <si>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</si>
  <si>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</si>
  <si>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</si>
  <si>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</si>
  <si>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</si>
  <si>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</si>
  <si>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</si>
  <si>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</si>
  <si>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</si>
  <si>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</si>
  <si>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</si>
  <si>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</si>
  <si>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</si>
  <si>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</si>
  <si>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</si>
  <si>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</si>
  <si>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</si>
  <si>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</si>
  <si>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</si>
  <si>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</si>
  <si>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</si>
  <si>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</si>
  <si>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</si>
  <si>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</si>
  <si>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</si>
  <si>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</si>
  <si>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</si>
  <si>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</si>
  <si>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</si>
  <si>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</si>
  <si>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</si>
  <si>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</si>
  <si>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</si>
  <si>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</si>
  <si>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</si>
  <si>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</si>
  <si>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</si>
  <si>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</si>
  <si>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</si>
  <si>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</si>
  <si>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</si>
  <si>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</si>
  <si>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</si>
  <si>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</si>
  <si>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</si>
  <si>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</si>
  <si>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</si>
  <si>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</si>
  <si>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</si>
  <si>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</si>
  <si>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</si>
  <si>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</si>
  <si>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</si>
  <si>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</si>
  <si>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</si>
  <si>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</si>
  <si>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</si>
  <si>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</si>
  <si>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</si>
  <si>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</si>
  <si>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</si>
  <si>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</si>
  <si>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</si>
  <si>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</si>
  <si>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</si>
  <si>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</si>
  <si>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</si>
  <si>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</si>
  <si>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</si>
  <si>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</si>
  <si>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</si>
  <si>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</si>
  <si>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</si>
  <si>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</si>
  <si>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</si>
  <si>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</si>
  <si>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</si>
  <si>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</si>
  <si>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</si>
  <si>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</si>
  <si>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</si>
  <si>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</si>
  <si>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</si>
  <si>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</si>
  <si>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</si>
  <si>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</si>
  <si>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</si>
  <si>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</si>
  <si>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</si>
  <si>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</si>
  <si>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</si>
  <si>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</si>
  <si>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</si>
  <si>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</si>
  <si>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</si>
  <si>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</si>
  <si>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</si>
  <si>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</si>
  <si>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</si>
  <si>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</si>
  <si>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</si>
  <si>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</si>
  <si>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</si>
  <si>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</si>
  <si>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</si>
  <si>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</si>
  <si>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</si>
  <si>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</si>
  <si>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</si>
  <si>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</si>
  <si>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</si>
  <si>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</si>
  <si>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</si>
  <si>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</si>
  <si>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</si>
  <si>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</si>
  <si>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</si>
  <si>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</si>
  <si>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</si>
  <si>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</si>
  <si>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</si>
  <si>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</si>
  <si>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</si>
  <si>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</si>
  <si>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</si>
  <si>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</si>
  <si>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</si>
  <si>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</si>
  <si>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</si>
  <si>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</si>
  <si>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</si>
  <si>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</si>
  <si>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</si>
  <si>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</si>
  <si>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</si>
  <si>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</si>
  <si>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</si>
  <si>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</si>
  <si>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</si>
  <si>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</si>
  <si>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</si>
  <si>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</si>
  <si>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</si>
  <si>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</si>
  <si>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</si>
  <si>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</si>
  <si>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</si>
  <si>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</si>
  <si>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</si>
  <si>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</si>
  <si>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</si>
  <si>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</si>
  <si>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</si>
  <si>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</si>
  <si>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</si>
  <si>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</si>
  <si>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</si>
  <si>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</si>
  <si>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</si>
  <si>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</si>
  <si>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</si>
  <si>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</si>
  <si>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</si>
  <si>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</si>
  <si>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</si>
  <si>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</si>
  <si>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</si>
  <si>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</si>
  <si>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</si>
  <si>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</si>
  <si>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</si>
  <si>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</si>
  <si>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</si>
  <si>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</si>
  <si>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</si>
  <si>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</si>
  <si>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</si>
  <si>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</si>
  <si>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</si>
  <si>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</si>
  <si>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</si>
  <si>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</si>
  <si>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</si>
  <si>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</si>
  <si>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</si>
  <si>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</si>
  <si>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</si>
  <si>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</si>
  <si>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</si>
  <si>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</si>
  <si>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</si>
  <si>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</si>
  <si>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</si>
  <si>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</si>
  <si>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</si>
  <si>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</si>
  <si>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</si>
  <si>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</si>
  <si>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</si>
  <si>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</si>
  <si>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</si>
  <si>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</si>
  <si>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</si>
  <si>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</si>
  <si>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</si>
  <si>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</si>
  <si>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</si>
  <si>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</si>
  <si>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</si>
  <si>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</si>
  <si>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</si>
  <si>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</si>
  <si>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</si>
  <si>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</si>
  <si>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</si>
  <si>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</si>
  <si>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</si>
  <si>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</si>
  <si>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</si>
  <si>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</si>
  <si>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</si>
  <si>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</si>
  <si>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</si>
  <si>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</si>
  <si>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</si>
  <si>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</si>
  <si>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</si>
  <si>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</si>
  <si>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</si>
  <si>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</si>
  <si>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</si>
  <si>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</si>
  <si>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</si>
  <si>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</si>
  <si>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</si>
  <si>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</si>
  <si>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</si>
  <si>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</si>
  <si>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</si>
  <si>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</si>
  <si>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</si>
  <si>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</si>
  <si>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</si>
  <si>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</si>
  <si>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</si>
  <si>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</si>
  <si>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</si>
  <si>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</si>
  <si>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</si>
  <si>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</si>
  <si>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</si>
  <si>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</si>
  <si>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</si>
  <si>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</si>
  <si>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</si>
  <si>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</si>
  <si>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</si>
  <si>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</si>
  <si>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</si>
  <si>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</si>
  <si>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</si>
  <si>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</si>
  <si>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</si>
  <si>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</si>
  <si>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</si>
  <si>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</si>
  <si>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</si>
  <si>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</si>
  <si>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</si>
  <si>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</si>
  <si>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</si>
  <si>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</si>
  <si>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</si>
  <si>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</si>
  <si>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</si>
  <si>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</si>
  <si>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</si>
  <si>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</si>
  <si>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</si>
  <si>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</si>
  <si>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</si>
  <si>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</si>
  <si>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</si>
  <si>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</si>
  <si>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</si>
  <si>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</si>
  <si>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</si>
  <si>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</si>
  <si>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</si>
  <si>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</si>
  <si>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</si>
  <si>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</si>
  <si>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</si>
  <si>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</si>
  <si>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</si>
  <si>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</si>
  <si>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</si>
  <si>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</si>
  <si>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</si>
  <si>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</si>
  <si>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</si>
  <si>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</si>
  <si>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</si>
  <si>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</si>
  <si>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</si>
  <si>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</si>
  <si>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</si>
  <si>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</si>
  <si>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</si>
  <si>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</si>
  <si>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</si>
  <si>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</si>
  <si>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</si>
  <si>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</si>
  <si>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</si>
  <si>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</si>
  <si>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</si>
  <si>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</si>
  <si>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</si>
  <si>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</si>
  <si>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</si>
  <si>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</si>
  <si>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</si>
  <si>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</si>
  <si>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</si>
  <si>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</si>
  <si>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</si>
  <si>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</si>
  <si>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</si>
  <si>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</si>
  <si>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</si>
  <si>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</si>
  <si>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</si>
  <si>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</si>
  <si>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</si>
  <si>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</si>
  <si>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</si>
  <si>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</si>
  <si>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</si>
  <si>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</si>
  <si>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</si>
  <si>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</si>
  <si>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</si>
  <si>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</si>
  <si>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</si>
  <si>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</si>
  <si>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</si>
  <si>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</si>
  <si>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</si>
  <si>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</si>
  <si>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</si>
  <si>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</si>
  <si>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</si>
  <si>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</si>
  <si>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</si>
  <si>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</si>
  <si>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</si>
  <si>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</si>
  <si>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</si>
  <si>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</si>
  <si>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</si>
  <si>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</si>
  <si>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</si>
  <si>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</si>
  <si>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</si>
  <si>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</si>
  <si>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</si>
  <si>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</si>
  <si>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</si>
  <si>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</si>
  <si>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</si>
  <si>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</si>
  <si>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</si>
  <si>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</si>
  <si>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</si>
  <si>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</si>
  <si>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</si>
  <si>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</si>
  <si>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</si>
  <si>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</si>
  <si>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</si>
  <si>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</si>
  <si>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</si>
  <si>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</si>
  <si>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</si>
  <si>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</si>
  <si>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</si>
  <si>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</si>
  <si>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</si>
  <si>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</si>
  <si>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</si>
  <si>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</si>
  <si>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</si>
  <si>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</si>
  <si>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</si>
  <si>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</si>
  <si>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</si>
  <si>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</si>
  <si>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</si>
  <si>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</si>
  <si>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</si>
  <si>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</si>
  <si>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</si>
  <si>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</si>
  <si>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</si>
  <si>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</si>
  <si>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</si>
  <si>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</si>
  <si>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</si>
  <si>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</si>
  <si>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</si>
  <si>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</si>
  <si>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</si>
  <si>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</si>
  <si>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</si>
  <si>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</si>
  <si>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</si>
  <si>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</si>
  <si>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</si>
  <si>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</si>
  <si>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</si>
  <si>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</si>
  <si>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</si>
  <si>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</si>
  <si>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</si>
  <si>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</si>
  <si>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</si>
  <si>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</si>
  <si>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</si>
  <si>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</si>
  <si>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</si>
  <si>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</si>
  <si>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</si>
  <si>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</si>
  <si>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</si>
  <si>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</si>
  <si>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</si>
  <si>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</si>
  <si>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</si>
  <si>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</si>
  <si>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</si>
  <si>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</si>
  <si>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</si>
  <si>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</si>
  <si>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</si>
  <si>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</si>
  <si>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</si>
  <si>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</si>
  <si>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</si>
  <si>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</si>
  <si>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</si>
  <si>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</si>
  <si>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</si>
  <si>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</si>
  <si>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</si>
  <si>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</si>
  <si>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</si>
  <si>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</si>
  <si>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</si>
  <si>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</si>
  <si>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</si>
  <si>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</si>
  <si>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</si>
  <si>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</si>
  <si>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</si>
  <si>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</si>
  <si>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</si>
  <si>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</si>
  <si>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</si>
  <si>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</si>
  <si>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</si>
  <si>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</si>
  <si>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</si>
  <si>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</si>
  <si>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</si>
  <si>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</si>
  <si>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</si>
  <si>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</si>
  <si>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</si>
  <si>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</si>
  <si>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</si>
  <si>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</si>
  <si>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</si>
  <si>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</si>
  <si>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</si>
  <si>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</si>
  <si>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</si>
  <si>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</si>
  <si>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</si>
  <si>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</si>
  <si>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</si>
  <si>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</si>
  <si>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</si>
  <si>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</si>
  <si>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</si>
  <si>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</si>
  <si>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</si>
  <si>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</si>
  <si>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</si>
  <si>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</si>
  <si>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</si>
  <si>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</si>
  <si>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</si>
  <si>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</si>
  <si>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</si>
  <si>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</si>
  <si>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</si>
  <si>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</si>
  <si>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</si>
  <si>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</si>
  <si>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</si>
  <si>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</si>
  <si>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</si>
  <si>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</si>
  <si>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</si>
  <si>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</si>
  <si>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</si>
  <si>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</si>
  <si>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</si>
  <si>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</si>
  <si>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</si>
  <si>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</si>
  <si>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</si>
  <si>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</si>
  <si>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</si>
  <si>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</si>
  <si>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</si>
  <si>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</si>
  <si>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</si>
  <si>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</si>
  <si>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</si>
  <si>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</si>
  <si>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</si>
  <si>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</si>
  <si>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</si>
  <si>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</si>
  <si>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</si>
  <si>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</si>
  <si>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</si>
  <si>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</si>
  <si>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</si>
  <si>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</si>
  <si>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</si>
  <si>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</si>
  <si>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</si>
  <si>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</si>
  <si>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</si>
  <si>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</si>
  <si>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</si>
  <si>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</si>
  <si>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</si>
  <si>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</si>
  <si>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</si>
  <si>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</si>
  <si>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</si>
  <si>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</si>
  <si>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</si>
  <si>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</si>
  <si>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</si>
  <si>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</si>
  <si>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</si>
  <si>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</si>
  <si>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</si>
  <si>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</si>
  <si>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</si>
  <si>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</si>
  <si>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</si>
  <si>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</si>
  <si>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</si>
  <si>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</si>
  <si>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</si>
  <si>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</si>
  <si>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</si>
  <si>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</si>
  <si>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</si>
  <si>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</si>
  <si>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</si>
  <si>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</si>
  <si>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</si>
  <si>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</si>
  <si>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</si>
  <si>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</si>
  <si>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</si>
  <si>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</si>
  <si>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</si>
  <si>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</si>
  <si>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</si>
  <si>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</si>
  <si>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</si>
  <si>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</si>
  <si>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</si>
  <si>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</si>
  <si>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</si>
  <si>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</si>
  <si>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</si>
  <si>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</si>
  <si>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</si>
  <si>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</si>
  <si>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</si>
  <si>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</si>
  <si>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</si>
  <si>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</si>
  <si>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</si>
  <si>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</si>
  <si>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</si>
  <si>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</si>
  <si>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</si>
  <si>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</si>
  <si>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</si>
  <si>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</si>
  <si>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</si>
  <si>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</si>
  <si>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</si>
  <si>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</si>
  <si>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</si>
  <si>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</si>
  <si>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</si>
  <si>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</si>
  <si>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</si>
  <si>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</si>
  <si>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</si>
  <si>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</si>
  <si>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</si>
  <si>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</si>
  <si>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</si>
  <si>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</si>
  <si>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</si>
  <si>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</si>
  <si>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</si>
  <si>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</si>
  <si>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</si>
  <si>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</si>
  <si>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</si>
  <si>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</si>
  <si>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</si>
  <si>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</si>
  <si>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</si>
  <si>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</si>
  <si>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</si>
  <si>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</si>
  <si>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</si>
  <si>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</si>
  <si>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</si>
  <si>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</si>
  <si>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</si>
  <si>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</si>
  <si>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</si>
  <si>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</si>
  <si>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</si>
  <si>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</si>
  <si>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</si>
  <si>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</si>
  <si>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</si>
  <si>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</si>
  <si>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</si>
  <si>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</si>
  <si>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</si>
  <si>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</si>
  <si>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</si>
  <si>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</si>
  <si>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</si>
  <si>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</si>
  <si>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</si>
  <si>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</si>
  <si>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</si>
  <si>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</si>
  <si>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</si>
  <si>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</si>
  <si>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</si>
  <si>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</si>
  <si>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</si>
  <si>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</si>
  <si>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</si>
  <si>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</si>
  <si>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</si>
  <si>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</si>
  <si>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</si>
  <si>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</si>
  <si>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</si>
  <si>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</si>
  <si>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</si>
  <si>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</si>
  <si>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</si>
  <si>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</si>
  <si>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</si>
  <si>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</si>
  <si>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</si>
  <si>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</si>
  <si>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</si>
  <si>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</si>
  <si>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</si>
  <si>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</si>
  <si>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</si>
  <si>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</si>
  <si>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</si>
  <si>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</si>
  <si>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</si>
  <si>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</si>
  <si>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</si>
  <si>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</si>
  <si>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</si>
  <si>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</si>
  <si>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</si>
  <si>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</si>
  <si>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</si>
  <si>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</si>
  <si>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</si>
  <si>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</si>
  <si>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</si>
  <si>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</si>
  <si>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</si>
  <si>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</si>
  <si>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</si>
  <si>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</si>
  <si>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</si>
  <si>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</si>
  <si>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</si>
  <si>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</si>
  <si>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</si>
  <si>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</si>
  <si>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</si>
  <si>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</si>
  <si>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</si>
  <si>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</si>
  <si>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</si>
  <si>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</si>
  <si>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</si>
  <si>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</si>
  <si>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</si>
  <si>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</si>
  <si>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</si>
  <si>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</si>
  <si>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</si>
  <si>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</si>
  <si>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</si>
  <si>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</si>
  <si>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</si>
  <si>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</si>
  <si>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</si>
  <si>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</si>
  <si>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</si>
  <si>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</si>
  <si>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</si>
  <si>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</si>
  <si>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</si>
  <si>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</si>
  <si>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</si>
  <si>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</si>
  <si>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</si>
  <si>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</si>
  <si>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</si>
  <si>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</si>
  <si>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</si>
  <si>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</si>
  <si>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</si>
  <si>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</si>
  <si>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</si>
  <si>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</si>
  <si>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</si>
  <si>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</si>
  <si>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</si>
  <si>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</si>
  <si>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</si>
  <si>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</si>
  <si>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</si>
  <si>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</si>
  <si>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</si>
  <si>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</si>
  <si>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</si>
  <si>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</si>
  <si>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</si>
  <si>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</si>
  <si>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</si>
  <si>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</si>
  <si>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</si>
  <si>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</si>
  <si>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</si>
  <si>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</si>
  <si>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</si>
  <si>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</si>
  <si>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</si>
  <si>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</si>
  <si>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</si>
  <si>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</si>
  <si>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</si>
  <si>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</si>
  <si>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</si>
  <si>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</si>
  <si>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</si>
  <si>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</si>
  <si>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</si>
  <si>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</si>
  <si>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</si>
  <si>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</si>
  <si>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</si>
  <si>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</si>
  <si>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</si>
  <si>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</si>
  <si>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</si>
  <si>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</si>
  <si>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</si>
  <si>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</si>
  <si>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</si>
  <si>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</si>
  <si>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</si>
  <si>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</si>
  <si>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</si>
  <si>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</si>
  <si>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</si>
  <si>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</si>
  <si>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</si>
  <si>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</si>
  <si>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</si>
  <si>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</si>
  <si>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</si>
  <si>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</si>
  <si>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</si>
  <si>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</si>
  <si>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</si>
  <si>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</si>
  <si>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</si>
  <si>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</si>
  <si>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</si>
  <si>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</si>
  <si>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</si>
  <si>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</si>
  <si>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</si>
  <si>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</si>
  <si>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</si>
  <si>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</si>
  <si>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</si>
  <si>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</si>
  <si>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</si>
  <si>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</si>
  <si>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</si>
  <si>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</si>
  <si>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</si>
  <si>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</si>
  <si>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</si>
  <si>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</si>
  <si>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</si>
  <si>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</si>
  <si>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</si>
  <si>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</si>
  <si>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</si>
  <si>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</si>
  <si>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</si>
  <si>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</si>
  <si>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</si>
  <si>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</si>
  <si>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</si>
  <si>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</si>
  <si>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</si>
  <si>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</si>
  <si>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</si>
  <si>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</si>
  <si>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</si>
  <si>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</si>
  <si>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</si>
  <si>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</si>
  <si>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</si>
  <si>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</si>
  <si>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</si>
  <si>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</si>
  <si>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</si>
  <si>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</si>
  <si>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</si>
  <si>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</si>
  <si>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</si>
  <si>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</si>
  <si>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</si>
  <si>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</si>
  <si>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</si>
  <si>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</si>
  <si>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</si>
  <si>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</si>
  <si>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</si>
  <si>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</si>
  <si>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</si>
  <si>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</si>
  <si>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</si>
  <si>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</si>
  <si>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</si>
  <si>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</si>
  <si>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</si>
  <si>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</si>
  <si>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</si>
  <si>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</si>
  <si>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</si>
  <si>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</si>
  <si>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</si>
  <si>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</si>
  <si>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</si>
  <si>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</si>
  <si>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</si>
  <si>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</si>
  <si>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</si>
  <si>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</si>
  <si>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</si>
  <si>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</si>
  <si>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</si>
  <si>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</si>
  <si>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</si>
  <si>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</si>
  <si>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</si>
  <si>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</si>
  <si>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</si>
  <si>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</si>
  <si>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</si>
  <si>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</si>
  <si>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</si>
  <si>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</si>
  <si>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</si>
  <si>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</si>
  <si>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</si>
  <si>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</si>
  <si>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</si>
  <si>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</si>
  <si>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</si>
  <si>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</si>
  <si>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</si>
  <si>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</si>
  <si>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</si>
  <si>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</si>
  <si>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</si>
  <si>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</si>
  <si>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</si>
  <si>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</si>
  <si>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</si>
  <si>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</si>
  <si>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</si>
  <si>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</si>
  <si>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</si>
  <si>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</si>
  <si>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</si>
  <si>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</si>
  <si>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</si>
  <si>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</si>
  <si>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</si>
  <si>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</si>
  <si>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</si>
  <si>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</si>
  <si>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</si>
  <si>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</si>
  <si>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</si>
  <si>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</si>
  <si>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</si>
  <si>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</si>
  <si>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</si>
  <si>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</si>
  <si>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</si>
  <si>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</si>
  <si>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</si>
  <si>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</si>
  <si>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</si>
  <si>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</si>
  <si>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</si>
  <si>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</si>
  <si>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</si>
  <si>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</si>
  <si>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</si>
  <si>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</si>
  <si>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</si>
  <si>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</si>
  <si>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</si>
  <si>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</si>
  <si>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</si>
  <si>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</si>
  <si>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</si>
  <si>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</si>
  <si>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</si>
  <si>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</si>
  <si>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</si>
  <si>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</si>
  <si>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</si>
  <si>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</si>
  <si>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</si>
  <si>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</si>
  <si>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</si>
  <si>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</si>
  <si>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</si>
  <si>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</si>
  <si>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</si>
  <si>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</si>
  <si>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</si>
  <si>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</si>
  <si>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</si>
  <si>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</si>
  <si>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</si>
  <si>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</si>
  <si>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</si>
  <si>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</si>
  <si>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</si>
  <si>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</si>
  <si>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</si>
  <si>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</si>
  <si>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</si>
  <si>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</si>
  <si>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</si>
  <si>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</si>
  <si>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</si>
  <si>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</si>
  <si>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</si>
  <si>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</si>
  <si>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</si>
  <si>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</si>
  <si>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</si>
  <si>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</si>
  <si>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</si>
  <si>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</si>
  <si>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</si>
  <si>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</si>
  <si>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</si>
  <si>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</si>
  <si>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</si>
  <si>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</si>
  <si>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</si>
  <si>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</si>
  <si>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</si>
  <si>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</si>
  <si>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</si>
  <si>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</si>
  <si>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</si>
  <si>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</si>
  <si>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</si>
  <si>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</si>
  <si>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</si>
  <si>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</si>
  <si>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</si>
  <si>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</si>
  <si>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</si>
  <si>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</si>
  <si>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</si>
  <si>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</si>
  <si>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</si>
  <si>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</si>
  <si>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</si>
  <si>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</si>
  <si>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</si>
  <si>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</si>
  <si>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</si>
  <si>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</si>
  <si>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</si>
  <si>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</si>
  <si>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</si>
  <si>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</si>
  <si>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</si>
  <si>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</si>
  <si>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</si>
  <si>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</si>
  <si>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</si>
  <si>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</si>
  <si>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</si>
  <si>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</si>
  <si>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</si>
  <si>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</si>
  <si>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</si>
  <si>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</si>
  <si>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</si>
  <si>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</si>
  <si>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</si>
  <si>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</si>
  <si>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</si>
  <si>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</si>
  <si>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</si>
  <si>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</si>
  <si>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</si>
  <si>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</si>
  <si>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</si>
  <si>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</si>
  <si>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</si>
  <si>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</si>
  <si>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</si>
  <si>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</si>
  <si>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</si>
  <si>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</si>
  <si>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</si>
  <si>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</si>
  <si>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</si>
  <si>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</si>
  <si>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</si>
  <si>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</si>
  <si>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</si>
  <si>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</si>
  <si>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</si>
  <si>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</si>
  <si>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</si>
  <si>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</si>
  <si>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</si>
  <si>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</si>
  <si>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</si>
  <si>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</si>
  <si>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</si>
  <si>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</si>
  <si>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</si>
  <si>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</si>
  <si>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</si>
  <si>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</si>
  <si>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</si>
  <si>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</si>
  <si>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</si>
  <si>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</si>
  <si>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</si>
  <si>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</si>
  <si>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</si>
  <si>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</si>
  <si>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</si>
  <si>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</si>
  <si>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</si>
  <si>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</si>
  <si>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</si>
  <si>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</si>
  <si>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</si>
  <si>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</si>
  <si>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</si>
  <si>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</si>
  <si>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</si>
  <si>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</si>
  <si>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</si>
  <si>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</si>
  <si>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</si>
  <si>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</si>
  <si>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</si>
  <si>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</si>
  <si>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</si>
  <si>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</si>
  <si>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</si>
  <si>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</si>
  <si>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</si>
  <si>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</si>
  <si>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</si>
  <si>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</si>
  <si>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</si>
  <si>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</si>
  <si>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</si>
  <si>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</si>
  <si>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</si>
  <si>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</si>
  <si>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</si>
  <si>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</si>
  <si>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</si>
  <si>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</si>
  <si>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</si>
  <si>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</si>
  <si>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</si>
  <si>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</si>
  <si>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</si>
  <si>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</si>
  <si>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</si>
  <si>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</si>
  <si>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</si>
  <si>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</si>
  <si>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</si>
  <si>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</si>
  <si>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</si>
  <si>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</si>
  <si>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</si>
  <si>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</si>
  <si>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</si>
  <si>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</si>
  <si>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</si>
  <si>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</si>
  <si>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</si>
  <si>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</si>
  <si>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</si>
  <si>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</si>
  <si>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</si>
  <si>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</si>
  <si>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</si>
  <si>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</si>
  <si>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</si>
  <si>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</si>
  <si>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</si>
  <si>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</si>
  <si>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</si>
  <si>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</si>
  <si>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</si>
  <si>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</si>
  <si>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</si>
  <si>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</si>
  <si>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</si>
  <si>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</si>
  <si>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</si>
  <si>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</si>
  <si>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</si>
  <si>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</si>
  <si>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</si>
  <si>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</si>
  <si>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</si>
  <si>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</si>
  <si>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</si>
  <si>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</si>
  <si>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</si>
  <si>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</si>
  <si>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</si>
  <si>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</si>
  <si>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</si>
  <si>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</si>
  <si>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</si>
  <si>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</si>
  <si>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</si>
  <si>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</si>
  <si>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</si>
  <si>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</si>
  <si>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</si>
  <si>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</si>
  <si>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</si>
  <si>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</si>
  <si>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</si>
  <si>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</si>
  <si>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</si>
  <si>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</si>
  <si>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</si>
  <si>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</si>
  <si>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</si>
  <si>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</si>
  <si>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</si>
  <si>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</si>
  <si>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</si>
  <si>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</si>
  <si>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</si>
  <si>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</si>
  <si>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</si>
  <si>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</si>
  <si>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</si>
  <si>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</si>
  <si>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</si>
  <si>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</si>
  <si>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</si>
  <si>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</si>
  <si>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</si>
  <si>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</si>
  <si>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</si>
  <si>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</si>
  <si>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</si>
  <si>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</si>
  <si>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</si>
  <si>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</si>
  <si>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</si>
  <si>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</si>
  <si>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</si>
  <si>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</si>
  <si>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</si>
  <si>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</si>
  <si>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</si>
  <si>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</si>
  <si>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</si>
  <si>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</si>
  <si>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</si>
  <si>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</si>
  <si>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</si>
  <si>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</si>
  <si>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</si>
  <si>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</si>
  <si>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</si>
  <si>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</si>
  <si>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</si>
  <si>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</si>
  <si>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</si>
  <si>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</si>
  <si>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</si>
  <si>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</si>
  <si>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</si>
  <si>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</si>
  <si>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</si>
  <si>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</si>
  <si>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</si>
  <si>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</si>
  <si>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</si>
  <si>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</si>
  <si>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</si>
  <si>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</si>
  <si>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</si>
  <si>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</si>
  <si>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</si>
  <si>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</si>
  <si>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</si>
  <si>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</si>
  <si>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</si>
  <si>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</si>
  <si>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</si>
  <si>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</si>
  <si>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</si>
  <si>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</si>
  <si>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</si>
  <si>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</si>
  <si>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</si>
  <si>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</si>
  <si>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</si>
  <si>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</si>
  <si>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</si>
  <si>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</si>
  <si>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</si>
  <si>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</si>
  <si>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</si>
  <si>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</si>
  <si>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</si>
  <si>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</si>
  <si>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</si>
  <si>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</si>
  <si>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</si>
  <si>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</si>
  <si>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</si>
  <si>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</si>
  <si>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</si>
  <si>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</si>
  <si>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</si>
  <si>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</si>
  <si>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</si>
  <si>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</si>
  <si>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</si>
  <si>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</si>
  <si>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</si>
  <si>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</si>
  <si>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</si>
  <si>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</si>
  <si>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</si>
  <si>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</si>
  <si>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</si>
  <si>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</si>
  <si>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</si>
  <si>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</si>
  <si>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</si>
  <si>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</si>
  <si>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</si>
  <si>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</si>
  <si>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</si>
  <si>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</si>
  <si>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</si>
  <si>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</si>
  <si>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</si>
  <si>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</si>
  <si>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</si>
  <si>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</si>
  <si>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</si>
  <si>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</si>
  <si>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</si>
  <si>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</si>
  <si>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</si>
  <si>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</si>
  <si>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</si>
  <si>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</si>
  <si>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</si>
  <si>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</si>
  <si>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</si>
  <si>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</si>
  <si>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</si>
  <si>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</si>
  <si>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</si>
  <si>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</si>
  <si>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</si>
  <si>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</si>
  <si>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</si>
  <si>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</si>
  <si>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</si>
  <si>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</si>
  <si>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</si>
  <si>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</si>
  <si>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</si>
  <si>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</si>
  <si>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</si>
  <si>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</si>
  <si>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</si>
  <si>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</si>
  <si>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</si>
  <si>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</si>
  <si>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</si>
  <si>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</si>
  <si>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</si>
  <si>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</si>
  <si>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</si>
  <si>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</si>
  <si>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</si>
  <si>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</si>
  <si>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</si>
  <si>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</si>
  <si>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</si>
  <si>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</si>
  <si>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</si>
  <si>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</si>
  <si>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</si>
  <si>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</si>
  <si>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</si>
  <si>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</si>
  <si>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</si>
  <si>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</si>
  <si>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</si>
  <si>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</si>
  <si>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</si>
  <si>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</si>
  <si>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</si>
  <si>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</si>
  <si>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</si>
  <si>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</si>
  <si>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</si>
  <si>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</si>
  <si>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</si>
  <si>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</si>
  <si>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</si>
  <si>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</si>
  <si>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</si>
  <si>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</si>
  <si>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</si>
  <si>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</si>
  <si>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</si>
  <si>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</si>
  <si>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</si>
  <si>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</si>
  <si>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</si>
  <si>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</si>
  <si>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</si>
  <si>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</si>
  <si>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</si>
  <si>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</si>
  <si>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</si>
  <si>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</si>
  <si>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</si>
  <si>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</si>
  <si>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</si>
  <si>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</si>
  <si>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</si>
  <si>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</si>
  <si>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</si>
  <si>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</si>
  <si>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</si>
  <si>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</si>
  <si>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</si>
  <si>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</si>
  <si>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</si>
  <si>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</si>
  <si>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</si>
  <si>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</si>
  <si>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</si>
  <si>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</si>
  <si>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</si>
  <si>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</si>
  <si>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</si>
  <si>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</si>
  <si>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</si>
  <si>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</si>
  <si>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</si>
  <si>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</si>
  <si>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</si>
  <si>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</si>
  <si>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</si>
  <si>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</si>
  <si>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</si>
  <si>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</si>
  <si>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</si>
  <si>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</si>
  <si>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</si>
  <si>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</si>
  <si>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</si>
  <si>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</si>
  <si>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</si>
  <si>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</si>
  <si>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</si>
  <si>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</si>
  <si>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</si>
  <si>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</si>
  <si>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</si>
  <si>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</si>
  <si>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</si>
  <si>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</si>
  <si>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</si>
  <si>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</si>
  <si>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</si>
  <si>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</si>
  <si>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</si>
  <si>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</si>
  <si>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</si>
  <si>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</si>
  <si>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</si>
  <si>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</si>
  <si>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</si>
  <si>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</si>
  <si>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</si>
  <si>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</si>
  <si>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</si>
  <si>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</si>
  <si>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</si>
  <si>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</si>
  <si>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</si>
  <si>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</si>
  <si>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</si>
  <si>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</si>
  <si>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</si>
  <si>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</si>
  <si>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</si>
  <si>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</si>
  <si>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</si>
  <si>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</si>
  <si>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</si>
  <si>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</si>
  <si>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</si>
  <si>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</si>
  <si>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</si>
  <si>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</si>
  <si>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</si>
  <si>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</si>
  <si>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</si>
  <si>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</si>
  <si>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</si>
  <si>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</si>
  <si>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</si>
  <si>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</si>
  <si>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</si>
  <si>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</si>
  <si>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</si>
  <si>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</si>
  <si>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</si>
  <si>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</si>
  <si>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</si>
  <si>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</si>
  <si>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</si>
  <si>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</si>
  <si>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</si>
  <si>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</si>
  <si>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</si>
  <si>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</si>
  <si>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</si>
  <si>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</si>
  <si>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</si>
  <si>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</si>
  <si>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</si>
  <si>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</si>
  <si>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</si>
  <si>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</si>
  <si>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</si>
  <si>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</si>
  <si>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</si>
  <si>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</si>
  <si>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</si>
  <si>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</si>
  <si>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</si>
  <si>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</si>
  <si>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</si>
  <si>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</si>
  <si>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</si>
  <si>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</si>
  <si>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</si>
  <si>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</si>
  <si>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</si>
  <si>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</si>
  <si>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</si>
  <si>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</si>
  <si>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</si>
  <si>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</si>
  <si>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</si>
  <si>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</si>
  <si>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</si>
  <si>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</si>
  <si>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</si>
  <si>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</si>
  <si>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</si>
  <si>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</si>
  <si>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</si>
  <si>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</si>
  <si>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</si>
  <si>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</si>
  <si>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</si>
  <si>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</si>
  <si>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</si>
  <si>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</si>
  <si>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</si>
  <si>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</si>
  <si>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</si>
  <si>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</si>
  <si>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</si>
  <si>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</si>
  <si>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</si>
  <si>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</si>
  <si>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</si>
  <si>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</si>
  <si>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</si>
  <si>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</si>
  <si>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</si>
  <si>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</si>
  <si>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</si>
  <si>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</si>
  <si>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</si>
  <si>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</si>
  <si>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</si>
  <si>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</si>
  <si>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</si>
  <si>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</si>
  <si>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</si>
  <si>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</si>
  <si>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</si>
  <si>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</si>
  <si>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</si>
  <si>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</si>
  <si>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</si>
  <si>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</si>
  <si>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</si>
  <si>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</si>
  <si>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</si>
  <si>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</si>
  <si>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</si>
  <si>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</si>
  <si>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</si>
  <si>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</si>
  <si>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</si>
  <si>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</si>
  <si>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</si>
  <si>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</si>
  <si>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</si>
  <si>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</si>
  <si>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</si>
  <si>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</si>
  <si>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</si>
  <si>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</si>
  <si>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</si>
  <si>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</si>
  <si>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</si>
  <si>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</si>
  <si>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</si>
  <si>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</si>
  <si>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</si>
  <si>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</si>
  <si>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</si>
  <si>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</si>
  <si>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</si>
  <si>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</si>
  <si>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</si>
  <si>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</si>
  <si>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</si>
  <si>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</si>
  <si>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</si>
  <si>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</si>
  <si>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</si>
  <si>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</si>
  <si>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</si>
  <si>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</si>
  <si>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</si>
  <si>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</si>
  <si>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</si>
  <si>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</si>
  <si>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</si>
  <si>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</si>
  <si>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</si>
  <si>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</si>
  <si>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</si>
  <si>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</si>
  <si>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</si>
  <si>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</si>
  <si>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</si>
  <si>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</si>
  <si>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</si>
  <si>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</si>
  <si>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</si>
  <si>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</si>
  <si>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</si>
  <si>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</si>
  <si>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</si>
  <si>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</si>
  <si>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</si>
  <si>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</si>
  <si>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</si>
  <si>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</si>
  <si>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</si>
  <si>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</si>
  <si>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</si>
  <si>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</si>
  <si>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</si>
  <si>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</si>
  <si>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</si>
  <si>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</si>
  <si>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</si>
  <si>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</si>
  <si>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</si>
  <si>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</si>
  <si>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</si>
  <si>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</si>
  <si>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</si>
  <si>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</si>
  <si>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</si>
  <si>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</si>
  <si>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</si>
  <si>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</si>
  <si>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</si>
  <si>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</si>
  <si>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</si>
  <si>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</si>
  <si>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</si>
  <si>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</si>
  <si>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</si>
  <si>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</si>
  <si>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</si>
  <si>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</si>
  <si>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</si>
  <si>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</si>
  <si>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</si>
  <si>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</si>
  <si>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</si>
  <si>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</si>
  <si>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</si>
  <si>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</si>
  <si>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</si>
  <si>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</si>
  <si>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</si>
  <si>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</si>
  <si>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</si>
  <si>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</si>
  <si>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</si>
  <si>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</si>
  <si>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</si>
  <si>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</si>
  <si>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</si>
  <si>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</si>
  <si>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</si>
  <si>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</si>
  <si>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</si>
  <si>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</si>
  <si>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</si>
  <si>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</si>
  <si>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</si>
  <si>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</si>
  <si>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</si>
  <si>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</si>
  <si>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</si>
  <si>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</si>
  <si>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</si>
  <si>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</si>
  <si>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</si>
  <si>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</si>
  <si>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</si>
  <si>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</si>
  <si>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</si>
  <si>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</si>
  <si>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</si>
  <si>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</si>
  <si>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</si>
  <si>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</si>
  <si>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</si>
  <si>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</si>
  <si>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</si>
  <si>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</si>
  <si>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</si>
  <si>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</si>
  <si>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</si>
  <si>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</si>
  <si>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</si>
  <si>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</si>
  <si>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</si>
  <si>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</si>
  <si>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</si>
  <si>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</si>
  <si>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</si>
  <si>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</si>
  <si>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</si>
  <si>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</si>
  <si>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</si>
  <si>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</si>
  <si>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</si>
  <si>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</si>
  <si>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</si>
  <si>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</si>
  <si>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</si>
  <si>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</si>
  <si>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</si>
  <si>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</si>
  <si>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</si>
  <si>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</si>
  <si>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</si>
  <si>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</si>
  <si>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</si>
  <si>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</si>
  <si>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</si>
  <si>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</si>
  <si>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</si>
  <si>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</si>
  <si>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</si>
  <si>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</si>
  <si>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</si>
  <si>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</si>
  <si>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</si>
  <si>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</si>
  <si>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</si>
  <si>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</si>
  <si>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</si>
  <si>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</si>
  <si>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</si>
  <si>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</si>
  <si>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</si>
  <si>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</si>
  <si>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</si>
  <si>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</si>
  <si>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</si>
  <si>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</si>
  <si>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</si>
  <si>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</si>
  <si>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</si>
  <si>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</si>
  <si>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</si>
  <si>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</si>
  <si>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</si>
  <si>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</si>
  <si>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</si>
  <si>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</si>
  <si>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</si>
  <si>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</si>
  <si>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</si>
  <si>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</si>
  <si>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</si>
  <si>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</si>
  <si>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</si>
  <si>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</si>
  <si>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</si>
  <si>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</si>
  <si>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</si>
  <si>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</si>
  <si>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</si>
  <si>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</si>
  <si>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</si>
  <si>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</si>
  <si>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</si>
  <si>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</si>
  <si>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</si>
  <si>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</si>
  <si>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</si>
  <si>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</si>
  <si>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</si>
  <si>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</si>
  <si>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</si>
  <si>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</si>
  <si>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</si>
  <si>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</si>
  <si>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</si>
  <si>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</si>
  <si>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</si>
  <si>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</si>
  <si>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</si>
  <si>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</si>
  <si>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</si>
  <si>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</si>
  <si>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</si>
  <si>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</si>
  <si>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</si>
  <si>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</si>
  <si>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</si>
  <si>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</si>
  <si>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</si>
  <si>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</si>
  <si>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</si>
  <si>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</si>
  <si>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</si>
  <si>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</si>
  <si>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</si>
  <si>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</si>
  <si>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</si>
  <si>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</si>
  <si>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</si>
  <si>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</si>
  <si>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</si>
  <si>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</si>
  <si>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</si>
  <si>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</si>
  <si>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</si>
  <si>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</si>
  <si>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</si>
  <si>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</si>
  <si>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</si>
  <si>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</si>
  <si>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</si>
  <si>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</si>
  <si>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</si>
  <si>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</si>
  <si>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</si>
  <si>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</si>
  <si>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</si>
  <si>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</si>
  <si>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</si>
  <si>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</si>
  <si>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</si>
  <si>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</si>
  <si>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</si>
  <si>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</si>
  <si>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</si>
  <si>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</si>
  <si>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</si>
  <si>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</si>
  <si>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</si>
  <si>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</si>
  <si>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</si>
  <si>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</si>
  <si>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</si>
  <si>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</si>
  <si>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</si>
  <si>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</si>
  <si>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</si>
  <si>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</si>
  <si>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</si>
  <si>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</si>
  <si>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</si>
  <si>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</si>
  <si>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</si>
  <si>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</si>
  <si>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</si>
  <si>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</si>
  <si>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</si>
  <si>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</si>
  <si>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</si>
  <si>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</si>
  <si>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</si>
  <si>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</si>
  <si>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</si>
  <si>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</si>
  <si>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</si>
  <si>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</si>
  <si>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</si>
  <si>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</si>
  <si>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</si>
  <si>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</si>
  <si>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</si>
  <si>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</si>
  <si>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</si>
  <si>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</si>
  <si>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</si>
  <si>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</si>
  <si>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</si>
  <si>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</si>
  <si>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</si>
  <si>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</si>
  <si>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</si>
  <si>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</si>
  <si>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</si>
  <si>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</si>
  <si>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</si>
  <si>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</si>
  <si>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</si>
  <si>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</si>
  <si>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</si>
  <si>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</si>
  <si>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</si>
  <si>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</si>
  <si>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</si>
  <si>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</si>
  <si>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</si>
  <si>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</si>
  <si>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</si>
  <si>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</si>
  <si>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</si>
  <si>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</si>
  <si>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</si>
  <si>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</si>
  <si>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</si>
  <si>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</si>
  <si>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</si>
  <si>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</si>
  <si>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</si>
  <si>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</si>
  <si>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</si>
  <si>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</si>
  <si>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</si>
  <si>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</si>
  <si>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</si>
  <si>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</si>
  <si>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</si>
  <si>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</si>
  <si>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</si>
  <si>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</si>
  <si>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</si>
  <si>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</si>
  <si>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</si>
  <si>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</si>
  <si>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</si>
  <si>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</si>
  <si>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</si>
  <si>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</si>
  <si>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</si>
  <si>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</si>
  <si>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</si>
  <si>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</si>
  <si>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</si>
  <si>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</si>
  <si>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</si>
  <si>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</si>
  <si>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</si>
  <si>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</si>
  <si>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</si>
  <si>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</si>
  <si>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</si>
  <si>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</si>
  <si>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</si>
  <si>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</si>
  <si>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</si>
  <si>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</si>
  <si>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</si>
  <si>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</si>
  <si>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</si>
  <si>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</si>
  <si>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</si>
  <si>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</si>
  <si>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</si>
  <si>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</si>
  <si>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</si>
  <si>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</si>
  <si>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</si>
  <si>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</si>
  <si>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</si>
  <si>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</si>
  <si>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</si>
  <si>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</si>
  <si>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</si>
  <si>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</si>
  <si>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</si>
  <si>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</si>
  <si>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</si>
  <si>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</si>
  <si>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</si>
  <si>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</si>
  <si>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</si>
  <si>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</si>
  <si>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</si>
  <si>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</si>
  <si>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</si>
  <si>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</si>
  <si>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</si>
  <si>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</si>
  <si>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</si>
  <si>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</si>
  <si>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</si>
  <si>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</si>
  <si>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</si>
  <si>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</si>
  <si>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</si>
  <si>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</si>
  <si>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</si>
  <si>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</si>
  <si>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</si>
  <si>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</si>
  <si>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</si>
  <si>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</si>
  <si>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</si>
  <si>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</si>
  <si>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</si>
  <si>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</si>
  <si>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</si>
  <si>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</si>
  <si>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</si>
  <si>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</si>
  <si>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</si>
  <si>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</si>
  <si>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</si>
  <si>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</si>
  <si>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</si>
  <si>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</si>
  <si>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</si>
  <si>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</si>
  <si>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</si>
  <si>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</si>
  <si>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</si>
  <si>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</si>
  <si>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</si>
  <si>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</si>
  <si>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</si>
  <si>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</si>
  <si>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</si>
  <si>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</si>
  <si>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</si>
  <si>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</si>
  <si>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</si>
  <si>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</si>
  <si>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</si>
  <si>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</si>
  <si>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</si>
  <si>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</si>
  <si>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</si>
  <si>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</si>
  <si>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</si>
  <si>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</si>
  <si>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</si>
  <si>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</si>
  <si>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</si>
  <si>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</si>
  <si>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</si>
  <si>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</si>
  <si>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</si>
  <si>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</si>
  <si>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</si>
  <si>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</si>
  <si>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</si>
  <si>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</si>
  <si>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</si>
  <si>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</si>
  <si>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</si>
  <si>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</si>
  <si>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</si>
  <si>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</si>
  <si>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</si>
  <si>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</si>
  <si>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</si>
  <si>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</si>
  <si>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</si>
  <si>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</si>
  <si>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</si>
  <si>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</si>
  <si>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</si>
  <si>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</si>
  <si>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</si>
  <si>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</si>
  <si>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</si>
  <si>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</si>
  <si>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</si>
  <si>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</si>
  <si>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</si>
  <si>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</si>
  <si>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</si>
  <si>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</si>
  <si>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</si>
  <si>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</si>
  <si>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</si>
  <si>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</si>
  <si>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</si>
  <si>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</si>
  <si>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</si>
  <si>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</si>
  <si>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</si>
  <si>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</si>
  <si>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</si>
  <si>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</si>
  <si>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</si>
  <si>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</si>
  <si>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</si>
  <si>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</si>
  <si>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</si>
  <si>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</si>
  <si>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</si>
  <si>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</si>
  <si>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</si>
  <si>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</si>
  <si>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</si>
  <si>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</si>
  <si>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</si>
  <si>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</si>
  <si>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</si>
  <si>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</si>
  <si>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</si>
  <si>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</si>
  <si>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</si>
  <si>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</si>
  <si>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</si>
  <si>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</si>
  <si>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</si>
  <si>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</si>
  <si>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</si>
  <si>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</si>
  <si>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</si>
  <si>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</si>
  <si>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</si>
  <si>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</si>
  <si>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</si>
  <si>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</si>
  <si>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</si>
  <si>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</si>
  <si>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</si>
  <si>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</si>
  <si>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</si>
  <si>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</si>
  <si>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</si>
  <si>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</si>
  <si>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</si>
  <si>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</si>
  <si>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</si>
  <si>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</si>
  <si>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</si>
  <si>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</si>
  <si>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</si>
  <si>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</si>
  <si>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</si>
  <si>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</si>
  <si>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</si>
  <si>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</si>
  <si>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</si>
  <si>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</si>
  <si>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</si>
  <si>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</si>
  <si>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</si>
  <si>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</si>
  <si>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</si>
  <si>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</si>
  <si>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</si>
  <si>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</si>
  <si>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</si>
  <si>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</si>
  <si>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</si>
  <si>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</si>
  <si>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</si>
  <si>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</si>
  <si>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</si>
  <si>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</si>
  <si>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</si>
  <si>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</si>
  <si>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</si>
  <si>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</si>
  <si>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</si>
  <si>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</si>
  <si>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</si>
  <si>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</si>
  <si>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</si>
  <si>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</si>
  <si>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</si>
  <si>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</si>
  <si>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</si>
  <si>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</si>
  <si>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</si>
  <si>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</si>
  <si>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</si>
  <si>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</si>
  <si>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</si>
  <si>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</si>
  <si>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</si>
  <si>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</si>
  <si>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</si>
  <si>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</si>
  <si>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</si>
  <si>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</si>
  <si>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</si>
  <si>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</si>
  <si>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</si>
  <si>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</si>
  <si>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</si>
  <si>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</si>
  <si>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</si>
  <si>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</si>
  <si>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</si>
  <si>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</si>
  <si>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</si>
  <si>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</si>
  <si>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</si>
  <si>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</si>
  <si>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</si>
  <si>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</si>
  <si>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</si>
  <si>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</si>
  <si>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</si>
  <si>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</si>
  <si>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</si>
  <si>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</si>
  <si>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</si>
  <si>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</si>
  <si>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</si>
  <si>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</si>
  <si>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</si>
  <si>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</si>
  <si>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</si>
  <si>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</si>
  <si>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</si>
  <si>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</si>
  <si>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</si>
  <si>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</si>
  <si>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</si>
  <si>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</si>
  <si>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</si>
  <si>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</si>
  <si>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</si>
  <si>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</si>
  <si>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</si>
  <si>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</si>
  <si>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</si>
  <si>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</si>
  <si>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</si>
  <si>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</si>
  <si>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</si>
  <si>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</si>
  <si>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</si>
  <si>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</si>
  <si>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</si>
  <si>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</si>
  <si>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</si>
  <si>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</si>
  <si>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</si>
  <si>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</si>
  <si>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</si>
  <si>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</si>
  <si>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</si>
  <si>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</si>
  <si>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</si>
  <si>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</si>
  <si>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</si>
  <si>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</si>
  <si>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</si>
  <si>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</si>
  <si>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</si>
  <si>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</si>
  <si>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</si>
  <si>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</si>
  <si>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</si>
  <si>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</si>
  <si>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</si>
  <si>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</si>
  <si>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</si>
  <si>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</si>
  <si>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</si>
  <si>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</si>
  <si>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</si>
  <si>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</si>
  <si>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</si>
  <si>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</si>
  <si>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</si>
  <si>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</si>
  <si>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</si>
  <si>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</si>
  <si>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</si>
  <si>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</si>
  <si>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</si>
  <si>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</si>
  <si>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</si>
  <si>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</si>
  <si>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</si>
  <si>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</si>
  <si>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</si>
  <si>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</si>
  <si>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</si>
  <si>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</si>
  <si>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</si>
  <si>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</si>
  <si>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</si>
  <si>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</si>
  <si>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</si>
  <si>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</si>
  <si>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</si>
  <si>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</si>
  <si>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</si>
  <si>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</si>
  <si>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</si>
  <si>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</si>
  <si>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</si>
  <si>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</si>
  <si>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</si>
  <si>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</si>
  <si>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</si>
  <si>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</si>
  <si>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</si>
  <si>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</si>
  <si>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</si>
  <si>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</si>
  <si>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</si>
  <si>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</si>
  <si>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</si>
  <si>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</si>
  <si>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</si>
  <si>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</si>
  <si>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</si>
  <si>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</si>
  <si>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</si>
  <si>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</si>
  <si>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</si>
  <si>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</si>
  <si>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</si>
  <si>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</si>
  <si>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</si>
  <si>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</si>
  <si>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</si>
  <si>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</si>
  <si>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</si>
  <si>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</si>
  <si>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</si>
  <si>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</si>
  <si>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</si>
  <si>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</si>
  <si>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</si>
  <si>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</si>
  <si>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</si>
  <si>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</si>
  <si>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</si>
  <si>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</si>
  <si>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</si>
  <si>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</si>
  <si>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</si>
  <si>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</si>
  <si>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</si>
  <si>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</si>
  <si>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</si>
  <si>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</si>
  <si>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</si>
  <si>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</si>
  <si>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</si>
  <si>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</si>
  <si>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</si>
  <si>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</si>
  <si>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</si>
  <si>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</si>
  <si>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</si>
  <si>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</si>
  <si>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</si>
  <si>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</si>
  <si>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</si>
  <si>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</si>
  <si>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</si>
  <si>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</si>
  <si>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</si>
  <si>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</si>
  <si>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</si>
  <si>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</si>
  <si>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</si>
  <si>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</si>
  <si>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</si>
  <si>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</si>
  <si>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</si>
  <si>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</si>
  <si>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</si>
  <si>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</si>
  <si>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</si>
  <si>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</si>
  <si>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</si>
  <si>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</si>
  <si>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</si>
  <si>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</si>
  <si>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</si>
  <si>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</si>
  <si>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</si>
  <si>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</si>
  <si>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</si>
  <si>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</si>
  <si>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</si>
  <si>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</si>
  <si>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</si>
  <si>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</si>
  <si>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</si>
  <si>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</si>
  <si>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</si>
  <si>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</si>
  <si>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</si>
  <si>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</si>
  <si>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</si>
  <si>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</si>
  <si>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</si>
  <si>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</si>
  <si>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</si>
  <si>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</si>
  <si>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</si>
  <si>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</si>
  <si>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</si>
  <si>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</si>
  <si>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</si>
  <si>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</si>
  <si>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</si>
  <si>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</si>
  <si>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</si>
  <si>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</si>
  <si>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</si>
  <si>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</si>
  <si>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</si>
  <si>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</si>
  <si>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</si>
  <si>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</si>
  <si>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</si>
  <si>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</si>
  <si>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</si>
  <si>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</si>
  <si>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</si>
  <si>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</si>
  <si>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</si>
  <si>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</si>
  <si>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</si>
  <si>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</si>
  <si>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</si>
  <si>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</si>
  <si>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</si>
  <si>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</si>
  <si>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</si>
  <si>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</si>
  <si>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</si>
  <si>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</si>
  <si>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</si>
  <si>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</si>
  <si>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</si>
  <si>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</si>
  <si>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</si>
  <si>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</si>
  <si>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</si>
  <si>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</si>
  <si>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</si>
  <si>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</si>
  <si>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</si>
  <si>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</si>
  <si>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</si>
  <si>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</si>
  <si>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</si>
  <si>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</si>
  <si>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</si>
  <si>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</si>
  <si>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</si>
  <si>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</si>
  <si>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</si>
  <si>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</si>
  <si>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</si>
  <si>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</si>
  <si>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</si>
  <si>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</si>
  <si>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</si>
  <si>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</si>
  <si>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</si>
  <si>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</si>
  <si>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</si>
  <si>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</si>
  <si>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</si>
  <si>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</si>
  <si>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</si>
  <si>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</si>
  <si>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</si>
  <si>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</si>
  <si>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</si>
  <si>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</si>
  <si>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</si>
  <si>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</si>
  <si>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</si>
  <si>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</si>
  <si>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</si>
  <si>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</si>
  <si>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</si>
  <si>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</si>
  <si>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</si>
  <si>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</si>
  <si>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</si>
  <si>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</si>
  <si>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</si>
  <si>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</si>
  <si>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</si>
  <si>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</si>
  <si>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</si>
  <si>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</si>
  <si>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</si>
  <si>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</si>
  <si>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</si>
  <si>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</si>
  <si>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</si>
  <si>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</si>
  <si>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</si>
  <si>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</si>
  <si>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</si>
  <si>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</si>
  <si>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</si>
  <si>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</si>
  <si>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</si>
  <si>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</si>
  <si>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</si>
  <si>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</si>
  <si>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</si>
  <si>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</si>
  <si>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</si>
  <si>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</si>
  <si>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</si>
  <si>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</si>
  <si>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</si>
  <si>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</si>
  <si>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</si>
  <si>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</si>
  <si>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</si>
  <si>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</si>
  <si>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</si>
  <si>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</si>
  <si>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</si>
  <si>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</si>
  <si>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</si>
  <si>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</si>
  <si>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</si>
  <si>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</si>
  <si>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</si>
  <si>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</si>
  <si>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</si>
  <si>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</si>
  <si>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</si>
  <si>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</si>
  <si>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</si>
  <si>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</si>
  <si>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</si>
  <si>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</si>
  <si>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</si>
  <si>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</si>
  <si>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</si>
  <si>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</si>
  <si>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</si>
  <si>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</si>
  <si>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</si>
  <si>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</si>
  <si>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</si>
  <si>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</si>
  <si>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</si>
  <si>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</si>
  <si>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</si>
  <si>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</si>
  <si>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</si>
  <si>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</si>
  <si>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</si>
  <si>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</si>
  <si>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</si>
  <si>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</si>
  <si>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</si>
  <si>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</si>
  <si>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</si>
  <si>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</si>
  <si>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</si>
  <si>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</si>
  <si>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</si>
  <si>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</si>
  <si>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</si>
  <si>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</si>
  <si>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</si>
  <si>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</si>
  <si>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</si>
  <si>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</si>
  <si>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</si>
  <si>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</si>
  <si>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</si>
  <si>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</si>
  <si>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</si>
  <si>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</si>
  <si>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</si>
  <si>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</si>
  <si>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</si>
  <si>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</si>
  <si>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</si>
  <si>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</si>
  <si>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</si>
  <si>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</si>
  <si>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</si>
  <si>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</si>
  <si>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</si>
  <si>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</si>
  <si>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</si>
  <si>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</si>
  <si>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</si>
  <si>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</si>
  <si>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</si>
  <si>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</si>
  <si>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</si>
  <si>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</si>
  <si>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</si>
  <si>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</si>
  <si>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</si>
  <si>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</si>
  <si>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</si>
  <si>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</si>
  <si>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</si>
  <si>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</si>
  <si>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</si>
  <si>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</si>
  <si>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</si>
  <si>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</si>
  <si>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</si>
  <si>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</si>
  <si>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</si>
  <si>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</si>
  <si>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</si>
  <si>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</si>
  <si>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</si>
  <si>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</si>
  <si>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</si>
  <si>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</si>
  <si>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</si>
  <si>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</si>
  <si>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</si>
  <si>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</si>
  <si>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</si>
  <si>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</si>
  <si>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</si>
  <si>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</si>
  <si>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</si>
  <si>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</si>
  <si>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</si>
  <si>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</si>
  <si>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</si>
  <si>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</si>
  <si>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</si>
  <si>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</si>
  <si>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</si>
  <si>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</si>
  <si>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</si>
  <si>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</si>
  <si>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</si>
  <si>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</si>
  <si>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</si>
  <si>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</si>
  <si>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</si>
  <si>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</si>
  <si>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</si>
  <si>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</si>
  <si>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</si>
  <si>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</si>
  <si>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</si>
  <si>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</si>
  <si>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</si>
  <si>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</si>
  <si>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</si>
  <si>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</si>
  <si>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</si>
  <si>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</si>
  <si>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</si>
  <si>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</si>
  <si>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</si>
  <si>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</si>
  <si>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</si>
  <si>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</si>
  <si>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</si>
  <si>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</si>
  <si>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</si>
  <si>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</si>
  <si>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</si>
  <si>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</si>
  <si>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</si>
  <si>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</si>
  <si>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</si>
  <si>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</si>
  <si>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</si>
  <si>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</si>
  <si>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</si>
  <si>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</si>
  <si>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</si>
  <si>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</si>
  <si>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</si>
  <si>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</si>
  <si>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</si>
  <si>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</si>
  <si>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</si>
  <si>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</si>
  <si>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</si>
  <si>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</si>
  <si>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</si>
  <si>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</si>
  <si>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</si>
  <si>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</si>
  <si>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</si>
  <si>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</si>
  <si>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</si>
  <si>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</si>
  <si>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</si>
  <si>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</si>
  <si>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</si>
  <si>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</si>
  <si>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</si>
  <si>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</si>
  <si>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</si>
  <si>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</si>
  <si>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</si>
  <si>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</si>
  <si>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</si>
  <si>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</si>
  <si>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</si>
  <si>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</si>
  <si>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</si>
  <si>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</si>
  <si>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</si>
  <si>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</si>
  <si>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</si>
  <si>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</si>
  <si>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</si>
  <si>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</si>
  <si>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</si>
  <si>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</si>
  <si>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</si>
  <si>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</si>
  <si>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</si>
  <si>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</si>
  <si>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</si>
  <si>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</si>
  <si>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</si>
  <si>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</si>
  <si>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</si>
  <si>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</si>
  <si>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</si>
  <si>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</si>
  <si>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</si>
  <si>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</si>
  <si>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</si>
  <si>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</si>
  <si>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</si>
  <si>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</si>
  <si>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</si>
  <si>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</si>
  <si>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</si>
  <si>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</si>
  <si>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</si>
  <si>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</si>
  <si>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</si>
  <si>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</si>
  <si>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</si>
  <si>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</si>
  <si>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</si>
  <si>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</si>
  <si>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</si>
  <si>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</si>
  <si>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</si>
  <si>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</si>
  <si>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</si>
  <si>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</si>
  <si>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</si>
  <si>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</si>
  <si>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</si>
  <si>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</si>
  <si>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</si>
  <si>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</si>
  <si>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</si>
  <si>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</si>
  <si>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</si>
  <si>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</si>
  <si>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</si>
  <si>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</si>
  <si>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</si>
  <si>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</si>
  <si>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</si>
  <si>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</si>
  <si>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</si>
  <si>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</si>
  <si>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</si>
  <si>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</si>
  <si>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</si>
  <si>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</si>
  <si>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</si>
  <si>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</si>
  <si>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</si>
  <si>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</si>
  <si>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</si>
  <si>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</si>
  <si>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</si>
  <si>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</si>
  <si>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</si>
  <si>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</si>
  <si>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</si>
  <si>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</si>
  <si>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</si>
  <si>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</si>
  <si>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</si>
  <si>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</si>
  <si>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</si>
  <si>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</si>
  <si>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</si>
  <si>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</si>
  <si>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</si>
  <si>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</si>
  <si>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</si>
  <si>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</si>
  <si>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</si>
  <si>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</si>
  <si>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</si>
  <si>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</si>
  <si>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</si>
  <si>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</si>
  <si>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</si>
  <si>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</si>
  <si>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</si>
  <si>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</si>
  <si>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</si>
  <si>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</si>
  <si>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</si>
  <si>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</si>
  <si>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</si>
  <si>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</si>
  <si>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</si>
  <si>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</si>
  <si>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</si>
  <si>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</si>
  <si>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</si>
  <si>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</si>
  <si>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</si>
  <si>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</si>
  <si>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</si>
  <si>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</si>
  <si>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</si>
  <si>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</si>
  <si>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</si>
  <si>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</si>
  <si>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</si>
  <si>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</si>
  <si>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</si>
  <si>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</si>
  <si>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</si>
  <si>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</si>
  <si>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</si>
  <si>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</si>
  <si>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</si>
  <si>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</si>
  <si>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</si>
  <si>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</si>
  <si>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</si>
  <si>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</si>
  <si>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</si>
  <si>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</si>
  <si>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</si>
  <si>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</si>
  <si>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</si>
  <si>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</si>
  <si>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</si>
  <si>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</si>
  <si>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</si>
  <si>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</si>
  <si>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</si>
  <si>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</si>
  <si>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</si>
  <si>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</si>
  <si>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</si>
  <si>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</si>
  <si>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</si>
  <si>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</si>
  <si>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</si>
  <si>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</si>
  <si>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</si>
  <si>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</si>
  <si>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</si>
  <si>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</si>
  <si>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</si>
  <si>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</si>
  <si>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</si>
  <si>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</si>
  <si>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</si>
  <si>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</si>
  <si>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</si>
  <si>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</si>
  <si>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</si>
  <si>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</si>
  <si>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</si>
  <si>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</si>
  <si>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</si>
  <si>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</si>
  <si>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</si>
  <si>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</si>
  <si>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</si>
  <si>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</si>
  <si>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</si>
  <si>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</si>
  <si>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</si>
  <si>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</si>
  <si>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</si>
  <si>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</si>
  <si>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</si>
  <si>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</si>
  <si>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</si>
  <si>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</si>
  <si>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</si>
  <si>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</si>
  <si>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</si>
  <si>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</si>
  <si>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</si>
  <si>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</si>
  <si>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</si>
  <si>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</si>
  <si>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</si>
  <si>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</si>
  <si>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</si>
  <si>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</si>
  <si>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</si>
  <si>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</si>
  <si>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</si>
  <si>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</si>
  <si>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</si>
  <si>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</si>
  <si>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</si>
  <si>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</si>
  <si>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</si>
  <si>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</si>
  <si>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</si>
  <si>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</si>
  <si>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</si>
  <si>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</si>
  <si>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</si>
  <si>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</si>
  <si>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</si>
  <si>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</si>
  <si>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</si>
  <si>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</si>
  <si>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</si>
  <si>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</si>
  <si>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</si>
  <si>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</si>
  <si>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</si>
  <si>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</si>
  <si>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</si>
  <si>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</si>
  <si>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</si>
  <si>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</si>
  <si>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</si>
  <si>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</si>
  <si>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</si>
  <si>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</si>
  <si>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</si>
  <si>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</si>
  <si>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</si>
  <si>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</si>
  <si>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</si>
  <si>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</si>
  <si>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</si>
  <si>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</si>
  <si>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</si>
  <si>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</si>
  <si>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</si>
  <si>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</si>
  <si>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</si>
  <si>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</si>
  <si>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</si>
  <si>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</si>
  <si>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</si>
  <si>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</si>
  <si>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</si>
  <si>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</si>
  <si>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</si>
  <si>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</si>
  <si>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</si>
  <si>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</si>
  <si>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</si>
  <si>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</si>
  <si>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</si>
  <si>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</si>
  <si>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</si>
  <si>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</si>
  <si>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</si>
  <si>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</si>
  <si>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</si>
  <si>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</si>
  <si>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</si>
  <si>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</si>
  <si>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</si>
  <si>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</si>
  <si>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</si>
  <si>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</si>
  <si>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</si>
  <si>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</si>
  <si>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</si>
  <si>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</si>
  <si>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</si>
  <si>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</si>
  <si>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</si>
  <si>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</si>
  <si>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</si>
  <si>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</si>
  <si>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</si>
  <si>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</si>
  <si>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</si>
  <si>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</si>
  <si>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</si>
  <si>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</si>
  <si>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</si>
  <si>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</si>
  <si>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</si>
  <si>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</si>
  <si>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</si>
  <si>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</si>
  <si>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</si>
  <si>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</si>
  <si>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</si>
  <si>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</si>
  <si>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</si>
  <si>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</si>
  <si>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</si>
  <si>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</si>
  <si>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</si>
  <si>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</si>
  <si>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</si>
  <si>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</si>
  <si>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</si>
  <si>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</si>
  <si>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</si>
  <si>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</si>
  <si>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</si>
  <si>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</si>
  <si>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</si>
  <si>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</si>
  <si>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</si>
  <si>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</si>
  <si>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</si>
  <si>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</si>
  <si>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</si>
  <si>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</si>
  <si>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</si>
  <si>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</si>
  <si>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</si>
  <si>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</si>
  <si>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</si>
  <si>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</si>
  <si>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</si>
  <si>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</si>
  <si>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</si>
  <si>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</si>
  <si>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</si>
  <si>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</si>
  <si>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</si>
  <si>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</si>
  <si>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</si>
  <si>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</si>
  <si>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</si>
  <si>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</si>
  <si>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</si>
  <si>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</si>
  <si>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</si>
  <si>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</si>
  <si>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</si>
  <si>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</si>
  <si>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</si>
  <si>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</si>
  <si>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</si>
  <si>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</si>
  <si>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</si>
  <si>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</si>
  <si>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</si>
  <si>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</si>
  <si>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</si>
  <si>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</si>
  <si>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</si>
  <si>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</si>
  <si>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</si>
  <si>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</si>
  <si>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</si>
  <si>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</si>
  <si>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</si>
  <si>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</si>
  <si>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</si>
  <si>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</si>
  <si>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</si>
  <si>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</si>
  <si>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</si>
  <si>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</si>
  <si>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</si>
  <si>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</si>
  <si>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</si>
  <si>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</si>
  <si>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</si>
  <si>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</si>
  <si>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</si>
  <si>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</si>
  <si>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</si>
  <si>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</si>
  <si>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</si>
  <si>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</si>
  <si>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</si>
  <si>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</si>
  <si>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</si>
  <si>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</si>
  <si>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</si>
  <si>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</si>
  <si>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</si>
  <si>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</si>
  <si>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</si>
  <si>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</si>
  <si>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</si>
  <si>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</si>
  <si>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</si>
  <si>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</si>
  <si>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</si>
  <si>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</si>
  <si>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</si>
  <si>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</si>
  <si>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</si>
  <si>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</si>
  <si>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</si>
  <si>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</si>
  <si>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</si>
  <si>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</si>
  <si>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</si>
  <si>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</si>
  <si>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</si>
  <si>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</si>
  <si>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</si>
  <si>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</si>
  <si>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</si>
  <si>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</si>
  <si>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</si>
  <si>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</si>
  <si>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</si>
  <si>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</si>
  <si>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</si>
  <si>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</si>
  <si>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</si>
  <si>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</si>
  <si>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</si>
  <si>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</si>
  <si>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</si>
  <si>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</si>
  <si>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</si>
  <si>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</si>
  <si>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</si>
  <si>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</si>
  <si>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</si>
  <si>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</si>
  <si>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</si>
  <si>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</si>
  <si>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</si>
  <si>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</si>
  <si>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</si>
  <si>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</si>
  <si>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</si>
  <si>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</si>
  <si>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</si>
  <si>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</si>
  <si>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</si>
  <si>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</si>
  <si>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</si>
  <si>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</si>
  <si>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</si>
  <si>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</si>
  <si>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</si>
  <si>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</si>
  <si>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</si>
  <si>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</si>
  <si>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</si>
  <si>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</si>
  <si>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</si>
  <si>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</si>
  <si>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</si>
  <si>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</si>
  <si>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</si>
  <si>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</si>
  <si>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</si>
  <si>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</si>
  <si>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</si>
  <si>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</si>
  <si>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</si>
  <si>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</si>
  <si>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</si>
  <si>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</si>
  <si>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</si>
  <si>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</si>
  <si>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</si>
  <si>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</si>
  <si>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</si>
  <si>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</si>
  <si>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</si>
  <si>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</si>
  <si>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</si>
  <si>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</si>
  <si>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</si>
  <si>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</si>
  <si>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</si>
  <si>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</si>
  <si>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</si>
  <si>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</si>
  <si>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</si>
  <si>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</si>
  <si>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</si>
  <si>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</si>
  <si>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</si>
  <si>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</si>
  <si>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</si>
  <si>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</si>
  <si>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</si>
  <si>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</si>
  <si>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</si>
  <si>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</si>
  <si>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</si>
  <si>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</si>
  <si>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</si>
  <si>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</si>
  <si>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</si>
  <si>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</si>
  <si>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</si>
  <si>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</si>
  <si>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</si>
  <si>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</si>
  <si>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</si>
  <si>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</si>
  <si>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</si>
  <si>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</si>
  <si>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</si>
  <si>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</si>
  <si>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</si>
  <si>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</si>
  <si>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</si>
  <si>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</si>
  <si>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</si>
  <si>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</si>
  <si>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</si>
  <si>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</si>
  <si>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</si>
  <si>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</si>
  <si>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</si>
  <si>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</si>
  <si>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</si>
  <si>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</si>
  <si>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</si>
  <si>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</si>
  <si>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</si>
  <si>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</si>
  <si>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</si>
  <si>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</si>
  <si>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</si>
  <si>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</si>
  <si>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</si>
  <si>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</si>
  <si>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</si>
  <si>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</si>
  <si>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</si>
  <si>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</si>
  <si>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</si>
  <si>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</si>
  <si>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</si>
  <si>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</si>
  <si>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</si>
  <si>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</si>
  <si>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</si>
  <si>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</si>
  <si>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</si>
  <si>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</si>
  <si>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</si>
  <si>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</si>
  <si>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</si>
  <si>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</si>
  <si>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</si>
  <si>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</si>
  <si>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</si>
  <si>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</si>
  <si>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</si>
  <si>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</si>
  <si>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</si>
  <si>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</si>
  <si>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</si>
  <si>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</si>
  <si>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</si>
  <si>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</si>
  <si>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</si>
  <si>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</si>
  <si>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</si>
  <si>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</si>
  <si>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</si>
  <si>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</si>
  <si>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</si>
  <si>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</si>
  <si>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</si>
  <si>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</si>
  <si>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</si>
  <si>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</si>
  <si>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</si>
  <si>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</si>
  <si>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</si>
  <si>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</si>
  <si>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</si>
  <si>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</si>
  <si>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</si>
  <si>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</si>
  <si>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</si>
  <si>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</si>
  <si>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</si>
  <si>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</si>
  <si>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</si>
  <si>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</si>
  <si>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</si>
  <si>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</si>
  <si>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</si>
  <si>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</si>
  <si>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</si>
  <si>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</si>
  <si>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</si>
  <si>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</si>
  <si>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</si>
  <si>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</si>
  <si>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</si>
  <si>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</si>
  <si>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</si>
  <si>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</si>
  <si>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</si>
  <si>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</si>
  <si>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</si>
  <si>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</si>
  <si>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</si>
  <si>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</si>
  <si>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</si>
  <si>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</si>
  <si>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</si>
  <si>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</si>
  <si>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</si>
  <si>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</si>
  <si>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</si>
  <si>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</si>
  <si>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</si>
  <si>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</si>
  <si>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</si>
  <si>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</si>
  <si>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</si>
  <si>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</si>
  <si>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</si>
  <si>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</si>
  <si>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</si>
  <si>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</si>
  <si>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</si>
  <si>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</si>
  <si>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</si>
  <si>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</si>
  <si>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</si>
  <si>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</si>
  <si>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</si>
  <si>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</si>
  <si>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</si>
  <si>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</si>
  <si>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</si>
  <si>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</si>
  <si>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</si>
  <si>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</si>
  <si>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</si>
  <si>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</si>
  <si>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</si>
  <si>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</si>
  <si>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</si>
  <si>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</si>
  <si>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</si>
  <si>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</si>
  <si>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</si>
  <si>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</si>
  <si>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</si>
  <si>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</si>
  <si>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</si>
  <si>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</si>
  <si>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</si>
  <si>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</si>
  <si>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</si>
  <si>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</si>
  <si>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</si>
  <si>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</si>
  <si>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</si>
  <si>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</si>
  <si>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</si>
  <si>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</si>
  <si>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</si>
  <si>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</si>
  <si>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</si>
  <si>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</si>
  <si>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</si>
  <si>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</si>
  <si>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</si>
  <si>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</si>
  <si>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</si>
  <si>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</si>
  <si>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</si>
  <si>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</si>
  <si>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</si>
  <si>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</si>
  <si>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</si>
  <si>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</si>
  <si>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</si>
  <si>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</si>
  <si>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</si>
  <si>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</si>
  <si>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</si>
  <si>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</si>
  <si>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</si>
  <si>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</si>
  <si>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</si>
  <si>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</si>
  <si>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</si>
  <si>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</si>
  <si>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</si>
  <si>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</si>
  <si>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</si>
  <si>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</si>
  <si>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</si>
  <si>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</si>
  <si>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</si>
  <si>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</si>
  <si>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</si>
  <si>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</si>
  <si>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</si>
  <si>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</si>
  <si>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</si>
  <si>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</si>
  <si>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</si>
  <si>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</si>
  <si>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</si>
  <si>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</si>
  <si>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</si>
  <si>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</si>
  <si>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</si>
  <si>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</si>
  <si>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</si>
  <si>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</si>
  <si>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</si>
  <si>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</si>
  <si>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</si>
  <si>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</si>
  <si>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</si>
  <si>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</si>
  <si>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</si>
  <si>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</si>
  <si>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</si>
  <si>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</si>
  <si>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</si>
  <si>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</si>
  <si>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</si>
  <si>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</si>
  <si>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</si>
  <si>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</si>
  <si>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</si>
  <si>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</si>
  <si>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</si>
  <si>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</si>
  <si>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</si>
  <si>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</si>
  <si>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</si>
  <si>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</si>
  <si>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</si>
  <si>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</si>
  <si>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</si>
  <si>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</si>
  <si>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</si>
  <si>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</si>
  <si>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</si>
  <si>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</si>
  <si>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</si>
  <si>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</si>
  <si>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</si>
  <si>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</si>
  <si>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</si>
  <si>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</si>
  <si>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</si>
  <si>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</si>
  <si>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</si>
  <si>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</si>
  <si>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</si>
  <si>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</si>
  <si>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</si>
  <si>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</si>
  <si>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</si>
  <si>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</si>
  <si>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</si>
  <si>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</si>
  <si>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</si>
  <si>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</si>
  <si>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</si>
  <si>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</si>
  <si>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</si>
  <si>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</si>
  <si>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</si>
  <si>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</si>
  <si>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</si>
  <si>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</si>
  <si>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</si>
  <si>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</si>
  <si>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</si>
  <si>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</si>
  <si>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</si>
  <si>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</si>
  <si>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</si>
  <si>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</si>
  <si>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</si>
  <si>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</si>
  <si>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</si>
  <si>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</si>
  <si>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</si>
  <si>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</si>
  <si>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</si>
  <si>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</si>
  <si>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</si>
  <si>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</si>
  <si>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</si>
  <si>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</si>
  <si>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</si>
  <si>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</si>
  <si>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</si>
  <si>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</si>
  <si>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</si>
  <si>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</si>
  <si>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</si>
  <si>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</si>
  <si>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</si>
  <si>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</si>
  <si>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</si>
  <si>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</si>
  <si>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</si>
  <si>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</si>
  <si>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</si>
  <si>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</si>
  <si>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</si>
  <si>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</si>
  <si>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</si>
  <si>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</si>
  <si>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</si>
  <si>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</si>
  <si>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</si>
  <si>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</si>
  <si>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</si>
  <si>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</si>
  <si>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</si>
  <si>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</si>
  <si>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</si>
  <si>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</si>
  <si>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</si>
  <si>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</si>
  <si>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</si>
  <si>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</si>
  <si>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</si>
  <si>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</si>
  <si>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</si>
  <si>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</si>
  <si>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</si>
  <si>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</si>
  <si>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</si>
  <si>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</si>
  <si>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</si>
  <si>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</si>
  <si>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</si>
  <si>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</si>
  <si>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</si>
  <si>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</si>
  <si>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</si>
  <si>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</si>
  <si>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</si>
  <si>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</si>
  <si>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</si>
  <si>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</si>
  <si>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</si>
  <si>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</si>
  <si>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</si>
  <si>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</si>
  <si>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</si>
  <si>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</si>
  <si>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</si>
  <si>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</si>
  <si>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</si>
  <si>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</si>
  <si>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</si>
  <si>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</si>
  <si>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</si>
  <si>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</si>
  <si>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</si>
  <si>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</si>
  <si>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</si>
  <si>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</si>
  <si>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</si>
  <si>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</si>
  <si>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</si>
  <si>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</si>
  <si>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</si>
  <si>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</si>
  <si>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</si>
  <si>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</si>
  <si>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</si>
  <si>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</si>
  <si>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</si>
  <si>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</si>
  <si>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</si>
  <si>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</si>
  <si>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</si>
  <si>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</si>
  <si>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</si>
  <si>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</si>
  <si>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</si>
  <si>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</si>
  <si>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</si>
  <si>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</si>
  <si>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</si>
  <si>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</si>
  <si>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</si>
  <si>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</si>
  <si>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</si>
  <si>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</si>
  <si>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</si>
  <si>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</si>
  <si>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</si>
  <si>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</si>
  <si>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</si>
  <si>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</si>
  <si>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</si>
  <si>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</si>
  <si>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</si>
  <si>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</si>
  <si>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</si>
  <si>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</si>
  <si>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</si>
  <si>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</si>
  <si>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</si>
  <si>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</si>
  <si>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</si>
  <si>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</si>
  <si>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</si>
  <si>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</si>
  <si>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</si>
  <si>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</si>
  <si>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</si>
  <si>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</si>
  <si>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</si>
  <si>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</si>
  <si>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</si>
  <si>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</si>
  <si>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</si>
  <si>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</si>
  <si>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</si>
  <si>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</si>
  <si>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</si>
  <si>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</si>
  <si>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</si>
  <si>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</si>
  <si>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</si>
  <si>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</si>
  <si>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</si>
  <si>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</si>
  <si>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</si>
  <si>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</si>
  <si>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</si>
  <si>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</si>
  <si>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</si>
  <si>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</si>
  <si>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</si>
  <si>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</si>
  <si>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</si>
  <si>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</si>
  <si>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</si>
  <si>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</si>
  <si>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</si>
  <si>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</si>
  <si>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</si>
  <si>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</si>
  <si>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</si>
  <si>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</si>
  <si>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</si>
  <si>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</si>
  <si>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</si>
  <si>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</si>
  <si>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</si>
  <si>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</si>
  <si>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</si>
  <si>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</si>
  <si>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</si>
  <si>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</si>
  <si>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</si>
  <si>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</si>
  <si>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</si>
  <si>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</si>
  <si>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</si>
  <si>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</si>
  <si>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</si>
  <si>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</si>
  <si>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</si>
  <si>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</si>
  <si>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</si>
  <si>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</si>
  <si>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</si>
  <si>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</si>
  <si>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</si>
  <si>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</si>
  <si>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</si>
  <si>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</si>
  <si>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</si>
  <si>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</si>
  <si>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</si>
  <si>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</si>
  <si>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</si>
  <si>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</si>
  <si>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</si>
  <si>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</si>
  <si>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</si>
  <si>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</si>
  <si>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</si>
  <si>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</si>
  <si>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</si>
  <si>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</si>
  <si>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</si>
  <si>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</si>
  <si>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</si>
  <si>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</si>
  <si>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</si>
  <si>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</si>
  <si>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</si>
  <si>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</si>
  <si>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</si>
  <si>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</si>
  <si>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</si>
  <si>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</si>
  <si>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</si>
  <si>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</si>
  <si>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</si>
  <si>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</si>
  <si>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</si>
  <si>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</si>
  <si>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</si>
  <si>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</si>
  <si>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</si>
  <si>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</si>
  <si>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</si>
  <si>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</si>
  <si>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</si>
  <si>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</si>
  <si>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</si>
  <si>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</si>
  <si>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</si>
  <si>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</si>
  <si>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</si>
  <si>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</si>
  <si>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</si>
  <si>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</si>
  <si>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</si>
  <si>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</si>
  <si>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</si>
  <si>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</si>
  <si>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</si>
  <si>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</si>
  <si>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</si>
  <si>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</si>
  <si>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</si>
  <si>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</si>
  <si>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</si>
  <si>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</si>
  <si>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</si>
  <si>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</si>
  <si>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</si>
  <si>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</si>
  <si>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</si>
  <si>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</si>
  <si>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</si>
  <si>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</si>
  <si>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</si>
  <si>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</si>
  <si>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</si>
  <si>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</si>
  <si>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</si>
  <si>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</si>
  <si>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</si>
  <si>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</si>
  <si>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</si>
  <si>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</si>
  <si>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</si>
  <si>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</si>
  <si>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</si>
  <si>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</si>
  <si>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</si>
  <si>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</si>
  <si>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</si>
  <si>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</si>
  <si>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</si>
  <si>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</si>
  <si>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</si>
  <si>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</si>
  <si>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</si>
  <si>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</si>
  <si>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</si>
  <si>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</si>
  <si>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</si>
  <si>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</si>
  <si>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</si>
  <si>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</si>
  <si>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</si>
  <si>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</si>
  <si>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</si>
  <si>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</si>
  <si>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</si>
  <si>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</si>
  <si>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</si>
  <si>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</si>
  <si>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</si>
  <si>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</si>
  <si>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</si>
  <si>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</si>
  <si>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</si>
  <si>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</si>
  <si>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</si>
  <si>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</si>
  <si>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</si>
  <si>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</si>
  <si>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</si>
  <si>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</si>
  <si>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</si>
  <si>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</si>
  <si>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</si>
  <si>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</si>
  <si>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</si>
  <si>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</si>
  <si>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</si>
  <si>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</si>
  <si>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</si>
  <si>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</si>
  <si>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</si>
  <si>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</si>
  <si>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</si>
  <si>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</si>
  <si>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</si>
  <si>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</si>
  <si>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</si>
  <si>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</si>
  <si>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</si>
  <si>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</si>
  <si>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</si>
  <si>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</si>
  <si>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</si>
  <si>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</si>
  <si>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</si>
  <si>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</si>
  <si>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</si>
  <si>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</si>
  <si>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</si>
  <si>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</si>
  <si>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</si>
  <si>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</si>
  <si>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</si>
  <si>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</si>
  <si>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</si>
  <si>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</si>
  <si>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</si>
  <si>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</si>
  <si>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</si>
  <si>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</si>
  <si>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</si>
  <si>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</si>
  <si>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</si>
  <si>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</si>
  <si>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</si>
  <si>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</si>
  <si>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</si>
  <si>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</si>
  <si>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</si>
  <si>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</si>
  <si>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</si>
  <si>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</si>
  <si>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</si>
  <si>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</si>
  <si>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</si>
  <si>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</si>
  <si>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</si>
  <si>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</si>
  <si>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</si>
  <si>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</si>
  <si>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</si>
  <si>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</si>
  <si>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</si>
  <si>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</si>
  <si>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</si>
  <si>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</si>
  <si>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</si>
  <si>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</si>
  <si>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</si>
  <si>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</si>
  <si>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</si>
  <si>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</si>
  <si>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</si>
  <si>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</si>
  <si>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</si>
  <si>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</si>
  <si>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</si>
  <si>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</si>
  <si>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</si>
  <si>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</si>
  <si>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</si>
  <si>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</si>
  <si>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</si>
  <si>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</si>
  <si>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</si>
  <si>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</si>
  <si>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</si>
  <si>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</si>
  <si>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</si>
  <si>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</si>
  <si>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</si>
  <si>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</si>
  <si>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</si>
  <si>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</si>
  <si>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</si>
  <si>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</si>
  <si>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</si>
  <si>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</si>
  <si>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</si>
  <si>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</si>
  <si>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</si>
  <si>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</si>
  <si>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</si>
  <si>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</si>
  <si>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</si>
  <si>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</si>
  <si>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</si>
  <si>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</si>
  <si>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</si>
  <si>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</si>
  <si>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</si>
  <si>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</si>
  <si>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</si>
  <si>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</si>
  <si>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</si>
  <si>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</si>
  <si>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</si>
  <si>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</si>
  <si>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</si>
  <si>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</si>
  <si>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</si>
  <si>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</si>
  <si>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</si>
  <si>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</si>
  <si>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</si>
  <si>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</si>
  <si>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</si>
  <si>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</si>
  <si>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</si>
  <si>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</si>
  <si>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</si>
  <si>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</si>
  <si>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</si>
  <si>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</si>
  <si>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</si>
  <si>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</si>
  <si>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</si>
  <si>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</si>
  <si>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</si>
  <si>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</si>
  <si>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</si>
  <si>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</si>
  <si>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</si>
  <si>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</si>
  <si>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</si>
  <si>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</si>
  <si>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</si>
  <si>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</si>
  <si>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</si>
  <si>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</si>
  <si>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</si>
  <si>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</si>
  <si>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</si>
  <si>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</si>
  <si>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</si>
  <si>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</si>
  <si>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</si>
  <si>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</si>
  <si>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</si>
  <si>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</si>
  <si>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</si>
  <si>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</si>
  <si>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</si>
  <si>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</si>
  <si>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</si>
  <si>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</si>
  <si>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</si>
  <si>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</si>
  <si>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</si>
  <si>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</si>
  <si>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</si>
  <si>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</si>
  <si>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</si>
  <si>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</si>
  <si>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</si>
  <si>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</si>
  <si>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</si>
  <si>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</si>
  <si>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</si>
  <si>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</si>
  <si>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</si>
  <si>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</si>
  <si>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</si>
  <si>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</si>
  <si>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</si>
  <si>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</si>
  <si>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</si>
  <si>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</si>
  <si>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</si>
  <si>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</si>
  <si>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</si>
  <si>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</si>
  <si>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</si>
  <si>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</si>
  <si>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</si>
  <si>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</si>
  <si>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</si>
  <si>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</si>
  <si>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</si>
  <si>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</si>
  <si>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</si>
  <si>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</si>
  <si>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</si>
  <si>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</si>
  <si>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</si>
  <si>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</si>
  <si>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</si>
  <si>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</si>
  <si>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</si>
  <si>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</si>
  <si>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</si>
  <si>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</si>
  <si>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</si>
  <si>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</si>
  <si>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</si>
  <si>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</si>
  <si>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</si>
  <si>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</si>
  <si>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</si>
  <si>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</si>
  <si>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</si>
  <si>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</si>
  <si>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</si>
  <si>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</si>
  <si>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</si>
  <si>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</si>
  <si>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</si>
  <si>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</si>
  <si>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</si>
  <si>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</si>
  <si>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</si>
  <si>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</si>
  <si>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</si>
  <si>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</si>
  <si>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</si>
  <si>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</si>
  <si>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</si>
  <si>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</si>
  <si>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</si>
  <si>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</si>
  <si>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</si>
  <si>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</si>
  <si>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</si>
  <si>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</si>
  <si>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</si>
  <si>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</si>
  <si>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</si>
  <si>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</si>
  <si>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</si>
  <si>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</si>
  <si>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</si>
  <si>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</si>
  <si>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</si>
  <si>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</si>
  <si>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</si>
  <si>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</si>
  <si>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</si>
  <si>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</si>
  <si>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</si>
  <si>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</si>
  <si>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</si>
  <si>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</si>
  <si>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</si>
  <si>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</si>
  <si>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</si>
  <si>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</si>
  <si>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</si>
  <si>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</si>
  <si>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</si>
  <si>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</si>
  <si>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</si>
  <si>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</si>
  <si>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</si>
  <si>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</si>
  <si>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</si>
  <si>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</si>
  <si>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</si>
  <si>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</si>
  <si>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</si>
  <si>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</si>
  <si>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</si>
  <si>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</si>
  <si>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</si>
  <si>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</si>
  <si>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</si>
  <si>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</si>
  <si>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</si>
  <si>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</si>
  <si>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</si>
  <si>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</si>
  <si>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</si>
  <si>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</si>
  <si>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</si>
  <si>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</si>
  <si>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</si>
  <si>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</si>
  <si>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</si>
  <si>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</si>
  <si>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</si>
  <si>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</si>
  <si>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</si>
  <si>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</si>
  <si>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</si>
  <si>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</si>
  <si>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</si>
  <si>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</si>
  <si>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</si>
  <si>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</si>
  <si>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</si>
  <si>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</si>
  <si>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</si>
  <si>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</si>
  <si>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</si>
  <si>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</si>
  <si>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</si>
  <si>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</si>
  <si>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</si>
  <si>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</si>
  <si>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</si>
  <si>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</si>
  <si>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</si>
  <si>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</si>
  <si>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</si>
  <si>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</si>
  <si>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</si>
  <si>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</si>
  <si>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</si>
  <si>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</si>
  <si>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</si>
  <si>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</si>
  <si>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</si>
  <si>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</si>
  <si>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</si>
  <si>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</si>
  <si>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</si>
  <si>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</si>
  <si>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</si>
  <si>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</si>
  <si>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</si>
  <si>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</si>
  <si>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</si>
  <si>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</si>
  <si>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</si>
  <si>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</si>
  <si>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</si>
  <si>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</si>
  <si>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</si>
  <si>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</si>
  <si>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</si>
  <si>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</si>
  <si>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</si>
  <si>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</si>
  <si>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</si>
  <si>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</si>
  <si>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</si>
  <si>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</si>
  <si>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</si>
  <si>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</si>
  <si>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</si>
  <si>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</si>
  <si>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</si>
  <si>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</si>
  <si>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</si>
  <si>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</si>
  <si>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</si>
  <si>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</si>
  <si>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</si>
  <si>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</si>
  <si>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</si>
  <si>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</si>
  <si>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</si>
  <si>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</si>
  <si>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</si>
  <si>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</si>
  <si>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</si>
  <si>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</si>
  <si>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</si>
  <si>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</si>
  <si>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</si>
  <si>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</si>
  <si>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</si>
  <si>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</si>
  <si>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</si>
  <si>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</si>
  <si>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</si>
  <si>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</si>
  <si>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</si>
  <si>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</si>
  <si>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</si>
  <si>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</si>
  <si>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</si>
  <si>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</si>
  <si>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</si>
  <si>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</si>
  <si>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</si>
  <si>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</si>
  <si>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</si>
  <si>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</si>
  <si>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</si>
  <si>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</si>
  <si>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</si>
  <si>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</si>
  <si>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</si>
  <si>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</si>
  <si>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</si>
  <si>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</si>
  <si>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</si>
  <si>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</si>
  <si>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</si>
  <si>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</si>
  <si>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</si>
  <si>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</si>
  <si>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</si>
  <si>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</si>
  <si>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</si>
  <si>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</si>
  <si>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</si>
  <si>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</si>
  <si>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</si>
  <si>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</si>
  <si>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</si>
  <si>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</si>
  <si>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</si>
  <si>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</si>
  <si>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</si>
  <si>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</si>
  <si>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</si>
  <si>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</si>
  <si>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</si>
  <si>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</si>
  <si>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</si>
  <si>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</si>
  <si>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</si>
  <si>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</si>
  <si>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</si>
  <si>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</si>
  <si>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</si>
  <si>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</si>
  <si>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</si>
  <si>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</si>
  <si>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</si>
  <si>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</si>
  <si>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</si>
  <si>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</si>
  <si>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</si>
  <si>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</si>
  <si>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</si>
  <si>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</si>
  <si>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</si>
  <si>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</si>
  <si>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</si>
  <si>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</si>
  <si>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</si>
  <si>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</si>
  <si>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</si>
  <si>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</si>
  <si>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</si>
  <si>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</si>
  <si>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</si>
  <si>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</si>
  <si>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</si>
  <si>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</si>
  <si>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</si>
  <si>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</si>
  <si>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</si>
  <si>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</si>
  <si>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</si>
  <si>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</si>
  <si>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</si>
  <si>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</si>
  <si>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</si>
  <si>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</si>
  <si>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</si>
  <si>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</si>
  <si>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</si>
  <si>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</si>
  <si>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</si>
  <si>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</si>
  <si>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</si>
  <si>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</si>
  <si>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</si>
  <si>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</si>
  <si>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</si>
  <si>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</si>
  <si>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</si>
  <si>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</si>
  <si>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</si>
  <si>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</si>
  <si>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</si>
  <si>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</si>
  <si>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</si>
  <si>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</si>
  <si>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</si>
  <si>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</si>
  <si>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</si>
  <si>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</si>
  <si>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</si>
  <si>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</si>
  <si>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</si>
  <si>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</si>
  <si>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</si>
  <si>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</si>
  <si>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</si>
  <si>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</si>
  <si>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</si>
  <si>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</si>
  <si>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</si>
  <si>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</si>
  <si>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</si>
  <si>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</si>
  <si>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</si>
  <si>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</si>
  <si>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</si>
  <si>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</si>
  <si>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</si>
  <si>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</si>
  <si>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</si>
  <si>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</si>
  <si>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</si>
  <si>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</si>
  <si>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</si>
  <si>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</si>
  <si>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</si>
  <si>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</si>
  <si>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</si>
  <si>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</si>
  <si>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</si>
  <si>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</si>
  <si>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</si>
  <si>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</si>
  <si>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</si>
  <si>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</si>
  <si>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</si>
  <si>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</si>
  <si>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</si>
  <si>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</si>
  <si>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</si>
  <si>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</si>
  <si>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</si>
  <si>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</si>
  <si>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</si>
  <si>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</si>
  <si>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</si>
  <si>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</si>
  <si>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</si>
  <si>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</si>
  <si>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</si>
  <si>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</si>
  <si>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</si>
  <si>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</si>
  <si>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</si>
  <si>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</si>
  <si>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</si>
  <si>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</si>
  <si>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</si>
  <si>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</si>
  <si>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</si>
  <si>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</si>
  <si>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</si>
  <si>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</si>
  <si>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</si>
  <si>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</si>
  <si>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</si>
  <si>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</si>
  <si>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</si>
  <si>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</si>
  <si>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</si>
  <si>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</si>
  <si>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</si>
  <si>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</si>
  <si>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</si>
  <si>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</si>
  <si>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</si>
  <si>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</si>
  <si>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</si>
  <si>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</si>
  <si>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</si>
  <si>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</si>
  <si>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</si>
  <si>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</si>
  <si>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</si>
  <si>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</si>
  <si>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</si>
  <si>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</si>
  <si>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</si>
  <si>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</si>
  <si>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</si>
  <si>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</si>
  <si>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</si>
  <si>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</si>
  <si>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</si>
  <si>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</si>
  <si>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</si>
  <si>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</si>
  <si>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</si>
  <si>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</si>
  <si>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</si>
  <si>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</si>
  <si>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</si>
  <si>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</si>
  <si>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</si>
  <si>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</si>
  <si>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</si>
  <si>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</si>
  <si>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</si>
  <si>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</si>
  <si>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</si>
  <si>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</si>
  <si>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</si>
  <si>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</si>
  <si>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</si>
  <si>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</si>
  <si>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</si>
  <si>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</si>
  <si>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</si>
  <si>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</si>
  <si>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</si>
  <si>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</si>
  <si>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</si>
  <si>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</si>
  <si>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</si>
  <si>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</si>
  <si>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</si>
  <si>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</si>
  <si>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</si>
  <si>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</si>
  <si>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</si>
  <si>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</si>
  <si>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</si>
  <si>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</si>
  <si>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</si>
  <si>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</si>
  <si>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</si>
  <si>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</si>
  <si>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</si>
  <si>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</si>
  <si>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</si>
  <si>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</si>
  <si>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</si>
  <si>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</si>
  <si>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</si>
  <si>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</si>
  <si>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</si>
  <si>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</si>
  <si>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</si>
  <si>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</si>
  <si>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</si>
  <si>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</si>
  <si>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</si>
  <si>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</si>
  <si>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</si>
  <si>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</si>
  <si>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</si>
  <si>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</si>
  <si>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</si>
  <si>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</si>
  <si>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</si>
  <si>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</si>
  <si>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</si>
  <si>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</si>
  <si>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</si>
  <si>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</si>
  <si>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</si>
  <si>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</si>
  <si>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</si>
  <si>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</si>
  <si>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</si>
  <si>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</si>
  <si>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</si>
  <si>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</si>
  <si>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</si>
  <si>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</si>
  <si>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</si>
  <si>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</si>
  <si>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</si>
  <si>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</si>
  <si>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</si>
  <si>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</si>
  <si>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</si>
  <si>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</si>
  <si>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</si>
  <si>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</si>
  <si>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</si>
  <si>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</si>
  <si>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</si>
  <si>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</si>
  <si>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</si>
  <si>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</si>
  <si>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</si>
  <si>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</si>
  <si>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</si>
  <si>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</si>
  <si>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</si>
  <si>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</si>
  <si>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</si>
  <si>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</si>
  <si>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</si>
  <si>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</si>
  <si>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</si>
  <si>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</si>
  <si>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</si>
  <si>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</si>
  <si>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</si>
  <si>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</si>
  <si>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</si>
  <si>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</si>
  <si>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</si>
  <si>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</si>
  <si>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</si>
  <si>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</si>
  <si>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</si>
  <si>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</si>
  <si>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</si>
  <si>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</si>
  <si>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</si>
  <si>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</si>
  <si>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</si>
  <si>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</si>
  <si>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</si>
  <si>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</si>
  <si>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</si>
  <si>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</si>
  <si>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</si>
  <si>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</si>
  <si>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</si>
  <si>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</si>
  <si>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</si>
  <si>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</si>
  <si>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</si>
  <si>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</si>
  <si>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</si>
  <si>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</si>
  <si>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</si>
  <si>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</si>
  <si>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</si>
  <si>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</si>
  <si>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</si>
  <si>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</si>
  <si>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</si>
  <si>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</si>
  <si>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</si>
  <si>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</si>
  <si>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</si>
  <si>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</si>
  <si>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</si>
  <si>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</si>
  <si>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</si>
  <si>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</si>
  <si>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</si>
  <si>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</si>
  <si>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</si>
  <si>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</si>
  <si>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</si>
  <si>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</si>
  <si>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</si>
  <si>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</si>
  <si>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</si>
  <si>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</si>
  <si>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</si>
  <si>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</si>
  <si>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</si>
  <si>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</si>
  <si>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</si>
  <si>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</si>
  <si>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</si>
  <si>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</si>
  <si>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</si>
  <si>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</si>
  <si>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</si>
  <si>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</si>
  <si>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</si>
  <si>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</si>
  <si>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</si>
  <si>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</si>
  <si>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</si>
  <si>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</si>
  <si>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</si>
  <si>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</si>
  <si>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</si>
  <si>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</si>
  <si>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</si>
  <si>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</si>
  <si>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</si>
  <si>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</si>
  <si>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</si>
  <si>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</si>
  <si>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</si>
  <si>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</si>
  <si>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</si>
  <si>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</si>
  <si>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</si>
  <si>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</si>
  <si>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</si>
  <si>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</si>
  <si>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</si>
  <si>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</si>
  <si>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</si>
  <si>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</si>
  <si>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</si>
  <si>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</si>
  <si>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</si>
  <si>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</si>
  <si>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</si>
  <si>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</si>
  <si>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</si>
  <si>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</si>
  <si>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</si>
  <si>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</si>
  <si>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</si>
  <si>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</si>
  <si>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</si>
  <si>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</si>
  <si>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</si>
  <si>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</si>
  <si>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</si>
  <si>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</si>
  <si>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</si>
  <si>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</si>
  <si>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</si>
  <si>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</si>
  <si>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</si>
  <si>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</si>
  <si>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</si>
  <si>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</si>
  <si>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</si>
  <si>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</si>
  <si>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</si>
  <si>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</si>
  <si>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</si>
  <si>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</si>
  <si>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</si>
  <si>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</si>
  <si>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</si>
  <si>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</si>
  <si>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</si>
  <si>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</si>
  <si>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</si>
  <si>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</si>
  <si>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</si>
  <si>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</si>
  <si>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</si>
  <si>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</si>
  <si>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</si>
  <si>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</si>
  <si>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</si>
  <si>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</si>
  <si>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</si>
  <si>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</si>
  <si>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</si>
  <si>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</si>
  <si>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</si>
  <si>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</si>
  <si>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</si>
  <si>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</si>
  <si>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</si>
  <si>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</si>
  <si>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</si>
  <si>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</si>
  <si>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</si>
  <si>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</si>
  <si>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</si>
  <si>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</si>
  <si>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</si>
  <si>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</si>
  <si>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</si>
  <si>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</si>
  <si>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</si>
  <si>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</si>
  <si>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</si>
  <si>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</si>
  <si>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</si>
  <si>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</si>
  <si>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</si>
  <si>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</si>
  <si>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</si>
  <si>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</si>
  <si>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</si>
  <si>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</si>
  <si>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</si>
  <si>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</si>
  <si>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</si>
  <si>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</si>
  <si>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</si>
  <si>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</si>
  <si>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</si>
  <si>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</si>
  <si>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</si>
  <si>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</si>
  <si>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</si>
  <si>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</si>
  <si>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</si>
  <si>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</si>
  <si>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</si>
  <si>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</si>
  <si>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</si>
  <si>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</si>
  <si>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</si>
  <si>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</si>
  <si>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</si>
  <si>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</si>
  <si>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</si>
  <si>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</si>
  <si>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</si>
  <si>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</si>
  <si>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</si>
  <si>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</si>
  <si>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</si>
  <si>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</si>
  <si>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</si>
  <si>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</si>
  <si>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</si>
  <si>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</si>
  <si>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</si>
  <si>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</si>
  <si>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</si>
  <si>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</si>
  <si>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</si>
  <si>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</si>
  <si>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</si>
  <si>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</si>
  <si>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</si>
  <si>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</si>
  <si>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</si>
  <si>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</si>
  <si>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</si>
  <si>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</si>
  <si>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</si>
  <si>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</si>
  <si>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</si>
  <si>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</si>
  <si>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</si>
  <si>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</si>
  <si>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</si>
  <si>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</si>
  <si>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</si>
  <si>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</si>
  <si>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</si>
  <si>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</si>
  <si>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</si>
  <si>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</si>
  <si>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</si>
  <si>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</si>
  <si>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</si>
  <si>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</si>
  <si>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</si>
  <si>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</si>
  <si>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</si>
  <si>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</si>
  <si>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</si>
  <si>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</si>
  <si>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</si>
  <si>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</si>
  <si>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</si>
  <si>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</si>
  <si>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</si>
  <si>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</si>
  <si>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</si>
  <si>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</si>
  <si>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</si>
  <si>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</si>
  <si>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</si>
  <si>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</si>
  <si>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</si>
  <si>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</si>
  <si>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</si>
  <si>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</si>
  <si>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</si>
  <si>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</si>
  <si>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</si>
  <si>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</si>
  <si>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</si>
  <si>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</si>
  <si>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</si>
  <si>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</si>
  <si>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</si>
  <si>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</si>
  <si>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</si>
  <si>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</si>
  <si>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</si>
  <si>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</si>
  <si>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</si>
  <si>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</si>
  <si>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</si>
  <si>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</si>
  <si>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</si>
  <si>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</si>
  <si>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</si>
  <si>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</si>
  <si>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</si>
  <si>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</si>
  <si>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</si>
  <si>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</si>
  <si>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</si>
  <si>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</si>
  <si>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</si>
  <si>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</si>
  <si>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</si>
  <si>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</si>
  <si>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</si>
  <si>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</si>
  <si>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</si>
  <si>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</si>
  <si>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</si>
  <si>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</si>
  <si>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</si>
  <si>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</si>
  <si>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</si>
  <si>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</si>
  <si>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</si>
  <si>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</si>
  <si>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</si>
  <si>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</si>
  <si>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</si>
  <si>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</si>
  <si>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</si>
  <si>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</si>
  <si>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</si>
  <si>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</si>
  <si>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</si>
  <si>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</si>
  <si>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</si>
  <si>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</si>
  <si>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</si>
  <si>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</si>
  <si>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</si>
  <si>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</si>
  <si>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</si>
  <si>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</si>
  <si>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</si>
  <si>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</si>
  <si>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</si>
  <si>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</si>
  <si>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</si>
  <si>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</si>
  <si>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</si>
  <si>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</si>
  <si>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</si>
  <si>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</si>
  <si>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</si>
  <si>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</si>
  <si>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</si>
  <si>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</si>
  <si>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</si>
  <si>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</si>
  <si>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</si>
  <si>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</si>
  <si>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</si>
  <si>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</si>
  <si>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</si>
  <si>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</si>
  <si>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</si>
  <si>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</si>
  <si>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</si>
  <si>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</si>
  <si>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</si>
  <si>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</si>
  <si>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</si>
  <si>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</si>
  <si>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</si>
  <si>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</si>
  <si>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</si>
  <si>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</si>
  <si>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</si>
  <si>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</si>
  <si>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</si>
  <si>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</si>
  <si>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</si>
  <si>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</si>
  <si>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</si>
  <si>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</si>
  <si>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</si>
  <si>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</si>
  <si>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</si>
  <si>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</si>
  <si>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</si>
  <si>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</si>
  <si>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</si>
  <si>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</si>
  <si>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</si>
  <si>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</si>
  <si>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</si>
  <si>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</si>
  <si>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</si>
  <si>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</si>
  <si>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</si>
  <si>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</si>
  <si>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</si>
  <si>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</si>
  <si>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</si>
  <si>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</si>
  <si>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</si>
  <si>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</si>
  <si>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</si>
  <si>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</si>
  <si>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</si>
  <si>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</si>
  <si>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</si>
  <si>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</si>
  <si>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</si>
  <si>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</si>
  <si>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</si>
  <si>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</si>
  <si>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</si>
  <si>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</si>
  <si>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</si>
  <si>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</si>
  <si>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</si>
  <si>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</si>
  <si>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</si>
  <si>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</si>
  <si>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</si>
  <si>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</si>
  <si>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</si>
  <si>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</si>
  <si>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</si>
  <si>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</si>
  <si>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</si>
  <si>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</si>
  <si>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</si>
  <si>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</si>
  <si>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</si>
  <si>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</si>
  <si>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</si>
  <si>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</si>
  <si>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</si>
  <si>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</si>
  <si>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</si>
  <si>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</si>
  <si>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</si>
  <si>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</si>
  <si>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</si>
  <si>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</si>
  <si>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</si>
  <si>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</si>
  <si>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</si>
  <si>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</si>
  <si>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</si>
  <si>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</si>
  <si>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</si>
  <si>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</si>
  <si>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</si>
  <si>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</si>
  <si>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</si>
  <si>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</si>
  <si>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</si>
  <si>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</si>
  <si>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</si>
  <si>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</si>
  <si>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</si>
  <si>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</si>
  <si>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</si>
  <si>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</si>
  <si>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</si>
  <si>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</si>
  <si>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</si>
  <si>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</si>
  <si>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</si>
  <si>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</si>
  <si>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</si>
  <si>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</si>
  <si>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</si>
  <si>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</si>
  <si>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</si>
  <si>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</si>
  <si>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</si>
  <si>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</si>
  <si>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</si>
  <si>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</si>
  <si>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</si>
  <si>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</si>
  <si>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</si>
  <si>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</si>
  <si>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</si>
  <si>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</si>
  <si>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</si>
  <si>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</si>
  <si>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</si>
  <si>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</si>
  <si>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</si>
  <si>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</si>
  <si>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</si>
  <si>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</si>
  <si>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</si>
  <si>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</si>
  <si>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</si>
  <si>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</si>
  <si>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</si>
  <si>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</si>
  <si>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</si>
  <si>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</si>
  <si>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</si>
  <si>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</si>
  <si>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</si>
  <si>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</si>
  <si>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</si>
  <si>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</si>
  <si>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</si>
  <si>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</si>
  <si>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</si>
  <si>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</si>
  <si>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</si>
  <si>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</si>
  <si>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</si>
  <si>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</si>
  <si>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</si>
  <si>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</si>
  <si>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</si>
  <si>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</si>
  <si>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</si>
  <si>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</si>
  <si>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</si>
  <si>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</si>
  <si>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</si>
  <si>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</si>
  <si>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</si>
  <si>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</si>
  <si>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</si>
  <si>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</si>
  <si>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</si>
  <si>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</si>
  <si>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</si>
  <si>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</si>
  <si>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</si>
  <si>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</si>
  <si>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</si>
  <si>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</si>
  <si>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</si>
  <si>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</si>
  <si>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</si>
  <si>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</si>
  <si>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</si>
  <si>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</si>
  <si>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</si>
  <si>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</si>
  <si>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</si>
  <si>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</si>
  <si>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</si>
  <si>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</si>
  <si>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</si>
  <si>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</si>
  <si>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</si>
  <si>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</si>
  <si>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</si>
  <si>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</si>
  <si>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</si>
  <si>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</si>
  <si>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</si>
  <si>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</si>
  <si>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</si>
  <si>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</si>
  <si>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</si>
  <si>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</si>
  <si>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</si>
  <si>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</si>
  <si>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</si>
  <si>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</si>
  <si>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</si>
  <si>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</si>
  <si>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</si>
  <si>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</si>
  <si>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</si>
  <si>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</si>
  <si>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</si>
  <si>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</si>
  <si>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</si>
  <si>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</si>
  <si>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</si>
  <si>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</si>
  <si>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</si>
  <si>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</si>
  <si>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</si>
  <si>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</si>
  <si>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</si>
  <si>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</si>
  <si>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</si>
  <si>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</si>
  <si>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</si>
  <si>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</si>
  <si>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</si>
  <si>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</si>
  <si>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</si>
  <si>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</si>
  <si>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</si>
  <si>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</si>
  <si>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</si>
  <si>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</si>
  <si>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</si>
  <si>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</si>
  <si>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</si>
  <si>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</si>
  <si>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</si>
  <si>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</si>
  <si>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</si>
  <si>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</si>
  <si>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</si>
  <si>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</si>
  <si>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</si>
  <si>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</si>
  <si>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</si>
  <si>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</si>
  <si>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</si>
  <si>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</si>
  <si>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</si>
  <si>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</si>
  <si>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</si>
  <si>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</si>
  <si>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</si>
  <si>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</si>
  <si>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</si>
  <si>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</si>
  <si>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</si>
  <si>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</si>
  <si>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</si>
  <si>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</si>
  <si>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</si>
  <si>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</si>
  <si>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</si>
  <si>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</si>
  <si>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</si>
  <si>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</si>
  <si>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</si>
  <si>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</si>
  <si>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</si>
  <si>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</si>
  <si>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</si>
  <si>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</si>
  <si>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</si>
  <si>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</si>
  <si>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</si>
  <si>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</si>
  <si>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</si>
  <si>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</si>
  <si>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</si>
  <si>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</si>
  <si>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</si>
  <si>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</si>
  <si>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</si>
  <si>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</si>
  <si>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</si>
  <si>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</si>
  <si>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</si>
  <si>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</si>
  <si>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</si>
  <si>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</si>
  <si>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</si>
  <si>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</si>
  <si>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</si>
  <si>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</si>
  <si>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</si>
  <si>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</si>
  <si>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</si>
  <si>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</si>
  <si>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</si>
  <si>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</si>
  <si>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</si>
  <si>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</si>
  <si>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</si>
  <si>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</si>
  <si>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</si>
  <si>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</si>
  <si>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</si>
  <si>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</si>
  <si>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</si>
  <si>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</si>
  <si>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</si>
  <si>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</si>
  <si>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</si>
  <si>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</si>
  <si>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</si>
  <si>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</si>
  <si>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</si>
  <si>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</si>
  <si>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</si>
  <si>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</si>
  <si>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</si>
  <si>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</si>
  <si>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</si>
  <si>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</si>
  <si>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</si>
  <si>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</si>
  <si>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</si>
  <si>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</si>
  <si>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</si>
  <si>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</si>
  <si>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</si>
  <si>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</si>
  <si>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</si>
  <si>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</si>
  <si>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</si>
  <si>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</si>
  <si>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</si>
  <si>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</si>
  <si>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</si>
  <si>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</si>
  <si>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</si>
  <si>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</si>
  <si>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</si>
  <si>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</si>
  <si>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</si>
  <si>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</si>
  <si>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</si>
  <si>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</si>
  <si>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</si>
  <si>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</si>
  <si>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</si>
  <si>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</si>
  <si>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</si>
  <si>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</si>
  <si>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</si>
  <si>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</si>
  <si>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</si>
  <si>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</si>
  <si>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</si>
  <si>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</si>
  <si>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</si>
  <si>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</si>
  <si>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</si>
  <si>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</si>
  <si>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</si>
  <si>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</si>
  <si>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</si>
  <si>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</si>
  <si>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</si>
  <si>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</si>
  <si>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</si>
  <si>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</si>
  <si>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</si>
  <si>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</si>
  <si>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</si>
  <si>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</si>
  <si>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</si>
  <si>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</si>
  <si>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</si>
  <si>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</si>
  <si>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</si>
  <si>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</si>
  <si>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</si>
  <si>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</si>
  <si>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</si>
  <si>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</si>
  <si>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</si>
  <si>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</si>
  <si>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</si>
  <si>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</si>
  <si>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</si>
  <si>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</si>
  <si>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</si>
  <si>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</si>
  <si>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</si>
  <si>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</si>
  <si>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</si>
  <si>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</si>
  <si>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</si>
  <si>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</si>
  <si>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</si>
  <si>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</si>
  <si>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</si>
  <si>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</si>
  <si>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</si>
  <si>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</si>
  <si>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</si>
  <si>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</si>
  <si>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</si>
  <si>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</si>
  <si>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</si>
  <si>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</si>
  <si>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</si>
  <si>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</si>
  <si>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</si>
  <si>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</si>
  <si>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</si>
  <si>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</si>
  <si>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</si>
  <si>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</si>
  <si>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</si>
  <si>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</si>
  <si>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</si>
  <si>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</si>
  <si>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</si>
  <si>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</si>
  <si>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</si>
  <si>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</si>
  <si>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</si>
  <si>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</si>
  <si>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</si>
  <si>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</si>
  <si>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</si>
  <si>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</si>
  <si>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</si>
  <si>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</si>
  <si>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</si>
  <si>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</si>
  <si>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</si>
  <si>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</si>
  <si>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</si>
  <si>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</si>
  <si>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</si>
  <si>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</si>
  <si>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</si>
  <si>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</si>
  <si>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</si>
  <si>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</si>
  <si>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</si>
  <si>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</si>
  <si>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</si>
  <si>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</si>
  <si>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</si>
  <si>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</si>
  <si>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</si>
  <si>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</si>
  <si>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</si>
  <si>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</si>
  <si>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</si>
  <si>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</si>
  <si>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</si>
  <si>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</si>
  <si>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</si>
  <si>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</si>
  <si>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</si>
  <si>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</si>
  <si>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</si>
  <si>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</si>
  <si>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</si>
  <si>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</si>
  <si>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</si>
  <si>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</si>
  <si>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</si>
  <si>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</si>
  <si>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</si>
  <si>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</si>
  <si>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</si>
  <si>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</si>
  <si>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</si>
  <si>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</si>
  <si>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</si>
  <si>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</si>
  <si>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</si>
  <si>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</si>
  <si>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</si>
  <si>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</si>
  <si>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</si>
  <si>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</si>
  <si>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</si>
  <si>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</si>
  <si>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</si>
  <si>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</si>
  <si>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</si>
  <si>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</si>
  <si>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</si>
  <si>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</si>
  <si>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</si>
  <si>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</si>
  <si>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</si>
  <si>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</si>
  <si>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</si>
  <si>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</si>
  <si>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</si>
  <si>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</si>
  <si>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</si>
  <si>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</si>
  <si>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</si>
  <si>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</si>
  <si>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</si>
  <si>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</si>
  <si>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</si>
  <si>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</si>
  <si>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</si>
  <si>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</si>
  <si>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</si>
  <si>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</si>
  <si>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</si>
  <si>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</si>
  <si>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</si>
  <si>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</si>
  <si>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</si>
  <si>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</si>
  <si>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</si>
  <si>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</si>
  <si>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</si>
  <si>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</si>
  <si>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</si>
  <si>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</si>
  <si>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</si>
  <si>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</si>
  <si>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</si>
  <si>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</si>
  <si>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</si>
  <si>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</si>
  <si>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</si>
  <si>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</si>
  <si>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</si>
  <si>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</si>
  <si>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</si>
  <si>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</si>
  <si>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</si>
  <si>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</si>
  <si>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</si>
  <si>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</si>
  <si>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</si>
  <si>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</si>
  <si>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</si>
  <si>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</si>
  <si>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</si>
  <si>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</si>
  <si>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</si>
  <si>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</si>
  <si>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</si>
  <si>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</si>
  <si>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</si>
  <si>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</si>
  <si>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</si>
  <si>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</si>
  <si>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</si>
  <si>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</si>
  <si>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</si>
  <si>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</si>
  <si>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</si>
  <si>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</si>
  <si>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</si>
  <si>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</si>
  <si>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</si>
  <si>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</si>
  <si>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</si>
  <si>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</si>
  <si>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</si>
  <si>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</si>
  <si>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</si>
  <si>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</si>
  <si>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</si>
  <si>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</si>
  <si>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</si>
  <si>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</si>
  <si>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</si>
  <si>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</si>
  <si>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</si>
  <si>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</si>
  <si>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</si>
  <si>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</si>
  <si>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</si>
  <si>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</si>
  <si>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</si>
  <si>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</si>
  <si>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</si>
  <si>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</si>
  <si>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</si>
  <si>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</si>
  <si>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</si>
  <si>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</si>
  <si>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</si>
  <si>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</si>
  <si>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</si>
  <si>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</si>
  <si>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</si>
  <si>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</si>
  <si>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</si>
  <si>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</si>
  <si>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</si>
  <si>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</si>
  <si>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</si>
  <si>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</si>
  <si>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</si>
  <si>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</si>
  <si>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</si>
  <si>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</si>
  <si>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</si>
  <si>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</si>
  <si>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</si>
  <si>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</si>
  <si>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</si>
  <si>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</si>
  <si>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</si>
  <si>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</si>
  <si>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</si>
  <si>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</si>
  <si>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</si>
  <si>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</si>
  <si>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</si>
  <si>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</si>
  <si>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</si>
  <si>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</si>
  <si>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</si>
  <si>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</si>
  <si>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</si>
  <si>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</si>
  <si>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</si>
  <si>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</si>
  <si>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</si>
  <si>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</si>
  <si>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</si>
  <si>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</si>
  <si>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</si>
  <si>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</si>
  <si>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</si>
  <si>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</si>
  <si>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</si>
  <si>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</si>
  <si>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</si>
  <si>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</si>
  <si>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</si>
  <si>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</si>
  <si>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</si>
  <si>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</si>
  <si>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</si>
  <si>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</si>
  <si>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</si>
  <si>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</si>
  <si>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</si>
  <si>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</si>
  <si>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</si>
  <si>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</si>
  <si>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</si>
  <si>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</si>
  <si>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</si>
  <si>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</si>
  <si>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</si>
  <si>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</si>
  <si>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</si>
  <si>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</si>
  <si>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</si>
  <si>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</si>
  <si>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</si>
  <si>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</si>
  <si>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</si>
  <si>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</si>
  <si>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</si>
  <si>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</si>
  <si>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</si>
  <si>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</si>
  <si>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</si>
  <si>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</si>
  <si>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</si>
  <si>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</si>
  <si>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</si>
  <si>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</si>
  <si>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</si>
  <si>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</si>
  <si>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</si>
  <si>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</si>
  <si>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</si>
  <si>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</si>
  <si>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</si>
  <si>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</si>
  <si>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</si>
  <si>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</si>
  <si>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</si>
  <si>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</si>
  <si>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</si>
  <si>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</si>
  <si>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</si>
  <si>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</si>
  <si>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</si>
  <si>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</si>
  <si>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</si>
  <si>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</si>
  <si>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</si>
  <si>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</si>
  <si>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</si>
  <si>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</si>
  <si>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</si>
  <si>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</si>
  <si>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</si>
  <si>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</si>
  <si>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</si>
  <si>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</si>
  <si>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</si>
  <si>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</si>
  <si>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</si>
  <si>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</si>
  <si>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</si>
  <si>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</si>
  <si>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</si>
  <si>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</si>
  <si>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</si>
  <si>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</si>
  <si>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</si>
  <si>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</si>
  <si>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</si>
  <si>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</si>
  <si>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</si>
  <si>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</si>
  <si>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</si>
  <si>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</si>
  <si>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</si>
  <si>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</si>
  <si>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</si>
  <si>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</si>
  <si>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</si>
  <si>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</si>
  <si>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</si>
  <si>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</si>
  <si>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</si>
  <si>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</si>
  <si>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</si>
  <si>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</si>
  <si>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</si>
  <si>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</si>
  <si>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</si>
  <si>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</si>
  <si>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</si>
  <si>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</si>
  <si>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</si>
  <si>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</si>
  <si>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</si>
  <si>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</si>
  <si>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</si>
  <si>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</si>
  <si>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</si>
  <si>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</si>
  <si>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</si>
  <si>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</si>
  <si>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</si>
  <si>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</si>
  <si>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</si>
  <si>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</si>
  <si>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</si>
  <si>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</si>
  <si>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</si>
  <si>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</si>
  <si>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</si>
  <si>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</si>
  <si>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</si>
  <si>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</si>
  <si>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</si>
  <si>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</si>
  <si>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</si>
  <si>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</si>
  <si>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</si>
  <si>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</si>
  <si>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</si>
  <si>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</si>
  <si>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</si>
  <si>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</si>
  <si>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</si>
  <si>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</si>
  <si>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</si>
  <si>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</si>
  <si>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</si>
  <si>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</si>
  <si>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</si>
  <si>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</si>
  <si>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</si>
  <si>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</si>
  <si>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</si>
  <si>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</si>
  <si>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</si>
  <si>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</si>
  <si>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</si>
  <si>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</si>
  <si>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</si>
  <si>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</si>
  <si>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</si>
  <si>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</si>
  <si>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</si>
  <si>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Montego</t>
  </si>
  <si>
    <t>Tenor</t>
  </si>
  <si>
    <t>Aviso</t>
  </si>
  <si>
    <t>RAPSO_304</t>
  </si>
  <si>
    <t>RAPSO_323</t>
  </si>
  <si>
    <t>RAPSO_325</t>
  </si>
  <si>
    <t>Prot_Yield</t>
  </si>
  <si>
    <t>Oil_Yield</t>
  </si>
  <si>
    <t>CROP</t>
  </si>
  <si>
    <t>Crop</t>
  </si>
  <si>
    <t>Seed_Impurities</t>
  </si>
  <si>
    <t>Glucosinolates</t>
  </si>
  <si>
    <t>PLANTDENS</t>
  </si>
  <si>
    <t>Plant_Density</t>
  </si>
  <si>
    <t xml:space="preserve">Number of viable plants counted per surface unit. </t>
  </si>
  <si>
    <t>Plant nb.m-²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</si>
  <si>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</si>
  <si>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</si>
  <si>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</si>
  <si>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</si>
  <si>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</si>
  <si>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</si>
  <si>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</si>
  <si>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</si>
  <si>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</si>
  <si>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</si>
  <si>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</si>
  <si>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</si>
  <si>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</si>
  <si>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</si>
  <si>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</si>
  <si>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</si>
  <si>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</si>
  <si>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</si>
  <si>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</si>
  <si>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</si>
  <si>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</si>
  <si>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</si>
  <si>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</si>
  <si>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</si>
  <si>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</si>
  <si>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</si>
  <si>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</si>
  <si>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</si>
  <si>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</si>
  <si>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</si>
  <si>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</si>
  <si>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</si>
  <si>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</si>
  <si>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</si>
  <si>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</si>
  <si>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</si>
  <si>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</si>
  <si>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</si>
  <si>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</si>
  <si>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</si>
  <si>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</si>
  <si>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</si>
  <si>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</si>
  <si>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</si>
  <si>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</si>
  <si>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</si>
  <si>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</si>
  <si>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</si>
  <si>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</si>
  <si>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</si>
  <si>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</si>
  <si>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</si>
  <si>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</si>
  <si>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</si>
  <si>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</si>
  <si>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</si>
  <si>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</si>
  <si>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</si>
  <si>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</si>
  <si>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</si>
  <si>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</si>
  <si>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</si>
  <si>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</si>
  <si>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</si>
  <si>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</si>
  <si>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</si>
  <si>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</si>
  <si>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</si>
  <si>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</si>
  <si>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</si>
  <si>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</si>
  <si>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</si>
  <si>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</si>
  <si>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</si>
  <si>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</si>
  <si>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</si>
  <si>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</si>
  <si>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</si>
  <si>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</si>
  <si>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</si>
  <si>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</si>
  <si>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</si>
  <si>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</si>
  <si>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</si>
  <si>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</si>
  <si>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</si>
  <si>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</si>
  <si>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</si>
  <si>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</si>
  <si>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</si>
  <si>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</si>
  <si>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</si>
  <si>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</si>
  <si>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</si>
  <si>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</si>
  <si>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</si>
  <si>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</si>
  <si>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</si>
  <si>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</si>
  <si>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</si>
  <si>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</si>
  <si>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</si>
  <si>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</si>
  <si>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</si>
  <si>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</si>
  <si>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</si>
  <si>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</si>
  <si>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</si>
  <si>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</si>
  <si>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</si>
  <si>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</si>
  <si>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</si>
  <si>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</si>
  <si>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</si>
  <si>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</si>
  <si>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</si>
  <si>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</si>
  <si>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</si>
  <si>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</si>
  <si>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</si>
  <si>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</si>
  <si>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</si>
  <si>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</si>
  <si>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</si>
  <si>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</si>
  <si>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</si>
  <si>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</si>
  <si>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</si>
  <si>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</si>
  <si>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</si>
  <si>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</si>
  <si>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</si>
  <si>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</si>
  <si>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</si>
  <si>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</si>
  <si>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</si>
  <si>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</si>
  <si>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</si>
  <si>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</si>
  <si>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</si>
  <si>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</si>
  <si>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</si>
  <si>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</si>
  <si>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</si>
  <si>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</si>
  <si>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The seed sample for SEEDH2O_LAB determination is used for seed counting (NBSEED_sample) using a precision counter.                                                                                TSW = (SEEDH2O_LAB / NBSEED_sample) x 1000</t>
  </si>
  <si>
    <t>Visual notation is attributed to the plants for each plot, taking into account the surface and the intensity of lodging   
 LODGING  =  0 : NA                                                                                                                                                  1 : No lodging                                                                                                                                                                2 : Culture leaning, without impact                                                                                                            5 : Average loding, low impact                                                                                                                          7 : High lodging, serious impact                                                                                                                      9 : Total lodging, compromised harvest</t>
  </si>
  <si>
    <t>Plant counting on a line.                                                                                                                             EMERG = (Number of plants obtained / Number of seeds sown) x 100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</si>
  <si>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                 Nc = nb of sowing lines chosen for plant counting, E = inter-line spacing.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</si>
  <si>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</si>
  <si>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</si>
  <si>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</si>
  <si>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</si>
  <si>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</si>
  <si>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</si>
  <si>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</si>
  <si>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</si>
  <si>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</si>
  <si>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</si>
  <si>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</si>
  <si>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</si>
  <si>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</si>
  <si>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</si>
  <si>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</si>
  <si>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</si>
  <si>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</si>
  <si>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</si>
  <si>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</si>
  <si>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</si>
  <si>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</si>
  <si>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</si>
  <si>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</si>
  <si>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</si>
  <si>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</si>
  <si>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</si>
  <si>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</si>
  <si>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</si>
  <si>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</si>
  <si>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</si>
  <si>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</si>
  <si>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</si>
  <si>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</si>
  <si>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</si>
  <si>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</si>
  <si>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</si>
  <si>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</si>
  <si>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</si>
  <si>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</si>
  <si>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</si>
  <si>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</si>
  <si>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</si>
  <si>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</si>
  <si>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</si>
  <si>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</si>
  <si>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</si>
  <si>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</si>
  <si>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</si>
  <si>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</si>
  <si>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</si>
  <si>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</si>
  <si>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</si>
  <si>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</si>
  <si>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</si>
  <si>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</si>
  <si>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</si>
  <si>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</si>
  <si>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</si>
  <si>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</si>
  <si>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</si>
  <si>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</si>
  <si>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</si>
  <si>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</si>
  <si>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</si>
  <si>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</si>
  <si>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</si>
  <si>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</si>
  <si>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</si>
  <si>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</si>
  <si>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</si>
  <si>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Génotype</t>
  </si>
  <si>
    <t>Obtenteur</t>
  </si>
  <si>
    <t>QTL</t>
  </si>
  <si>
    <t>A05-AMQ0</t>
  </si>
  <si>
    <t>Bulk HD témoin</t>
  </si>
  <si>
    <t>A05</t>
  </si>
  <si>
    <t>A05-AMQ1</t>
  </si>
  <si>
    <t>C03-AMQ0</t>
  </si>
  <si>
    <t>C03</t>
  </si>
  <si>
    <t>C03-AMQ1</t>
  </si>
  <si>
    <t>C04-DKQ0</t>
  </si>
  <si>
    <t>C04</t>
  </si>
  <si>
    <t>C04-DKQ1</t>
  </si>
  <si>
    <t>AM087</t>
  </si>
  <si>
    <t>Donneur</t>
  </si>
  <si>
    <t>AM109</t>
  </si>
  <si>
    <t>DK038</t>
  </si>
  <si>
    <t>EXL4816</t>
  </si>
  <si>
    <t>Receveur</t>
  </si>
  <si>
    <t>Euralis</t>
  </si>
  <si>
    <t>EXL3155</t>
  </si>
  <si>
    <t>C03-1ESQ0</t>
  </si>
  <si>
    <t>Bulk F3</t>
  </si>
  <si>
    <t>C03-1ESQ1</t>
  </si>
  <si>
    <t>C04-1ESQ0</t>
  </si>
  <si>
    <t>C04-1ESQ1</t>
  </si>
  <si>
    <t>LEL17</t>
  </si>
  <si>
    <t>C04-1LEQ0</t>
  </si>
  <si>
    <t>C04-1LEQ1</t>
  </si>
  <si>
    <t>A05-1LEQ0</t>
  </si>
  <si>
    <t>A05-1LEQ1</t>
  </si>
  <si>
    <t>RAPSO_4</t>
  </si>
  <si>
    <t>Maïsadour</t>
  </si>
  <si>
    <t>C04-1MASQ0</t>
  </si>
  <si>
    <t>C04-1MASQ1</t>
  </si>
  <si>
    <t>C04-1RAGTQ0</t>
  </si>
  <si>
    <t>C04-1RAGTQ1</t>
  </si>
  <si>
    <t>C04-1SYNQ0</t>
  </si>
  <si>
    <t>C04-1SYNQ1</t>
  </si>
  <si>
    <t>Azote</t>
  </si>
  <si>
    <t>N1</t>
  </si>
  <si>
    <t>azote limitant</t>
  </si>
  <si>
    <t>N2</t>
  </si>
  <si>
    <t>azote optimal</t>
  </si>
  <si>
    <t>Fertilisation limitante (90u)</t>
  </si>
  <si>
    <t>Fertilisation optimale (190u)</t>
  </si>
  <si>
    <t>AVISO</t>
  </si>
  <si>
    <t>MONTEGO</t>
  </si>
  <si>
    <t>Trt</t>
  </si>
  <si>
    <t>Rapsodyn Essai  2015 - 2016</t>
  </si>
  <si>
    <t xml:space="preserve">Date : </t>
  </si>
  <si>
    <t xml:space="preserve">Lieu : </t>
  </si>
  <si>
    <t>Autainville</t>
  </si>
  <si>
    <t>Manip : INN</t>
  </si>
  <si>
    <t>Prv 4/5</t>
  </si>
  <si>
    <t>Prv 1/5</t>
  </si>
  <si>
    <t>Racines</t>
  </si>
  <si>
    <t>%MS</t>
  </si>
  <si>
    <t>Calcul des Inns F1</t>
  </si>
  <si>
    <t>Rep N+</t>
  </si>
  <si>
    <t>Rep N-</t>
  </si>
  <si>
    <t>PV t/ha</t>
  </si>
  <si>
    <t>PS t/ha</t>
  </si>
  <si>
    <t>%N</t>
  </si>
  <si>
    <t>Nc</t>
  </si>
  <si>
    <t>Inn</t>
  </si>
  <si>
    <t>Inn moyen</t>
  </si>
  <si>
    <t>Variétés</t>
  </si>
  <si>
    <t>47°52'56.48"N</t>
  </si>
  <si>
    <t>1°26'56.15"E</t>
  </si>
  <si>
    <t>MAD</t>
  </si>
  <si>
    <t>FRA_41_AUT</t>
  </si>
  <si>
    <t>Maes</t>
  </si>
  <si>
    <t>Olivier</t>
  </si>
  <si>
    <t>MAES@MAISADOUR.com</t>
  </si>
  <si>
    <t>MAISADOUR</t>
  </si>
  <si>
    <t>D</t>
  </si>
  <si>
    <t>G</t>
  </si>
  <si>
    <t>51FAU</t>
  </si>
  <si>
    <t>T5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</si>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</sst>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dd/mm/yy"/>
    <numFmt numFmtId="165" formatCode="d/mm/yyyy;@"/>
  </numFmts>
  <fonts count="68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rgb="FFFF0000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theme="1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name val="Calibri"/>
    </font>
    <font>
      <b/>
      <sz val="11"/>
      <color rgb="FF000000"/>
      <name val="Calibri"/>
    </font>
    <font>
      <b/>
      <sz val="11"/>
      <color rgb="FF0070C0"/>
      <name val="Calibri"/>
    </font>
    <font>
      <sz val="8"/>
      <color indexed="10"/>
      <name val="Calibri"/>
      <family val="2"/>
      <charset val="1"/>
    </font>
    <font>
      <sz val="10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Geneva"/>
      <family val="2"/>
      <charset val="1"/>
    </font>
    <font>
      <b/>
      <sz val="24"/>
      <color rgb="FF000000"/>
      <name val="Arial"/>
      <family val="2"/>
    </font>
    <font>
      <b/>
      <sz val="11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0">
    <xf numFmtId="0" fontId="0" fillId="0" borderId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5" fillId="0" borderId="0" applyNumberFormat="0" applyFill="0" applyBorder="0" applyProtection="0"/>
    <xf numFmtId="0" fontId="7" fillId="0" borderId="0"/>
    <xf numFmtId="0" fontId="31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9" fillId="0" borderId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1" borderId="0" applyNumberFormat="0" applyBorder="0" applyAlignment="0" applyProtection="0"/>
    <xf numFmtId="0" fontId="37" fillId="14" borderId="0" applyNumberFormat="0" applyBorder="0" applyAlignment="0" applyProtection="0"/>
    <xf numFmtId="0" fontId="37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18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5" borderId="0" applyNumberFormat="0" applyBorder="0" applyAlignment="0" applyProtection="0"/>
    <xf numFmtId="0" fontId="39" fillId="26" borderId="5" applyNumberFormat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26" borderId="18" applyNumberFormat="0" applyAlignment="0" applyProtection="0"/>
    <xf numFmtId="0" fontId="41" fillId="26" borderId="18" applyNumberFormat="0" applyAlignment="0" applyProtection="0"/>
    <xf numFmtId="0" fontId="41" fillId="26" borderId="18" applyNumberFormat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8" fillId="27" borderId="20" applyNumberFormat="0" applyFont="0" applyAlignment="0" applyProtection="0"/>
    <xf numFmtId="0" fontId="28" fillId="27" borderId="20" applyNumberFormat="0" applyFont="0" applyAlignment="0" applyProtection="0"/>
    <xf numFmtId="0" fontId="43" fillId="13" borderId="18" applyNumberFormat="0" applyAlignment="0" applyProtection="0"/>
    <xf numFmtId="0" fontId="43" fillId="13" borderId="18" applyNumberFormat="0" applyAlignment="0" applyProtection="0"/>
    <xf numFmtId="0" fontId="43" fillId="13" borderId="18" applyNumberFormat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46" fillId="10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28" fillId="0" borderId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" fillId="0" borderId="0"/>
    <xf numFmtId="0" fontId="28" fillId="0" borderId="0"/>
    <xf numFmtId="0" fontId="28" fillId="0" borderId="0"/>
    <xf numFmtId="0" fontId="37" fillId="0" borderId="0"/>
    <xf numFmtId="0" fontId="28" fillId="0" borderId="0"/>
    <xf numFmtId="0" fontId="49" fillId="0" borderId="0"/>
    <xf numFmtId="0" fontId="31" fillId="0" borderId="0"/>
    <xf numFmtId="0" fontId="37" fillId="27" borderId="20" applyNumberFormat="0" applyFont="0" applyAlignment="0" applyProtection="0"/>
    <xf numFmtId="9" fontId="37" fillId="0" borderId="0" applyFont="0" applyFill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7" fillId="9" borderId="0" applyNumberFormat="0" applyBorder="0" applyAlignment="0" applyProtection="0"/>
    <xf numFmtId="0" fontId="39" fillId="26" borderId="5" applyNumberFormat="0" applyAlignment="0" applyProtection="0"/>
    <xf numFmtId="0" fontId="39" fillId="26" borderId="5" applyNumberFormat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22" applyNumberFormat="0" applyFill="0" applyAlignment="0" applyProtection="0"/>
    <xf numFmtId="0" fontId="52" fillId="0" borderId="23" applyNumberFormat="0" applyFill="0" applyAlignment="0" applyProtection="0"/>
    <xf numFmtId="0" fontId="53" fillId="0" borderId="24" applyNumberFormat="0" applyFill="0" applyAlignment="0" applyProtection="0"/>
    <xf numFmtId="0" fontId="53" fillId="0" borderId="0" applyNumberFormat="0" applyFill="0" applyBorder="0" applyAlignment="0" applyProtection="0"/>
    <xf numFmtId="0" fontId="54" fillId="29" borderId="25" applyNumberFormat="0" applyAlignment="0" applyProtection="0"/>
    <xf numFmtId="0" fontId="54" fillId="29" borderId="25" applyNumberFormat="0" applyAlignment="0" applyProtection="0"/>
    <xf numFmtId="0" fontId="42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54" fillId="29" borderId="25" applyNumberFormat="0" applyAlignment="0" applyProtection="0"/>
    <xf numFmtId="43" fontId="31" fillId="0" borderId="0" applyFont="0" applyFill="0" applyBorder="0" applyAlignment="0" applyProtection="0"/>
    <xf numFmtId="0" fontId="3" fillId="0" borderId="0"/>
    <xf numFmtId="0" fontId="2" fillId="0" borderId="0"/>
    <xf numFmtId="0" fontId="55" fillId="0" borderId="0"/>
    <xf numFmtId="0" fontId="2" fillId="0" borderId="0"/>
    <xf numFmtId="0" fontId="2" fillId="0" borderId="0"/>
  </cellStyleXfs>
  <cellXfs count="298">
    <xf numFmtId="0" fontId="0" fillId="0" borderId="0" xfId="0"/>
    <xf numFmtId="0" fontId="7" fillId="0" borderId="0" xfId="0" applyFont="1" applyAlignment="1">
      <alignment horizontal="left"/>
    </xf>
    <xf numFmtId="0" fontId="10" fillId="0" borderId="0" xfId="6" applyFont="1" applyAlignment="1">
      <alignment horizontal="left"/>
    </xf>
    <xf numFmtId="164" fontId="10" fillId="0" borderId="0" xfId="6" applyNumberFormat="1" applyFont="1" applyAlignment="1">
      <alignment horizontal="left"/>
    </xf>
    <xf numFmtId="0" fontId="11" fillId="0" borderId="0" xfId="6" applyFont="1" applyAlignment="1">
      <alignment horizontal="left"/>
    </xf>
    <xf numFmtId="0" fontId="7" fillId="0" borderId="0" xfId="9" applyFont="1" applyAlignment="1">
      <alignment horizontal="left"/>
    </xf>
    <xf numFmtId="164" fontId="11" fillId="0" borderId="0" xfId="6" applyNumberFormat="1" applyFont="1" applyAlignment="1">
      <alignment horizontal="left"/>
    </xf>
    <xf numFmtId="0" fontId="7" fillId="0" borderId="0" xfId="6" applyFont="1" applyAlignment="1">
      <alignment horizontal="left"/>
    </xf>
    <xf numFmtId="0" fontId="7" fillId="0" borderId="0" xfId="9" applyFont="1" applyBorder="1" applyAlignment="1">
      <alignment horizontal="left"/>
    </xf>
    <xf numFmtId="0" fontId="15" fillId="0" borderId="0" xfId="9" applyFont="1" applyBorder="1" applyAlignment="1">
      <alignment horizontal="left"/>
    </xf>
    <xf numFmtId="0" fontId="11" fillId="0" borderId="0" xfId="9" applyFont="1" applyAlignment="1">
      <alignment horizontal="left"/>
    </xf>
    <xf numFmtId="0" fontId="13" fillId="0" borderId="0" xfId="9" applyFont="1" applyAlignment="1">
      <alignment horizontal="left"/>
    </xf>
    <xf numFmtId="0" fontId="12" fillId="0" borderId="0" xfId="9" applyFont="1" applyFill="1" applyAlignment="1">
      <alignment horizontal="left"/>
    </xf>
    <xf numFmtId="0" fontId="11" fillId="2" borderId="1" xfId="9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49" fontId="16" fillId="2" borderId="1" xfId="0" applyNumberFormat="1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1" fillId="0" borderId="1" xfId="9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" xfId="9" applyFont="1" applyFill="1" applyBorder="1" applyAlignment="1">
      <alignment horizontal="left" vertical="center" wrapText="1"/>
    </xf>
    <xf numFmtId="0" fontId="7" fillId="0" borderId="1" xfId="5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5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1" fillId="0" borderId="1" xfId="9" applyFont="1" applyBorder="1" applyAlignment="1">
      <alignment horizontal="left" vertical="center" wrapText="1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49" fontId="7" fillId="0" borderId="1" xfId="0" applyNumberFormat="1" applyFont="1" applyFill="1" applyBorder="1" applyAlignment="1">
      <alignment horizontal="left" vertical="center" wrapText="1"/>
    </xf>
    <xf numFmtId="0" fontId="7" fillId="0" borderId="7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9" applyFont="1" applyFill="1" applyBorder="1" applyAlignment="1">
      <alignment horizontal="center" vertical="center" wrapText="1"/>
    </xf>
    <xf numFmtId="0" fontId="7" fillId="0" borderId="1" xfId="9" applyFont="1" applyBorder="1" applyAlignment="1">
      <alignment horizontal="left" vertical="center" wrapText="1"/>
    </xf>
    <xf numFmtId="0" fontId="7" fillId="0" borderId="7" xfId="9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Border="1" applyAlignment="1">
      <alignment horizontal="left" vertical="center" wrapText="1"/>
    </xf>
    <xf numFmtId="0" fontId="7" fillId="0" borderId="0" xfId="9" applyFont="1" applyBorder="1" applyAlignment="1">
      <alignment horizontal="left" vertical="center" wrapText="1"/>
    </xf>
    <xf numFmtId="0" fontId="7" fillId="0" borderId="0" xfId="9" applyFont="1" applyBorder="1" applyAlignment="1">
      <alignment horizontal="left" wrapText="1"/>
    </xf>
    <xf numFmtId="0" fontId="7" fillId="0" borderId="8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2" fillId="0" borderId="8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2" borderId="1" xfId="9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1" fillId="0" borderId="2" xfId="9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6" fillId="0" borderId="2" xfId="9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0" borderId="1" xfId="9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wrapText="1"/>
    </xf>
    <xf numFmtId="0" fontId="7" fillId="0" borderId="0" xfId="9" applyFont="1" applyBorder="1" applyAlignment="1">
      <alignment horizontal="left" vertical="center"/>
    </xf>
    <xf numFmtId="0" fontId="12" fillId="0" borderId="0" xfId="9" applyFont="1" applyFill="1" applyBorder="1" applyAlignment="1">
      <alignment horizontal="left"/>
    </xf>
    <xf numFmtId="0" fontId="12" fillId="2" borderId="1" xfId="9" applyFont="1" applyFill="1" applyBorder="1" applyAlignment="1">
      <alignment horizontal="left"/>
    </xf>
    <xf numFmtId="0" fontId="16" fillId="2" borderId="1" xfId="9" applyFont="1" applyFill="1" applyBorder="1" applyAlignment="1">
      <alignment horizontal="left"/>
    </xf>
    <xf numFmtId="0" fontId="19" fillId="0" borderId="1" xfId="9" applyFont="1" applyBorder="1" applyAlignment="1">
      <alignment horizontal="left" vertical="center" wrapText="1"/>
    </xf>
    <xf numFmtId="0" fontId="7" fillId="0" borderId="1" xfId="9" applyFont="1" applyBorder="1" applyAlignment="1">
      <alignment horizontal="left"/>
    </xf>
    <xf numFmtId="0" fontId="7" fillId="0" borderId="0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/>
    </xf>
    <xf numFmtId="0" fontId="11" fillId="0" borderId="0" xfId="9" applyFont="1" applyBorder="1" applyAlignment="1">
      <alignment horizontal="left" vertical="center" wrapText="1"/>
    </xf>
    <xf numFmtId="0" fontId="12" fillId="0" borderId="0" xfId="9" applyFont="1" applyBorder="1" applyAlignment="1">
      <alignment horizontal="left" vertical="center" wrapText="1"/>
    </xf>
    <xf numFmtId="0" fontId="11" fillId="0" borderId="0" xfId="9" applyFont="1" applyBorder="1" applyAlignment="1">
      <alignment horizontal="left" vertical="center"/>
    </xf>
    <xf numFmtId="0" fontId="11" fillId="0" borderId="0" xfId="9" applyFont="1" applyFill="1" applyBorder="1" applyAlignment="1">
      <alignment horizontal="left" vertical="center"/>
    </xf>
    <xf numFmtId="0" fontId="12" fillId="2" borderId="1" xfId="0" applyFont="1" applyFill="1" applyBorder="1" applyAlignment="1" applyProtection="1">
      <alignment horizontal="left"/>
    </xf>
    <xf numFmtId="0" fontId="16" fillId="2" borderId="1" xfId="0" applyFont="1" applyFill="1" applyBorder="1" applyAlignment="1" applyProtection="1">
      <alignment horizontal="left"/>
    </xf>
    <xf numFmtId="0" fontId="16" fillId="2" borderId="7" xfId="0" applyFont="1" applyFill="1" applyBorder="1" applyAlignment="1" applyProtection="1">
      <alignment horizontal="left"/>
    </xf>
    <xf numFmtId="0" fontId="7" fillId="0" borderId="5" xfId="0" applyFont="1" applyBorder="1" applyAlignment="1">
      <alignment horizontal="left" wrapText="1"/>
    </xf>
    <xf numFmtId="0" fontId="11" fillId="0" borderId="6" xfId="0" applyFont="1" applyBorder="1" applyAlignment="1">
      <alignment horizontal="left" vertical="center" wrapText="1"/>
    </xf>
    <xf numFmtId="0" fontId="7" fillId="0" borderId="1" xfId="0" applyFont="1" applyFill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5" fillId="0" borderId="7" xfId="1" applyNumberFormat="1" applyFont="1" applyFill="1" applyBorder="1" applyAlignment="1" applyProtection="1">
      <alignment horizontal="left" vertical="center" wrapText="1"/>
    </xf>
    <xf numFmtId="0" fontId="12" fillId="2" borderId="1" xfId="10" applyFont="1" applyFill="1" applyBorder="1" applyAlignment="1">
      <alignment horizontal="left"/>
    </xf>
    <xf numFmtId="0" fontId="11" fillId="2" borderId="1" xfId="10" applyFont="1" applyFill="1" applyBorder="1" applyAlignment="1">
      <alignment horizontal="left"/>
    </xf>
    <xf numFmtId="0" fontId="7" fillId="0" borderId="1" xfId="1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wrapText="1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49" fontId="12" fillId="2" borderId="1" xfId="0" applyNumberFormat="1" applyFont="1" applyFill="1" applyBorder="1" applyAlignment="1" applyProtection="1">
      <alignment horizontal="left"/>
    </xf>
    <xf numFmtId="49" fontId="16" fillId="2" borderId="1" xfId="0" applyNumberFormat="1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  <protection locked="0"/>
    </xf>
    <xf numFmtId="0" fontId="16" fillId="2" borderId="6" xfId="0" applyFont="1" applyFill="1" applyBorder="1" applyAlignment="1">
      <alignment horizontal="left"/>
    </xf>
    <xf numFmtId="49" fontId="23" fillId="0" borderId="1" xfId="0" applyNumberFormat="1" applyFont="1" applyFill="1" applyBorder="1" applyAlignment="1" applyProtection="1">
      <alignment horizontal="left" vertical="center" wrapText="1"/>
    </xf>
    <xf numFmtId="49" fontId="23" fillId="0" borderId="1" xfId="0" applyNumberFormat="1" applyFont="1" applyFill="1" applyBorder="1" applyAlignment="1" applyProtection="1">
      <alignment horizontal="left" wrapText="1"/>
    </xf>
    <xf numFmtId="0" fontId="7" fillId="0" borderId="0" xfId="0" applyFont="1" applyFill="1" applyBorder="1" applyAlignment="1">
      <alignment horizontal="left"/>
    </xf>
    <xf numFmtId="0" fontId="23" fillId="0" borderId="1" xfId="9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/>
    </xf>
    <xf numFmtId="0" fontId="11" fillId="0" borderId="0" xfId="0" applyFont="1"/>
    <xf numFmtId="0" fontId="0" fillId="2" borderId="1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1" xfId="3" applyNumberFormat="1" applyFont="1" applyFill="1" applyBorder="1" applyAlignment="1" applyProtection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8" fillId="2" borderId="1" xfId="0" applyFont="1" applyFill="1" applyBorder="1"/>
    <xf numFmtId="0" fontId="7" fillId="0" borderId="1" xfId="0" applyFont="1" applyFill="1" applyBorder="1" applyAlignment="1" applyProtection="1">
      <alignment horizontal="center"/>
      <protection locked="0"/>
    </xf>
    <xf numFmtId="0" fontId="25" fillId="3" borderId="11" xfId="0" applyFont="1" applyFill="1" applyBorder="1" applyAlignment="1">
      <alignment vertical="center"/>
    </xf>
    <xf numFmtId="0" fontId="0" fillId="0" borderId="12" xfId="0" applyFill="1" applyBorder="1"/>
    <xf numFmtId="0" fontId="20" fillId="4" borderId="12" xfId="0" applyFont="1" applyFill="1" applyBorder="1"/>
    <xf numFmtId="0" fontId="12" fillId="3" borderId="13" xfId="0" applyFont="1" applyFill="1" applyBorder="1" applyAlignment="1">
      <alignment horizontal="center" vertical="center"/>
    </xf>
    <xf numFmtId="0" fontId="16" fillId="0" borderId="14" xfId="9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20" fillId="3" borderId="15" xfId="0" applyFont="1" applyFill="1" applyBorder="1" applyAlignment="1">
      <alignment vertical="center"/>
    </xf>
    <xf numFmtId="0" fontId="0" fillId="0" borderId="12" xfId="0" applyBorder="1"/>
    <xf numFmtId="0" fontId="12" fillId="3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Fill="1" applyBorder="1"/>
    <xf numFmtId="0" fontId="16" fillId="0" borderId="1" xfId="9" applyFont="1" applyFill="1" applyBorder="1" applyAlignment="1">
      <alignment horizontal="center"/>
    </xf>
    <xf numFmtId="0" fontId="20" fillId="3" borderId="11" xfId="0" applyFont="1" applyFill="1" applyBorder="1" applyAlignment="1">
      <alignment vertical="center"/>
    </xf>
    <xf numFmtId="0" fontId="16" fillId="0" borderId="14" xfId="9" applyFont="1" applyBorder="1" applyAlignment="1">
      <alignment horizontal="center" vertical="center"/>
    </xf>
    <xf numFmtId="0" fontId="7" fillId="0" borderId="0" xfId="0" applyFont="1" applyProtection="1">
      <protection locked="0"/>
    </xf>
    <xf numFmtId="0" fontId="11" fillId="0" borderId="0" xfId="0" applyFont="1" applyProtection="1"/>
    <xf numFmtId="0" fontId="27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 applyProtection="1">
      <protection locked="0"/>
    </xf>
    <xf numFmtId="0" fontId="27" fillId="0" borderId="0" xfId="0" applyFont="1" applyFill="1"/>
    <xf numFmtId="0" fontId="29" fillId="0" borderId="0" xfId="0" applyFont="1" applyAlignment="1">
      <alignment horizontal="right"/>
    </xf>
    <xf numFmtId="0" fontId="25" fillId="5" borderId="12" xfId="5" applyFont="1" applyFill="1" applyBorder="1"/>
    <xf numFmtId="0" fontId="30" fillId="0" borderId="12" xfId="5" applyFont="1" applyFill="1" applyBorder="1"/>
    <xf numFmtId="0" fontId="7" fillId="0" borderId="12" xfId="5" applyBorder="1"/>
    <xf numFmtId="0" fontId="7" fillId="0" borderId="0" xfId="5"/>
    <xf numFmtId="0" fontId="12" fillId="5" borderId="1" xfId="5" applyFont="1" applyFill="1" applyBorder="1"/>
    <xf numFmtId="0" fontId="11" fillId="0" borderId="1" xfId="5" applyFont="1" applyFill="1" applyBorder="1"/>
    <xf numFmtId="0" fontId="11" fillId="0" borderId="1" xfId="5" applyFont="1" applyBorder="1"/>
    <xf numFmtId="0" fontId="0" fillId="6" borderId="12" xfId="0" applyFill="1" applyBorder="1"/>
    <xf numFmtId="0" fontId="18" fillId="6" borderId="1" xfId="0" applyFont="1" applyFill="1" applyBorder="1"/>
    <xf numFmtId="0" fontId="17" fillId="0" borderId="0" xfId="0" applyFont="1"/>
    <xf numFmtId="0" fontId="0" fillId="0" borderId="0" xfId="0" applyFont="1"/>
    <xf numFmtId="0" fontId="26" fillId="0" borderId="0" xfId="0" applyFont="1"/>
    <xf numFmtId="0" fontId="5" fillId="3" borderId="11" xfId="1" applyFill="1" applyBorder="1"/>
    <xf numFmtId="165" fontId="28" fillId="0" borderId="0" xfId="0" applyNumberFormat="1" applyFont="1" applyAlignment="1" applyProtection="1">
      <protection locked="0"/>
    </xf>
    <xf numFmtId="165" fontId="27" fillId="0" borderId="0" xfId="0" applyNumberFormat="1" applyFont="1" applyAlignment="1">
      <alignment horizontal="right"/>
    </xf>
    <xf numFmtId="0" fontId="20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horizontal="center" vertical="center"/>
    </xf>
    <xf numFmtId="0" fontId="16" fillId="0" borderId="2" xfId="9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35" fillId="0" borderId="16" xfId="0" applyFont="1" applyFill="1" applyBorder="1" applyAlignment="1">
      <alignment horizontal="center" vertical="center" wrapText="1"/>
    </xf>
    <xf numFmtId="0" fontId="0" fillId="0" borderId="16" xfId="6" applyFont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 wrapText="1"/>
    </xf>
    <xf numFmtId="0" fontId="36" fillId="0" borderId="16" xfId="0" applyFont="1" applyFill="1" applyBorder="1" applyAlignment="1">
      <alignment horizontal="center" vertical="center" wrapText="1"/>
    </xf>
    <xf numFmtId="14" fontId="0" fillId="0" borderId="12" xfId="0" applyNumberFormat="1" applyFill="1" applyBorder="1"/>
    <xf numFmtId="0" fontId="0" fillId="0" borderId="12" xfId="0" quotePrefix="1" applyFill="1" applyBorder="1"/>
    <xf numFmtId="0" fontId="0" fillId="0" borderId="0" xfId="0" applyAlignment="1">
      <alignment vertical="top"/>
    </xf>
    <xf numFmtId="43" fontId="27" fillId="0" borderId="0" xfId="144" applyFont="1" applyAlignment="1">
      <alignment horizontal="right"/>
    </xf>
    <xf numFmtId="0" fontId="27" fillId="0" borderId="0" xfId="0" applyFont="1" applyFill="1" applyAlignment="1">
      <alignment horizontal="right"/>
    </xf>
    <xf numFmtId="165" fontId="27" fillId="0" borderId="0" xfId="0" applyNumberFormat="1" applyFont="1" applyFill="1" applyAlignment="1">
      <alignment horizontal="right"/>
    </xf>
    <xf numFmtId="0" fontId="28" fillId="0" borderId="0" xfId="0" applyFont="1" applyFill="1" applyAlignment="1" applyProtection="1">
      <protection locked="0"/>
    </xf>
    <xf numFmtId="165" fontId="28" fillId="0" borderId="0" xfId="0" applyNumberFormat="1" applyFont="1" applyFill="1" applyAlignment="1" applyProtection="1">
      <protection locked="0"/>
    </xf>
    <xf numFmtId="0" fontId="27" fillId="0" borderId="0" xfId="0" applyFont="1" applyFill="1" applyAlignment="1">
      <alignment horizontal="left"/>
    </xf>
    <xf numFmtId="0" fontId="20" fillId="0" borderId="0" xfId="112" applyFont="1" applyFill="1" applyBorder="1" applyAlignment="1">
      <alignment vertical="center"/>
    </xf>
    <xf numFmtId="0" fontId="4" fillId="0" borderId="0" xfId="106" applyFill="1" applyAlignment="1">
      <alignment vertical="top"/>
    </xf>
    <xf numFmtId="0" fontId="20" fillId="3" borderId="26" xfId="0" applyFont="1" applyFill="1" applyBorder="1" applyAlignment="1">
      <alignment vertical="center"/>
    </xf>
    <xf numFmtId="0" fontId="3" fillId="7" borderId="16" xfId="145" applyFill="1" applyBorder="1" applyAlignment="1">
      <alignment vertical="center"/>
    </xf>
    <xf numFmtId="0" fontId="3" fillId="0" borderId="16" xfId="145" applyFont="1" applyFill="1" applyBorder="1" applyAlignment="1">
      <alignment vertical="center"/>
    </xf>
    <xf numFmtId="0" fontId="3" fillId="0" borderId="16" xfId="145" applyFont="1" applyBorder="1" applyAlignment="1">
      <alignment vertical="center"/>
    </xf>
    <xf numFmtId="0" fontId="3" fillId="7" borderId="16" xfId="145" applyFill="1" applyBorder="1" applyAlignment="1">
      <alignment horizontal="center" vertical="center"/>
    </xf>
    <xf numFmtId="0" fontId="3" fillId="0" borderId="16" xfId="145" applyFont="1" applyFill="1" applyBorder="1" applyAlignment="1">
      <alignment horizontal="center" vertical="center"/>
    </xf>
    <xf numFmtId="0" fontId="3" fillId="0" borderId="16" xfId="145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0" xfId="148"/>
    <xf numFmtId="49" fontId="2" fillId="0" borderId="0" xfId="148" applyNumberFormat="1"/>
    <xf numFmtId="0" fontId="12" fillId="3" borderId="17" xfId="0" applyFont="1" applyFill="1" applyBorder="1" applyAlignment="1">
      <alignment horizontal="center" vertical="center" wrapText="1"/>
    </xf>
    <xf numFmtId="0" fontId="16" fillId="0" borderId="14" xfId="9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wrapText="1"/>
    </xf>
    <xf numFmtId="0" fontId="20" fillId="3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7" fillId="0" borderId="0" xfId="0" applyFont="1" applyAlignment="1" applyProtection="1">
      <alignment wrapText="1"/>
      <protection locked="0"/>
    </xf>
    <xf numFmtId="165" fontId="0" fillId="0" borderId="12" xfId="0" applyNumberForma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32" fillId="0" borderId="12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vertical="center" wrapText="1"/>
    </xf>
    <xf numFmtId="0" fontId="0" fillId="0" borderId="12" xfId="0" applyFill="1" applyBorder="1" applyAlignment="1">
      <alignment wrapText="1"/>
    </xf>
    <xf numFmtId="0" fontId="2" fillId="0" borderId="0" xfId="149"/>
    <xf numFmtId="14" fontId="2" fillId="0" borderId="0" xfId="148" applyNumberFormat="1"/>
    <xf numFmtId="2" fontId="0" fillId="0" borderId="16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16" xfId="0" applyFill="1" applyBorder="1" applyProtection="1"/>
    <xf numFmtId="0" fontId="0" fillId="0" borderId="0" xfId="0" applyFill="1" applyProtection="1"/>
    <xf numFmtId="0" fontId="5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8" xfId="0" applyBorder="1"/>
    <xf numFmtId="14" fontId="0" fillId="0" borderId="0" xfId="0" applyNumberFormat="1" applyAlignment="1">
      <alignment horizontal="left"/>
    </xf>
    <xf numFmtId="0" fontId="56" fillId="0" borderId="29" xfId="0" applyFont="1" applyBorder="1"/>
    <xf numFmtId="0" fontId="0" fillId="0" borderId="29" xfId="0" applyBorder="1" applyAlignment="1">
      <alignment horizontal="left"/>
    </xf>
    <xf numFmtId="0" fontId="0" fillId="0" borderId="29" xfId="0" applyBorder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57" fillId="0" borderId="33" xfId="0" applyFont="1" applyBorder="1" applyAlignment="1">
      <alignment horizontal="centerContinuous"/>
    </xf>
    <xf numFmtId="0" fontId="0" fillId="0" borderId="35" xfId="0" applyBorder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Font="1" applyAlignment="1"/>
    <xf numFmtId="0" fontId="59" fillId="0" borderId="41" xfId="0" applyFont="1" applyBorder="1" applyAlignment="1">
      <alignment horizontal="center"/>
    </xf>
    <xf numFmtId="0" fontId="0" fillId="0" borderId="42" xfId="0" applyFont="1" applyBorder="1"/>
    <xf numFmtId="0" fontId="0" fillId="0" borderId="43" xfId="0" applyFont="1" applyBorder="1" applyAlignment="1">
      <alignment horizontal="center"/>
    </xf>
    <xf numFmtId="0" fontId="0" fillId="0" borderId="42" xfId="0" applyFont="1" applyBorder="1" applyAlignment="1">
      <alignment horizontal="center"/>
    </xf>
    <xf numFmtId="0" fontId="60" fillId="0" borderId="42" xfId="0" applyFont="1" applyBorder="1" applyAlignment="1">
      <alignment horizontal="center"/>
    </xf>
    <xf numFmtId="0" fontId="60" fillId="0" borderId="44" xfId="0" applyFont="1" applyBorder="1" applyAlignment="1">
      <alignment horizontal="center"/>
    </xf>
    <xf numFmtId="0" fontId="60" fillId="0" borderId="41" xfId="0" applyFont="1" applyBorder="1" applyAlignment="1">
      <alignment horizontal="center"/>
    </xf>
    <xf numFmtId="2" fontId="0" fillId="0" borderId="43" xfId="0" applyNumberFormat="1" applyFont="1" applyBorder="1" applyAlignment="1">
      <alignment horizontal="center"/>
    </xf>
    <xf numFmtId="2" fontId="0" fillId="0" borderId="42" xfId="0" applyNumberFormat="1" applyFont="1" applyBorder="1" applyAlignment="1">
      <alignment horizontal="center"/>
    </xf>
    <xf numFmtId="2" fontId="60" fillId="0" borderId="42" xfId="0" applyNumberFormat="1" applyFont="1" applyBorder="1" applyAlignment="1">
      <alignment horizontal="center"/>
    </xf>
    <xf numFmtId="2" fontId="60" fillId="30" borderId="44" xfId="0" applyNumberFormat="1" applyFont="1" applyFill="1" applyBorder="1" applyAlignment="1">
      <alignment horizontal="center"/>
    </xf>
    <xf numFmtId="2" fontId="60" fillId="31" borderId="41" xfId="0" applyNumberFormat="1" applyFont="1" applyFill="1" applyBorder="1" applyAlignment="1">
      <alignment horizontal="center"/>
    </xf>
    <xf numFmtId="2" fontId="0" fillId="0" borderId="42" xfId="0" applyNumberFormat="1" applyFont="1" applyBorder="1" applyAlignment="1">
      <alignment horizontal="right"/>
    </xf>
    <xf numFmtId="0" fontId="61" fillId="0" borderId="1" xfId="0" applyFont="1" applyBorder="1"/>
    <xf numFmtId="0" fontId="5" fillId="0" borderId="0" xfId="1" applyNumberFormat="1" applyFill="1" applyBorder="1" applyProtection="1">
      <protection locked="0"/>
    </xf>
    <xf numFmtId="0" fontId="62" fillId="0" borderId="0" xfId="0" applyFont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35" borderId="55" xfId="0" applyFill="1" applyBorder="1" applyAlignment="1">
      <alignment horizontal="center" vertical="center"/>
    </xf>
    <xf numFmtId="0" fontId="0" fillId="35" borderId="56" xfId="0" applyFill="1" applyBorder="1" applyAlignment="1">
      <alignment horizontal="center" vertical="center"/>
    </xf>
    <xf numFmtId="0" fontId="0" fillId="36" borderId="56" xfId="0" applyFill="1" applyBorder="1" applyAlignment="1">
      <alignment horizontal="center" vertical="center"/>
    </xf>
    <xf numFmtId="0" fontId="0" fillId="35" borderId="57" xfId="0" applyFill="1" applyBorder="1" applyAlignment="1">
      <alignment horizontal="center" vertical="center"/>
    </xf>
    <xf numFmtId="0" fontId="0" fillId="35" borderId="58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59" xfId="0" applyFill="1" applyBorder="1" applyAlignment="1">
      <alignment horizontal="center" vertical="center"/>
    </xf>
    <xf numFmtId="0" fontId="0" fillId="35" borderId="60" xfId="0" applyFill="1" applyBorder="1" applyAlignment="1">
      <alignment horizontal="center" vertical="center"/>
    </xf>
    <xf numFmtId="0" fontId="0" fillId="35" borderId="61" xfId="0" applyFill="1" applyBorder="1" applyAlignment="1">
      <alignment horizontal="center" vertical="center"/>
    </xf>
    <xf numFmtId="0" fontId="0" fillId="35" borderId="6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/>
    <xf numFmtId="0" fontId="67" fillId="0" borderId="0" xfId="0" applyFont="1" applyAlignment="1">
      <alignment horizontal="center" vertical="center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11" fillId="0" borderId="0" xfId="9" applyFont="1" applyBorder="1" applyAlignment="1">
      <alignment horizontal="left"/>
    </xf>
    <xf numFmtId="0" fontId="11" fillId="0" borderId="1" xfId="9" applyFont="1" applyBorder="1" applyAlignment="1">
      <alignment horizontal="left" vertical="center"/>
    </xf>
    <xf numFmtId="0" fontId="12" fillId="0" borderId="2" xfId="9" applyFont="1" applyBorder="1" applyAlignment="1">
      <alignment horizontal="left"/>
    </xf>
    <xf numFmtId="0" fontId="11" fillId="0" borderId="3" xfId="9" applyFont="1" applyBorder="1" applyAlignment="1">
      <alignment horizontal="left"/>
    </xf>
    <xf numFmtId="0" fontId="13" fillId="0" borderId="4" xfId="9" applyFont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11" fillId="0" borderId="1" xfId="9" applyFont="1" applyFill="1" applyBorder="1" applyAlignment="1">
      <alignment horizontal="left" vertical="center" wrapText="1"/>
    </xf>
    <xf numFmtId="0" fontId="7" fillId="0" borderId="1" xfId="9" applyFont="1" applyFill="1" applyBorder="1" applyAlignment="1">
      <alignment horizontal="left" vertical="center" wrapText="1"/>
    </xf>
    <xf numFmtId="0" fontId="0" fillId="0" borderId="38" xfId="0" applyFont="1" applyBorder="1" applyAlignment="1">
      <alignment horizontal="center"/>
    </xf>
    <xf numFmtId="0" fontId="58" fillId="0" borderId="39" xfId="0" applyFont="1" applyBorder="1"/>
    <xf numFmtId="0" fontId="58" fillId="0" borderId="40" xfId="0" applyFont="1" applyBorder="1"/>
    <xf numFmtId="0" fontId="63" fillId="33" borderId="49" xfId="0" applyFont="1" applyFill="1" applyBorder="1" applyAlignment="1">
      <alignment horizontal="center" vertical="center"/>
    </xf>
    <xf numFmtId="0" fontId="63" fillId="33" borderId="66" xfId="0" applyFont="1" applyFill="1" applyBorder="1" applyAlignment="1">
      <alignment horizontal="center" vertical="center"/>
    </xf>
    <xf numFmtId="0" fontId="63" fillId="33" borderId="67" xfId="0" applyFont="1" applyFill="1" applyBorder="1" applyAlignment="1">
      <alignment horizontal="center" vertical="center"/>
    </xf>
    <xf numFmtId="0" fontId="63" fillId="33" borderId="29" xfId="0" applyFont="1" applyFill="1" applyBorder="1" applyAlignment="1">
      <alignment horizontal="center" vertical="center"/>
    </xf>
    <xf numFmtId="0" fontId="63" fillId="33" borderId="48" xfId="0" applyFont="1" applyFill="1" applyBorder="1" applyAlignment="1">
      <alignment horizontal="center" vertical="center" textRotation="90"/>
    </xf>
    <xf numFmtId="0" fontId="63" fillId="33" borderId="28" xfId="0" applyFont="1" applyFill="1" applyBorder="1" applyAlignment="1">
      <alignment horizontal="center" vertical="center" textRotation="90"/>
    </xf>
    <xf numFmtId="0" fontId="63" fillId="33" borderId="35" xfId="0" applyFont="1" applyFill="1" applyBorder="1" applyAlignment="1">
      <alignment horizontal="center" vertical="center" textRotation="90"/>
    </xf>
    <xf numFmtId="0" fontId="63" fillId="32" borderId="48" xfId="0" applyFont="1" applyFill="1" applyBorder="1" applyAlignment="1">
      <alignment horizontal="center" vertical="center" textRotation="90"/>
    </xf>
    <xf numFmtId="0" fontId="63" fillId="32" borderId="28" xfId="0" applyFont="1" applyFill="1" applyBorder="1" applyAlignment="1">
      <alignment horizontal="center" vertical="center" textRotation="90"/>
    </xf>
    <xf numFmtId="0" fontId="63" fillId="32" borderId="35" xfId="0" applyFont="1" applyFill="1" applyBorder="1" applyAlignment="1">
      <alignment horizontal="center" vertical="center" textRotation="90"/>
    </xf>
    <xf numFmtId="0" fontId="63" fillId="33" borderId="50" xfId="0" applyFont="1" applyFill="1" applyBorder="1" applyAlignment="1">
      <alignment horizontal="center" vertical="center"/>
    </xf>
    <xf numFmtId="0" fontId="63" fillId="33" borderId="54" xfId="0" applyFont="1" applyFill="1" applyBorder="1" applyAlignment="1">
      <alignment horizontal="center" vertical="center"/>
    </xf>
    <xf numFmtId="0" fontId="63" fillId="33" borderId="27" xfId="0" applyFont="1" applyFill="1" applyBorder="1" applyAlignment="1">
      <alignment horizontal="center" vertical="center"/>
    </xf>
    <xf numFmtId="0" fontId="63" fillId="33" borderId="30" xfId="0" applyFont="1" applyFill="1" applyBorder="1" applyAlignment="1">
      <alignment horizontal="center" vertical="center"/>
    </xf>
    <xf numFmtId="0" fontId="66" fillId="0" borderId="31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66" fillId="0" borderId="68" xfId="0" applyFont="1" applyBorder="1" applyAlignment="1">
      <alignment horizontal="center" vertical="center"/>
    </xf>
    <xf numFmtId="0" fontId="63" fillId="0" borderId="31" xfId="0" applyFont="1" applyBorder="1" applyAlignment="1">
      <alignment horizontal="center" vertical="center"/>
    </xf>
    <xf numFmtId="0" fontId="63" fillId="0" borderId="68" xfId="0" applyFont="1" applyBorder="1" applyAlignment="1">
      <alignment horizontal="center" vertical="center"/>
    </xf>
    <xf numFmtId="0" fontId="0" fillId="34" borderId="49" xfId="0" applyFill="1" applyBorder="1" applyAlignment="1">
      <alignment horizontal="center" vertical="center"/>
    </xf>
    <xf numFmtId="0" fontId="0" fillId="34" borderId="50" xfId="0" applyFill="1" applyBorder="1" applyAlignment="1">
      <alignment horizontal="center" vertical="center"/>
    </xf>
    <xf numFmtId="0" fontId="0" fillId="34" borderId="54" xfId="0" applyFill="1" applyBorder="1" applyAlignment="1">
      <alignment horizontal="center" vertical="center"/>
    </xf>
    <xf numFmtId="0" fontId="0" fillId="34" borderId="27" xfId="0" applyFill="1" applyBorder="1" applyAlignment="1">
      <alignment horizontal="center" vertical="center"/>
    </xf>
    <xf numFmtId="0" fontId="0" fillId="34" borderId="67" xfId="0" applyFill="1" applyBorder="1" applyAlignment="1">
      <alignment horizontal="center" vertical="center"/>
    </xf>
    <xf numFmtId="0" fontId="0" fillId="34" borderId="30" xfId="0" applyFill="1" applyBorder="1" applyAlignment="1">
      <alignment horizontal="center" vertical="center"/>
    </xf>
    <xf numFmtId="49" fontId="1" fillId="0" borderId="0" xfId="148" applyNumberFormat="1" applyFont="1"/>
  </cellXfs>
  <cellStyles count="150">
    <cellStyle name="20 % - Accent1 2" xfId="12"/>
    <cellStyle name="20 % - Accent1 3" xfId="13"/>
    <cellStyle name="20 % - Accent2 2" xfId="14"/>
    <cellStyle name="20 % - Accent2 3" xfId="15"/>
    <cellStyle name="20 % - Accent3 2" xfId="16"/>
    <cellStyle name="20 % - Accent3 3" xfId="17"/>
    <cellStyle name="20 % - Accent4 2" xfId="18"/>
    <cellStyle name="20 % - Accent4 3" xfId="19"/>
    <cellStyle name="20 % - Accent5 2" xfId="20"/>
    <cellStyle name="20 % - Accent5 3" xfId="21"/>
    <cellStyle name="20 % - Accent6 2" xfId="22"/>
    <cellStyle name="20 % - Accent6 3" xfId="23"/>
    <cellStyle name="20% - Akzent1" xfId="24"/>
    <cellStyle name="20% - Akzent2" xfId="25"/>
    <cellStyle name="20% - Akzent3" xfId="26"/>
    <cellStyle name="20% - Akzent4" xfId="27"/>
    <cellStyle name="20% - Akzent5" xfId="28"/>
    <cellStyle name="20% - Akzent6" xfId="29"/>
    <cellStyle name="40 % - Accent1 2" xfId="30"/>
    <cellStyle name="40 % - Accent1 3" xfId="31"/>
    <cellStyle name="40 % - Accent2 2" xfId="32"/>
    <cellStyle name="40 % - Accent2 3" xfId="33"/>
    <cellStyle name="40 % - Accent3 2" xfId="34"/>
    <cellStyle name="40 % - Accent3 3" xfId="35"/>
    <cellStyle name="40 % - Accent4 2" xfId="36"/>
    <cellStyle name="40 % - Accent4 3" xfId="37"/>
    <cellStyle name="40 % - Accent5 2" xfId="38"/>
    <cellStyle name="40 % - Accent5 3" xfId="39"/>
    <cellStyle name="40 % - Accent6 2" xfId="40"/>
    <cellStyle name="40 % - Accent6 3" xfId="41"/>
    <cellStyle name="40% - Akzent1" xfId="42"/>
    <cellStyle name="40% - Akzent2" xfId="43"/>
    <cellStyle name="40% - Akzent3" xfId="44"/>
    <cellStyle name="40% - Akzent4" xfId="45"/>
    <cellStyle name="40% - Akzent5" xfId="46"/>
    <cellStyle name="40% - Akzent6" xfId="47"/>
    <cellStyle name="60 % - Accent1 2" xfId="48"/>
    <cellStyle name="60 % - Accent1 3" xfId="49"/>
    <cellStyle name="60 % - Accent2 2" xfId="50"/>
    <cellStyle name="60 % - Accent2 3" xfId="51"/>
    <cellStyle name="60 % - Accent3 2" xfId="52"/>
    <cellStyle name="60 % - Accent3 3" xfId="53"/>
    <cellStyle name="60 % - Accent4 2" xfId="54"/>
    <cellStyle name="60 % - Accent4 3" xfId="55"/>
    <cellStyle name="60 % - Accent5 2" xfId="56"/>
    <cellStyle name="60 % - Accent5 3" xfId="57"/>
    <cellStyle name="60 % - Accent6 2" xfId="58"/>
    <cellStyle name="60 % - Accent6 3" xfId="59"/>
    <cellStyle name="60% - Akzent1" xfId="60"/>
    <cellStyle name="60% - Akzent2" xfId="61"/>
    <cellStyle name="60% - Akzent3" xfId="62"/>
    <cellStyle name="60% - Akzent4" xfId="63"/>
    <cellStyle name="60% - Akzent5" xfId="64"/>
    <cellStyle name="60% - Akzent6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Akzent1" xfId="78"/>
    <cellStyle name="Akzent2" xfId="79"/>
    <cellStyle name="Akzent3" xfId="80"/>
    <cellStyle name="Akzent4" xfId="81"/>
    <cellStyle name="Akzent5" xfId="82"/>
    <cellStyle name="Akzent6" xfId="83"/>
    <cellStyle name="Ausgabe" xfId="84"/>
    <cellStyle name="Avertissement 2" xfId="85"/>
    <cellStyle name="Avertissement 3" xfId="86"/>
    <cellStyle name="Berechnung" xfId="87"/>
    <cellStyle name="Calcul 2" xfId="88"/>
    <cellStyle name="Calcul 3" xfId="89"/>
    <cellStyle name="Cellule liée 2" xfId="90"/>
    <cellStyle name="Cellule liée 3" xfId="91"/>
    <cellStyle name="Commentaire 2" xfId="92"/>
    <cellStyle name="Commentaire 3" xfId="93"/>
    <cellStyle name="Eingabe" xfId="94"/>
    <cellStyle name="Entrée 2" xfId="95"/>
    <cellStyle name="Entrée 3" xfId="96"/>
    <cellStyle name="Ergebnis" xfId="97"/>
    <cellStyle name="Erklärender Text" xfId="98"/>
    <cellStyle name="Gut" xfId="99"/>
    <cellStyle name="Insatisfaisant 2" xfId="100"/>
    <cellStyle name="Insatisfaisant 3" xfId="101"/>
    <cellStyle name="Lien hypertexte" xfId="1" builtinId="8"/>
    <cellStyle name="Lien hypertexte 2" xfId="2"/>
    <cellStyle name="Lien hypertexte 3" xfId="3"/>
    <cellStyle name="Lien hypertexte 4" xfId="4"/>
    <cellStyle name="Milliers" xfId="144" builtinId="3"/>
    <cellStyle name="N1" xfId="102"/>
    <cellStyle name="Neutral" xfId="103"/>
    <cellStyle name="Neutre 2" xfId="104"/>
    <cellStyle name="Neutre 3" xfId="105"/>
    <cellStyle name="Normal" xfId="0" builtinId="0"/>
    <cellStyle name="Normal 10" xfId="5"/>
    <cellStyle name="Normal 11" xfId="149"/>
    <cellStyle name="Normal 2" xfId="6"/>
    <cellStyle name="Normal 2 2" xfId="108"/>
    <cellStyle name="Normal 2 3" xfId="147"/>
    <cellStyle name="Normal 2_Data" xfId="107"/>
    <cellStyle name="Normal 3" xfId="7"/>
    <cellStyle name="Normal 3 2" xfId="8"/>
    <cellStyle name="Normal 3_Data" xfId="109"/>
    <cellStyle name="Normal 4" xfId="9"/>
    <cellStyle name="Normal 5" xfId="10"/>
    <cellStyle name="Normal 5 2" xfId="110"/>
    <cellStyle name="Normal 6" xfId="111"/>
    <cellStyle name="Normal 7" xfId="145"/>
    <cellStyle name="Normal 8" xfId="146"/>
    <cellStyle name="Normal 9" xfId="148"/>
    <cellStyle name="Normal_Data" xfId="106"/>
    <cellStyle name="Normal_Feuil1" xfId="112"/>
    <cellStyle name="Normalny 2" xfId="11"/>
    <cellStyle name="Notiz" xfId="113"/>
    <cellStyle name="Pourcentage 2" xfId="114"/>
    <cellStyle name="Satisfaisant 2" xfId="115"/>
    <cellStyle name="Satisfaisant 3" xfId="116"/>
    <cellStyle name="Schlecht" xfId="117"/>
    <cellStyle name="Sortie 2" xfId="118"/>
    <cellStyle name="Sortie 3" xfId="119"/>
    <cellStyle name="Texte explicatif 2" xfId="120"/>
    <cellStyle name="Texte explicatif 3" xfId="121"/>
    <cellStyle name="Titre 2" xfId="122"/>
    <cellStyle name="Titre 3" xfId="123"/>
    <cellStyle name="Titre 1 2" xfId="124"/>
    <cellStyle name="Titre 1 3" xfId="125"/>
    <cellStyle name="Titre 2 2" xfId="126"/>
    <cellStyle name="Titre 2 3" xfId="127"/>
    <cellStyle name="Titre 3 2" xfId="128"/>
    <cellStyle name="Titre 3 3" xfId="129"/>
    <cellStyle name="Titre 4 2" xfId="130"/>
    <cellStyle name="Titre 4 3" xfId="131"/>
    <cellStyle name="Total 2" xfId="132"/>
    <cellStyle name="Total 3" xfId="133"/>
    <cellStyle name="Überschrift" xfId="134"/>
    <cellStyle name="Überschrift 1" xfId="135"/>
    <cellStyle name="Überschrift 2" xfId="136"/>
    <cellStyle name="Überschrift 3" xfId="137"/>
    <cellStyle name="Überschrift 4" xfId="138"/>
    <cellStyle name="Vérification 2" xfId="139"/>
    <cellStyle name="Vérification 3" xfId="140"/>
    <cellStyle name="Verknüpfte Zelle" xfId="141"/>
    <cellStyle name="Warnender Text" xfId="142"/>
    <cellStyle name="Zelle überprüfen" xfId="14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25400</xdr:colOff>
      <xdr:row>20</xdr:row>
      <xdr:rowOff>152400</xdr:rowOff>
    </xdr:from>
    <xdr:ext cx="1228725" cy="257175"/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98200" y="4699000"/>
          <a:ext cx="1228725" cy="257175"/>
        </a:xfrm>
        <a:prstGeom prst="rect">
          <a:avLst/>
        </a:prstGeom>
      </xdr:spPr>
    </xdr:pic>
    <xdr:clientData/>
  </xdr:oneCellAnchor>
  <xdr:oneCellAnchor>
    <xdr:from>
      <xdr:col>67</xdr:col>
      <xdr:colOff>31750</xdr:colOff>
      <xdr:row>21</xdr:row>
      <xdr:rowOff>0</xdr:rowOff>
    </xdr:from>
    <xdr:ext cx="1228725" cy="25717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44650" y="4711700"/>
          <a:ext cx="1228725" cy="2571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457200" cy="457200"/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514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457200" cy="457200"/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944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457200" cy="457200"/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373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457200" cy="457200"/>
    <xdr:pic>
      <xdr:nvPicPr>
        <xdr:cNvPr id="18" name="Image 1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5802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457200" cy="457200"/>
    <xdr:pic>
      <xdr:nvPicPr>
        <xdr:cNvPr id="20" name="Image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231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457200" cy="457200"/>
    <xdr:pic>
      <xdr:nvPicPr>
        <xdr:cNvPr id="22" name="Imag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661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457200" cy="457200"/>
    <xdr:pic>
      <xdr:nvPicPr>
        <xdr:cNvPr id="24" name="Image 2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090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0</xdr:rowOff>
    </xdr:from>
    <xdr:ext cx="457200" cy="457200"/>
    <xdr:pic>
      <xdr:nvPicPr>
        <xdr:cNvPr id="26" name="Image 2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19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457200" cy="457200"/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948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26</xdr:row>
      <xdr:rowOff>0</xdr:rowOff>
    </xdr:from>
    <xdr:ext cx="457200" cy="457200"/>
    <xdr:pic>
      <xdr:nvPicPr>
        <xdr:cNvPr id="30" name="Image 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378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457200" cy="457200"/>
    <xdr:pic>
      <xdr:nvPicPr>
        <xdr:cNvPr id="32" name="Image 3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807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26</xdr:row>
      <xdr:rowOff>0</xdr:rowOff>
    </xdr:from>
    <xdr:ext cx="457200" cy="457200"/>
    <xdr:pic>
      <xdr:nvPicPr>
        <xdr:cNvPr id="34" name="Image 3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236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26</xdr:row>
      <xdr:rowOff>0</xdr:rowOff>
    </xdr:from>
    <xdr:ext cx="457200" cy="457200"/>
    <xdr:pic>
      <xdr:nvPicPr>
        <xdr:cNvPr id="36" name="Image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665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26</xdr:row>
      <xdr:rowOff>0</xdr:rowOff>
    </xdr:from>
    <xdr:ext cx="457200" cy="457200"/>
    <xdr:pic>
      <xdr:nvPicPr>
        <xdr:cNvPr id="38" name="Image 3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095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26</xdr:row>
      <xdr:rowOff>0</xdr:rowOff>
    </xdr:from>
    <xdr:ext cx="457200" cy="457200"/>
    <xdr:pic>
      <xdr:nvPicPr>
        <xdr:cNvPr id="40" name="Image 3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524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26</xdr:row>
      <xdr:rowOff>0</xdr:rowOff>
    </xdr:from>
    <xdr:ext cx="457200" cy="457200"/>
    <xdr:pic>
      <xdr:nvPicPr>
        <xdr:cNvPr id="42" name="Image 4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0953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26</xdr:row>
      <xdr:rowOff>0</xdr:rowOff>
    </xdr:from>
    <xdr:ext cx="457200" cy="457200"/>
    <xdr:pic>
      <xdr:nvPicPr>
        <xdr:cNvPr id="44" name="Image 4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382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26</xdr:row>
      <xdr:rowOff>0</xdr:rowOff>
    </xdr:from>
    <xdr:ext cx="457200" cy="457200"/>
    <xdr:pic>
      <xdr:nvPicPr>
        <xdr:cNvPr id="46" name="Image 4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812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26</xdr:row>
      <xdr:rowOff>0</xdr:rowOff>
    </xdr:from>
    <xdr:ext cx="457200" cy="457200"/>
    <xdr:pic>
      <xdr:nvPicPr>
        <xdr:cNvPr id="48" name="Image 4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241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26</xdr:row>
      <xdr:rowOff>0</xdr:rowOff>
    </xdr:from>
    <xdr:ext cx="457200" cy="457200"/>
    <xdr:pic>
      <xdr:nvPicPr>
        <xdr:cNvPr id="50" name="Image 4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670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26</xdr:row>
      <xdr:rowOff>0</xdr:rowOff>
    </xdr:from>
    <xdr:ext cx="457200" cy="457200"/>
    <xdr:pic>
      <xdr:nvPicPr>
        <xdr:cNvPr id="52" name="Image 5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099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26</xdr:row>
      <xdr:rowOff>0</xdr:rowOff>
    </xdr:from>
    <xdr:ext cx="457200" cy="457200"/>
    <xdr:pic>
      <xdr:nvPicPr>
        <xdr:cNvPr id="54" name="Image 5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529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26</xdr:row>
      <xdr:rowOff>0</xdr:rowOff>
    </xdr:from>
    <xdr:ext cx="457200" cy="457200"/>
    <xdr:pic>
      <xdr:nvPicPr>
        <xdr:cNvPr id="56" name="Image 5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958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26</xdr:row>
      <xdr:rowOff>0</xdr:rowOff>
    </xdr:from>
    <xdr:ext cx="457200" cy="457200"/>
    <xdr:pic>
      <xdr:nvPicPr>
        <xdr:cNvPr id="58" name="Image 5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26</xdr:row>
      <xdr:rowOff>0</xdr:rowOff>
    </xdr:from>
    <xdr:ext cx="457200" cy="457200"/>
    <xdr:pic>
      <xdr:nvPicPr>
        <xdr:cNvPr id="60" name="Image 5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816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26</xdr:col>
      <xdr:colOff>0</xdr:colOff>
      <xdr:row>26</xdr:row>
      <xdr:rowOff>0</xdr:rowOff>
    </xdr:from>
    <xdr:ext cx="457200" cy="457200"/>
    <xdr:pic>
      <xdr:nvPicPr>
        <xdr:cNvPr id="62" name="Image 6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246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27</xdr:col>
      <xdr:colOff>0</xdr:colOff>
      <xdr:row>26</xdr:row>
      <xdr:rowOff>0</xdr:rowOff>
    </xdr:from>
    <xdr:ext cx="457200" cy="457200"/>
    <xdr:pic>
      <xdr:nvPicPr>
        <xdr:cNvPr id="64" name="Image 6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675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26</xdr:row>
      <xdr:rowOff>0</xdr:rowOff>
    </xdr:from>
    <xdr:ext cx="457200" cy="457200"/>
    <xdr:pic>
      <xdr:nvPicPr>
        <xdr:cNvPr id="66" name="Image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104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26</xdr:row>
      <xdr:rowOff>0</xdr:rowOff>
    </xdr:from>
    <xdr:ext cx="457200" cy="457200"/>
    <xdr:pic>
      <xdr:nvPicPr>
        <xdr:cNvPr id="68" name="Image 6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533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30</xdr:col>
      <xdr:colOff>0</xdr:colOff>
      <xdr:row>26</xdr:row>
      <xdr:rowOff>0</xdr:rowOff>
    </xdr:from>
    <xdr:ext cx="457200" cy="457200"/>
    <xdr:pic>
      <xdr:nvPicPr>
        <xdr:cNvPr id="70" name="Image 6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963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31</xdr:col>
      <xdr:colOff>0</xdr:colOff>
      <xdr:row>26</xdr:row>
      <xdr:rowOff>0</xdr:rowOff>
    </xdr:from>
    <xdr:ext cx="457200" cy="457200"/>
    <xdr:pic>
      <xdr:nvPicPr>
        <xdr:cNvPr id="72" name="Image 7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2392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26</xdr:row>
      <xdr:rowOff>0</xdr:rowOff>
    </xdr:from>
    <xdr:ext cx="457200" cy="457200"/>
    <xdr:pic>
      <xdr:nvPicPr>
        <xdr:cNvPr id="74" name="Image 7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821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33</xdr:col>
      <xdr:colOff>0</xdr:colOff>
      <xdr:row>26</xdr:row>
      <xdr:rowOff>0</xdr:rowOff>
    </xdr:from>
    <xdr:ext cx="457200" cy="457200"/>
    <xdr:pic>
      <xdr:nvPicPr>
        <xdr:cNvPr id="76" name="Image 7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250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26</xdr:row>
      <xdr:rowOff>0</xdr:rowOff>
    </xdr:from>
    <xdr:ext cx="457200" cy="457200"/>
    <xdr:pic>
      <xdr:nvPicPr>
        <xdr:cNvPr id="78" name="Image 7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35</xdr:col>
      <xdr:colOff>0</xdr:colOff>
      <xdr:row>26</xdr:row>
      <xdr:rowOff>0</xdr:rowOff>
    </xdr:from>
    <xdr:ext cx="457200" cy="457200"/>
    <xdr:pic>
      <xdr:nvPicPr>
        <xdr:cNvPr id="80" name="Image 7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4109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36</xdr:col>
      <xdr:colOff>0</xdr:colOff>
      <xdr:row>26</xdr:row>
      <xdr:rowOff>0</xdr:rowOff>
    </xdr:from>
    <xdr:ext cx="457200" cy="457200"/>
    <xdr:pic>
      <xdr:nvPicPr>
        <xdr:cNvPr id="82" name="Image 8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9538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26</xdr:row>
      <xdr:rowOff>0</xdr:rowOff>
    </xdr:from>
    <xdr:ext cx="457200" cy="457200"/>
    <xdr:pic>
      <xdr:nvPicPr>
        <xdr:cNvPr id="84" name="Image 8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967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26</xdr:row>
      <xdr:rowOff>0</xdr:rowOff>
    </xdr:from>
    <xdr:ext cx="457200" cy="457200"/>
    <xdr:pic>
      <xdr:nvPicPr>
        <xdr:cNvPr id="86" name="Image 8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0397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39</xdr:col>
      <xdr:colOff>0</xdr:colOff>
      <xdr:row>26</xdr:row>
      <xdr:rowOff>0</xdr:rowOff>
    </xdr:from>
    <xdr:ext cx="457200" cy="457200"/>
    <xdr:pic>
      <xdr:nvPicPr>
        <xdr:cNvPr id="88" name="Image 8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5826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26</xdr:row>
      <xdr:rowOff>0</xdr:rowOff>
    </xdr:from>
    <xdr:ext cx="457200" cy="457200"/>
    <xdr:pic>
      <xdr:nvPicPr>
        <xdr:cNvPr id="90" name="Image 8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1255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41</xdr:col>
      <xdr:colOff>0</xdr:colOff>
      <xdr:row>26</xdr:row>
      <xdr:rowOff>0</xdr:rowOff>
    </xdr:from>
    <xdr:ext cx="457200" cy="457200"/>
    <xdr:pic>
      <xdr:nvPicPr>
        <xdr:cNvPr id="92" name="Image 9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684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42</xdr:col>
      <xdr:colOff>0</xdr:colOff>
      <xdr:row>26</xdr:row>
      <xdr:rowOff>0</xdr:rowOff>
    </xdr:from>
    <xdr:ext cx="457200" cy="457200"/>
    <xdr:pic>
      <xdr:nvPicPr>
        <xdr:cNvPr id="94" name="Image 9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2114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43</xdr:col>
      <xdr:colOff>0</xdr:colOff>
      <xdr:row>26</xdr:row>
      <xdr:rowOff>0</xdr:rowOff>
    </xdr:from>
    <xdr:ext cx="457200" cy="457200"/>
    <xdr:pic>
      <xdr:nvPicPr>
        <xdr:cNvPr id="96" name="Image 9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7543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44</xdr:col>
      <xdr:colOff>0</xdr:colOff>
      <xdr:row>26</xdr:row>
      <xdr:rowOff>0</xdr:rowOff>
    </xdr:from>
    <xdr:ext cx="457200" cy="457200"/>
    <xdr:pic>
      <xdr:nvPicPr>
        <xdr:cNvPr id="98" name="Image 9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2972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45</xdr:col>
      <xdr:colOff>0</xdr:colOff>
      <xdr:row>26</xdr:row>
      <xdr:rowOff>0</xdr:rowOff>
    </xdr:from>
    <xdr:ext cx="457200" cy="457200"/>
    <xdr:pic>
      <xdr:nvPicPr>
        <xdr:cNvPr id="100" name="Image 9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401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46</xdr:col>
      <xdr:colOff>0</xdr:colOff>
      <xdr:row>26</xdr:row>
      <xdr:rowOff>0</xdr:rowOff>
    </xdr:from>
    <xdr:ext cx="457200" cy="457200"/>
    <xdr:pic>
      <xdr:nvPicPr>
        <xdr:cNvPr id="102" name="Image 10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831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26</xdr:row>
      <xdr:rowOff>0</xdr:rowOff>
    </xdr:from>
    <xdr:ext cx="457200" cy="457200"/>
    <xdr:pic>
      <xdr:nvPicPr>
        <xdr:cNvPr id="104" name="Image 1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9260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48</xdr:col>
      <xdr:colOff>0</xdr:colOff>
      <xdr:row>26</xdr:row>
      <xdr:rowOff>0</xdr:rowOff>
    </xdr:from>
    <xdr:ext cx="457200" cy="457200"/>
    <xdr:pic>
      <xdr:nvPicPr>
        <xdr:cNvPr id="106" name="Image 10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689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49</xdr:col>
      <xdr:colOff>0</xdr:colOff>
      <xdr:row>26</xdr:row>
      <xdr:rowOff>0</xdr:rowOff>
    </xdr:from>
    <xdr:ext cx="457200" cy="457200"/>
    <xdr:pic>
      <xdr:nvPicPr>
        <xdr:cNvPr id="108" name="Image 10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0118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26</xdr:row>
      <xdr:rowOff>0</xdr:rowOff>
    </xdr:from>
    <xdr:ext cx="457200" cy="457200"/>
    <xdr:pic>
      <xdr:nvPicPr>
        <xdr:cNvPr id="110" name="Image 10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548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26</xdr:row>
      <xdr:rowOff>0</xdr:rowOff>
    </xdr:from>
    <xdr:ext cx="457200" cy="457200"/>
    <xdr:pic>
      <xdr:nvPicPr>
        <xdr:cNvPr id="112" name="Image 1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77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26</xdr:row>
      <xdr:rowOff>0</xdr:rowOff>
    </xdr:from>
    <xdr:ext cx="457200" cy="457200"/>
    <xdr:pic>
      <xdr:nvPicPr>
        <xdr:cNvPr id="114" name="Image 1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406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53</xdr:col>
      <xdr:colOff>0</xdr:colOff>
      <xdr:row>26</xdr:row>
      <xdr:rowOff>0</xdr:rowOff>
    </xdr:from>
    <xdr:ext cx="457200" cy="457200"/>
    <xdr:pic>
      <xdr:nvPicPr>
        <xdr:cNvPr id="116" name="Image 1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835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54</xdr:col>
      <xdr:colOff>0</xdr:colOff>
      <xdr:row>26</xdr:row>
      <xdr:rowOff>0</xdr:rowOff>
    </xdr:from>
    <xdr:ext cx="457200" cy="457200"/>
    <xdr:pic>
      <xdr:nvPicPr>
        <xdr:cNvPr id="118" name="Image 1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265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55</xdr:col>
      <xdr:colOff>0</xdr:colOff>
      <xdr:row>26</xdr:row>
      <xdr:rowOff>0</xdr:rowOff>
    </xdr:from>
    <xdr:ext cx="457200" cy="457200"/>
    <xdr:pic>
      <xdr:nvPicPr>
        <xdr:cNvPr id="120" name="Image 1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694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56</xdr:col>
      <xdr:colOff>0</xdr:colOff>
      <xdr:row>26</xdr:row>
      <xdr:rowOff>0</xdr:rowOff>
    </xdr:from>
    <xdr:ext cx="457200" cy="457200"/>
    <xdr:pic>
      <xdr:nvPicPr>
        <xdr:cNvPr id="122" name="Image 1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123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26</xdr:row>
      <xdr:rowOff>0</xdr:rowOff>
    </xdr:from>
    <xdr:ext cx="457200" cy="457200"/>
    <xdr:pic>
      <xdr:nvPicPr>
        <xdr:cNvPr id="124" name="Image 1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552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58</xdr:col>
      <xdr:colOff>0</xdr:colOff>
      <xdr:row>26</xdr:row>
      <xdr:rowOff>0</xdr:rowOff>
    </xdr:from>
    <xdr:ext cx="457200" cy="457200"/>
    <xdr:pic>
      <xdr:nvPicPr>
        <xdr:cNvPr id="126" name="Image 1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982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59</xdr:col>
      <xdr:colOff>0</xdr:colOff>
      <xdr:row>26</xdr:row>
      <xdr:rowOff>0</xdr:rowOff>
    </xdr:from>
    <xdr:ext cx="457200" cy="457200"/>
    <xdr:pic>
      <xdr:nvPicPr>
        <xdr:cNvPr id="128" name="Image 12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4411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60</xdr:col>
      <xdr:colOff>0</xdr:colOff>
      <xdr:row>26</xdr:row>
      <xdr:rowOff>0</xdr:rowOff>
    </xdr:from>
    <xdr:ext cx="457200" cy="457200"/>
    <xdr:pic>
      <xdr:nvPicPr>
        <xdr:cNvPr id="130" name="Image 12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9840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61</xdr:col>
      <xdr:colOff>0</xdr:colOff>
      <xdr:row>26</xdr:row>
      <xdr:rowOff>0</xdr:rowOff>
    </xdr:from>
    <xdr:ext cx="457200" cy="457200"/>
    <xdr:pic>
      <xdr:nvPicPr>
        <xdr:cNvPr id="132" name="Image 1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5269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62</xdr:col>
      <xdr:colOff>0</xdr:colOff>
      <xdr:row>26</xdr:row>
      <xdr:rowOff>0</xdr:rowOff>
    </xdr:from>
    <xdr:ext cx="457200" cy="457200"/>
    <xdr:pic>
      <xdr:nvPicPr>
        <xdr:cNvPr id="134" name="Image 1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699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63</xdr:col>
      <xdr:colOff>0</xdr:colOff>
      <xdr:row>26</xdr:row>
      <xdr:rowOff>0</xdr:rowOff>
    </xdr:from>
    <xdr:ext cx="457200" cy="457200"/>
    <xdr:pic>
      <xdr:nvPicPr>
        <xdr:cNvPr id="136" name="Image 13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6128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64</xdr:col>
      <xdr:colOff>0</xdr:colOff>
      <xdr:row>26</xdr:row>
      <xdr:rowOff>0</xdr:rowOff>
    </xdr:from>
    <xdr:ext cx="457200" cy="457200"/>
    <xdr:pic>
      <xdr:nvPicPr>
        <xdr:cNvPr id="138" name="Image 13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1557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65</xdr:col>
      <xdr:colOff>0</xdr:colOff>
      <xdr:row>26</xdr:row>
      <xdr:rowOff>0</xdr:rowOff>
    </xdr:from>
    <xdr:ext cx="457200" cy="457200"/>
    <xdr:pic>
      <xdr:nvPicPr>
        <xdr:cNvPr id="140" name="Image 13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986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66</xdr:col>
      <xdr:colOff>0</xdr:colOff>
      <xdr:row>26</xdr:row>
      <xdr:rowOff>0</xdr:rowOff>
    </xdr:from>
    <xdr:ext cx="457200" cy="457200"/>
    <xdr:pic>
      <xdr:nvPicPr>
        <xdr:cNvPr id="142" name="Image 1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2416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67</xdr:col>
      <xdr:colOff>0</xdr:colOff>
      <xdr:row>26</xdr:row>
      <xdr:rowOff>0</xdr:rowOff>
    </xdr:from>
    <xdr:ext cx="457200" cy="457200"/>
    <xdr:pic>
      <xdr:nvPicPr>
        <xdr:cNvPr id="144" name="Image 14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845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26</xdr:row>
      <xdr:rowOff>0</xdr:rowOff>
    </xdr:from>
    <xdr:ext cx="457200" cy="457200"/>
    <xdr:pic>
      <xdr:nvPicPr>
        <xdr:cNvPr id="146" name="Image 14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3274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69</xdr:col>
      <xdr:colOff>0</xdr:colOff>
      <xdr:row>26</xdr:row>
      <xdr:rowOff>0</xdr:rowOff>
    </xdr:from>
    <xdr:ext cx="457200" cy="457200"/>
    <xdr:pic>
      <xdr:nvPicPr>
        <xdr:cNvPr id="148" name="Image 14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703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26</xdr:row>
      <xdr:rowOff>0</xdr:rowOff>
    </xdr:from>
    <xdr:ext cx="457200" cy="457200"/>
    <xdr:pic>
      <xdr:nvPicPr>
        <xdr:cNvPr id="150" name="Image 14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4133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71</xdr:col>
      <xdr:colOff>0</xdr:colOff>
      <xdr:row>26</xdr:row>
      <xdr:rowOff>0</xdr:rowOff>
    </xdr:from>
    <xdr:ext cx="457200" cy="457200"/>
    <xdr:pic>
      <xdr:nvPicPr>
        <xdr:cNvPr id="152" name="Image 15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9562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72</xdr:col>
      <xdr:colOff>0</xdr:colOff>
      <xdr:row>26</xdr:row>
      <xdr:rowOff>0</xdr:rowOff>
    </xdr:from>
    <xdr:ext cx="457200" cy="457200"/>
    <xdr:pic>
      <xdr:nvPicPr>
        <xdr:cNvPr id="154" name="Image 15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9915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73</xdr:col>
      <xdr:colOff>0</xdr:colOff>
      <xdr:row>26</xdr:row>
      <xdr:rowOff>0</xdr:rowOff>
    </xdr:from>
    <xdr:ext cx="457200" cy="457200"/>
    <xdr:pic>
      <xdr:nvPicPr>
        <xdr:cNvPr id="156" name="Image 15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04207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74</xdr:col>
      <xdr:colOff>0</xdr:colOff>
      <xdr:row>26</xdr:row>
      <xdr:rowOff>0</xdr:rowOff>
    </xdr:from>
    <xdr:ext cx="457200" cy="457200"/>
    <xdr:pic>
      <xdr:nvPicPr>
        <xdr:cNvPr id="158" name="Image 15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85000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75</xdr:col>
      <xdr:colOff>0</xdr:colOff>
      <xdr:row>26</xdr:row>
      <xdr:rowOff>0</xdr:rowOff>
    </xdr:from>
    <xdr:ext cx="457200" cy="457200"/>
    <xdr:pic>
      <xdr:nvPicPr>
        <xdr:cNvPr id="160" name="Image 15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127925" y="11687175"/>
          <a:ext cx="457200" cy="457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" cy="457200"/>
    <xdr:pic>
      <xdr:nvPicPr>
        <xdr:cNvPr id="162" name="Image 16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514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457200" cy="457200"/>
    <xdr:pic>
      <xdr:nvPicPr>
        <xdr:cNvPr id="163" name="Image 16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944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457200" cy="457200"/>
    <xdr:pic>
      <xdr:nvPicPr>
        <xdr:cNvPr id="164" name="Image 16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373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457200" cy="457200"/>
    <xdr:pic>
      <xdr:nvPicPr>
        <xdr:cNvPr id="165" name="Image 16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5802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457200" cy="457200"/>
    <xdr:pic>
      <xdr:nvPicPr>
        <xdr:cNvPr id="166" name="Image 1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231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457200" cy="457200"/>
    <xdr:pic>
      <xdr:nvPicPr>
        <xdr:cNvPr id="167" name="Image 16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661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457200" cy="457200"/>
    <xdr:pic>
      <xdr:nvPicPr>
        <xdr:cNvPr id="168" name="Image 16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090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457200" cy="457200"/>
    <xdr:pic>
      <xdr:nvPicPr>
        <xdr:cNvPr id="169" name="Image 16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19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457200" cy="457200"/>
    <xdr:pic>
      <xdr:nvPicPr>
        <xdr:cNvPr id="170" name="Image 16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948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457200" cy="457200"/>
    <xdr:pic>
      <xdr:nvPicPr>
        <xdr:cNvPr id="171" name="Image 17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378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5</xdr:row>
      <xdr:rowOff>0</xdr:rowOff>
    </xdr:from>
    <xdr:ext cx="457200" cy="457200"/>
    <xdr:pic>
      <xdr:nvPicPr>
        <xdr:cNvPr id="172" name="Image 17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807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5</xdr:row>
      <xdr:rowOff>0</xdr:rowOff>
    </xdr:from>
    <xdr:ext cx="457200" cy="457200"/>
    <xdr:pic>
      <xdr:nvPicPr>
        <xdr:cNvPr id="173" name="Image 17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236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</xdr:row>
      <xdr:rowOff>0</xdr:rowOff>
    </xdr:from>
    <xdr:ext cx="457200" cy="457200"/>
    <xdr:pic>
      <xdr:nvPicPr>
        <xdr:cNvPr id="174" name="Image 17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665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</xdr:row>
      <xdr:rowOff>0</xdr:rowOff>
    </xdr:from>
    <xdr:ext cx="457200" cy="457200"/>
    <xdr:pic>
      <xdr:nvPicPr>
        <xdr:cNvPr id="175" name="Image 17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095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</xdr:row>
      <xdr:rowOff>0</xdr:rowOff>
    </xdr:from>
    <xdr:ext cx="457200" cy="457200"/>
    <xdr:pic>
      <xdr:nvPicPr>
        <xdr:cNvPr id="176" name="Image 17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524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5</xdr:row>
      <xdr:rowOff>0</xdr:rowOff>
    </xdr:from>
    <xdr:ext cx="457200" cy="457200"/>
    <xdr:pic>
      <xdr:nvPicPr>
        <xdr:cNvPr id="177" name="Image 17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0953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</xdr:row>
      <xdr:rowOff>0</xdr:rowOff>
    </xdr:from>
    <xdr:ext cx="457200" cy="457200"/>
    <xdr:pic>
      <xdr:nvPicPr>
        <xdr:cNvPr id="178" name="Image 17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382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5</xdr:row>
      <xdr:rowOff>0</xdr:rowOff>
    </xdr:from>
    <xdr:ext cx="457200" cy="457200"/>
    <xdr:pic>
      <xdr:nvPicPr>
        <xdr:cNvPr id="179" name="Image 17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812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</xdr:row>
      <xdr:rowOff>0</xdr:rowOff>
    </xdr:from>
    <xdr:ext cx="457200" cy="457200"/>
    <xdr:pic>
      <xdr:nvPicPr>
        <xdr:cNvPr id="180" name="Image 17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241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5</xdr:row>
      <xdr:rowOff>0</xdr:rowOff>
    </xdr:from>
    <xdr:ext cx="457200" cy="457200"/>
    <xdr:pic>
      <xdr:nvPicPr>
        <xdr:cNvPr id="181" name="Image 18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670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5</xdr:row>
      <xdr:rowOff>0</xdr:rowOff>
    </xdr:from>
    <xdr:ext cx="457200" cy="457200"/>
    <xdr:pic>
      <xdr:nvPicPr>
        <xdr:cNvPr id="182" name="Image 18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099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</xdr:row>
      <xdr:rowOff>0</xdr:rowOff>
    </xdr:from>
    <xdr:ext cx="457200" cy="457200"/>
    <xdr:pic>
      <xdr:nvPicPr>
        <xdr:cNvPr id="183" name="Image 18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529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5</xdr:row>
      <xdr:rowOff>0</xdr:rowOff>
    </xdr:from>
    <xdr:ext cx="457200" cy="457200"/>
    <xdr:pic>
      <xdr:nvPicPr>
        <xdr:cNvPr id="184" name="Image 18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958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</xdr:row>
      <xdr:rowOff>0</xdr:rowOff>
    </xdr:from>
    <xdr:ext cx="457200" cy="457200"/>
    <xdr:pic>
      <xdr:nvPicPr>
        <xdr:cNvPr id="185" name="Image 18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5</xdr:row>
      <xdr:rowOff>0</xdr:rowOff>
    </xdr:from>
    <xdr:ext cx="457200" cy="457200"/>
    <xdr:pic>
      <xdr:nvPicPr>
        <xdr:cNvPr id="186" name="Image 18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816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26</xdr:col>
      <xdr:colOff>0</xdr:colOff>
      <xdr:row>5</xdr:row>
      <xdr:rowOff>0</xdr:rowOff>
    </xdr:from>
    <xdr:ext cx="457200" cy="457200"/>
    <xdr:pic>
      <xdr:nvPicPr>
        <xdr:cNvPr id="187" name="Image 18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246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27</xdr:col>
      <xdr:colOff>0</xdr:colOff>
      <xdr:row>5</xdr:row>
      <xdr:rowOff>0</xdr:rowOff>
    </xdr:from>
    <xdr:ext cx="457200" cy="457200"/>
    <xdr:pic>
      <xdr:nvPicPr>
        <xdr:cNvPr id="188" name="Image 18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675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5</xdr:row>
      <xdr:rowOff>0</xdr:rowOff>
    </xdr:from>
    <xdr:ext cx="457200" cy="457200"/>
    <xdr:pic>
      <xdr:nvPicPr>
        <xdr:cNvPr id="189" name="Image 18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104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5</xdr:row>
      <xdr:rowOff>0</xdr:rowOff>
    </xdr:from>
    <xdr:ext cx="457200" cy="457200"/>
    <xdr:pic>
      <xdr:nvPicPr>
        <xdr:cNvPr id="190" name="Image 18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533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30</xdr:col>
      <xdr:colOff>0</xdr:colOff>
      <xdr:row>5</xdr:row>
      <xdr:rowOff>0</xdr:rowOff>
    </xdr:from>
    <xdr:ext cx="457200" cy="457200"/>
    <xdr:pic>
      <xdr:nvPicPr>
        <xdr:cNvPr id="191" name="Image 19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963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31</xdr:col>
      <xdr:colOff>0</xdr:colOff>
      <xdr:row>5</xdr:row>
      <xdr:rowOff>0</xdr:rowOff>
    </xdr:from>
    <xdr:ext cx="457200" cy="457200"/>
    <xdr:pic>
      <xdr:nvPicPr>
        <xdr:cNvPr id="192" name="Image 19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2392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5</xdr:row>
      <xdr:rowOff>0</xdr:rowOff>
    </xdr:from>
    <xdr:ext cx="457200" cy="457200"/>
    <xdr:pic>
      <xdr:nvPicPr>
        <xdr:cNvPr id="193" name="Image 19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821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33</xdr:col>
      <xdr:colOff>0</xdr:colOff>
      <xdr:row>5</xdr:row>
      <xdr:rowOff>0</xdr:rowOff>
    </xdr:from>
    <xdr:ext cx="457200" cy="457200"/>
    <xdr:pic>
      <xdr:nvPicPr>
        <xdr:cNvPr id="194" name="Image 19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250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5</xdr:row>
      <xdr:rowOff>0</xdr:rowOff>
    </xdr:from>
    <xdr:ext cx="457200" cy="457200"/>
    <xdr:pic>
      <xdr:nvPicPr>
        <xdr:cNvPr id="195" name="Image 19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35</xdr:col>
      <xdr:colOff>0</xdr:colOff>
      <xdr:row>5</xdr:row>
      <xdr:rowOff>0</xdr:rowOff>
    </xdr:from>
    <xdr:ext cx="457200" cy="457200"/>
    <xdr:pic>
      <xdr:nvPicPr>
        <xdr:cNvPr id="196" name="Image 19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4109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36</xdr:col>
      <xdr:colOff>0</xdr:colOff>
      <xdr:row>5</xdr:row>
      <xdr:rowOff>0</xdr:rowOff>
    </xdr:from>
    <xdr:ext cx="457200" cy="457200"/>
    <xdr:pic>
      <xdr:nvPicPr>
        <xdr:cNvPr id="197" name="Image 19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9538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5</xdr:row>
      <xdr:rowOff>0</xdr:rowOff>
    </xdr:from>
    <xdr:ext cx="457200" cy="457200"/>
    <xdr:pic>
      <xdr:nvPicPr>
        <xdr:cNvPr id="198" name="Image 19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967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5</xdr:row>
      <xdr:rowOff>0</xdr:rowOff>
    </xdr:from>
    <xdr:ext cx="457200" cy="457200"/>
    <xdr:pic>
      <xdr:nvPicPr>
        <xdr:cNvPr id="199" name="Image 19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0397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39</xdr:col>
      <xdr:colOff>0</xdr:colOff>
      <xdr:row>5</xdr:row>
      <xdr:rowOff>0</xdr:rowOff>
    </xdr:from>
    <xdr:ext cx="457200" cy="457200"/>
    <xdr:pic>
      <xdr:nvPicPr>
        <xdr:cNvPr id="200" name="Image 19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5826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</xdr:row>
      <xdr:rowOff>0</xdr:rowOff>
    </xdr:from>
    <xdr:ext cx="457200" cy="457200"/>
    <xdr:pic>
      <xdr:nvPicPr>
        <xdr:cNvPr id="201" name="Image 20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1255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41</xdr:col>
      <xdr:colOff>0</xdr:colOff>
      <xdr:row>5</xdr:row>
      <xdr:rowOff>0</xdr:rowOff>
    </xdr:from>
    <xdr:ext cx="457200" cy="457200"/>
    <xdr:pic>
      <xdr:nvPicPr>
        <xdr:cNvPr id="202" name="Image 20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684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42</xdr:col>
      <xdr:colOff>0</xdr:colOff>
      <xdr:row>5</xdr:row>
      <xdr:rowOff>0</xdr:rowOff>
    </xdr:from>
    <xdr:ext cx="457200" cy="457200"/>
    <xdr:pic>
      <xdr:nvPicPr>
        <xdr:cNvPr id="203" name="Image 2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2114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43</xdr:col>
      <xdr:colOff>0</xdr:colOff>
      <xdr:row>5</xdr:row>
      <xdr:rowOff>0</xdr:rowOff>
    </xdr:from>
    <xdr:ext cx="457200" cy="457200"/>
    <xdr:pic>
      <xdr:nvPicPr>
        <xdr:cNvPr id="204" name="Image 2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7543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44</xdr:col>
      <xdr:colOff>0</xdr:colOff>
      <xdr:row>5</xdr:row>
      <xdr:rowOff>0</xdr:rowOff>
    </xdr:from>
    <xdr:ext cx="457200" cy="457200"/>
    <xdr:pic>
      <xdr:nvPicPr>
        <xdr:cNvPr id="205" name="Image 20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2972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45</xdr:col>
      <xdr:colOff>0</xdr:colOff>
      <xdr:row>5</xdr:row>
      <xdr:rowOff>0</xdr:rowOff>
    </xdr:from>
    <xdr:ext cx="457200" cy="457200"/>
    <xdr:pic>
      <xdr:nvPicPr>
        <xdr:cNvPr id="206" name="Image 20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401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46</xdr:col>
      <xdr:colOff>0</xdr:colOff>
      <xdr:row>5</xdr:row>
      <xdr:rowOff>0</xdr:rowOff>
    </xdr:from>
    <xdr:ext cx="457200" cy="457200"/>
    <xdr:pic>
      <xdr:nvPicPr>
        <xdr:cNvPr id="207" name="Image 20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831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5</xdr:row>
      <xdr:rowOff>0</xdr:rowOff>
    </xdr:from>
    <xdr:ext cx="457200" cy="457200"/>
    <xdr:pic>
      <xdr:nvPicPr>
        <xdr:cNvPr id="208" name="Image 20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9260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48</xdr:col>
      <xdr:colOff>0</xdr:colOff>
      <xdr:row>5</xdr:row>
      <xdr:rowOff>0</xdr:rowOff>
    </xdr:from>
    <xdr:ext cx="457200" cy="457200"/>
    <xdr:pic>
      <xdr:nvPicPr>
        <xdr:cNvPr id="209" name="Image 20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689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49</xdr:col>
      <xdr:colOff>0</xdr:colOff>
      <xdr:row>5</xdr:row>
      <xdr:rowOff>0</xdr:rowOff>
    </xdr:from>
    <xdr:ext cx="457200" cy="457200"/>
    <xdr:pic>
      <xdr:nvPicPr>
        <xdr:cNvPr id="210" name="Image 20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0118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5</xdr:row>
      <xdr:rowOff>0</xdr:rowOff>
    </xdr:from>
    <xdr:ext cx="457200" cy="457200"/>
    <xdr:pic>
      <xdr:nvPicPr>
        <xdr:cNvPr id="211" name="Image 2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548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5</xdr:row>
      <xdr:rowOff>0</xdr:rowOff>
    </xdr:from>
    <xdr:ext cx="457200" cy="457200"/>
    <xdr:pic>
      <xdr:nvPicPr>
        <xdr:cNvPr id="212" name="Image 2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77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5</xdr:row>
      <xdr:rowOff>0</xdr:rowOff>
    </xdr:from>
    <xdr:ext cx="457200" cy="457200"/>
    <xdr:pic>
      <xdr:nvPicPr>
        <xdr:cNvPr id="213" name="Image 2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406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53</xdr:col>
      <xdr:colOff>0</xdr:colOff>
      <xdr:row>5</xdr:row>
      <xdr:rowOff>0</xdr:rowOff>
    </xdr:from>
    <xdr:ext cx="457200" cy="457200"/>
    <xdr:pic>
      <xdr:nvPicPr>
        <xdr:cNvPr id="214" name="Image 2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835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54</xdr:col>
      <xdr:colOff>0</xdr:colOff>
      <xdr:row>5</xdr:row>
      <xdr:rowOff>0</xdr:rowOff>
    </xdr:from>
    <xdr:ext cx="457200" cy="457200"/>
    <xdr:pic>
      <xdr:nvPicPr>
        <xdr:cNvPr id="215" name="Image 2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265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55</xdr:col>
      <xdr:colOff>0</xdr:colOff>
      <xdr:row>5</xdr:row>
      <xdr:rowOff>0</xdr:rowOff>
    </xdr:from>
    <xdr:ext cx="457200" cy="457200"/>
    <xdr:pic>
      <xdr:nvPicPr>
        <xdr:cNvPr id="216" name="Image 2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694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56</xdr:col>
      <xdr:colOff>0</xdr:colOff>
      <xdr:row>5</xdr:row>
      <xdr:rowOff>0</xdr:rowOff>
    </xdr:from>
    <xdr:ext cx="457200" cy="457200"/>
    <xdr:pic>
      <xdr:nvPicPr>
        <xdr:cNvPr id="217" name="Image 2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123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</xdr:row>
      <xdr:rowOff>0</xdr:rowOff>
    </xdr:from>
    <xdr:ext cx="457200" cy="457200"/>
    <xdr:pic>
      <xdr:nvPicPr>
        <xdr:cNvPr id="218" name="Image 2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552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58</xdr:col>
      <xdr:colOff>0</xdr:colOff>
      <xdr:row>5</xdr:row>
      <xdr:rowOff>0</xdr:rowOff>
    </xdr:from>
    <xdr:ext cx="457200" cy="457200"/>
    <xdr:pic>
      <xdr:nvPicPr>
        <xdr:cNvPr id="219" name="Image 2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982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59</xdr:col>
      <xdr:colOff>0</xdr:colOff>
      <xdr:row>5</xdr:row>
      <xdr:rowOff>0</xdr:rowOff>
    </xdr:from>
    <xdr:ext cx="457200" cy="457200"/>
    <xdr:pic>
      <xdr:nvPicPr>
        <xdr:cNvPr id="220" name="Image 2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4411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60</xdr:col>
      <xdr:colOff>0</xdr:colOff>
      <xdr:row>5</xdr:row>
      <xdr:rowOff>0</xdr:rowOff>
    </xdr:from>
    <xdr:ext cx="457200" cy="457200"/>
    <xdr:pic>
      <xdr:nvPicPr>
        <xdr:cNvPr id="221" name="Image 2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9840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61</xdr:col>
      <xdr:colOff>0</xdr:colOff>
      <xdr:row>5</xdr:row>
      <xdr:rowOff>0</xdr:rowOff>
    </xdr:from>
    <xdr:ext cx="457200" cy="457200"/>
    <xdr:pic>
      <xdr:nvPicPr>
        <xdr:cNvPr id="222" name="Image 2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5269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62</xdr:col>
      <xdr:colOff>0</xdr:colOff>
      <xdr:row>5</xdr:row>
      <xdr:rowOff>0</xdr:rowOff>
    </xdr:from>
    <xdr:ext cx="457200" cy="457200"/>
    <xdr:pic>
      <xdr:nvPicPr>
        <xdr:cNvPr id="223" name="Image 2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699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63</xdr:col>
      <xdr:colOff>0</xdr:colOff>
      <xdr:row>5</xdr:row>
      <xdr:rowOff>0</xdr:rowOff>
    </xdr:from>
    <xdr:ext cx="457200" cy="457200"/>
    <xdr:pic>
      <xdr:nvPicPr>
        <xdr:cNvPr id="224" name="Image 22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6128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64</xdr:col>
      <xdr:colOff>0</xdr:colOff>
      <xdr:row>5</xdr:row>
      <xdr:rowOff>0</xdr:rowOff>
    </xdr:from>
    <xdr:ext cx="457200" cy="457200"/>
    <xdr:pic>
      <xdr:nvPicPr>
        <xdr:cNvPr id="225" name="Image 2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1557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65</xdr:col>
      <xdr:colOff>0</xdr:colOff>
      <xdr:row>5</xdr:row>
      <xdr:rowOff>0</xdr:rowOff>
    </xdr:from>
    <xdr:ext cx="457200" cy="457200"/>
    <xdr:pic>
      <xdr:nvPicPr>
        <xdr:cNvPr id="226" name="Image 2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986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66</xdr:col>
      <xdr:colOff>0</xdr:colOff>
      <xdr:row>5</xdr:row>
      <xdr:rowOff>0</xdr:rowOff>
    </xdr:from>
    <xdr:ext cx="457200" cy="457200"/>
    <xdr:pic>
      <xdr:nvPicPr>
        <xdr:cNvPr id="227" name="Image 2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2416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67</xdr:col>
      <xdr:colOff>0</xdr:colOff>
      <xdr:row>5</xdr:row>
      <xdr:rowOff>0</xdr:rowOff>
    </xdr:from>
    <xdr:ext cx="457200" cy="457200"/>
    <xdr:pic>
      <xdr:nvPicPr>
        <xdr:cNvPr id="228" name="Image 22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845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5</xdr:row>
      <xdr:rowOff>0</xdr:rowOff>
    </xdr:from>
    <xdr:ext cx="457200" cy="457200"/>
    <xdr:pic>
      <xdr:nvPicPr>
        <xdr:cNvPr id="229" name="Image 22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3274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69</xdr:col>
      <xdr:colOff>0</xdr:colOff>
      <xdr:row>5</xdr:row>
      <xdr:rowOff>0</xdr:rowOff>
    </xdr:from>
    <xdr:ext cx="457200" cy="457200"/>
    <xdr:pic>
      <xdr:nvPicPr>
        <xdr:cNvPr id="230" name="Image 2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703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5</xdr:row>
      <xdr:rowOff>0</xdr:rowOff>
    </xdr:from>
    <xdr:ext cx="457200" cy="457200"/>
    <xdr:pic>
      <xdr:nvPicPr>
        <xdr:cNvPr id="231" name="Image 2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4133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71</xdr:col>
      <xdr:colOff>0</xdr:colOff>
      <xdr:row>5</xdr:row>
      <xdr:rowOff>0</xdr:rowOff>
    </xdr:from>
    <xdr:ext cx="457200" cy="457200"/>
    <xdr:pic>
      <xdr:nvPicPr>
        <xdr:cNvPr id="232" name="Image 23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95622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72</xdr:col>
      <xdr:colOff>0</xdr:colOff>
      <xdr:row>5</xdr:row>
      <xdr:rowOff>0</xdr:rowOff>
    </xdr:from>
    <xdr:ext cx="457200" cy="457200"/>
    <xdr:pic>
      <xdr:nvPicPr>
        <xdr:cNvPr id="233" name="Image 23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9915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73</xdr:col>
      <xdr:colOff>0</xdr:colOff>
      <xdr:row>5</xdr:row>
      <xdr:rowOff>0</xdr:rowOff>
    </xdr:from>
    <xdr:ext cx="457200" cy="457200"/>
    <xdr:pic>
      <xdr:nvPicPr>
        <xdr:cNvPr id="234" name="Image 2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042075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74</xdr:col>
      <xdr:colOff>0</xdr:colOff>
      <xdr:row>5</xdr:row>
      <xdr:rowOff>0</xdr:rowOff>
    </xdr:from>
    <xdr:ext cx="457200" cy="457200"/>
    <xdr:pic>
      <xdr:nvPicPr>
        <xdr:cNvPr id="235" name="Image 23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85000" y="2762250"/>
          <a:ext cx="457200" cy="457200"/>
        </a:xfrm>
        <a:prstGeom prst="rect">
          <a:avLst/>
        </a:prstGeom>
      </xdr:spPr>
    </xdr:pic>
    <xdr:clientData/>
  </xdr:oneCellAnchor>
  <xdr:oneCellAnchor>
    <xdr:from>
      <xdr:col>75</xdr:col>
      <xdr:colOff>0</xdr:colOff>
      <xdr:row>5</xdr:row>
      <xdr:rowOff>0</xdr:rowOff>
    </xdr:from>
    <xdr:ext cx="457200" cy="457200"/>
    <xdr:pic>
      <xdr:nvPicPr>
        <xdr:cNvPr id="236" name="Image 23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127925" y="2762250"/>
          <a:ext cx="457200" cy="457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AES@MAISADOUR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A25" zoomScale="85" zoomScaleNormal="85" workbookViewId="0">
      <selection activeCell="A11" sqref="A11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261" t="s">
        <v>5</v>
      </c>
      <c r="B5" s="261"/>
      <c r="C5" s="261"/>
      <c r="D5" s="261"/>
      <c r="E5" s="261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262" t="s">
        <v>6</v>
      </c>
      <c r="B7" s="263" t="s">
        <v>7</v>
      </c>
      <c r="C7" s="263"/>
      <c r="D7" s="263"/>
      <c r="E7" s="263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262"/>
      <c r="B8" s="264" t="s">
        <v>8</v>
      </c>
      <c r="C8" s="264"/>
      <c r="D8" s="264"/>
      <c r="E8" s="264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262"/>
      <c r="B9" s="265" t="s">
        <v>9</v>
      </c>
      <c r="C9" s="265"/>
      <c r="D9" s="265"/>
      <c r="E9" s="265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266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266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267" t="s">
        <v>29</v>
      </c>
      <c r="B69" s="268" t="s">
        <v>196</v>
      </c>
      <c r="C69" s="87" t="s">
        <v>197</v>
      </c>
      <c r="D69" s="87" t="s">
        <v>198</v>
      </c>
      <c r="E69" s="260" t="s">
        <v>199</v>
      </c>
      <c r="F69" s="260" t="s">
        <v>200</v>
      </c>
      <c r="G69" s="260" t="s">
        <v>201</v>
      </c>
      <c r="H69" s="260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267"/>
      <c r="B70" s="268"/>
      <c r="C70" s="90" t="s">
        <v>204</v>
      </c>
      <c r="D70" s="90" t="s">
        <v>205</v>
      </c>
      <c r="E70" s="260"/>
      <c r="F70" s="260"/>
      <c r="G70" s="260"/>
      <c r="H70" s="260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P2"/>
  <sheetViews>
    <sheetView zoomScale="95" zoomScaleNormal="95" workbookViewId="0">
      <selection activeCell="A2" sqref="A2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10" width="2.42578125" style="113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16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11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16">
      <c r="C2" s="155"/>
      <c r="D2" s="155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D18" sqref="D18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7719</v>
      </c>
      <c r="B2" s="118" t="s">
        <v>7735</v>
      </c>
      <c r="C2" s="118" t="s">
        <v>7736</v>
      </c>
      <c r="G2" s="117" t="s">
        <v>7738</v>
      </c>
      <c r="H2" s="229"/>
      <c r="I2" s="229"/>
      <c r="J2" s="118" t="s">
        <v>7737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"/>
  <sheetViews>
    <sheetView zoomScale="95" zoomScaleNormal="95" workbookViewId="0">
      <selection activeCell="E32" sqref="E32"/>
    </sheetView>
  </sheetViews>
  <sheetFormatPr baseColWidth="10" defaultColWidth="10.7109375" defaultRowHeight="12.75"/>
  <cols>
    <col min="1" max="1" width="8.7109375" style="123" customWidth="1"/>
    <col min="2" max="2" width="10.85546875" style="123" customWidth="1"/>
    <col min="3" max="3" width="11.140625" style="123" customWidth="1"/>
    <col min="4" max="4" width="7.42578125" style="112" customWidth="1"/>
    <col min="5" max="5" width="4.5703125" style="118" customWidth="1"/>
    <col min="6" max="6" width="26" style="123" customWidth="1"/>
    <col min="7" max="7" width="23.7109375" style="123" customWidth="1"/>
    <col min="8" max="8" width="12" style="112" customWidth="1"/>
  </cols>
  <sheetData>
    <row r="1" spans="1:8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8">
      <c r="B2" s="123" t="s">
        <v>7739</v>
      </c>
      <c r="C2" s="123" t="s">
        <v>7740</v>
      </c>
      <c r="F2" s="230" t="s">
        <v>7741</v>
      </c>
      <c r="G2" s="123" t="s">
        <v>7742</v>
      </c>
    </row>
    <row r="3" spans="1:8">
      <c r="F3" s="144"/>
    </row>
    <row r="4" spans="1:8">
      <c r="D4" s="156"/>
      <c r="F4" s="144"/>
    </row>
  </sheetData>
  <sheetProtection selectLockedCells="1" selectUnlockedCells="1"/>
  <hyperlinks>
    <hyperlink ref="F2" r:id="rId1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  <pageSetUpPr fitToPage="1"/>
  </sheetPr>
  <dimension ref="A1:H44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" sqref="B4"/>
    </sheetView>
  </sheetViews>
  <sheetFormatPr baseColWidth="10" defaultColWidth="12.7109375" defaultRowHeight="21" customHeight="1"/>
  <cols>
    <col min="1" max="1" width="15.140625" style="186" customWidth="1"/>
    <col min="2" max="2" width="23.85546875" style="186" bestFit="1" customWidth="1"/>
    <col min="3" max="3" width="30.5703125" style="187" bestFit="1" customWidth="1"/>
    <col min="4" max="4" width="76.28515625" style="187" customWidth="1"/>
    <col min="5" max="5" width="35" style="187" customWidth="1"/>
    <col min="6" max="6" width="40.7109375" style="187" customWidth="1"/>
    <col min="7" max="7" width="15.7109375" style="187" bestFit="1" customWidth="1"/>
    <col min="8" max="8" width="11" style="181" bestFit="1" customWidth="1"/>
    <col min="9" max="16384" width="12.7109375" style="181"/>
  </cols>
  <sheetData>
    <row r="1" spans="1:8" s="178" customFormat="1" ht="21" customHeight="1" thickBot="1">
      <c r="A1" s="176" t="s">
        <v>126</v>
      </c>
      <c r="B1" s="176" t="s">
        <v>127</v>
      </c>
      <c r="C1" s="149" t="s">
        <v>128</v>
      </c>
      <c r="D1" s="149" t="s">
        <v>29</v>
      </c>
      <c r="E1" s="149" t="s">
        <v>129</v>
      </c>
      <c r="F1" s="149" t="s">
        <v>130</v>
      </c>
      <c r="G1" s="177" t="s">
        <v>131</v>
      </c>
      <c r="H1" s="177" t="s">
        <v>74</v>
      </c>
    </row>
    <row r="2" spans="1:8" ht="102">
      <c r="A2" s="179" t="s">
        <v>244</v>
      </c>
      <c r="B2" s="179" t="s">
        <v>7444</v>
      </c>
      <c r="C2" s="150" t="s">
        <v>7445</v>
      </c>
      <c r="D2" s="150" t="s">
        <v>7446</v>
      </c>
      <c r="E2" s="150" t="s">
        <v>7447</v>
      </c>
      <c r="F2" s="151" t="s">
        <v>7596</v>
      </c>
      <c r="G2" s="180"/>
      <c r="H2" s="180"/>
    </row>
    <row r="3" spans="1:8" ht="38.25">
      <c r="A3" s="179" t="s">
        <v>244</v>
      </c>
      <c r="B3" s="179" t="s">
        <v>7448</v>
      </c>
      <c r="C3" s="150" t="s">
        <v>7449</v>
      </c>
      <c r="D3" s="150" t="s">
        <v>7450</v>
      </c>
      <c r="E3" s="150" t="s">
        <v>7451</v>
      </c>
      <c r="F3" s="151" t="s">
        <v>7452</v>
      </c>
      <c r="G3" s="180"/>
      <c r="H3" s="180"/>
    </row>
    <row r="4" spans="1:8" ht="51">
      <c r="A4" s="179" t="s">
        <v>244</v>
      </c>
      <c r="B4" s="179" t="s">
        <v>7453</v>
      </c>
      <c r="C4" s="150" t="s">
        <v>7454</v>
      </c>
      <c r="D4" s="150" t="s">
        <v>7455</v>
      </c>
      <c r="E4" s="150" t="s">
        <v>246</v>
      </c>
      <c r="F4" s="151" t="s">
        <v>7456</v>
      </c>
      <c r="G4" s="180"/>
      <c r="H4" s="180"/>
    </row>
    <row r="5" spans="1:8" ht="76.5">
      <c r="A5" s="179" t="s">
        <v>244</v>
      </c>
      <c r="B5" s="179" t="s">
        <v>7457</v>
      </c>
      <c r="C5" s="150" t="s">
        <v>7458</v>
      </c>
      <c r="D5" s="150" t="s">
        <v>7459</v>
      </c>
      <c r="E5" s="150" t="s">
        <v>247</v>
      </c>
      <c r="F5" s="151" t="s">
        <v>7460</v>
      </c>
      <c r="G5" s="180"/>
      <c r="H5" s="180"/>
    </row>
    <row r="6" spans="1:8" ht="21" customHeight="1">
      <c r="A6" s="179" t="s">
        <v>244</v>
      </c>
      <c r="B6" s="179" t="s">
        <v>7461</v>
      </c>
      <c r="C6" s="150" t="s">
        <v>7462</v>
      </c>
      <c r="D6" s="150" t="s">
        <v>7463</v>
      </c>
      <c r="E6" s="150" t="s">
        <v>247</v>
      </c>
      <c r="F6" s="151" t="s">
        <v>7464</v>
      </c>
      <c r="G6" s="180"/>
      <c r="H6" s="180"/>
    </row>
    <row r="7" spans="1:8" ht="21" customHeight="1">
      <c r="A7" s="179" t="s">
        <v>244</v>
      </c>
      <c r="B7" s="179" t="s">
        <v>254</v>
      </c>
      <c r="C7" s="150" t="s">
        <v>7439</v>
      </c>
      <c r="D7" s="150" t="s">
        <v>7465</v>
      </c>
      <c r="E7" s="150" t="s">
        <v>7466</v>
      </c>
      <c r="F7" s="151" t="s">
        <v>7467</v>
      </c>
      <c r="G7" s="180"/>
      <c r="H7" s="180"/>
    </row>
    <row r="8" spans="1:8" ht="21" customHeight="1">
      <c r="A8" s="179" t="s">
        <v>244</v>
      </c>
      <c r="B8" s="179" t="s">
        <v>7468</v>
      </c>
      <c r="C8" s="150" t="s">
        <v>7469</v>
      </c>
      <c r="D8" s="150" t="s">
        <v>7470</v>
      </c>
      <c r="E8" s="150" t="s">
        <v>245</v>
      </c>
      <c r="F8" s="151" t="s">
        <v>7471</v>
      </c>
      <c r="G8" s="180"/>
      <c r="H8" s="180"/>
    </row>
    <row r="9" spans="1:8" ht="38.25">
      <c r="A9" s="179" t="s">
        <v>244</v>
      </c>
      <c r="B9" s="179" t="s">
        <v>7472</v>
      </c>
      <c r="C9" s="150" t="s">
        <v>7473</v>
      </c>
      <c r="D9" s="150" t="s">
        <v>7474</v>
      </c>
      <c r="E9" s="150" t="s">
        <v>7451</v>
      </c>
      <c r="F9" s="151" t="s">
        <v>7475</v>
      </c>
      <c r="G9" s="180"/>
      <c r="H9" s="180"/>
    </row>
    <row r="10" spans="1:8" ht="38.25">
      <c r="A10" s="179" t="s">
        <v>244</v>
      </c>
      <c r="B10" s="179" t="s">
        <v>253</v>
      </c>
      <c r="C10" s="150" t="s">
        <v>7438</v>
      </c>
      <c r="D10" s="150" t="s">
        <v>7476</v>
      </c>
      <c r="E10" s="150" t="s">
        <v>7466</v>
      </c>
      <c r="F10" s="151" t="s">
        <v>7477</v>
      </c>
      <c r="G10" s="180"/>
      <c r="H10" s="180"/>
    </row>
    <row r="11" spans="1:8" ht="38.25">
      <c r="A11" s="179" t="s">
        <v>244</v>
      </c>
      <c r="B11" s="179" t="s">
        <v>251</v>
      </c>
      <c r="C11" s="150" t="s">
        <v>7478</v>
      </c>
      <c r="D11" s="150" t="s">
        <v>7479</v>
      </c>
      <c r="E11" s="150" t="s">
        <v>7480</v>
      </c>
      <c r="F11" s="151" t="s">
        <v>7481</v>
      </c>
      <c r="G11" s="180"/>
      <c r="H11" s="180"/>
    </row>
    <row r="12" spans="1:8" ht="38.25">
      <c r="A12" s="179" t="s">
        <v>244</v>
      </c>
      <c r="B12" s="179" t="s">
        <v>248</v>
      </c>
      <c r="C12" s="150" t="s">
        <v>7482</v>
      </c>
      <c r="D12" s="150" t="s">
        <v>7483</v>
      </c>
      <c r="E12" s="150" t="s">
        <v>7466</v>
      </c>
      <c r="F12" s="151" t="s">
        <v>7484</v>
      </c>
      <c r="G12" s="180"/>
      <c r="H12" s="180"/>
    </row>
    <row r="13" spans="1:8" ht="51">
      <c r="A13" s="179" t="s">
        <v>244</v>
      </c>
      <c r="B13" s="179" t="s">
        <v>7485</v>
      </c>
      <c r="C13" s="150" t="s">
        <v>7486</v>
      </c>
      <c r="D13" s="150" t="s">
        <v>7487</v>
      </c>
      <c r="E13" s="150" t="s">
        <v>7466</v>
      </c>
      <c r="F13" s="151" t="s">
        <v>7488</v>
      </c>
      <c r="G13" s="180"/>
      <c r="H13" s="180"/>
    </row>
    <row r="14" spans="1:8" ht="51">
      <c r="A14" s="179" t="s">
        <v>244</v>
      </c>
      <c r="B14" s="179" t="s">
        <v>249</v>
      </c>
      <c r="C14" s="150" t="s">
        <v>7489</v>
      </c>
      <c r="D14" s="150" t="s">
        <v>7490</v>
      </c>
      <c r="E14" s="150" t="s">
        <v>250</v>
      </c>
      <c r="F14" s="151" t="s">
        <v>7593</v>
      </c>
      <c r="G14" s="180"/>
      <c r="H14" s="180"/>
    </row>
    <row r="15" spans="1:8" ht="38.25">
      <c r="A15" s="179" t="s">
        <v>244</v>
      </c>
      <c r="B15" s="179" t="s">
        <v>7597</v>
      </c>
      <c r="C15" s="150" t="s">
        <v>7491</v>
      </c>
      <c r="D15" s="150" t="s">
        <v>7492</v>
      </c>
      <c r="E15" s="150" t="s">
        <v>143</v>
      </c>
      <c r="F15" s="151" t="s">
        <v>7493</v>
      </c>
      <c r="G15" s="180"/>
      <c r="H15" s="182"/>
    </row>
    <row r="16" spans="1:8" ht="38.25">
      <c r="A16" s="179" t="s">
        <v>244</v>
      </c>
      <c r="B16" s="179" t="s">
        <v>7494</v>
      </c>
      <c r="C16" s="150" t="s">
        <v>7495</v>
      </c>
      <c r="D16" s="150" t="s">
        <v>7496</v>
      </c>
      <c r="E16" s="150" t="s">
        <v>7497</v>
      </c>
      <c r="F16" s="151" t="s">
        <v>7498</v>
      </c>
      <c r="G16" s="180"/>
      <c r="H16" s="180"/>
    </row>
    <row r="17" spans="1:8" ht="21" customHeight="1">
      <c r="A17" s="179" t="s">
        <v>244</v>
      </c>
      <c r="B17" s="179" t="s">
        <v>7499</v>
      </c>
      <c r="C17" s="150" t="s">
        <v>7500</v>
      </c>
      <c r="D17" s="150" t="s">
        <v>7501</v>
      </c>
      <c r="E17" s="150" t="s">
        <v>7502</v>
      </c>
      <c r="F17" s="151" t="s">
        <v>7498</v>
      </c>
      <c r="G17" s="180"/>
      <c r="H17" s="180"/>
    </row>
    <row r="18" spans="1:8" ht="38.25">
      <c r="A18" s="183" t="s">
        <v>244</v>
      </c>
      <c r="B18" s="183" t="s">
        <v>7503</v>
      </c>
      <c r="C18" s="153" t="s">
        <v>7504</v>
      </c>
      <c r="D18" s="153" t="s">
        <v>7505</v>
      </c>
      <c r="E18" s="153" t="s">
        <v>7502</v>
      </c>
      <c r="F18" s="154" t="s">
        <v>7498</v>
      </c>
      <c r="G18" s="184"/>
      <c r="H18" s="184"/>
    </row>
    <row r="19" spans="1:8" ht="127.5">
      <c r="A19" s="179" t="s">
        <v>244</v>
      </c>
      <c r="B19" s="179" t="s">
        <v>7506</v>
      </c>
      <c r="C19" s="150" t="s">
        <v>7507</v>
      </c>
      <c r="D19" s="152" t="s">
        <v>7508</v>
      </c>
      <c r="E19" s="150" t="s">
        <v>7502</v>
      </c>
      <c r="F19" s="151" t="s">
        <v>7509</v>
      </c>
      <c r="G19" s="180"/>
      <c r="H19" s="180"/>
    </row>
    <row r="20" spans="1:8" ht="38.25">
      <c r="A20" s="179" t="s">
        <v>244</v>
      </c>
      <c r="B20" s="179" t="s">
        <v>7510</v>
      </c>
      <c r="C20" s="150" t="s">
        <v>7511</v>
      </c>
      <c r="D20" s="150" t="s">
        <v>7512</v>
      </c>
      <c r="E20" s="150" t="s">
        <v>7502</v>
      </c>
      <c r="F20" s="151" t="s">
        <v>7498</v>
      </c>
      <c r="G20" s="180"/>
      <c r="H20" s="180"/>
    </row>
    <row r="21" spans="1:8" ht="38.25">
      <c r="A21" s="179" t="s">
        <v>244</v>
      </c>
      <c r="B21" s="179" t="s">
        <v>7513</v>
      </c>
      <c r="C21" s="150" t="s">
        <v>7514</v>
      </c>
      <c r="D21" s="150" t="s">
        <v>7515</v>
      </c>
      <c r="E21" s="150" t="s">
        <v>7502</v>
      </c>
      <c r="F21" s="151" t="s">
        <v>7498</v>
      </c>
      <c r="G21" s="180"/>
      <c r="H21" s="180"/>
    </row>
    <row r="22" spans="1:8" ht="38.25">
      <c r="A22" s="179" t="s">
        <v>244</v>
      </c>
      <c r="B22" s="179" t="s">
        <v>7516</v>
      </c>
      <c r="C22" s="150" t="s">
        <v>7517</v>
      </c>
      <c r="D22" s="150" t="s">
        <v>7518</v>
      </c>
      <c r="E22" s="150" t="s">
        <v>7502</v>
      </c>
      <c r="F22" s="151" t="s">
        <v>7498</v>
      </c>
      <c r="G22" s="180"/>
      <c r="H22" s="180"/>
    </row>
    <row r="23" spans="1:8" ht="102">
      <c r="A23" s="179" t="s">
        <v>244</v>
      </c>
      <c r="B23" s="179" t="s">
        <v>7519</v>
      </c>
      <c r="C23" s="150" t="s">
        <v>7520</v>
      </c>
      <c r="D23" s="150" t="s">
        <v>7521</v>
      </c>
      <c r="E23" s="150" t="s">
        <v>7502</v>
      </c>
      <c r="F23" s="151" t="s">
        <v>7522</v>
      </c>
      <c r="G23" s="180"/>
      <c r="H23" s="182"/>
    </row>
    <row r="24" spans="1:8" ht="38.25">
      <c r="A24" s="179" t="s">
        <v>244</v>
      </c>
      <c r="B24" s="179" t="s">
        <v>7523</v>
      </c>
      <c r="C24" s="150" t="s">
        <v>7524</v>
      </c>
      <c r="D24" s="150" t="s">
        <v>7525</v>
      </c>
      <c r="E24" s="150" t="s">
        <v>7502</v>
      </c>
      <c r="F24" s="151" t="s">
        <v>7498</v>
      </c>
      <c r="G24" s="180"/>
      <c r="H24" s="182"/>
    </row>
    <row r="25" spans="1:8" ht="102">
      <c r="A25" s="179" t="s">
        <v>244</v>
      </c>
      <c r="B25" s="179" t="s">
        <v>7526</v>
      </c>
      <c r="C25" s="150" t="s">
        <v>7527</v>
      </c>
      <c r="D25" s="150" t="s">
        <v>7528</v>
      </c>
      <c r="E25" s="150" t="s">
        <v>7502</v>
      </c>
      <c r="F25" s="151" t="s">
        <v>7529</v>
      </c>
      <c r="G25" s="180"/>
      <c r="H25" s="182"/>
    </row>
    <row r="26" spans="1:8" ht="38.25">
      <c r="A26" s="179" t="s">
        <v>244</v>
      </c>
      <c r="B26" s="179" t="s">
        <v>7530</v>
      </c>
      <c r="C26" s="150" t="s">
        <v>7531</v>
      </c>
      <c r="D26" s="150" t="s">
        <v>7532</v>
      </c>
      <c r="E26" s="150" t="s">
        <v>247</v>
      </c>
      <c r="F26" s="151" t="s">
        <v>7595</v>
      </c>
      <c r="G26" s="180"/>
      <c r="H26" s="182"/>
    </row>
    <row r="27" spans="1:8" ht="38.25">
      <c r="A27" s="179" t="s">
        <v>244</v>
      </c>
      <c r="B27" s="179" t="s">
        <v>7533</v>
      </c>
      <c r="C27" s="150" t="s">
        <v>7534</v>
      </c>
      <c r="D27" s="150" t="s">
        <v>7535</v>
      </c>
      <c r="E27" s="150" t="s">
        <v>7536</v>
      </c>
      <c r="F27" s="151" t="s">
        <v>7537</v>
      </c>
      <c r="G27" s="180"/>
      <c r="H27" s="182"/>
    </row>
    <row r="28" spans="1:8" ht="21" customHeight="1">
      <c r="A28" s="179" t="s">
        <v>244</v>
      </c>
      <c r="B28" s="179" t="s">
        <v>7538</v>
      </c>
      <c r="C28" s="150" t="s">
        <v>7539</v>
      </c>
      <c r="D28" s="150" t="s">
        <v>7540</v>
      </c>
      <c r="E28" s="150" t="s">
        <v>7536</v>
      </c>
      <c r="F28" s="151" t="s">
        <v>7537</v>
      </c>
      <c r="G28" s="180"/>
      <c r="H28" s="182"/>
    </row>
    <row r="29" spans="1:8" ht="38.25">
      <c r="A29" s="179" t="s">
        <v>244</v>
      </c>
      <c r="B29" s="179" t="s">
        <v>7541</v>
      </c>
      <c r="C29" s="150" t="s">
        <v>7542</v>
      </c>
      <c r="D29" s="150" t="s">
        <v>7543</v>
      </c>
      <c r="E29" s="150" t="s">
        <v>7536</v>
      </c>
      <c r="F29" s="151" t="s">
        <v>7537</v>
      </c>
      <c r="G29" s="180"/>
      <c r="H29" s="182"/>
    </row>
    <row r="30" spans="1:8" ht="38.25">
      <c r="A30" s="179" t="s">
        <v>244</v>
      </c>
      <c r="B30" s="179" t="s">
        <v>7544</v>
      </c>
      <c r="C30" s="150" t="s">
        <v>7545</v>
      </c>
      <c r="D30" s="150" t="s">
        <v>7546</v>
      </c>
      <c r="E30" s="150" t="s">
        <v>7536</v>
      </c>
      <c r="F30" s="151" t="s">
        <v>7537</v>
      </c>
      <c r="G30" s="180"/>
      <c r="H30" s="182"/>
    </row>
    <row r="31" spans="1:8" ht="38.25">
      <c r="A31" s="179" t="s">
        <v>244</v>
      </c>
      <c r="B31" s="179" t="s">
        <v>7547</v>
      </c>
      <c r="C31" s="150" t="s">
        <v>7548</v>
      </c>
      <c r="D31" s="150" t="s">
        <v>7549</v>
      </c>
      <c r="E31" s="150" t="s">
        <v>7536</v>
      </c>
      <c r="F31" s="151" t="s">
        <v>7537</v>
      </c>
      <c r="G31" s="180"/>
      <c r="H31" s="182"/>
    </row>
    <row r="32" spans="1:8" ht="38.25">
      <c r="A32" s="179" t="s">
        <v>244</v>
      </c>
      <c r="B32" s="179" t="s">
        <v>7550</v>
      </c>
      <c r="C32" s="150" t="s">
        <v>7551</v>
      </c>
      <c r="D32" s="150" t="s">
        <v>7552</v>
      </c>
      <c r="E32" s="150" t="s">
        <v>7536</v>
      </c>
      <c r="F32" s="151" t="s">
        <v>7537</v>
      </c>
      <c r="G32" s="180"/>
      <c r="H32" s="182"/>
    </row>
    <row r="33" spans="1:8" ht="38.25">
      <c r="A33" s="179" t="s">
        <v>244</v>
      </c>
      <c r="B33" s="179" t="s">
        <v>252</v>
      </c>
      <c r="C33" s="150" t="s">
        <v>7553</v>
      </c>
      <c r="D33" s="150" t="s">
        <v>7554</v>
      </c>
      <c r="E33" s="150" t="s">
        <v>7555</v>
      </c>
      <c r="F33" s="151" t="s">
        <v>7537</v>
      </c>
      <c r="G33" s="180"/>
      <c r="H33" s="182"/>
    </row>
    <row r="34" spans="1:8" ht="38.25">
      <c r="A34" s="179" t="s">
        <v>244</v>
      </c>
      <c r="B34" s="179" t="s">
        <v>7556</v>
      </c>
      <c r="C34" s="150" t="s">
        <v>7557</v>
      </c>
      <c r="D34" s="150" t="s">
        <v>7558</v>
      </c>
      <c r="E34" s="150" t="s">
        <v>7555</v>
      </c>
      <c r="F34" s="151" t="s">
        <v>7537</v>
      </c>
      <c r="G34" s="180"/>
      <c r="H34" s="182"/>
    </row>
    <row r="35" spans="1:8" ht="38.25">
      <c r="A35" s="179" t="s">
        <v>244</v>
      </c>
      <c r="B35" s="179" t="s">
        <v>7559</v>
      </c>
      <c r="C35" s="150" t="s">
        <v>7443</v>
      </c>
      <c r="D35" s="150" t="s">
        <v>7560</v>
      </c>
      <c r="E35" s="150" t="s">
        <v>7561</v>
      </c>
      <c r="F35" s="151" t="s">
        <v>7537</v>
      </c>
      <c r="G35" s="180"/>
      <c r="H35" s="180"/>
    </row>
    <row r="36" spans="1:8" ht="38.25">
      <c r="A36" s="179" t="s">
        <v>244</v>
      </c>
      <c r="B36" s="179" t="s">
        <v>7562</v>
      </c>
      <c r="C36" s="150" t="s">
        <v>7563</v>
      </c>
      <c r="D36" s="150" t="s">
        <v>7564</v>
      </c>
      <c r="E36" s="150" t="s">
        <v>247</v>
      </c>
      <c r="F36" s="151" t="s">
        <v>7537</v>
      </c>
      <c r="G36" s="180"/>
      <c r="H36" s="180"/>
    </row>
    <row r="37" spans="1:8" ht="38.25">
      <c r="A37" s="179" t="s">
        <v>244</v>
      </c>
      <c r="B37" s="179" t="s">
        <v>7565</v>
      </c>
      <c r="C37" s="150" t="s">
        <v>7566</v>
      </c>
      <c r="D37" s="150" t="s">
        <v>7567</v>
      </c>
      <c r="E37" s="150" t="s">
        <v>7555</v>
      </c>
      <c r="F37" s="151" t="s">
        <v>7537</v>
      </c>
      <c r="G37" s="180"/>
      <c r="H37" s="180"/>
    </row>
    <row r="38" spans="1:8" ht="38.25">
      <c r="A38" s="179" t="s">
        <v>244</v>
      </c>
      <c r="B38" s="179" t="s">
        <v>7568</v>
      </c>
      <c r="C38" s="150" t="s">
        <v>7569</v>
      </c>
      <c r="D38" s="150" t="s">
        <v>7570</v>
      </c>
      <c r="E38" s="150" t="s">
        <v>247</v>
      </c>
      <c r="F38" s="151" t="s">
        <v>7571</v>
      </c>
      <c r="G38" s="180"/>
      <c r="H38" s="180"/>
    </row>
    <row r="39" spans="1:8" ht="76.5">
      <c r="A39" s="179" t="s">
        <v>244</v>
      </c>
      <c r="B39" s="179" t="s">
        <v>7572</v>
      </c>
      <c r="C39" s="150" t="s">
        <v>7573</v>
      </c>
      <c r="D39" s="150" t="s">
        <v>7574</v>
      </c>
      <c r="E39" s="150" t="s">
        <v>247</v>
      </c>
      <c r="F39" s="151" t="s">
        <v>7575</v>
      </c>
      <c r="G39" s="180"/>
      <c r="H39" s="180"/>
    </row>
    <row r="40" spans="1:8" ht="76.5">
      <c r="A40" s="179" t="s">
        <v>244</v>
      </c>
      <c r="B40" s="179" t="s">
        <v>7576</v>
      </c>
      <c r="C40" s="150" t="s">
        <v>7442</v>
      </c>
      <c r="D40" s="150" t="s">
        <v>7577</v>
      </c>
      <c r="E40" s="150" t="s">
        <v>247</v>
      </c>
      <c r="F40" s="151" t="s">
        <v>7578</v>
      </c>
      <c r="G40" s="180"/>
      <c r="H40" s="180"/>
    </row>
    <row r="41" spans="1:8" ht="38.25">
      <c r="A41" s="179" t="s">
        <v>244</v>
      </c>
      <c r="B41" s="179" t="s">
        <v>7579</v>
      </c>
      <c r="C41" s="150" t="s">
        <v>7580</v>
      </c>
      <c r="D41" s="150" t="s">
        <v>7581</v>
      </c>
      <c r="E41" s="150" t="s">
        <v>7582</v>
      </c>
      <c r="F41" s="151" t="s">
        <v>7583</v>
      </c>
      <c r="G41" s="180"/>
      <c r="H41" s="180"/>
    </row>
    <row r="42" spans="1:8" ht="38.25">
      <c r="A42" s="179" t="s">
        <v>244</v>
      </c>
      <c r="B42" s="179" t="s">
        <v>7440</v>
      </c>
      <c r="C42" s="150" t="s">
        <v>7441</v>
      </c>
      <c r="D42" s="150" t="s">
        <v>7584</v>
      </c>
      <c r="E42" s="150" t="s">
        <v>7585</v>
      </c>
      <c r="F42" s="151" t="s">
        <v>7583</v>
      </c>
      <c r="G42" s="180"/>
      <c r="H42" s="180"/>
    </row>
    <row r="43" spans="1:8" ht="38.25">
      <c r="A43" s="179" t="s">
        <v>244</v>
      </c>
      <c r="B43" s="179" t="s">
        <v>7586</v>
      </c>
      <c r="C43" s="150" t="s">
        <v>7587</v>
      </c>
      <c r="D43" s="150" t="s">
        <v>7588</v>
      </c>
      <c r="E43" s="150" t="s">
        <v>7589</v>
      </c>
      <c r="F43" s="151" t="s">
        <v>7583</v>
      </c>
      <c r="G43" s="180"/>
      <c r="H43" s="180"/>
    </row>
    <row r="44" spans="1:8" ht="114.75">
      <c r="A44" s="183" t="s">
        <v>244</v>
      </c>
      <c r="B44" s="183" t="s">
        <v>7590</v>
      </c>
      <c r="C44" s="153" t="s">
        <v>7591</v>
      </c>
      <c r="D44" s="153" t="s">
        <v>7592</v>
      </c>
      <c r="E44" s="153" t="s">
        <v>7451</v>
      </c>
      <c r="F44" s="151" t="s">
        <v>7594</v>
      </c>
      <c r="G44" s="185"/>
      <c r="H44" s="185"/>
    </row>
  </sheetData>
  <sheetProtection selectLockedCells="1" selectUnlockedCells="1"/>
  <printOptions gridLines="1"/>
  <pageMargins left="0" right="0" top="1.0629921259842521" bottom="1.0629921259842521" header="0.78740157480314965" footer="0.78740157480314965"/>
  <pageSetup paperSize="9" scale="73" firstPageNumber="0" fitToHeight="5" orientation="landscape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E35"/>
  <sheetViews>
    <sheetView topLeftCell="A13" zoomScale="85" zoomScaleNormal="85" workbookViewId="0">
      <selection activeCell="E27" sqref="E27"/>
    </sheetView>
  </sheetViews>
  <sheetFormatPr baseColWidth="10" defaultColWidth="12.7109375" defaultRowHeight="12.75"/>
  <cols>
    <col min="1" max="4" width="17.42578125" style="125" customWidth="1"/>
    <col min="5" max="5" width="17.42578125" style="173" customWidth="1"/>
    <col min="6" max="16384" width="12.7109375" style="125"/>
  </cols>
  <sheetData>
    <row r="1" spans="1:5" s="126" customFormat="1" ht="15">
      <c r="A1" s="167" t="s">
        <v>7667</v>
      </c>
      <c r="B1" s="167" t="s">
        <v>97</v>
      </c>
      <c r="C1" s="167" t="s">
        <v>7668</v>
      </c>
      <c r="D1" s="167" t="s">
        <v>7669</v>
      </c>
      <c r="E1" s="170" t="s">
        <v>7715</v>
      </c>
    </row>
    <row r="2" spans="1:5" ht="15">
      <c r="A2" s="168" t="s">
        <v>7670</v>
      </c>
      <c r="B2" s="168" t="s">
        <v>7671</v>
      </c>
      <c r="C2" s="168"/>
      <c r="D2" s="168" t="s">
        <v>7672</v>
      </c>
      <c r="E2" s="171">
        <v>1</v>
      </c>
    </row>
    <row r="3" spans="1:5" ht="15">
      <c r="A3" s="168" t="s">
        <v>7673</v>
      </c>
      <c r="B3" s="168" t="s">
        <v>7671</v>
      </c>
      <c r="C3" s="168"/>
      <c r="D3" s="168" t="s">
        <v>7672</v>
      </c>
      <c r="E3" s="171">
        <v>2</v>
      </c>
    </row>
    <row r="4" spans="1:5" ht="15">
      <c r="A4" s="168" t="s">
        <v>7674</v>
      </c>
      <c r="B4" s="168" t="s">
        <v>7671</v>
      </c>
      <c r="C4" s="168"/>
      <c r="D4" s="168" t="s">
        <v>7675</v>
      </c>
      <c r="E4" s="171">
        <v>3</v>
      </c>
    </row>
    <row r="5" spans="1:5" ht="15">
      <c r="A5" s="168" t="s">
        <v>7676</v>
      </c>
      <c r="B5" s="168" t="s">
        <v>7671</v>
      </c>
      <c r="C5" s="168"/>
      <c r="D5" s="168" t="s">
        <v>7675</v>
      </c>
      <c r="E5" s="171">
        <v>4</v>
      </c>
    </row>
    <row r="6" spans="1:5" ht="15">
      <c r="A6" s="168" t="s">
        <v>7677</v>
      </c>
      <c r="B6" s="168" t="s">
        <v>7671</v>
      </c>
      <c r="C6" s="168"/>
      <c r="D6" s="168" t="s">
        <v>7678</v>
      </c>
      <c r="E6" s="171">
        <v>5</v>
      </c>
    </row>
    <row r="7" spans="1:5" ht="15">
      <c r="A7" s="168" t="s">
        <v>7679</v>
      </c>
      <c r="B7" s="168" t="s">
        <v>7671</v>
      </c>
      <c r="C7" s="168"/>
      <c r="D7" s="168" t="s">
        <v>7678</v>
      </c>
      <c r="E7" s="171">
        <v>6</v>
      </c>
    </row>
    <row r="8" spans="1:5" ht="15">
      <c r="A8" s="168" t="s">
        <v>7680</v>
      </c>
      <c r="B8" s="168" t="s">
        <v>7681</v>
      </c>
      <c r="C8" s="168"/>
      <c r="D8" s="168"/>
      <c r="E8" s="171">
        <v>7</v>
      </c>
    </row>
    <row r="9" spans="1:5" ht="15">
      <c r="A9" s="168" t="s">
        <v>7682</v>
      </c>
      <c r="B9" s="168" t="s">
        <v>7681</v>
      </c>
      <c r="C9" s="168"/>
      <c r="D9" s="168"/>
      <c r="E9" s="171">
        <v>8</v>
      </c>
    </row>
    <row r="10" spans="1:5" ht="15">
      <c r="A10" s="168" t="s">
        <v>7683</v>
      </c>
      <c r="B10" s="168" t="s">
        <v>7681</v>
      </c>
      <c r="C10" s="168"/>
      <c r="D10" s="168"/>
      <c r="E10" s="171">
        <v>9</v>
      </c>
    </row>
    <row r="11" spans="1:5" ht="15">
      <c r="A11" s="169" t="s">
        <v>7684</v>
      </c>
      <c r="B11" s="168" t="s">
        <v>7685</v>
      </c>
      <c r="C11" s="168" t="s">
        <v>7686</v>
      </c>
      <c r="D11" s="168"/>
      <c r="E11" s="171">
        <v>10</v>
      </c>
    </row>
    <row r="12" spans="1:5" ht="15">
      <c r="A12" s="169" t="s">
        <v>7687</v>
      </c>
      <c r="B12" s="168" t="s">
        <v>7685</v>
      </c>
      <c r="C12" s="168" t="s">
        <v>7686</v>
      </c>
      <c r="D12" s="168"/>
      <c r="E12" s="171">
        <v>11</v>
      </c>
    </row>
    <row r="13" spans="1:5" ht="15">
      <c r="A13" s="169" t="s">
        <v>7688</v>
      </c>
      <c r="B13" s="169" t="s">
        <v>7689</v>
      </c>
      <c r="C13" s="168" t="s">
        <v>7686</v>
      </c>
      <c r="D13" s="169" t="s">
        <v>7675</v>
      </c>
      <c r="E13" s="172">
        <v>12</v>
      </c>
    </row>
    <row r="14" spans="1:5" ht="15">
      <c r="A14" s="169" t="s">
        <v>7690</v>
      </c>
      <c r="B14" s="169" t="s">
        <v>7689</v>
      </c>
      <c r="C14" s="168" t="s">
        <v>7686</v>
      </c>
      <c r="D14" s="169" t="s">
        <v>7675</v>
      </c>
      <c r="E14" s="172">
        <v>13</v>
      </c>
    </row>
    <row r="15" spans="1:5" ht="15">
      <c r="A15" s="169" t="s">
        <v>7691</v>
      </c>
      <c r="B15" s="169" t="s">
        <v>7689</v>
      </c>
      <c r="C15" s="168" t="s">
        <v>7686</v>
      </c>
      <c r="D15" s="169" t="s">
        <v>7678</v>
      </c>
      <c r="E15" s="172">
        <v>14</v>
      </c>
    </row>
    <row r="16" spans="1:5" ht="15">
      <c r="A16" s="169" t="s">
        <v>7692</v>
      </c>
      <c r="B16" s="169" t="s">
        <v>7689</v>
      </c>
      <c r="C16" s="169" t="s">
        <v>7686</v>
      </c>
      <c r="D16" s="169" t="s">
        <v>7678</v>
      </c>
      <c r="E16" s="172">
        <v>15</v>
      </c>
    </row>
    <row r="17" spans="1:5" ht="15">
      <c r="A17" s="169" t="s">
        <v>7435</v>
      </c>
      <c r="B17" s="168" t="s">
        <v>7685</v>
      </c>
      <c r="C17" s="169" t="s">
        <v>2083</v>
      </c>
      <c r="D17" s="169"/>
      <c r="E17" s="172">
        <v>16</v>
      </c>
    </row>
    <row r="18" spans="1:5" ht="15">
      <c r="A18" s="169" t="s">
        <v>7693</v>
      </c>
      <c r="B18" s="168" t="s">
        <v>7685</v>
      </c>
      <c r="C18" s="169" t="s">
        <v>2083</v>
      </c>
      <c r="D18" s="169"/>
      <c r="E18" s="172">
        <v>17</v>
      </c>
    </row>
    <row r="19" spans="1:5" ht="15">
      <c r="A19" s="169" t="s">
        <v>7694</v>
      </c>
      <c r="B19" s="169" t="s">
        <v>7689</v>
      </c>
      <c r="C19" s="169" t="s">
        <v>2083</v>
      </c>
      <c r="D19" s="169" t="s">
        <v>7678</v>
      </c>
      <c r="E19" s="172">
        <v>18</v>
      </c>
    </row>
    <row r="20" spans="1:5" ht="15">
      <c r="A20" s="169" t="s">
        <v>7695</v>
      </c>
      <c r="B20" s="169" t="s">
        <v>7689</v>
      </c>
      <c r="C20" s="169" t="s">
        <v>2083</v>
      </c>
      <c r="D20" s="169" t="s">
        <v>7678</v>
      </c>
      <c r="E20" s="172">
        <v>19</v>
      </c>
    </row>
    <row r="21" spans="1:5" ht="15">
      <c r="A21" s="169" t="s">
        <v>7696</v>
      </c>
      <c r="B21" s="169" t="s">
        <v>7689</v>
      </c>
      <c r="C21" s="169" t="s">
        <v>2083</v>
      </c>
      <c r="D21" s="169" t="s">
        <v>7672</v>
      </c>
      <c r="E21" s="172">
        <v>20</v>
      </c>
    </row>
    <row r="22" spans="1:5" ht="15">
      <c r="A22" s="169" t="s">
        <v>7697</v>
      </c>
      <c r="B22" s="169" t="s">
        <v>7689</v>
      </c>
      <c r="C22" s="169" t="s">
        <v>2083</v>
      </c>
      <c r="D22" s="169" t="s">
        <v>7672</v>
      </c>
      <c r="E22" s="172">
        <v>21</v>
      </c>
    </row>
    <row r="23" spans="1:5" ht="15">
      <c r="A23" s="169" t="s">
        <v>7698</v>
      </c>
      <c r="B23" s="168" t="s">
        <v>7685</v>
      </c>
      <c r="C23" s="169" t="s">
        <v>7699</v>
      </c>
      <c r="D23" s="169"/>
      <c r="E23" s="172">
        <v>22</v>
      </c>
    </row>
    <row r="24" spans="1:5" ht="15">
      <c r="A24" s="169" t="s">
        <v>7700</v>
      </c>
      <c r="B24" s="169" t="s">
        <v>7689</v>
      </c>
      <c r="C24" s="169" t="s">
        <v>7699</v>
      </c>
      <c r="D24" s="169" t="s">
        <v>7678</v>
      </c>
      <c r="E24" s="172">
        <v>23</v>
      </c>
    </row>
    <row r="25" spans="1:5" ht="15">
      <c r="A25" s="169" t="s">
        <v>7701</v>
      </c>
      <c r="B25" s="169" t="s">
        <v>7689</v>
      </c>
      <c r="C25" s="169" t="s">
        <v>7699</v>
      </c>
      <c r="D25" s="169" t="s">
        <v>7678</v>
      </c>
      <c r="E25" s="172">
        <v>24</v>
      </c>
    </row>
    <row r="26" spans="1:5" ht="15">
      <c r="A26" s="169" t="s">
        <v>7436</v>
      </c>
      <c r="B26" s="168" t="s">
        <v>7685</v>
      </c>
      <c r="C26" s="169" t="s">
        <v>2653</v>
      </c>
      <c r="D26" s="169"/>
      <c r="E26" s="172">
        <v>25</v>
      </c>
    </row>
    <row r="27" spans="1:5" ht="15">
      <c r="A27" s="169" t="s">
        <v>7702</v>
      </c>
      <c r="B27" s="169" t="s">
        <v>7689</v>
      </c>
      <c r="C27" s="169" t="s">
        <v>2653</v>
      </c>
      <c r="D27" s="169" t="s">
        <v>7678</v>
      </c>
      <c r="E27" s="172">
        <v>26</v>
      </c>
    </row>
    <row r="28" spans="1:5" ht="15">
      <c r="A28" s="169" t="s">
        <v>7703</v>
      </c>
      <c r="B28" s="169" t="s">
        <v>7689</v>
      </c>
      <c r="C28" s="169" t="s">
        <v>2653</v>
      </c>
      <c r="D28" s="169" t="s">
        <v>7678</v>
      </c>
      <c r="E28" s="172">
        <v>27</v>
      </c>
    </row>
    <row r="29" spans="1:5" ht="15">
      <c r="A29" s="169" t="s">
        <v>7437</v>
      </c>
      <c r="B29" s="168" t="s">
        <v>7685</v>
      </c>
      <c r="C29" s="169" t="s">
        <v>2955</v>
      </c>
      <c r="D29" s="169"/>
      <c r="E29" s="172">
        <v>28</v>
      </c>
    </row>
    <row r="30" spans="1:5" ht="15">
      <c r="A30" s="169" t="s">
        <v>7704</v>
      </c>
      <c r="B30" s="169" t="s">
        <v>7689</v>
      </c>
      <c r="C30" s="169" t="s">
        <v>2955</v>
      </c>
      <c r="D30" s="169" t="s">
        <v>7678</v>
      </c>
      <c r="E30" s="172">
        <v>29</v>
      </c>
    </row>
    <row r="31" spans="1:5" ht="15">
      <c r="A31" s="169" t="s">
        <v>7705</v>
      </c>
      <c r="B31" s="169" t="s">
        <v>7689</v>
      </c>
      <c r="C31" s="169" t="s">
        <v>2955</v>
      </c>
      <c r="D31" s="169" t="s">
        <v>7678</v>
      </c>
      <c r="E31" s="172">
        <v>30</v>
      </c>
    </row>
    <row r="32" spans="1:5" ht="15">
      <c r="A32" s="168" t="s">
        <v>7434</v>
      </c>
      <c r="B32" s="168"/>
      <c r="C32" s="168"/>
      <c r="D32" s="168"/>
      <c r="E32" s="171">
        <v>31</v>
      </c>
    </row>
    <row r="33" spans="1:5" ht="15">
      <c r="A33" s="168" t="s">
        <v>7432</v>
      </c>
      <c r="B33" s="168"/>
      <c r="C33" s="168"/>
      <c r="D33" s="168"/>
      <c r="E33" s="171">
        <v>32</v>
      </c>
    </row>
    <row r="34" spans="1:5" ht="15">
      <c r="A34" s="168" t="s">
        <v>7433</v>
      </c>
      <c r="B34" s="168"/>
      <c r="C34" s="168"/>
      <c r="D34" s="168"/>
      <c r="E34" s="171">
        <v>33</v>
      </c>
    </row>
    <row r="35" spans="1:5" ht="15">
      <c r="A35" s="168" t="s">
        <v>256</v>
      </c>
      <c r="B35" s="168"/>
      <c r="C35" s="168"/>
      <c r="D35" s="168"/>
      <c r="E35" s="171">
        <v>34</v>
      </c>
    </row>
  </sheetData>
  <sheetProtection selectLockedCells="1" selectUnlockedCells="1"/>
  <sortState ref="A37:E240">
    <sortCondition ref="E37:E240"/>
  </sortState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89" zoomScaleNormal="89" workbookViewId="0">
      <selection activeCell="G30" sqref="G30"/>
    </sheetView>
  </sheetViews>
  <sheetFormatPr baseColWidth="10" defaultColWidth="10.7109375" defaultRowHeight="12.75"/>
  <cols>
    <col min="1" max="1" width="6.85546875" style="123" bestFit="1" customWidth="1"/>
    <col min="2" max="2" width="10.7109375" style="123" bestFit="1" customWidth="1"/>
    <col min="3" max="3" width="12.85546875" style="123" bestFit="1" customWidth="1"/>
    <col min="4" max="4" width="23.28515625" style="112" bestFit="1" customWidth="1"/>
  </cols>
  <sheetData>
    <row r="1" spans="1:4">
      <c r="A1" s="114" t="s">
        <v>163</v>
      </c>
      <c r="B1" s="114" t="s">
        <v>164</v>
      </c>
      <c r="C1" s="114" t="s">
        <v>165</v>
      </c>
      <c r="D1" s="115" t="s">
        <v>166</v>
      </c>
    </row>
    <row r="2" spans="1:4">
      <c r="A2" s="166" t="s">
        <v>7706</v>
      </c>
      <c r="B2" s="166" t="s">
        <v>7707</v>
      </c>
      <c r="C2" s="166" t="s">
        <v>7708</v>
      </c>
      <c r="D2" s="112" t="s">
        <v>7711</v>
      </c>
    </row>
    <row r="3" spans="1:4">
      <c r="A3" s="123" t="s">
        <v>7706</v>
      </c>
      <c r="B3" s="123" t="s">
        <v>7709</v>
      </c>
      <c r="C3" s="123" t="s">
        <v>7710</v>
      </c>
      <c r="D3" s="112" t="s">
        <v>7712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H861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1.28515625" defaultRowHeight="12.75"/>
  <cols>
    <col min="1" max="1" width="19.7109375" style="147" bestFit="1" customWidth="1"/>
    <col min="2" max="2" width="12.42578125" style="112" bestFit="1" customWidth="1"/>
    <col min="3" max="3" width="24.140625" style="112" bestFit="1" customWidth="1"/>
    <col min="4" max="4" width="24.7109375" style="112" bestFit="1" customWidth="1"/>
    <col min="5" max="5" width="21.28515625" style="113" bestFit="1" customWidth="1"/>
    <col min="6" max="6" width="6" style="113" bestFit="1" customWidth="1"/>
    <col min="7" max="7" width="7" style="113" bestFit="1" customWidth="1"/>
    <col min="8" max="8" width="7.140625" style="113" bestFit="1" customWidth="1"/>
    <col min="9" max="10" width="18.140625" style="112" bestFit="1" customWidth="1"/>
    <col min="11" max="11" width="17.28515625" style="127" bestFit="1" customWidth="1"/>
    <col min="12" max="12" width="16.7109375" style="146" bestFit="1" customWidth="1"/>
    <col min="13" max="13" width="20.85546875" style="146" bestFit="1" customWidth="1"/>
    <col min="14" max="14" width="20.28515625" style="146" bestFit="1" customWidth="1"/>
    <col min="15" max="15" width="8.28515625" style="159" bestFit="1" customWidth="1"/>
    <col min="16" max="16" width="7.7109375" style="160" bestFit="1" customWidth="1"/>
    <col min="17" max="17" width="9.5703125" style="159" bestFit="1" customWidth="1"/>
    <col min="18" max="18" width="9" style="160" bestFit="1" customWidth="1"/>
    <col min="19" max="19" width="9.28515625" style="159" bestFit="1" customWidth="1"/>
    <col min="20" max="20" width="8.7109375" style="160" bestFit="1" customWidth="1"/>
    <col min="21" max="21" width="16.85546875" style="159" bestFit="1" customWidth="1"/>
    <col min="22" max="22" width="16.28515625" style="160" bestFit="1" customWidth="1"/>
    <col min="23" max="23" width="16" style="159" bestFit="1" customWidth="1"/>
    <col min="24" max="24" width="15.28515625" style="160" bestFit="1" customWidth="1"/>
    <col min="25" max="25" width="9.7109375" style="159" bestFit="1" customWidth="1"/>
    <col min="26" max="26" width="9.140625" style="160" bestFit="1" customWidth="1"/>
    <col min="27" max="27" width="9.140625" style="159" bestFit="1" customWidth="1"/>
    <col min="28" max="28" width="8.5703125" style="160" bestFit="1" customWidth="1"/>
    <col min="29" max="29" width="9.140625" style="159" bestFit="1" customWidth="1"/>
    <col min="30" max="30" width="22" style="160" bestFit="1" customWidth="1"/>
    <col min="31" max="31" width="15.140625" style="159" bestFit="1" customWidth="1"/>
    <col min="32" max="32" width="14.42578125" style="160" bestFit="1" customWidth="1"/>
    <col min="33" max="33" width="13.7109375" style="160" bestFit="1" customWidth="1"/>
    <col min="34" max="34" width="13.140625" style="160" bestFit="1" customWidth="1"/>
    <col min="35" max="35" width="17" style="160" bestFit="1" customWidth="1"/>
    <col min="36" max="36" width="16.42578125" style="160" bestFit="1" customWidth="1"/>
    <col min="37" max="37" width="18.85546875" style="159" bestFit="1" customWidth="1"/>
    <col min="38" max="38" width="18.140625" style="160" bestFit="1" customWidth="1"/>
    <col min="39" max="39" width="18.5703125" style="159" bestFit="1" customWidth="1"/>
    <col min="40" max="40" width="18" style="160" bestFit="1" customWidth="1"/>
    <col min="41" max="41" width="18.5703125" style="159" bestFit="1" customWidth="1"/>
    <col min="42" max="42" width="18" style="159" bestFit="1" customWidth="1"/>
    <col min="43" max="43" width="20.28515625" style="159" bestFit="1" customWidth="1"/>
    <col min="44" max="44" width="19.7109375" style="159" bestFit="1" customWidth="1"/>
    <col min="45" max="45" width="24.5703125" style="159" bestFit="1" customWidth="1"/>
    <col min="46" max="46" width="23.7109375" style="159" bestFit="1" customWidth="1"/>
    <col min="47" max="47" width="19" style="159" bestFit="1" customWidth="1"/>
    <col min="48" max="48" width="18.28515625" style="159" bestFit="1" customWidth="1"/>
    <col min="49" max="49" width="19" style="159" bestFit="1" customWidth="1"/>
    <col min="50" max="50" width="18.28515625" style="159" bestFit="1" customWidth="1"/>
    <col min="51" max="51" width="22.140625" style="159" bestFit="1" customWidth="1"/>
    <col min="52" max="52" width="21.42578125" style="159" bestFit="1" customWidth="1"/>
    <col min="53" max="53" width="17.140625" style="159" bestFit="1" customWidth="1"/>
    <col min="54" max="54" width="16.42578125" style="159" bestFit="1" customWidth="1"/>
    <col min="55" max="55" width="27.140625" style="159" bestFit="1" customWidth="1"/>
    <col min="56" max="56" width="26.42578125" style="159" bestFit="1" customWidth="1"/>
    <col min="57" max="57" width="12.28515625" style="130" bestFit="1" customWidth="1"/>
    <col min="58" max="58" width="11.5703125" style="130" bestFit="1" customWidth="1"/>
    <col min="59" max="59" width="12.85546875" style="130" bestFit="1" customWidth="1"/>
    <col min="60" max="60" width="12.140625" style="130" bestFit="1" customWidth="1"/>
    <col min="61" max="61" width="13.7109375" style="130" bestFit="1" customWidth="1"/>
    <col min="62" max="62" width="12.5703125" style="130" bestFit="1" customWidth="1"/>
    <col min="63" max="63" width="13.42578125" style="130" bestFit="1" customWidth="1"/>
    <col min="64" max="64" width="12.7109375" style="130" bestFit="1" customWidth="1"/>
    <col min="65" max="65" width="11.28515625" style="130"/>
    <col min="66" max="66" width="10.5703125" style="130" bestFit="1" customWidth="1"/>
    <col min="67" max="67" width="14" style="130" bestFit="1" customWidth="1"/>
    <col min="68" max="68" width="13.28515625" style="130" bestFit="1" customWidth="1"/>
    <col min="69" max="69" width="15.28515625" style="130" bestFit="1" customWidth="1"/>
    <col min="70" max="70" width="14.5703125" style="130" bestFit="1" customWidth="1"/>
    <col min="71" max="71" width="7.42578125" style="130" bestFit="1" customWidth="1"/>
    <col min="72" max="72" width="6.7109375" style="130" bestFit="1" customWidth="1"/>
    <col min="73" max="73" width="7.85546875" style="130" bestFit="1" customWidth="1"/>
    <col min="74" max="74" width="7.140625" style="130" bestFit="1" customWidth="1"/>
    <col min="75" max="75" width="9.5703125" style="130" bestFit="1" customWidth="1"/>
    <col min="76" max="76" width="8.85546875" style="130" bestFit="1" customWidth="1"/>
    <col min="77" max="77" width="19.7109375" style="130" bestFit="1" customWidth="1"/>
    <col min="78" max="78" width="19" style="130" bestFit="1" customWidth="1"/>
    <col min="79" max="79" width="13" style="130" bestFit="1" customWidth="1"/>
    <col min="80" max="80" width="12.28515625" style="130" bestFit="1" customWidth="1"/>
    <col min="81" max="81" width="20.140625" style="130" bestFit="1" customWidth="1"/>
    <col min="82" max="82" width="19.42578125" style="130" bestFit="1" customWidth="1"/>
    <col min="83" max="83" width="18.7109375" style="130" bestFit="1" customWidth="1"/>
    <col min="84" max="84" width="18" style="130" bestFit="1" customWidth="1"/>
    <col min="85" max="85" width="16.42578125" style="130" bestFit="1" customWidth="1"/>
    <col min="86" max="86" width="15.5703125" style="130" bestFit="1" customWidth="1"/>
    <col min="87" max="87" width="6.5703125" style="130" bestFit="1" customWidth="1"/>
    <col min="88" max="88" width="6" style="130" bestFit="1" customWidth="1"/>
    <col min="89" max="89" width="8.7109375" style="130" bestFit="1" customWidth="1"/>
    <col min="90" max="90" width="14" style="130" bestFit="1" customWidth="1"/>
    <col min="91" max="91" width="13.28515625" style="130" bestFit="1" customWidth="1"/>
    <col min="92" max="16384" width="11.28515625" style="128"/>
  </cols>
  <sheetData>
    <row r="1" spans="1:112" s="130" customFormat="1" ht="13.5" thickBot="1">
      <c r="A1" s="148" t="s">
        <v>150</v>
      </c>
      <c r="B1" s="115" t="s">
        <v>171</v>
      </c>
      <c r="C1" s="115" t="s">
        <v>187</v>
      </c>
      <c r="D1" s="115" t="s">
        <v>257</v>
      </c>
      <c r="E1" s="116" t="s">
        <v>21</v>
      </c>
      <c r="F1" s="116" t="s">
        <v>22</v>
      </c>
      <c r="G1" s="116" t="s">
        <v>192</v>
      </c>
      <c r="H1" s="116" t="s">
        <v>193</v>
      </c>
      <c r="I1" s="129" t="s">
        <v>7598</v>
      </c>
      <c r="J1" s="115" t="s">
        <v>7599</v>
      </c>
      <c r="K1" s="129" t="s">
        <v>7600</v>
      </c>
      <c r="L1" s="145" t="s">
        <v>7601</v>
      </c>
      <c r="M1" s="129" t="s">
        <v>7602</v>
      </c>
      <c r="N1" s="145" t="s">
        <v>7603</v>
      </c>
      <c r="O1" s="161" t="s">
        <v>7604</v>
      </c>
      <c r="P1" s="162" t="s">
        <v>7605</v>
      </c>
      <c r="Q1" s="161" t="s">
        <v>7606</v>
      </c>
      <c r="R1" s="162" t="s">
        <v>7607</v>
      </c>
      <c r="S1" s="161" t="s">
        <v>267</v>
      </c>
      <c r="T1" s="162" t="s">
        <v>268</v>
      </c>
      <c r="U1" s="161" t="s">
        <v>7608</v>
      </c>
      <c r="V1" s="162" t="s">
        <v>7609</v>
      </c>
      <c r="W1" s="161" t="s">
        <v>7610</v>
      </c>
      <c r="X1" s="162" t="s">
        <v>7611</v>
      </c>
      <c r="Y1" s="161" t="s">
        <v>265</v>
      </c>
      <c r="Z1" s="162" t="s">
        <v>266</v>
      </c>
      <c r="AA1" s="161" t="s">
        <v>261</v>
      </c>
      <c r="AB1" s="162" t="s">
        <v>262</v>
      </c>
      <c r="AC1" s="161" t="s">
        <v>258</v>
      </c>
      <c r="AD1" s="162" t="s">
        <v>7612</v>
      </c>
      <c r="AE1" s="161" t="s">
        <v>7613</v>
      </c>
      <c r="AF1" s="162" t="s">
        <v>7614</v>
      </c>
      <c r="AG1" s="161" t="s">
        <v>259</v>
      </c>
      <c r="AH1" s="162" t="s">
        <v>260</v>
      </c>
      <c r="AI1" s="161" t="s">
        <v>7615</v>
      </c>
      <c r="AJ1" s="162" t="s">
        <v>7616</v>
      </c>
      <c r="AK1" s="161" t="s">
        <v>7617</v>
      </c>
      <c r="AL1" s="162" t="s">
        <v>7618</v>
      </c>
      <c r="AM1" s="161" t="s">
        <v>7619</v>
      </c>
      <c r="AN1" s="162" t="s">
        <v>7620</v>
      </c>
      <c r="AO1" s="162" t="s">
        <v>7621</v>
      </c>
      <c r="AP1" s="162" t="s">
        <v>7622</v>
      </c>
      <c r="AQ1" s="162" t="s">
        <v>7623</v>
      </c>
      <c r="AR1" s="162" t="s">
        <v>7624</v>
      </c>
      <c r="AS1" s="162" t="s">
        <v>7625</v>
      </c>
      <c r="AT1" s="162" t="s">
        <v>7626</v>
      </c>
      <c r="AU1" s="162" t="s">
        <v>7627</v>
      </c>
      <c r="AV1" s="162" t="s">
        <v>7628</v>
      </c>
      <c r="AW1" s="162" t="s">
        <v>7629</v>
      </c>
      <c r="AX1" s="162" t="s">
        <v>7630</v>
      </c>
      <c r="AY1" s="163" t="s">
        <v>7631</v>
      </c>
      <c r="AZ1" s="163" t="s">
        <v>7632</v>
      </c>
      <c r="BA1" s="163" t="s">
        <v>7633</v>
      </c>
      <c r="BB1" s="163" t="s">
        <v>7634</v>
      </c>
      <c r="BC1" s="163" t="s">
        <v>7635</v>
      </c>
      <c r="BD1" s="159" t="s">
        <v>7636</v>
      </c>
      <c r="BE1" s="130" t="s">
        <v>7637</v>
      </c>
      <c r="BF1" s="130" t="s">
        <v>7638</v>
      </c>
      <c r="BG1" s="130" t="s">
        <v>7639</v>
      </c>
      <c r="BH1" s="130" t="s">
        <v>7640</v>
      </c>
      <c r="BI1" s="130" t="s">
        <v>7641</v>
      </c>
      <c r="BJ1" s="130" t="s">
        <v>7642</v>
      </c>
      <c r="BK1" s="130" t="s">
        <v>7643</v>
      </c>
      <c r="BL1" s="130" t="s">
        <v>7644</v>
      </c>
      <c r="BM1" s="130" t="s">
        <v>7645</v>
      </c>
      <c r="BN1" s="130" t="s">
        <v>7646</v>
      </c>
      <c r="BO1" s="130" t="s">
        <v>7647</v>
      </c>
      <c r="BP1" s="130" t="s">
        <v>7648</v>
      </c>
      <c r="BQ1" s="130" t="s">
        <v>7649</v>
      </c>
      <c r="BR1" s="130" t="s">
        <v>7650</v>
      </c>
      <c r="BS1" s="130" t="s">
        <v>263</v>
      </c>
      <c r="BT1" s="130" t="s">
        <v>264</v>
      </c>
      <c r="BU1" s="130" t="s">
        <v>7651</v>
      </c>
      <c r="BV1" s="130" t="s">
        <v>7652</v>
      </c>
      <c r="BW1" s="130" t="s">
        <v>7653</v>
      </c>
      <c r="BX1" s="130" t="s">
        <v>7654</v>
      </c>
      <c r="BY1" s="130" t="s">
        <v>7655</v>
      </c>
      <c r="BZ1" s="130" t="s">
        <v>7656</v>
      </c>
      <c r="CA1" s="130" t="s">
        <v>7657</v>
      </c>
      <c r="CB1" s="130" t="s">
        <v>7658</v>
      </c>
      <c r="CC1" s="130" t="s">
        <v>7659</v>
      </c>
      <c r="CD1" s="130" t="s">
        <v>7660</v>
      </c>
      <c r="CE1" s="130" t="s">
        <v>7661</v>
      </c>
      <c r="CF1" s="130" t="s">
        <v>7662</v>
      </c>
      <c r="CG1" s="130" t="s">
        <v>7663</v>
      </c>
      <c r="CH1" s="130" t="s">
        <v>7664</v>
      </c>
      <c r="CI1" s="130" t="s">
        <v>7579</v>
      </c>
      <c r="CJ1" s="130" t="s">
        <v>7440</v>
      </c>
      <c r="CK1" s="130" t="s">
        <v>7586</v>
      </c>
      <c r="CL1" s="130" t="s">
        <v>7665</v>
      </c>
      <c r="CM1" s="130" t="s">
        <v>7666</v>
      </c>
    </row>
    <row r="2" spans="1:112" ht="15">
      <c r="A2" s="168" t="s">
        <v>7670</v>
      </c>
      <c r="B2" s="175"/>
      <c r="C2" s="174">
        <v>1</v>
      </c>
      <c r="D2" s="174">
        <v>1</v>
      </c>
      <c r="E2" s="174">
        <v>1</v>
      </c>
      <c r="F2" s="174">
        <v>22</v>
      </c>
      <c r="I2" s="174"/>
      <c r="K2" s="188">
        <v>7</v>
      </c>
      <c r="L2" s="146">
        <v>42430</v>
      </c>
      <c r="M2" s="174">
        <v>8.2899999999999991</v>
      </c>
      <c r="N2" s="189">
        <v>42580</v>
      </c>
      <c r="S2" s="174">
        <v>21.08</v>
      </c>
      <c r="U2" s="159">
        <v>18.5</v>
      </c>
      <c r="AE2" s="174">
        <v>46.04</v>
      </c>
      <c r="AG2" s="174">
        <v>5.29</v>
      </c>
      <c r="AI2" s="174">
        <v>160</v>
      </c>
      <c r="AJ2" s="160">
        <v>42520</v>
      </c>
      <c r="AK2" s="174"/>
      <c r="AL2" s="174"/>
      <c r="AM2" s="174">
        <v>98</v>
      </c>
      <c r="AN2" s="174"/>
      <c r="AO2" s="174"/>
      <c r="AP2" s="174"/>
      <c r="AR2" s="174"/>
      <c r="AS2" s="174"/>
      <c r="AT2" s="174"/>
      <c r="AU2" s="174"/>
      <c r="AV2" s="174"/>
      <c r="AW2" s="174"/>
      <c r="AX2" s="174"/>
      <c r="AY2" s="174"/>
      <c r="BC2" s="174"/>
      <c r="BD2" s="174"/>
      <c r="BE2" s="174"/>
      <c r="BG2" s="174"/>
      <c r="BI2" s="174"/>
      <c r="BJ2" s="174"/>
      <c r="BK2" s="174"/>
      <c r="BM2" s="174">
        <v>61.454999999999998</v>
      </c>
      <c r="BN2" s="174"/>
      <c r="BO2" s="174"/>
      <c r="BP2" s="174"/>
      <c r="BR2" s="174"/>
      <c r="BS2" s="174">
        <v>45.787999999999997</v>
      </c>
      <c r="BT2" s="174"/>
      <c r="BU2" s="190">
        <v>21.735923767089844</v>
      </c>
      <c r="BV2" s="159"/>
      <c r="BW2" s="174">
        <v>15.846</v>
      </c>
      <c r="BX2" s="159"/>
      <c r="BY2" s="159"/>
      <c r="CB2" s="165"/>
      <c r="CC2" s="174">
        <v>8.2919999999999998</v>
      </c>
      <c r="CD2" s="165"/>
      <c r="CE2" s="174">
        <v>8</v>
      </c>
      <c r="CF2" s="165"/>
      <c r="CH2" s="165"/>
      <c r="CJ2" s="165"/>
      <c r="CL2" s="165"/>
      <c r="CN2" s="165"/>
      <c r="CO2" s="130"/>
      <c r="CP2" s="165"/>
      <c r="CQ2" s="130"/>
      <c r="CR2" s="165"/>
      <c r="CS2" s="130"/>
      <c r="CT2" s="130"/>
      <c r="CU2" s="130"/>
      <c r="CV2" s="130"/>
      <c r="CW2" s="130"/>
      <c r="CX2" s="165"/>
      <c r="CY2" s="130"/>
      <c r="CZ2" s="130"/>
      <c r="DA2" s="130"/>
      <c r="DB2" s="130"/>
      <c r="DC2" s="130"/>
      <c r="DD2" s="130"/>
      <c r="DE2" s="130"/>
      <c r="DF2" s="130"/>
      <c r="DG2" s="130"/>
      <c r="DH2" s="130"/>
    </row>
    <row r="3" spans="1:112" ht="15">
      <c r="A3" s="168" t="s">
        <v>7670</v>
      </c>
      <c r="B3" s="297"/>
      <c r="C3" s="174">
        <v>2</v>
      </c>
      <c r="D3" s="174">
        <v>1</v>
      </c>
      <c r="E3" s="174">
        <v>2</v>
      </c>
      <c r="F3" s="174">
        <v>25</v>
      </c>
      <c r="I3" s="174"/>
      <c r="K3" s="188">
        <v>8</v>
      </c>
      <c r="L3" s="146">
        <v>42430</v>
      </c>
      <c r="M3" s="174">
        <v>8.6199999999999992</v>
      </c>
      <c r="N3" s="189">
        <v>42580</v>
      </c>
      <c r="S3" s="174">
        <v>22.51</v>
      </c>
      <c r="U3" s="159">
        <v>18.5</v>
      </c>
      <c r="AE3" s="174">
        <v>47.81</v>
      </c>
      <c r="AG3" s="174">
        <v>4.4000000000000004</v>
      </c>
      <c r="AI3" s="174">
        <v>155</v>
      </c>
      <c r="AJ3" s="160">
        <v>42520</v>
      </c>
      <c r="AK3" s="174"/>
      <c r="AL3" s="174"/>
      <c r="AM3" s="174">
        <v>98</v>
      </c>
      <c r="AN3" s="174"/>
      <c r="AO3" s="174"/>
      <c r="AP3" s="174"/>
      <c r="AR3" s="174"/>
      <c r="AS3" s="174"/>
      <c r="AT3" s="174"/>
      <c r="AU3" s="174"/>
      <c r="AV3" s="174"/>
      <c r="AW3" s="174"/>
      <c r="AX3" s="174"/>
      <c r="AY3" s="174"/>
      <c r="BC3" s="174"/>
      <c r="BD3" s="174"/>
      <c r="BE3" s="174"/>
      <c r="BG3" s="174"/>
      <c r="BI3" s="174"/>
      <c r="BJ3" s="174"/>
      <c r="BK3" s="174"/>
      <c r="BM3" s="174">
        <v>63.712000000000003</v>
      </c>
      <c r="BN3" s="174"/>
      <c r="BO3" s="174"/>
      <c r="BP3" s="174"/>
      <c r="BR3" s="174"/>
      <c r="BS3" s="174">
        <v>47.082999999999998</v>
      </c>
      <c r="BT3" s="174"/>
      <c r="BU3" s="191">
        <v>21.295087814331055</v>
      </c>
      <c r="BV3" s="159"/>
      <c r="BW3" s="174">
        <v>14.443</v>
      </c>
      <c r="BX3" s="159"/>
      <c r="BY3" s="159"/>
      <c r="CB3" s="165"/>
      <c r="CC3" s="174">
        <v>8.3989999999999991</v>
      </c>
      <c r="CD3" s="165"/>
      <c r="CE3" s="174">
        <v>8</v>
      </c>
      <c r="CF3" s="165"/>
      <c r="CH3" s="165"/>
      <c r="CJ3" s="165"/>
      <c r="CL3" s="165"/>
      <c r="CN3" s="165"/>
      <c r="CO3" s="130"/>
      <c r="CP3" s="165"/>
      <c r="CQ3" s="130"/>
      <c r="CR3" s="165"/>
      <c r="CS3" s="130"/>
      <c r="CT3" s="130"/>
      <c r="CU3" s="130"/>
      <c r="CV3" s="130"/>
      <c r="CW3" s="130"/>
      <c r="CX3" s="165"/>
      <c r="CY3" s="130"/>
      <c r="CZ3" s="130"/>
      <c r="DA3" s="130"/>
      <c r="DB3" s="130"/>
      <c r="DC3" s="130"/>
      <c r="DD3" s="130"/>
      <c r="DE3" s="130"/>
      <c r="DF3" s="130"/>
      <c r="DG3" s="130"/>
      <c r="DH3" s="130"/>
    </row>
    <row r="4" spans="1:112" ht="15">
      <c r="A4" s="168" t="s">
        <v>7670</v>
      </c>
      <c r="B4" s="175"/>
      <c r="C4" s="174">
        <v>3</v>
      </c>
      <c r="D4" s="174">
        <v>1</v>
      </c>
      <c r="E4" s="174">
        <v>3</v>
      </c>
      <c r="F4" s="174">
        <v>21</v>
      </c>
      <c r="I4" s="174"/>
      <c r="K4" s="188">
        <v>5</v>
      </c>
      <c r="L4" s="146">
        <v>42430</v>
      </c>
      <c r="M4" s="174">
        <v>8.3800000000000008</v>
      </c>
      <c r="N4" s="189">
        <v>42580</v>
      </c>
      <c r="S4" s="174">
        <v>22.31</v>
      </c>
      <c r="U4" s="159">
        <v>18.5</v>
      </c>
      <c r="AE4" s="174">
        <v>46.47</v>
      </c>
      <c r="AG4" s="174">
        <v>4.76</v>
      </c>
      <c r="AI4" s="174">
        <v>160</v>
      </c>
      <c r="AJ4" s="160">
        <v>42520</v>
      </c>
      <c r="AK4" s="174"/>
      <c r="AL4" s="174"/>
      <c r="AM4" s="174">
        <v>95</v>
      </c>
      <c r="AN4" s="174"/>
      <c r="AO4" s="174"/>
      <c r="AP4" s="174"/>
      <c r="AR4" s="174"/>
      <c r="AS4" s="174"/>
      <c r="AT4" s="174"/>
      <c r="AU4" s="174"/>
      <c r="AV4" s="174"/>
      <c r="AW4" s="174"/>
      <c r="AX4" s="174"/>
      <c r="AY4" s="174"/>
      <c r="BC4" s="174"/>
      <c r="BD4" s="174"/>
      <c r="BE4" s="174"/>
      <c r="BG4" s="174"/>
      <c r="BI4" s="174"/>
      <c r="BJ4" s="174"/>
      <c r="BK4" s="174"/>
      <c r="BM4" s="174">
        <v>62.680999999999997</v>
      </c>
      <c r="BN4" s="174"/>
      <c r="BO4" s="174"/>
      <c r="BP4" s="174"/>
      <c r="BR4" s="174"/>
      <c r="BS4" s="174">
        <v>48.014000000000003</v>
      </c>
      <c r="BT4" s="174"/>
      <c r="BU4" s="190">
        <v>20.802284240722656</v>
      </c>
      <c r="BV4" s="159"/>
      <c r="BW4" s="174">
        <v>14.935</v>
      </c>
      <c r="BX4" s="159"/>
      <c r="BY4" s="159"/>
      <c r="CB4" s="165"/>
      <c r="CC4" s="174">
        <v>8.4280000000000008</v>
      </c>
      <c r="CD4" s="165"/>
      <c r="CE4" s="174">
        <v>8.1</v>
      </c>
      <c r="CF4" s="165"/>
      <c r="CH4" s="165"/>
      <c r="CJ4" s="165"/>
      <c r="CL4" s="165"/>
      <c r="CN4" s="165"/>
      <c r="CO4" s="130"/>
      <c r="CP4" s="165"/>
      <c r="CQ4" s="130"/>
      <c r="CR4" s="165"/>
      <c r="CS4" s="130"/>
      <c r="CT4" s="130"/>
      <c r="CU4" s="130"/>
      <c r="CV4" s="130"/>
      <c r="CW4" s="130"/>
      <c r="CX4" s="165"/>
      <c r="CY4" s="130"/>
      <c r="CZ4" s="130"/>
      <c r="DA4" s="130"/>
      <c r="DB4" s="130"/>
      <c r="DC4" s="130"/>
      <c r="DD4" s="130"/>
      <c r="DE4" s="130"/>
      <c r="DF4" s="130"/>
      <c r="DG4" s="130"/>
      <c r="DH4" s="130"/>
    </row>
    <row r="5" spans="1:112" ht="15">
      <c r="A5" s="168" t="s">
        <v>7670</v>
      </c>
      <c r="B5" s="175"/>
      <c r="C5" s="174">
        <v>4</v>
      </c>
      <c r="D5" s="174">
        <v>1</v>
      </c>
      <c r="E5" s="174">
        <v>4</v>
      </c>
      <c r="F5" s="174">
        <v>27</v>
      </c>
      <c r="I5" s="174"/>
      <c r="K5" s="188">
        <v>5</v>
      </c>
      <c r="L5" s="146">
        <v>42430</v>
      </c>
      <c r="M5" s="174">
        <v>8.56</v>
      </c>
      <c r="N5" s="189">
        <v>42580</v>
      </c>
      <c r="S5" s="174">
        <v>23.45</v>
      </c>
      <c r="U5" s="159">
        <v>18.5</v>
      </c>
      <c r="AE5" s="174">
        <v>47.7</v>
      </c>
      <c r="AG5" s="174">
        <v>4.57</v>
      </c>
      <c r="AI5" s="174">
        <v>165</v>
      </c>
      <c r="AJ5" s="160">
        <v>42520</v>
      </c>
      <c r="AK5" s="174"/>
      <c r="AL5" s="174"/>
      <c r="AM5" s="174">
        <v>98</v>
      </c>
      <c r="AN5" s="174"/>
      <c r="AO5" s="174"/>
      <c r="AP5" s="174"/>
      <c r="AR5" s="174"/>
      <c r="AS5" s="174"/>
      <c r="AT5" s="174"/>
      <c r="AU5" s="174"/>
      <c r="AV5" s="174"/>
      <c r="AW5" s="174"/>
      <c r="AX5" s="174"/>
      <c r="AY5" s="175"/>
      <c r="BC5" s="174"/>
      <c r="BD5" s="174"/>
      <c r="BE5" s="174"/>
      <c r="BG5" s="174"/>
      <c r="BI5" s="174"/>
      <c r="BJ5" s="174"/>
      <c r="BK5" s="174"/>
      <c r="BM5" s="174">
        <v>61.631999999999998</v>
      </c>
      <c r="BN5" s="174"/>
      <c r="BO5" s="174"/>
      <c r="BP5" s="174"/>
      <c r="BR5" s="174"/>
      <c r="BS5" s="174">
        <v>49.161000000000001</v>
      </c>
      <c r="BT5" s="174"/>
      <c r="BU5" s="190">
        <v>19.91871452331543</v>
      </c>
      <c r="BV5" s="159"/>
      <c r="BW5" s="174">
        <v>13.932</v>
      </c>
      <c r="BX5" s="159"/>
      <c r="BY5" s="159"/>
      <c r="CB5" s="165"/>
      <c r="CC5" s="174">
        <v>7.984</v>
      </c>
      <c r="CD5" s="165"/>
      <c r="CE5" s="174">
        <v>7.6</v>
      </c>
      <c r="CF5" s="165"/>
      <c r="CH5" s="165"/>
      <c r="CJ5" s="165"/>
      <c r="CL5" s="165"/>
      <c r="CN5" s="165"/>
      <c r="CO5" s="130"/>
      <c r="CP5" s="165"/>
      <c r="CQ5" s="130"/>
      <c r="CR5" s="165"/>
      <c r="CS5" s="130"/>
      <c r="CT5" s="130"/>
      <c r="CU5" s="130"/>
      <c r="CV5" s="130"/>
      <c r="CW5" s="130"/>
      <c r="CX5" s="165"/>
      <c r="CY5" s="130"/>
      <c r="CZ5" s="130"/>
      <c r="DA5" s="130"/>
      <c r="DB5" s="130"/>
      <c r="DC5" s="130"/>
      <c r="DD5" s="130"/>
      <c r="DE5" s="130"/>
      <c r="DF5" s="130"/>
      <c r="DG5" s="130"/>
      <c r="DH5" s="130"/>
    </row>
    <row r="6" spans="1:112" ht="15">
      <c r="A6" s="168" t="s">
        <v>7670</v>
      </c>
      <c r="B6" s="175"/>
      <c r="C6" s="174">
        <v>5</v>
      </c>
      <c r="D6" s="174">
        <v>1</v>
      </c>
      <c r="E6" s="174">
        <v>5</v>
      </c>
      <c r="F6" s="174">
        <v>32</v>
      </c>
      <c r="I6" s="174"/>
      <c r="K6" s="188">
        <v>7</v>
      </c>
      <c r="L6" s="146">
        <v>42430</v>
      </c>
      <c r="M6" s="174">
        <v>8.11</v>
      </c>
      <c r="N6" s="189">
        <v>42580</v>
      </c>
      <c r="S6" s="174">
        <v>22.53</v>
      </c>
      <c r="U6" s="159">
        <v>18.5</v>
      </c>
      <c r="AE6" s="174">
        <v>45.16</v>
      </c>
      <c r="AG6" s="174">
        <v>4.62</v>
      </c>
      <c r="AI6" s="174">
        <v>155</v>
      </c>
      <c r="AJ6" s="160">
        <v>42520</v>
      </c>
      <c r="AK6" s="174"/>
      <c r="AL6" s="174"/>
      <c r="AM6" s="174">
        <v>98</v>
      </c>
      <c r="AN6" s="174"/>
      <c r="AO6" s="174"/>
      <c r="AP6" s="174"/>
      <c r="AR6" s="174"/>
      <c r="AS6" s="174"/>
      <c r="AT6" s="174"/>
      <c r="AU6" s="174"/>
      <c r="AV6" s="174"/>
      <c r="AW6" s="174"/>
      <c r="AX6" s="174"/>
      <c r="AY6" s="174"/>
      <c r="BC6" s="174"/>
      <c r="BD6" s="174"/>
      <c r="BE6" s="174"/>
      <c r="BG6" s="174"/>
      <c r="BI6" s="174"/>
      <c r="BJ6" s="174"/>
      <c r="BK6" s="174"/>
      <c r="BM6" s="174">
        <v>63.290999999999997</v>
      </c>
      <c r="BN6" s="174"/>
      <c r="BO6" s="174"/>
      <c r="BP6" s="174"/>
      <c r="BR6" s="174"/>
      <c r="BS6" s="174">
        <v>49.898000000000003</v>
      </c>
      <c r="BT6" s="174"/>
      <c r="BU6" s="190">
        <v>18.540006637573242</v>
      </c>
      <c r="BV6" s="159"/>
      <c r="BW6" s="174">
        <v>12.765000000000001</v>
      </c>
      <c r="BX6" s="159"/>
      <c r="BY6" s="159"/>
      <c r="CB6" s="165"/>
      <c r="CC6" s="174">
        <v>8.0519999999999996</v>
      </c>
      <c r="CD6" s="165"/>
      <c r="CE6" s="174">
        <v>7.5</v>
      </c>
      <c r="CF6" s="165"/>
      <c r="CH6" s="165"/>
      <c r="CJ6" s="165"/>
      <c r="CL6" s="165"/>
      <c r="CN6" s="165"/>
      <c r="CO6" s="130"/>
      <c r="CP6" s="165"/>
      <c r="CQ6" s="130"/>
      <c r="CR6" s="165"/>
      <c r="CS6" s="130"/>
      <c r="CT6" s="130"/>
      <c r="CU6" s="130"/>
      <c r="CV6" s="130"/>
      <c r="CW6" s="130"/>
      <c r="CX6" s="165"/>
      <c r="CY6" s="130"/>
      <c r="CZ6" s="130"/>
      <c r="DA6" s="130"/>
      <c r="DB6" s="130"/>
      <c r="DC6" s="130"/>
      <c r="DD6" s="130"/>
      <c r="DE6" s="130"/>
      <c r="DF6" s="130"/>
      <c r="DG6" s="130"/>
      <c r="DH6" s="130"/>
    </row>
    <row r="7" spans="1:112" ht="15">
      <c r="A7" s="168" t="s">
        <v>7670</v>
      </c>
      <c r="B7" s="175"/>
      <c r="C7" s="174">
        <v>6</v>
      </c>
      <c r="D7" s="174">
        <v>1</v>
      </c>
      <c r="E7" s="174">
        <v>6</v>
      </c>
      <c r="F7" s="174">
        <v>15</v>
      </c>
      <c r="I7" s="174"/>
      <c r="K7" s="188">
        <v>8</v>
      </c>
      <c r="L7" s="146">
        <v>42430</v>
      </c>
      <c r="M7" s="174">
        <v>8.2100000000000009</v>
      </c>
      <c r="N7" s="189">
        <v>42580</v>
      </c>
      <c r="S7" s="174">
        <v>22.73</v>
      </c>
      <c r="U7" s="159">
        <v>18.5</v>
      </c>
      <c r="AE7" s="174">
        <v>45.83</v>
      </c>
      <c r="AG7" s="174">
        <v>4.05</v>
      </c>
      <c r="AI7" s="174">
        <v>160</v>
      </c>
      <c r="AJ7" s="160">
        <v>42520</v>
      </c>
      <c r="AK7" s="174"/>
      <c r="AL7" s="174"/>
      <c r="AM7" s="174">
        <v>98</v>
      </c>
      <c r="AN7" s="174"/>
      <c r="AO7" s="174"/>
      <c r="AP7" s="174"/>
      <c r="AR7" s="174"/>
      <c r="AS7" s="174"/>
      <c r="AT7" s="174"/>
      <c r="AU7" s="174"/>
      <c r="AV7" s="174"/>
      <c r="AW7" s="174"/>
      <c r="AX7" s="174"/>
      <c r="AY7" s="174"/>
      <c r="BC7" s="174"/>
      <c r="BD7" s="174"/>
      <c r="BE7" s="174"/>
      <c r="BG7" s="174"/>
      <c r="BI7" s="174"/>
      <c r="BJ7" s="174"/>
      <c r="BK7" s="174"/>
      <c r="BM7" s="174">
        <v>61.476999999999997</v>
      </c>
      <c r="BN7" s="174"/>
      <c r="BO7" s="174"/>
      <c r="BP7" s="174"/>
      <c r="BR7" s="174"/>
      <c r="BS7" s="174">
        <v>49.598999999999997</v>
      </c>
      <c r="BT7" s="174"/>
      <c r="BU7" s="190">
        <v>19.221591949462891</v>
      </c>
      <c r="BV7" s="159"/>
      <c r="BW7" s="174">
        <v>14.433999999999999</v>
      </c>
      <c r="BX7" s="159"/>
      <c r="BY7" s="159"/>
      <c r="CB7" s="165"/>
      <c r="CC7" s="174">
        <v>7.8150000000000004</v>
      </c>
      <c r="CD7" s="165"/>
      <c r="CE7" s="174">
        <v>7.3</v>
      </c>
      <c r="CF7" s="165"/>
      <c r="CH7" s="165"/>
      <c r="CJ7" s="165"/>
      <c r="CL7" s="165"/>
      <c r="CN7" s="165"/>
      <c r="CO7" s="130"/>
      <c r="CP7" s="165"/>
      <c r="CQ7" s="130"/>
      <c r="CR7" s="165"/>
      <c r="CS7" s="130"/>
      <c r="CT7" s="130"/>
      <c r="CU7" s="130"/>
      <c r="CV7" s="130"/>
      <c r="CW7" s="130"/>
      <c r="CX7" s="165"/>
      <c r="CY7" s="130"/>
      <c r="CZ7" s="130"/>
      <c r="DA7" s="130"/>
      <c r="DB7" s="130"/>
      <c r="DC7" s="130"/>
      <c r="DD7" s="130"/>
      <c r="DE7" s="130"/>
      <c r="DF7" s="130"/>
      <c r="DG7" s="130"/>
      <c r="DH7" s="130"/>
    </row>
    <row r="8" spans="1:112" ht="15">
      <c r="A8" s="168" t="s">
        <v>7673</v>
      </c>
      <c r="B8" s="175"/>
      <c r="C8" s="174">
        <v>1</v>
      </c>
      <c r="D8" s="174">
        <v>2</v>
      </c>
      <c r="E8" s="174">
        <v>1</v>
      </c>
      <c r="F8" s="174">
        <v>27</v>
      </c>
      <c r="I8" s="174"/>
      <c r="K8" s="188">
        <v>9</v>
      </c>
      <c r="L8" s="146">
        <v>42430</v>
      </c>
      <c r="M8" s="174">
        <v>7.25</v>
      </c>
      <c r="N8" s="189">
        <v>42580</v>
      </c>
      <c r="S8" s="174">
        <v>18.940000000000001</v>
      </c>
      <c r="U8" s="159">
        <v>18.5</v>
      </c>
      <c r="AE8" s="174">
        <v>40.369999999999997</v>
      </c>
      <c r="AG8" s="174">
        <v>4.4400000000000004</v>
      </c>
      <c r="AI8" s="174">
        <v>170</v>
      </c>
      <c r="AJ8" s="160">
        <v>42520</v>
      </c>
      <c r="AK8" s="174"/>
      <c r="AL8" s="174"/>
      <c r="AM8" s="174">
        <v>95</v>
      </c>
      <c r="AN8" s="174"/>
      <c r="AO8" s="174"/>
      <c r="AP8" s="174"/>
      <c r="AR8" s="174"/>
      <c r="AS8" s="174"/>
      <c r="AT8" s="174"/>
      <c r="AU8" s="174"/>
      <c r="AV8" s="174"/>
      <c r="AW8" s="174"/>
      <c r="AX8" s="174"/>
      <c r="AY8" s="174"/>
      <c r="BC8" s="174"/>
      <c r="BD8" s="174"/>
      <c r="BE8" s="174"/>
      <c r="BG8" s="174"/>
      <c r="BI8" s="174"/>
      <c r="BJ8" s="174"/>
      <c r="BK8" s="174"/>
      <c r="BM8" s="174">
        <v>60.298000000000002</v>
      </c>
      <c r="BN8" s="174"/>
      <c r="BO8" s="174"/>
      <c r="BP8" s="174"/>
      <c r="BR8" s="174"/>
      <c r="BS8" s="174">
        <v>46.905999999999999</v>
      </c>
      <c r="BT8" s="174"/>
      <c r="BU8" s="190">
        <v>21.677328109741211</v>
      </c>
      <c r="BV8" s="159"/>
      <c r="BW8" s="174">
        <v>15.419</v>
      </c>
      <c r="BX8" s="159"/>
      <c r="BY8" s="159"/>
      <c r="CB8" s="165"/>
      <c r="CC8" s="174">
        <v>8.0419999999999998</v>
      </c>
      <c r="CD8" s="165"/>
      <c r="CE8" s="174">
        <v>8.1</v>
      </c>
      <c r="CF8" s="165"/>
      <c r="CH8" s="165"/>
      <c r="CJ8" s="165"/>
      <c r="CL8" s="165"/>
      <c r="CN8" s="165"/>
      <c r="CO8" s="130"/>
      <c r="CP8" s="165"/>
      <c r="CQ8" s="130"/>
      <c r="CR8" s="165"/>
      <c r="CS8" s="130"/>
      <c r="CT8" s="130"/>
      <c r="CU8" s="130"/>
      <c r="CV8" s="130"/>
      <c r="CW8" s="130"/>
      <c r="CX8" s="165"/>
      <c r="CY8" s="130"/>
      <c r="CZ8" s="130"/>
      <c r="DA8" s="130"/>
      <c r="DB8" s="130"/>
      <c r="DC8" s="130"/>
      <c r="DD8" s="130"/>
      <c r="DE8" s="130"/>
      <c r="DF8" s="130"/>
      <c r="DG8" s="130"/>
      <c r="DH8" s="130"/>
    </row>
    <row r="9" spans="1:112" ht="15">
      <c r="A9" s="168" t="s">
        <v>7673</v>
      </c>
      <c r="B9" s="175"/>
      <c r="C9" s="174">
        <v>2</v>
      </c>
      <c r="D9" s="174">
        <v>2</v>
      </c>
      <c r="E9" s="174">
        <v>2</v>
      </c>
      <c r="F9" s="174">
        <v>28</v>
      </c>
      <c r="I9" s="174"/>
      <c r="K9" s="188">
        <v>8</v>
      </c>
      <c r="L9" s="146">
        <v>42430</v>
      </c>
      <c r="M9" s="174">
        <v>7.76</v>
      </c>
      <c r="N9" s="189">
        <v>42580</v>
      </c>
      <c r="S9" s="174">
        <v>20.23</v>
      </c>
      <c r="U9" s="159">
        <v>18.5</v>
      </c>
      <c r="AE9" s="174">
        <v>43.1</v>
      </c>
      <c r="AG9" s="174">
        <v>4.47</v>
      </c>
      <c r="AI9" s="174">
        <v>170</v>
      </c>
      <c r="AJ9" s="160">
        <v>42520</v>
      </c>
      <c r="AK9" s="174"/>
      <c r="AL9" s="174"/>
      <c r="AM9" s="174">
        <v>95</v>
      </c>
      <c r="AN9" s="174"/>
      <c r="AO9" s="174"/>
      <c r="AP9" s="174"/>
      <c r="AR9" s="174"/>
      <c r="AS9" s="174"/>
      <c r="AT9" s="174"/>
      <c r="AU9" s="174"/>
      <c r="AV9" s="174"/>
      <c r="AW9" s="174"/>
      <c r="AX9" s="174"/>
      <c r="AY9" s="174"/>
      <c r="BC9" s="174"/>
      <c r="BD9" s="174"/>
      <c r="BE9" s="174"/>
      <c r="BG9" s="174"/>
      <c r="BI9" s="174"/>
      <c r="BJ9" s="174"/>
      <c r="BK9" s="174"/>
      <c r="BM9" s="174">
        <v>61.021000000000001</v>
      </c>
      <c r="BN9" s="174"/>
      <c r="BO9" s="174"/>
      <c r="BP9" s="174"/>
      <c r="BR9" s="174"/>
      <c r="BS9" s="174">
        <v>46.944000000000003</v>
      </c>
      <c r="BT9" s="174"/>
      <c r="BU9" s="190">
        <v>21.013547897338867</v>
      </c>
      <c r="BV9" s="159"/>
      <c r="BW9" s="174">
        <v>11.662000000000001</v>
      </c>
      <c r="BX9" s="159"/>
      <c r="BY9" s="159"/>
      <c r="CB9" s="165"/>
      <c r="CC9" s="174">
        <v>8.2859999999999996</v>
      </c>
      <c r="CD9" s="165"/>
      <c r="CE9" s="174">
        <v>7.9</v>
      </c>
      <c r="CF9" s="165"/>
      <c r="CH9" s="165"/>
      <c r="CJ9" s="165"/>
      <c r="CL9" s="165"/>
      <c r="CN9" s="165"/>
      <c r="CO9" s="130"/>
      <c r="CP9" s="165"/>
      <c r="CQ9" s="130"/>
      <c r="CR9" s="165"/>
      <c r="CS9" s="130"/>
      <c r="CT9" s="130"/>
      <c r="CU9" s="130"/>
      <c r="CV9" s="130"/>
      <c r="CW9" s="130"/>
      <c r="CX9" s="165"/>
      <c r="CY9" s="130"/>
      <c r="CZ9" s="130"/>
      <c r="DA9" s="130"/>
      <c r="DB9" s="130"/>
      <c r="DC9" s="130"/>
      <c r="DD9" s="130"/>
      <c r="DE9" s="130"/>
      <c r="DF9" s="130"/>
      <c r="DG9" s="130"/>
      <c r="DH9" s="130"/>
    </row>
    <row r="10" spans="1:112" ht="15">
      <c r="A10" s="168" t="s">
        <v>7673</v>
      </c>
      <c r="B10" s="175"/>
      <c r="C10" s="174">
        <v>3</v>
      </c>
      <c r="D10" s="174">
        <v>2</v>
      </c>
      <c r="E10" s="174">
        <v>3</v>
      </c>
      <c r="F10" s="174">
        <v>10</v>
      </c>
      <c r="I10" s="174"/>
      <c r="K10" s="188">
        <v>5</v>
      </c>
      <c r="L10" s="146">
        <v>42430</v>
      </c>
      <c r="M10" s="174">
        <v>8.1199999999999992</v>
      </c>
      <c r="N10" s="189">
        <v>42580</v>
      </c>
      <c r="S10" s="174">
        <v>21.41</v>
      </c>
      <c r="U10" s="159">
        <v>18.5</v>
      </c>
      <c r="AE10" s="174">
        <v>45.02</v>
      </c>
      <c r="AG10" s="174">
        <v>4.57</v>
      </c>
      <c r="AI10" s="174">
        <v>170</v>
      </c>
      <c r="AJ10" s="160">
        <v>42520</v>
      </c>
      <c r="AK10" s="174"/>
      <c r="AL10" s="174"/>
      <c r="AM10" s="174">
        <v>92</v>
      </c>
      <c r="AN10" s="174"/>
      <c r="AO10" s="174"/>
      <c r="AP10" s="174"/>
      <c r="AR10" s="174"/>
      <c r="AS10" s="174"/>
      <c r="AT10" s="174"/>
      <c r="AU10" s="174"/>
      <c r="AV10" s="174"/>
      <c r="AW10" s="174"/>
      <c r="AX10" s="174"/>
      <c r="AY10" s="175"/>
      <c r="BC10" s="174"/>
      <c r="BD10" s="174"/>
      <c r="BE10" s="174"/>
      <c r="BG10" s="174"/>
      <c r="BI10" s="174"/>
      <c r="BJ10" s="174"/>
      <c r="BK10" s="174"/>
      <c r="BM10" s="174">
        <v>60.774000000000001</v>
      </c>
      <c r="BN10" s="174"/>
      <c r="BO10" s="174"/>
      <c r="BP10" s="174"/>
      <c r="BR10" s="174"/>
      <c r="BS10" s="174">
        <v>47.552999999999997</v>
      </c>
      <c r="BT10" s="174"/>
      <c r="BU10" s="190">
        <v>21.118701934814453</v>
      </c>
      <c r="BV10" s="159"/>
      <c r="BW10" s="174">
        <v>10.6</v>
      </c>
      <c r="BX10" s="159"/>
      <c r="BY10" s="159"/>
      <c r="CB10" s="165"/>
      <c r="CC10" s="174">
        <v>8.4450000000000003</v>
      </c>
      <c r="CD10" s="165"/>
      <c r="CE10" s="174">
        <v>8.1999999999999993</v>
      </c>
      <c r="CF10" s="165"/>
      <c r="CH10" s="165"/>
      <c r="CJ10" s="165"/>
      <c r="CL10" s="165"/>
      <c r="CN10" s="165"/>
      <c r="CO10" s="130"/>
      <c r="CP10" s="165"/>
      <c r="CQ10" s="130"/>
      <c r="CR10" s="165"/>
      <c r="CS10" s="130"/>
      <c r="CT10" s="130"/>
      <c r="CU10" s="130"/>
      <c r="CV10" s="130"/>
      <c r="CW10" s="130"/>
      <c r="CX10" s="165"/>
      <c r="CY10" s="130"/>
      <c r="CZ10" s="130"/>
      <c r="DA10" s="130"/>
      <c r="DB10" s="130"/>
      <c r="DC10" s="130"/>
      <c r="DD10" s="130"/>
      <c r="DE10" s="130"/>
      <c r="DF10" s="130"/>
      <c r="DG10" s="130"/>
      <c r="DH10" s="130"/>
    </row>
    <row r="11" spans="1:112" ht="15">
      <c r="A11" s="168" t="s">
        <v>7673</v>
      </c>
      <c r="B11" s="175"/>
      <c r="C11" s="174">
        <v>4</v>
      </c>
      <c r="D11" s="174">
        <v>2</v>
      </c>
      <c r="E11" s="174">
        <v>4</v>
      </c>
      <c r="F11" s="174">
        <v>12</v>
      </c>
      <c r="I11" s="174"/>
      <c r="K11" s="188">
        <v>7</v>
      </c>
      <c r="L11" s="146">
        <v>42430</v>
      </c>
      <c r="M11" s="174">
        <v>7.72</v>
      </c>
      <c r="N11" s="189">
        <v>42580</v>
      </c>
      <c r="S11" s="174">
        <v>20.440000000000001</v>
      </c>
      <c r="U11" s="159">
        <v>18.5</v>
      </c>
      <c r="AE11" s="174">
        <v>42.91</v>
      </c>
      <c r="AG11" s="174">
        <v>3.49</v>
      </c>
      <c r="AI11" s="174">
        <v>170</v>
      </c>
      <c r="AJ11" s="160">
        <v>42520</v>
      </c>
      <c r="AK11" s="174"/>
      <c r="AL11" s="174"/>
      <c r="AM11" s="174">
        <v>92</v>
      </c>
      <c r="AN11" s="174"/>
      <c r="AO11" s="174"/>
      <c r="AP11" s="174"/>
      <c r="AR11" s="174"/>
      <c r="AS11" s="174"/>
      <c r="AT11" s="174"/>
      <c r="AU11" s="174"/>
      <c r="AV11" s="174"/>
      <c r="AW11" s="174"/>
      <c r="AX11" s="174"/>
      <c r="AY11" s="175"/>
      <c r="BC11" s="174"/>
      <c r="BD11" s="174"/>
      <c r="BE11" s="174"/>
      <c r="BG11" s="174"/>
      <c r="BI11" s="174"/>
      <c r="BJ11" s="174"/>
      <c r="BK11" s="174"/>
      <c r="BM11" s="174">
        <v>61.529000000000003</v>
      </c>
      <c r="BN11" s="174"/>
      <c r="BO11" s="174"/>
      <c r="BP11" s="174"/>
      <c r="BR11" s="174"/>
      <c r="BS11" s="174">
        <v>47.633000000000003</v>
      </c>
      <c r="BT11" s="174"/>
      <c r="BU11" s="190">
        <v>20.503627777099609</v>
      </c>
      <c r="BV11" s="159"/>
      <c r="BW11" s="174">
        <v>12.194000000000001</v>
      </c>
      <c r="BX11" s="159"/>
      <c r="BY11" s="159"/>
      <c r="CB11" s="165"/>
      <c r="CC11" s="174">
        <v>8.2100000000000009</v>
      </c>
      <c r="CD11" s="165"/>
      <c r="CE11" s="174">
        <v>7.7</v>
      </c>
      <c r="CF11" s="165"/>
      <c r="CH11" s="165"/>
      <c r="CJ11" s="165"/>
      <c r="CL11" s="165"/>
      <c r="CN11" s="165"/>
      <c r="CO11" s="130"/>
      <c r="CP11" s="165"/>
      <c r="CQ11" s="130"/>
      <c r="CR11" s="165"/>
      <c r="CS11" s="130"/>
      <c r="CT11" s="130"/>
      <c r="CU11" s="130"/>
      <c r="CV11" s="130"/>
      <c r="CW11" s="130"/>
      <c r="CX11" s="165"/>
      <c r="CY11" s="130"/>
      <c r="CZ11" s="130"/>
      <c r="DA11" s="130"/>
      <c r="DB11" s="130"/>
      <c r="DC11" s="130"/>
      <c r="DD11" s="130"/>
      <c r="DE11" s="130"/>
      <c r="DF11" s="130"/>
      <c r="DG11" s="130"/>
      <c r="DH11" s="130"/>
    </row>
    <row r="12" spans="1:112" ht="15">
      <c r="A12" s="168" t="s">
        <v>7673</v>
      </c>
      <c r="B12" s="175"/>
      <c r="C12" s="174">
        <v>5</v>
      </c>
      <c r="D12" s="174">
        <v>2</v>
      </c>
      <c r="E12" s="174">
        <v>5</v>
      </c>
      <c r="F12" s="174">
        <v>1</v>
      </c>
      <c r="I12" s="174"/>
      <c r="K12" s="188">
        <v>8</v>
      </c>
      <c r="L12" s="146">
        <v>42430</v>
      </c>
      <c r="M12" s="174">
        <v>6.99</v>
      </c>
      <c r="N12" s="189">
        <v>42580</v>
      </c>
      <c r="S12" s="174">
        <v>18.350000000000001</v>
      </c>
      <c r="U12" s="159">
        <v>18.5</v>
      </c>
      <c r="AE12" s="174">
        <v>38.93</v>
      </c>
      <c r="AG12" s="174">
        <v>4.17</v>
      </c>
      <c r="AI12" s="174">
        <v>150</v>
      </c>
      <c r="AJ12" s="160">
        <v>42520</v>
      </c>
      <c r="AK12" s="174"/>
      <c r="AL12" s="174"/>
      <c r="AM12" s="174">
        <v>98</v>
      </c>
      <c r="AN12" s="174"/>
      <c r="AO12" s="174"/>
      <c r="AP12" s="174"/>
      <c r="AR12" s="174"/>
      <c r="AS12" s="174"/>
      <c r="AT12" s="174"/>
      <c r="AU12" s="174"/>
      <c r="AV12" s="174"/>
      <c r="AW12" s="174"/>
      <c r="AX12" s="174"/>
      <c r="AY12" s="174"/>
      <c r="BC12" s="174"/>
      <c r="BD12" s="174"/>
      <c r="BE12" s="174"/>
      <c r="BG12" s="174"/>
      <c r="BI12" s="174"/>
      <c r="BJ12" s="174"/>
      <c r="BK12" s="174"/>
      <c r="BM12" s="174">
        <v>59.896999999999998</v>
      </c>
      <c r="BN12" s="174"/>
      <c r="BO12" s="174"/>
      <c r="BP12" s="174"/>
      <c r="BR12" s="174"/>
      <c r="BS12" s="174">
        <v>47.134</v>
      </c>
      <c r="BT12" s="174"/>
      <c r="BU12" s="190">
        <v>19.955966949462891</v>
      </c>
      <c r="BV12" s="159"/>
      <c r="BW12" s="174">
        <v>12.34</v>
      </c>
      <c r="BX12" s="159"/>
      <c r="BY12" s="159"/>
      <c r="CB12" s="165"/>
      <c r="CC12" s="174">
        <v>8.0250000000000004</v>
      </c>
      <c r="CD12" s="165"/>
      <c r="CE12" s="174">
        <v>7.7</v>
      </c>
      <c r="CF12" s="165"/>
      <c r="CH12" s="165"/>
      <c r="CJ12" s="165"/>
      <c r="CL12" s="165"/>
      <c r="CN12" s="165"/>
      <c r="CO12" s="130"/>
      <c r="CP12" s="165"/>
      <c r="CQ12" s="130"/>
      <c r="CR12" s="165"/>
      <c r="CS12" s="130"/>
      <c r="CT12" s="130"/>
      <c r="CU12" s="130"/>
      <c r="CV12" s="130"/>
      <c r="CW12" s="130"/>
      <c r="CX12" s="165"/>
      <c r="CY12" s="130"/>
      <c r="CZ12" s="130"/>
      <c r="DA12" s="130"/>
      <c r="DB12" s="130"/>
      <c r="DC12" s="130"/>
      <c r="DD12" s="130"/>
      <c r="DE12" s="130"/>
      <c r="DF12" s="130"/>
      <c r="DG12" s="130"/>
      <c r="DH12" s="130"/>
    </row>
    <row r="13" spans="1:112" ht="15">
      <c r="A13" s="168" t="s">
        <v>7673</v>
      </c>
      <c r="B13" s="175"/>
      <c r="C13" s="174">
        <v>6</v>
      </c>
      <c r="D13" s="174">
        <v>2</v>
      </c>
      <c r="E13" s="174">
        <v>6</v>
      </c>
      <c r="F13" s="174">
        <v>6</v>
      </c>
      <c r="I13" s="174"/>
      <c r="K13" s="188">
        <v>8</v>
      </c>
      <c r="L13" s="146">
        <v>42430</v>
      </c>
      <c r="M13" s="174">
        <v>7.63</v>
      </c>
      <c r="N13" s="189">
        <v>42580</v>
      </c>
      <c r="S13" s="174">
        <v>20.059999999999999</v>
      </c>
      <c r="U13" s="159">
        <v>18.5</v>
      </c>
      <c r="AE13" s="174">
        <v>42.46</v>
      </c>
      <c r="AG13" s="174">
        <v>3.95</v>
      </c>
      <c r="AI13" s="174">
        <v>160</v>
      </c>
      <c r="AJ13" s="160">
        <v>42520</v>
      </c>
      <c r="AK13" s="174"/>
      <c r="AL13" s="174"/>
      <c r="AM13" s="174">
        <v>95</v>
      </c>
      <c r="AN13" s="174"/>
      <c r="AO13" s="174"/>
      <c r="AP13" s="174"/>
      <c r="AR13" s="174"/>
      <c r="AS13" s="174"/>
      <c r="AT13" s="174"/>
      <c r="AU13" s="174"/>
      <c r="AV13" s="174"/>
      <c r="AW13" s="174"/>
      <c r="AX13" s="174"/>
      <c r="AY13" s="174"/>
      <c r="BC13" s="174"/>
      <c r="BD13" s="174"/>
      <c r="BE13" s="174"/>
      <c r="BG13" s="174"/>
      <c r="BI13" s="174"/>
      <c r="BJ13" s="174"/>
      <c r="BK13" s="174"/>
      <c r="BM13" s="174">
        <v>60.058999999999997</v>
      </c>
      <c r="BN13" s="174"/>
      <c r="BO13" s="174"/>
      <c r="BP13" s="174"/>
      <c r="BR13" s="174"/>
      <c r="BS13" s="174">
        <v>47.232999999999997</v>
      </c>
      <c r="BT13" s="174"/>
      <c r="BU13" s="190">
        <v>20.658103942871094</v>
      </c>
      <c r="BV13" s="159"/>
      <c r="BW13" s="174">
        <v>13.083</v>
      </c>
      <c r="BX13" s="159"/>
      <c r="BY13" s="159"/>
      <c r="CB13" s="165"/>
      <c r="CC13" s="174">
        <v>8.1120000000000001</v>
      </c>
      <c r="CD13" s="165"/>
      <c r="CE13" s="174">
        <v>7.5</v>
      </c>
      <c r="CF13" s="165"/>
      <c r="CH13" s="165"/>
      <c r="CJ13" s="165"/>
      <c r="CL13" s="165"/>
      <c r="CN13" s="165"/>
      <c r="CO13" s="130"/>
      <c r="CP13" s="165"/>
      <c r="CQ13" s="130"/>
      <c r="CR13" s="165"/>
      <c r="CS13" s="130"/>
      <c r="CT13" s="130"/>
      <c r="CU13" s="130"/>
      <c r="CV13" s="130"/>
      <c r="CW13" s="130"/>
      <c r="CX13" s="165"/>
      <c r="CY13" s="130"/>
      <c r="CZ13" s="130"/>
      <c r="DA13" s="130"/>
      <c r="DB13" s="130"/>
      <c r="DC13" s="130"/>
      <c r="DD13" s="130"/>
      <c r="DE13" s="130"/>
      <c r="DF13" s="130"/>
      <c r="DG13" s="130"/>
      <c r="DH13" s="130"/>
    </row>
    <row r="14" spans="1:112" ht="15">
      <c r="A14" s="168" t="s">
        <v>7674</v>
      </c>
      <c r="B14" s="175"/>
      <c r="C14" s="174">
        <v>1</v>
      </c>
      <c r="D14" s="174">
        <v>3</v>
      </c>
      <c r="E14" s="174">
        <v>1</v>
      </c>
      <c r="F14" s="174">
        <v>17</v>
      </c>
      <c r="I14" s="174"/>
      <c r="K14" s="188">
        <v>8</v>
      </c>
      <c r="L14" s="146">
        <v>42430</v>
      </c>
      <c r="M14" s="174">
        <v>7.1</v>
      </c>
      <c r="N14" s="189">
        <v>42580</v>
      </c>
      <c r="S14" s="174">
        <v>18.2</v>
      </c>
      <c r="U14" s="159">
        <v>18.5</v>
      </c>
      <c r="AE14" s="174">
        <v>39.44</v>
      </c>
      <c r="AG14" s="174">
        <v>4.4000000000000004</v>
      </c>
      <c r="AI14" s="174">
        <v>170</v>
      </c>
      <c r="AJ14" s="160">
        <v>42520</v>
      </c>
      <c r="AK14" s="174"/>
      <c r="AL14" s="174"/>
      <c r="AM14" s="174">
        <v>92</v>
      </c>
      <c r="AN14" s="174"/>
      <c r="AO14" s="174"/>
      <c r="AP14" s="174"/>
      <c r="AR14" s="174"/>
      <c r="AS14" s="174"/>
      <c r="AT14" s="174"/>
      <c r="AU14" s="174"/>
      <c r="AV14" s="174"/>
      <c r="AW14" s="174"/>
      <c r="AX14" s="174"/>
      <c r="AY14" s="174"/>
      <c r="BC14" s="174"/>
      <c r="BD14" s="174"/>
      <c r="BE14" s="174"/>
      <c r="BG14" s="174"/>
      <c r="BI14" s="174"/>
      <c r="BJ14" s="174"/>
      <c r="BK14" s="174"/>
      <c r="BM14" s="174">
        <v>60.978000000000002</v>
      </c>
      <c r="BN14" s="174"/>
      <c r="BO14" s="174"/>
      <c r="BP14" s="174"/>
      <c r="BR14" s="174"/>
      <c r="BS14" s="174">
        <v>46.152000000000001</v>
      </c>
      <c r="BT14" s="174"/>
      <c r="BU14" s="190">
        <v>21.348695755004883</v>
      </c>
      <c r="BV14" s="159"/>
      <c r="BW14" s="174">
        <v>12.881</v>
      </c>
      <c r="BX14" s="159"/>
      <c r="BY14" s="159"/>
      <c r="CB14" s="165"/>
      <c r="CC14" s="174">
        <v>8.27</v>
      </c>
      <c r="CD14" s="165"/>
      <c r="CE14" s="174">
        <v>8.3000000000000007</v>
      </c>
      <c r="CF14" s="165"/>
      <c r="CH14" s="165"/>
      <c r="CJ14" s="165"/>
      <c r="CL14" s="165"/>
      <c r="CN14" s="165"/>
      <c r="CO14" s="130"/>
      <c r="CP14" s="165"/>
      <c r="CQ14" s="130"/>
      <c r="CR14" s="165"/>
      <c r="CS14" s="130"/>
      <c r="CT14" s="130"/>
      <c r="CU14" s="130"/>
      <c r="CV14" s="130"/>
      <c r="CW14" s="130"/>
      <c r="CX14" s="165"/>
      <c r="CY14" s="130"/>
      <c r="CZ14" s="130"/>
      <c r="DA14" s="130"/>
      <c r="DB14" s="130"/>
      <c r="DC14" s="130"/>
      <c r="DD14" s="130"/>
      <c r="DE14" s="130"/>
      <c r="DF14" s="130"/>
      <c r="DG14" s="130"/>
      <c r="DH14" s="130"/>
    </row>
    <row r="15" spans="1:112" ht="15">
      <c r="A15" s="168" t="s">
        <v>7674</v>
      </c>
      <c r="B15" s="175"/>
      <c r="C15" s="174">
        <v>2</v>
      </c>
      <c r="D15" s="174">
        <v>3</v>
      </c>
      <c r="E15" s="174">
        <v>2</v>
      </c>
      <c r="F15" s="174">
        <v>21</v>
      </c>
      <c r="I15" s="174"/>
      <c r="K15" s="188">
        <v>9</v>
      </c>
      <c r="L15" s="146">
        <v>42430</v>
      </c>
      <c r="M15" s="174">
        <v>7.33</v>
      </c>
      <c r="N15" s="189">
        <v>42580</v>
      </c>
      <c r="S15" s="174">
        <v>18.78</v>
      </c>
      <c r="U15" s="159">
        <v>18.5</v>
      </c>
      <c r="AE15" s="174">
        <v>40.82</v>
      </c>
      <c r="AG15" s="174">
        <v>4.41</v>
      </c>
      <c r="AI15" s="174">
        <v>170</v>
      </c>
      <c r="AJ15" s="160">
        <v>42520</v>
      </c>
      <c r="AK15" s="174"/>
      <c r="AL15" s="174"/>
      <c r="AM15" s="174">
        <v>95</v>
      </c>
      <c r="AN15" s="174"/>
      <c r="AO15" s="174"/>
      <c r="AP15" s="174"/>
      <c r="AR15" s="174"/>
      <c r="AS15" s="174"/>
      <c r="AT15" s="174"/>
      <c r="AU15" s="174"/>
      <c r="AV15" s="174"/>
      <c r="AW15" s="174"/>
      <c r="AX15" s="174"/>
      <c r="AY15" s="174"/>
      <c r="BC15" s="174"/>
      <c r="BD15" s="174"/>
      <c r="BE15" s="174"/>
      <c r="BG15" s="174"/>
      <c r="BI15" s="174"/>
      <c r="BJ15" s="174"/>
      <c r="BK15" s="174"/>
      <c r="BM15" s="174">
        <v>60.570999999999998</v>
      </c>
      <c r="BN15" s="174"/>
      <c r="BO15" s="174"/>
      <c r="BP15" s="174"/>
      <c r="BR15" s="174"/>
      <c r="BS15" s="174">
        <v>46.005000000000003</v>
      </c>
      <c r="BT15" s="174"/>
      <c r="BU15" s="190">
        <v>22.054109573364258</v>
      </c>
      <c r="BV15" s="159"/>
      <c r="BW15" s="174">
        <v>13.571999999999999</v>
      </c>
      <c r="BX15" s="159"/>
      <c r="BY15" s="159"/>
      <c r="CB15" s="165"/>
      <c r="CC15" s="174">
        <v>8.0389999999999997</v>
      </c>
      <c r="CD15" s="165"/>
      <c r="CE15" s="174">
        <v>8</v>
      </c>
      <c r="CF15" s="165"/>
      <c r="CH15" s="165"/>
      <c r="CJ15" s="165"/>
      <c r="CL15" s="165"/>
      <c r="CN15" s="165"/>
      <c r="CO15" s="130"/>
      <c r="CP15" s="165"/>
      <c r="CQ15" s="130"/>
      <c r="CR15" s="165"/>
      <c r="CS15" s="130"/>
      <c r="CT15" s="130"/>
      <c r="CU15" s="130"/>
      <c r="CV15" s="130"/>
      <c r="CW15" s="130"/>
      <c r="CX15" s="165"/>
      <c r="CY15" s="130"/>
      <c r="CZ15" s="130"/>
      <c r="DA15" s="130"/>
      <c r="DB15" s="130"/>
      <c r="DC15" s="130"/>
      <c r="DD15" s="130"/>
      <c r="DE15" s="130"/>
      <c r="DF15" s="130"/>
      <c r="DG15" s="130"/>
      <c r="DH15" s="130"/>
    </row>
    <row r="16" spans="1:112" ht="15">
      <c r="A16" s="168" t="s">
        <v>7674</v>
      </c>
      <c r="B16" s="175"/>
      <c r="C16" s="174">
        <v>3</v>
      </c>
      <c r="D16" s="174">
        <v>3</v>
      </c>
      <c r="E16" s="174">
        <v>3</v>
      </c>
      <c r="F16" s="174">
        <v>26</v>
      </c>
      <c r="I16" s="174"/>
      <c r="K16" s="188">
        <v>7</v>
      </c>
      <c r="L16" s="146">
        <v>42430</v>
      </c>
      <c r="M16" s="174">
        <v>7.06</v>
      </c>
      <c r="N16" s="189">
        <v>42580</v>
      </c>
      <c r="S16" s="174">
        <v>18.399999999999999</v>
      </c>
      <c r="U16" s="159">
        <v>18.5</v>
      </c>
      <c r="AE16" s="174">
        <v>39.29</v>
      </c>
      <c r="AG16" s="174">
        <v>4.5199999999999996</v>
      </c>
      <c r="AI16" s="174">
        <v>160</v>
      </c>
      <c r="AJ16" s="160">
        <v>42520</v>
      </c>
      <c r="AK16" s="174"/>
      <c r="AL16" s="174"/>
      <c r="AM16" s="174">
        <v>92</v>
      </c>
      <c r="AN16" s="174"/>
      <c r="AO16" s="174"/>
      <c r="AP16" s="174"/>
      <c r="AR16" s="174"/>
      <c r="AS16" s="174"/>
      <c r="AT16" s="174"/>
      <c r="AU16" s="174"/>
      <c r="AV16" s="174"/>
      <c r="AW16" s="174"/>
      <c r="AX16" s="174"/>
      <c r="AY16" s="174"/>
      <c r="BC16" s="174"/>
      <c r="BD16" s="174"/>
      <c r="BE16" s="174"/>
      <c r="BG16" s="174"/>
      <c r="BI16" s="174"/>
      <c r="BJ16" s="174"/>
      <c r="BK16" s="174"/>
      <c r="BM16" s="174">
        <v>60.848999999999997</v>
      </c>
      <c r="BN16" s="174"/>
      <c r="BO16" s="174"/>
      <c r="BP16" s="174"/>
      <c r="BR16" s="174"/>
      <c r="BS16" s="174">
        <v>46.825000000000003</v>
      </c>
      <c r="BT16" s="174"/>
      <c r="BU16" s="190">
        <v>21.639076232910156</v>
      </c>
      <c r="BV16" s="159"/>
      <c r="BW16" s="174">
        <v>9.8350000000000009</v>
      </c>
      <c r="BX16" s="159"/>
      <c r="BY16" s="159"/>
      <c r="CB16" s="165"/>
      <c r="CC16" s="174">
        <v>8.0980000000000008</v>
      </c>
      <c r="CD16" s="165"/>
      <c r="CE16" s="174">
        <v>8</v>
      </c>
      <c r="CF16" s="165"/>
      <c r="CH16" s="165"/>
      <c r="CJ16" s="165"/>
      <c r="CL16" s="165"/>
      <c r="CN16" s="165"/>
      <c r="CO16" s="130"/>
      <c r="CP16" s="165"/>
      <c r="CQ16" s="130"/>
      <c r="CR16" s="165"/>
      <c r="CS16" s="130"/>
      <c r="CT16" s="130"/>
      <c r="CU16" s="130"/>
      <c r="CV16" s="130"/>
      <c r="CW16" s="130"/>
      <c r="CX16" s="165"/>
      <c r="CY16" s="130"/>
      <c r="CZ16" s="130"/>
      <c r="DA16" s="130"/>
      <c r="DB16" s="130"/>
      <c r="DC16" s="130"/>
      <c r="DD16" s="130"/>
      <c r="DE16" s="130"/>
      <c r="DF16" s="130"/>
      <c r="DG16" s="130"/>
      <c r="DH16" s="130"/>
    </row>
    <row r="17" spans="1:112" ht="15">
      <c r="A17" s="168" t="s">
        <v>7674</v>
      </c>
      <c r="B17" s="175"/>
      <c r="C17" s="174">
        <v>4</v>
      </c>
      <c r="D17" s="174">
        <v>3</v>
      </c>
      <c r="E17" s="174">
        <v>4</v>
      </c>
      <c r="F17" s="174">
        <v>13</v>
      </c>
      <c r="I17" s="174"/>
      <c r="K17" s="188">
        <v>5</v>
      </c>
      <c r="L17" s="146">
        <v>42430</v>
      </c>
      <c r="M17" s="174">
        <v>7.36</v>
      </c>
      <c r="N17" s="189">
        <v>42580</v>
      </c>
      <c r="S17" s="174">
        <v>19.489999999999998</v>
      </c>
      <c r="U17" s="159">
        <v>18.5</v>
      </c>
      <c r="AE17" s="174">
        <v>41.03</v>
      </c>
      <c r="AG17" s="174">
        <v>3.99</v>
      </c>
      <c r="AI17" s="174">
        <v>160</v>
      </c>
      <c r="AJ17" s="160">
        <v>42520</v>
      </c>
      <c r="AK17" s="174"/>
      <c r="AL17" s="174"/>
      <c r="AM17" s="174">
        <v>95</v>
      </c>
      <c r="AN17" s="174"/>
      <c r="AO17" s="174"/>
      <c r="AP17" s="174"/>
      <c r="AR17" s="174"/>
      <c r="AS17" s="174"/>
      <c r="AT17" s="174"/>
      <c r="AU17" s="174"/>
      <c r="AV17" s="174"/>
      <c r="AW17" s="174"/>
      <c r="AX17" s="174"/>
      <c r="AY17" s="175"/>
      <c r="BC17" s="174"/>
      <c r="BD17" s="174"/>
      <c r="BE17" s="174"/>
      <c r="BG17" s="174"/>
      <c r="BI17" s="174"/>
      <c r="BJ17" s="174"/>
      <c r="BK17" s="174"/>
      <c r="BM17" s="174">
        <v>62.079000000000001</v>
      </c>
      <c r="BN17" s="174"/>
      <c r="BO17" s="174"/>
      <c r="BP17" s="174"/>
      <c r="BR17" s="174"/>
      <c r="BS17" s="174">
        <v>47.505000000000003</v>
      </c>
      <c r="BT17" s="174"/>
      <c r="BU17" s="190">
        <v>20.72703742980957</v>
      </c>
      <c r="BV17" s="159"/>
      <c r="BW17" s="174">
        <v>13.212999999999999</v>
      </c>
      <c r="BX17" s="159"/>
      <c r="BY17" s="159"/>
      <c r="CB17" s="165"/>
      <c r="CC17" s="174">
        <v>7.9329999999999998</v>
      </c>
      <c r="CD17" s="165"/>
      <c r="CE17" s="174">
        <v>7.8</v>
      </c>
      <c r="CF17" s="165"/>
      <c r="CH17" s="165"/>
      <c r="CJ17" s="165"/>
      <c r="CL17" s="165"/>
      <c r="CN17" s="165"/>
      <c r="CO17" s="130"/>
      <c r="CP17" s="165"/>
      <c r="CQ17" s="130"/>
      <c r="CR17" s="165"/>
      <c r="CS17" s="130"/>
      <c r="CT17" s="130"/>
      <c r="CU17" s="130"/>
      <c r="CV17" s="130"/>
      <c r="CW17" s="130"/>
      <c r="CX17" s="165"/>
      <c r="CY17" s="130"/>
      <c r="CZ17" s="130"/>
      <c r="DA17" s="130"/>
      <c r="DB17" s="130"/>
      <c r="DC17" s="130"/>
      <c r="DD17" s="130"/>
      <c r="DE17" s="130"/>
      <c r="DF17" s="130"/>
      <c r="DG17" s="130"/>
      <c r="DH17" s="130"/>
    </row>
    <row r="18" spans="1:112" ht="15">
      <c r="A18" s="168" t="s">
        <v>7674</v>
      </c>
      <c r="B18" s="175"/>
      <c r="C18" s="174">
        <v>5</v>
      </c>
      <c r="D18" s="174">
        <v>3</v>
      </c>
      <c r="E18" s="174">
        <v>5</v>
      </c>
      <c r="F18" s="174">
        <v>6</v>
      </c>
      <c r="I18" s="174"/>
      <c r="K18" s="188">
        <v>9</v>
      </c>
      <c r="L18" s="146">
        <v>42430</v>
      </c>
      <c r="M18" s="174">
        <v>7.03</v>
      </c>
      <c r="N18" s="189">
        <v>42580</v>
      </c>
      <c r="S18" s="174">
        <v>18.72</v>
      </c>
      <c r="U18" s="159">
        <v>18.5</v>
      </c>
      <c r="AE18" s="174">
        <v>39.159999999999997</v>
      </c>
      <c r="AG18" s="174">
        <v>4.07</v>
      </c>
      <c r="AI18" s="174">
        <v>150</v>
      </c>
      <c r="AJ18" s="160">
        <v>42520</v>
      </c>
      <c r="AK18" s="174"/>
      <c r="AL18" s="174"/>
      <c r="AM18" s="174">
        <v>95</v>
      </c>
      <c r="AN18" s="174"/>
      <c r="AO18" s="174"/>
      <c r="AP18" s="174"/>
      <c r="AR18" s="174"/>
      <c r="AS18" s="174"/>
      <c r="AT18" s="174"/>
      <c r="AU18" s="174"/>
      <c r="AV18" s="174"/>
      <c r="AW18" s="174"/>
      <c r="AX18" s="174"/>
      <c r="AY18" s="174"/>
      <c r="BC18" s="174"/>
      <c r="BD18" s="174"/>
      <c r="BE18" s="174"/>
      <c r="BG18" s="174"/>
      <c r="BI18" s="174"/>
      <c r="BJ18" s="174"/>
      <c r="BK18" s="174"/>
      <c r="BM18" s="174">
        <v>60.08</v>
      </c>
      <c r="BN18" s="174"/>
      <c r="BO18" s="174"/>
      <c r="BP18" s="174"/>
      <c r="BR18" s="174"/>
      <c r="BS18" s="174">
        <v>47.792000000000002</v>
      </c>
      <c r="BT18" s="174"/>
      <c r="BU18" s="190">
        <v>20.522319793701172</v>
      </c>
      <c r="BV18" s="159"/>
      <c r="BW18" s="174">
        <v>11.202</v>
      </c>
      <c r="BX18" s="159"/>
      <c r="BY18" s="159"/>
      <c r="CB18" s="165"/>
      <c r="CC18" s="174">
        <v>8.0090000000000003</v>
      </c>
      <c r="CD18" s="165"/>
      <c r="CE18" s="174">
        <v>7.5</v>
      </c>
      <c r="CF18" s="165"/>
      <c r="CH18" s="165"/>
      <c r="CJ18" s="165"/>
      <c r="CL18" s="165"/>
      <c r="CN18" s="165"/>
      <c r="CO18" s="130"/>
      <c r="CP18" s="165"/>
      <c r="CQ18" s="130"/>
      <c r="CR18" s="165"/>
      <c r="CS18" s="130"/>
      <c r="CT18" s="130"/>
      <c r="CU18" s="130"/>
      <c r="CV18" s="130"/>
      <c r="CW18" s="130"/>
      <c r="CX18" s="165"/>
      <c r="CY18" s="130"/>
      <c r="CZ18" s="130"/>
      <c r="DA18" s="130"/>
      <c r="DB18" s="130"/>
      <c r="DC18" s="130"/>
      <c r="DD18" s="130"/>
      <c r="DE18" s="130"/>
      <c r="DF18" s="130"/>
      <c r="DG18" s="130"/>
      <c r="DH18" s="130"/>
    </row>
    <row r="19" spans="1:112" ht="15">
      <c r="A19" s="168" t="s">
        <v>7674</v>
      </c>
      <c r="B19" s="175"/>
      <c r="C19" s="174">
        <v>6</v>
      </c>
      <c r="D19" s="174">
        <v>3</v>
      </c>
      <c r="E19" s="174">
        <v>6</v>
      </c>
      <c r="F19" s="174">
        <v>25</v>
      </c>
      <c r="I19" s="174"/>
      <c r="K19" s="188">
        <v>7</v>
      </c>
      <c r="L19" s="146">
        <v>42430</v>
      </c>
      <c r="M19" s="174">
        <v>7.73</v>
      </c>
      <c r="N19" s="189">
        <v>42580</v>
      </c>
      <c r="S19" s="174">
        <v>21.36</v>
      </c>
      <c r="U19" s="159">
        <v>18.5</v>
      </c>
      <c r="AE19" s="174">
        <v>43.13</v>
      </c>
      <c r="AG19" s="174">
        <v>3.19</v>
      </c>
      <c r="AI19" s="174">
        <v>160</v>
      </c>
      <c r="AJ19" s="160">
        <v>42520</v>
      </c>
      <c r="AK19" s="174"/>
      <c r="AL19" s="174"/>
      <c r="AM19" s="174">
        <v>95</v>
      </c>
      <c r="AN19" s="174"/>
      <c r="AO19" s="174"/>
      <c r="AP19" s="174"/>
      <c r="AR19" s="174"/>
      <c r="AS19" s="174"/>
      <c r="AT19" s="174"/>
      <c r="AU19" s="174"/>
      <c r="AV19" s="174"/>
      <c r="AW19" s="174"/>
      <c r="AX19" s="174"/>
      <c r="AY19" s="174"/>
      <c r="BC19" s="174"/>
      <c r="BD19" s="174"/>
      <c r="BE19" s="174"/>
      <c r="BG19" s="174"/>
      <c r="BI19" s="174"/>
      <c r="BJ19" s="174"/>
      <c r="BK19" s="174"/>
      <c r="BM19" s="174">
        <v>62.058999999999997</v>
      </c>
      <c r="BN19" s="174"/>
      <c r="BO19" s="174"/>
      <c r="BP19" s="174"/>
      <c r="BR19" s="174"/>
      <c r="BS19" s="174">
        <v>49.521000000000001</v>
      </c>
      <c r="BT19" s="174"/>
      <c r="BU19" s="190">
        <v>19.61993408203125</v>
      </c>
      <c r="BV19" s="159"/>
      <c r="BW19" s="174">
        <v>11.157999999999999</v>
      </c>
      <c r="BX19" s="159"/>
      <c r="BY19" s="159"/>
      <c r="CB19" s="165"/>
      <c r="CC19" s="174">
        <v>7.8570000000000002</v>
      </c>
      <c r="CD19" s="165"/>
      <c r="CE19" s="174">
        <v>7.7</v>
      </c>
      <c r="CF19" s="165"/>
      <c r="CH19" s="165"/>
      <c r="CJ19" s="165"/>
      <c r="CL19" s="165"/>
      <c r="CN19" s="165"/>
      <c r="CO19" s="130"/>
      <c r="CP19" s="165"/>
      <c r="CQ19" s="130"/>
      <c r="CR19" s="165"/>
      <c r="CS19" s="130"/>
      <c r="CT19" s="130"/>
      <c r="CU19" s="130"/>
      <c r="CV19" s="130"/>
      <c r="CW19" s="130"/>
      <c r="CX19" s="165"/>
      <c r="CY19" s="130"/>
      <c r="CZ19" s="130"/>
      <c r="DA19" s="130"/>
      <c r="DB19" s="130"/>
      <c r="DC19" s="130"/>
      <c r="DD19" s="130"/>
      <c r="DE19" s="130"/>
      <c r="DF19" s="130"/>
      <c r="DG19" s="130"/>
      <c r="DH19" s="130"/>
    </row>
    <row r="20" spans="1:112" ht="15">
      <c r="A20" s="168" t="s">
        <v>7676</v>
      </c>
      <c r="B20" s="175"/>
      <c r="C20" s="174">
        <v>1</v>
      </c>
      <c r="D20" s="174">
        <v>4</v>
      </c>
      <c r="E20" s="174">
        <v>1</v>
      </c>
      <c r="F20" s="174">
        <v>5</v>
      </c>
      <c r="I20" s="174"/>
      <c r="K20" s="188">
        <v>8</v>
      </c>
      <c r="L20" s="146">
        <v>42430</v>
      </c>
      <c r="M20" s="174">
        <v>7.72</v>
      </c>
      <c r="N20" s="189">
        <v>42580</v>
      </c>
      <c r="S20" s="174">
        <v>19.55</v>
      </c>
      <c r="U20" s="159">
        <v>18.5</v>
      </c>
      <c r="AE20" s="174">
        <v>42.63</v>
      </c>
      <c r="AG20" s="174">
        <v>4.51</v>
      </c>
      <c r="AI20" s="174">
        <v>190</v>
      </c>
      <c r="AJ20" s="160">
        <v>42520</v>
      </c>
      <c r="AK20" s="174"/>
      <c r="AL20" s="174"/>
      <c r="AM20" s="174">
        <v>95</v>
      </c>
      <c r="AN20" s="174"/>
      <c r="AO20" s="174"/>
      <c r="AP20" s="174"/>
      <c r="AR20" s="174"/>
      <c r="AS20" s="174"/>
      <c r="AT20" s="174"/>
      <c r="AU20" s="174"/>
      <c r="AV20" s="174"/>
      <c r="AW20" s="174"/>
      <c r="AX20" s="174"/>
      <c r="AY20" s="174"/>
      <c r="BC20" s="174"/>
      <c r="BD20" s="174"/>
      <c r="BE20" s="174"/>
      <c r="BG20" s="174"/>
      <c r="BI20" s="174"/>
      <c r="BJ20" s="174"/>
      <c r="BK20" s="174"/>
      <c r="BM20" s="174">
        <v>60.351999999999997</v>
      </c>
      <c r="BN20" s="174"/>
      <c r="BO20" s="174"/>
      <c r="BP20" s="174"/>
      <c r="BR20" s="174"/>
      <c r="BS20" s="174">
        <v>45.848999999999997</v>
      </c>
      <c r="BT20" s="174"/>
      <c r="BU20" s="190">
        <v>21.641725540161133</v>
      </c>
      <c r="BV20" s="159"/>
      <c r="BW20" s="174">
        <v>11.106</v>
      </c>
      <c r="BX20" s="159"/>
      <c r="BY20" s="159"/>
      <c r="CB20" s="165"/>
      <c r="CC20" s="174">
        <v>8.8019999999999996</v>
      </c>
      <c r="CD20" s="165"/>
      <c r="CE20" s="174">
        <v>8.6</v>
      </c>
      <c r="CF20" s="165"/>
      <c r="CH20" s="165"/>
      <c r="CJ20" s="165"/>
      <c r="CL20" s="165"/>
      <c r="CN20" s="165"/>
      <c r="CO20" s="130"/>
      <c r="CP20" s="165"/>
      <c r="CQ20" s="130"/>
      <c r="CR20" s="165"/>
      <c r="CS20" s="130"/>
      <c r="CT20" s="130"/>
      <c r="CU20" s="130"/>
      <c r="CV20" s="130"/>
      <c r="CW20" s="130"/>
      <c r="CX20" s="165"/>
      <c r="CY20" s="130"/>
      <c r="CZ20" s="130"/>
      <c r="DA20" s="130"/>
      <c r="DB20" s="130"/>
      <c r="DC20" s="130"/>
      <c r="DD20" s="130"/>
      <c r="DE20" s="130"/>
      <c r="DF20" s="130"/>
      <c r="DG20" s="130"/>
      <c r="DH20" s="130"/>
    </row>
    <row r="21" spans="1:112" ht="15">
      <c r="A21" s="168" t="s">
        <v>7676</v>
      </c>
      <c r="B21" s="175"/>
      <c r="C21" s="174">
        <v>2</v>
      </c>
      <c r="D21" s="174">
        <v>4</v>
      </c>
      <c r="E21" s="174">
        <v>2</v>
      </c>
      <c r="F21" s="174">
        <v>4</v>
      </c>
      <c r="I21" s="174"/>
      <c r="K21" s="188">
        <v>5</v>
      </c>
      <c r="L21" s="146">
        <v>42430</v>
      </c>
      <c r="M21" s="174">
        <v>8.35</v>
      </c>
      <c r="N21" s="189">
        <v>42580</v>
      </c>
      <c r="S21" s="174">
        <v>22.2</v>
      </c>
      <c r="U21" s="159">
        <v>18.5</v>
      </c>
      <c r="AE21" s="174">
        <v>46.12</v>
      </c>
      <c r="AG21" s="174">
        <v>4.7300000000000004</v>
      </c>
      <c r="AI21" s="174">
        <v>170</v>
      </c>
      <c r="AJ21" s="160">
        <v>42520</v>
      </c>
      <c r="AK21" s="174"/>
      <c r="AL21" s="174"/>
      <c r="AM21" s="174">
        <v>95</v>
      </c>
      <c r="AN21" s="174"/>
      <c r="AO21" s="174"/>
      <c r="AP21" s="174"/>
      <c r="AR21" s="174"/>
      <c r="AS21" s="174"/>
      <c r="AT21" s="174"/>
      <c r="AU21" s="174"/>
      <c r="AV21" s="174"/>
      <c r="AW21" s="174"/>
      <c r="AX21" s="174"/>
      <c r="AY21" s="174"/>
      <c r="BC21" s="174"/>
      <c r="BD21" s="174"/>
      <c r="BE21" s="174"/>
      <c r="BG21" s="174"/>
      <c r="BI21" s="174"/>
      <c r="BJ21" s="174"/>
      <c r="BK21" s="174"/>
      <c r="BM21" s="174">
        <v>62.085000000000001</v>
      </c>
      <c r="BN21" s="174"/>
      <c r="BO21" s="174"/>
      <c r="BP21" s="174"/>
      <c r="BR21" s="174"/>
      <c r="BS21" s="174">
        <v>48.140999999999998</v>
      </c>
      <c r="BT21" s="174"/>
      <c r="BU21" s="190">
        <v>21.506404876708984</v>
      </c>
      <c r="BV21" s="159"/>
      <c r="BW21" s="174">
        <v>9.1929999999999996</v>
      </c>
      <c r="BX21" s="159"/>
      <c r="BY21" s="159"/>
      <c r="CB21" s="165"/>
      <c r="CC21" s="174">
        <v>8.7750000000000004</v>
      </c>
      <c r="CD21" s="165"/>
      <c r="CE21" s="174">
        <v>8.4</v>
      </c>
      <c r="CF21" s="165"/>
      <c r="CH21" s="165"/>
      <c r="CJ21" s="165"/>
      <c r="CL21" s="165"/>
      <c r="CN21" s="165"/>
      <c r="CO21" s="130"/>
      <c r="CP21" s="165"/>
      <c r="CQ21" s="130"/>
      <c r="CR21" s="165"/>
      <c r="CS21" s="130"/>
      <c r="CT21" s="130"/>
      <c r="CU21" s="130"/>
      <c r="CV21" s="130"/>
      <c r="CW21" s="130"/>
      <c r="CX21" s="165"/>
      <c r="CY21" s="130"/>
      <c r="CZ21" s="130"/>
      <c r="DA21" s="130"/>
      <c r="DB21" s="130"/>
      <c r="DC21" s="130"/>
      <c r="DD21" s="130"/>
      <c r="DE21" s="130"/>
      <c r="DF21" s="130"/>
      <c r="DG21" s="130"/>
      <c r="DH21" s="130"/>
    </row>
    <row r="22" spans="1:112" ht="15">
      <c r="A22" s="168" t="s">
        <v>7676</v>
      </c>
      <c r="B22" s="175"/>
      <c r="C22" s="174">
        <v>3</v>
      </c>
      <c r="D22" s="174">
        <v>4</v>
      </c>
      <c r="E22" s="174">
        <v>3</v>
      </c>
      <c r="F22" s="174">
        <v>33</v>
      </c>
      <c r="I22" s="174"/>
      <c r="K22" s="188">
        <v>8</v>
      </c>
      <c r="L22" s="146">
        <v>42430</v>
      </c>
      <c r="M22" s="174">
        <v>9.0399999999999991</v>
      </c>
      <c r="N22" s="189">
        <v>42580</v>
      </c>
      <c r="S22" s="174">
        <v>24.36</v>
      </c>
      <c r="U22" s="159">
        <v>18.5</v>
      </c>
      <c r="AE22" s="174">
        <v>50.36</v>
      </c>
      <c r="AG22" s="174">
        <v>4.28</v>
      </c>
      <c r="AI22" s="174">
        <v>180</v>
      </c>
      <c r="AJ22" s="160">
        <v>42520</v>
      </c>
      <c r="AK22" s="174"/>
      <c r="AL22" s="174"/>
      <c r="AM22" s="174">
        <v>98</v>
      </c>
      <c r="AN22" s="174"/>
      <c r="AO22" s="174"/>
      <c r="AP22" s="174"/>
      <c r="AR22" s="174"/>
      <c r="AS22" s="174"/>
      <c r="AT22" s="174"/>
      <c r="AU22" s="174"/>
      <c r="AV22" s="174"/>
      <c r="AW22" s="174"/>
      <c r="AX22" s="174"/>
      <c r="AY22" s="174"/>
      <c r="BC22" s="174"/>
      <c r="BD22" s="174"/>
      <c r="BE22" s="174"/>
      <c r="BG22" s="174"/>
      <c r="BI22" s="174"/>
      <c r="BJ22" s="174"/>
      <c r="BK22" s="174"/>
      <c r="BM22" s="174">
        <v>62.398000000000003</v>
      </c>
      <c r="BN22" s="174"/>
      <c r="BO22" s="174"/>
      <c r="BP22" s="174"/>
      <c r="BR22" s="174"/>
      <c r="BS22" s="174">
        <v>48.374000000000002</v>
      </c>
      <c r="BT22" s="174"/>
      <c r="BU22" s="190">
        <v>21.045003890991211</v>
      </c>
      <c r="BV22" s="159"/>
      <c r="BW22" s="174">
        <v>12.755000000000001</v>
      </c>
      <c r="BX22" s="159"/>
      <c r="BY22" s="159"/>
      <c r="CB22" s="165"/>
      <c r="CC22" s="174">
        <v>8.0109999999999992</v>
      </c>
      <c r="CD22" s="165"/>
      <c r="CE22" s="174">
        <v>7.7</v>
      </c>
      <c r="CF22" s="165"/>
      <c r="CH22" s="165"/>
      <c r="CJ22" s="165"/>
      <c r="CL22" s="165"/>
      <c r="CN22" s="165"/>
      <c r="CO22" s="130"/>
      <c r="CP22" s="165"/>
      <c r="CQ22" s="130"/>
      <c r="CR22" s="165"/>
      <c r="CS22" s="130"/>
      <c r="CT22" s="130"/>
      <c r="CU22" s="130"/>
      <c r="CV22" s="130"/>
      <c r="CW22" s="130"/>
      <c r="CX22" s="165"/>
      <c r="CY22" s="130"/>
      <c r="CZ22" s="130"/>
      <c r="DA22" s="130"/>
      <c r="DB22" s="130"/>
      <c r="DC22" s="130"/>
      <c r="DD22" s="130"/>
      <c r="DE22" s="130"/>
      <c r="DF22" s="130"/>
      <c r="DG22" s="130"/>
      <c r="DH22" s="130"/>
    </row>
    <row r="23" spans="1:112" ht="15">
      <c r="A23" s="168" t="s">
        <v>7676</v>
      </c>
      <c r="B23" s="175"/>
      <c r="C23" s="174">
        <v>4</v>
      </c>
      <c r="D23" s="174">
        <v>4</v>
      </c>
      <c r="E23" s="174">
        <v>4</v>
      </c>
      <c r="F23" s="174">
        <v>5</v>
      </c>
      <c r="I23" s="174"/>
      <c r="K23" s="188">
        <v>8</v>
      </c>
      <c r="L23" s="146">
        <v>42430</v>
      </c>
      <c r="M23" s="174">
        <v>8.23</v>
      </c>
      <c r="N23" s="189">
        <v>42580</v>
      </c>
      <c r="S23" s="174">
        <v>21.68</v>
      </c>
      <c r="U23" s="159">
        <v>18.5</v>
      </c>
      <c r="AE23" s="174">
        <v>45.76</v>
      </c>
      <c r="AG23" s="174">
        <v>4.13</v>
      </c>
      <c r="AI23" s="174">
        <v>155</v>
      </c>
      <c r="AJ23" s="160">
        <v>42520</v>
      </c>
      <c r="AK23" s="174"/>
      <c r="AL23" s="174"/>
      <c r="AM23" s="174">
        <v>95</v>
      </c>
      <c r="AN23" s="174"/>
      <c r="AO23" s="174"/>
      <c r="AP23" s="174"/>
      <c r="AR23" s="174"/>
      <c r="AS23" s="174"/>
      <c r="AT23" s="174"/>
      <c r="AU23" s="174"/>
      <c r="AV23" s="174"/>
      <c r="AW23" s="174"/>
      <c r="AX23" s="174"/>
      <c r="AY23" s="174"/>
      <c r="BC23" s="174"/>
      <c r="BD23" s="174"/>
      <c r="BE23" s="174"/>
      <c r="BG23" s="174"/>
      <c r="BI23" s="174"/>
      <c r="BJ23" s="174"/>
      <c r="BK23" s="174"/>
      <c r="BM23" s="174">
        <v>60.097999999999999</v>
      </c>
      <c r="BN23" s="174"/>
      <c r="BO23" s="174"/>
      <c r="BP23" s="174"/>
      <c r="BR23" s="174"/>
      <c r="BS23" s="174">
        <v>47.381</v>
      </c>
      <c r="BT23" s="174"/>
      <c r="BU23" s="190">
        <v>20.205453872680664</v>
      </c>
      <c r="BV23" s="159"/>
      <c r="BW23" s="174">
        <v>12.121</v>
      </c>
      <c r="BX23" s="159"/>
      <c r="BY23" s="159"/>
      <c r="CB23" s="165"/>
      <c r="CC23" s="174">
        <v>8.1790000000000003</v>
      </c>
      <c r="CD23" s="165"/>
      <c r="CE23" s="174">
        <v>7.7</v>
      </c>
      <c r="CF23" s="165"/>
      <c r="CH23" s="165"/>
      <c r="CJ23" s="165"/>
      <c r="CL23" s="165"/>
      <c r="CN23" s="165"/>
      <c r="CO23" s="130"/>
      <c r="CP23" s="165"/>
      <c r="CQ23" s="130"/>
      <c r="CR23" s="165"/>
      <c r="CS23" s="130"/>
      <c r="CT23" s="130"/>
      <c r="CU23" s="130"/>
      <c r="CV23" s="130"/>
      <c r="CW23" s="130"/>
      <c r="CX23" s="165"/>
      <c r="CY23" s="130"/>
      <c r="CZ23" s="130"/>
      <c r="DA23" s="130"/>
      <c r="DB23" s="130"/>
      <c r="DC23" s="130"/>
      <c r="DD23" s="130"/>
      <c r="DE23" s="130"/>
      <c r="DF23" s="130"/>
      <c r="DG23" s="130"/>
      <c r="DH23" s="130"/>
    </row>
    <row r="24" spans="1:112" ht="15">
      <c r="A24" s="168" t="s">
        <v>7676</v>
      </c>
      <c r="B24" s="175"/>
      <c r="C24" s="174">
        <v>5</v>
      </c>
      <c r="D24" s="174">
        <v>4</v>
      </c>
      <c r="E24" s="174">
        <v>5</v>
      </c>
      <c r="F24" s="174">
        <v>16</v>
      </c>
      <c r="I24" s="174"/>
      <c r="K24" s="188">
        <v>5</v>
      </c>
      <c r="L24" s="146">
        <v>42430</v>
      </c>
      <c r="M24" s="174">
        <v>7.49</v>
      </c>
      <c r="N24" s="189">
        <v>42580</v>
      </c>
      <c r="S24" s="174">
        <v>20.27</v>
      </c>
      <c r="U24" s="159">
        <v>18.5</v>
      </c>
      <c r="AE24" s="174">
        <v>41.78</v>
      </c>
      <c r="AG24" s="174">
        <v>4.0599999999999996</v>
      </c>
      <c r="AI24" s="174">
        <v>160</v>
      </c>
      <c r="AJ24" s="160">
        <v>42520</v>
      </c>
      <c r="AK24" s="174"/>
      <c r="AL24" s="174"/>
      <c r="AM24" s="174">
        <v>95</v>
      </c>
      <c r="AN24" s="174"/>
      <c r="AO24" s="174"/>
      <c r="AP24" s="174"/>
      <c r="AR24" s="174"/>
      <c r="AS24" s="174"/>
      <c r="AT24" s="174"/>
      <c r="AU24" s="174"/>
      <c r="AV24" s="174"/>
      <c r="AW24" s="174"/>
      <c r="AX24" s="174"/>
      <c r="AY24" s="174"/>
      <c r="BC24" s="174"/>
      <c r="BD24" s="174"/>
      <c r="BE24" s="174"/>
      <c r="BG24" s="174"/>
      <c r="BI24" s="174"/>
      <c r="BJ24" s="174"/>
      <c r="BK24" s="174"/>
      <c r="BM24" s="174">
        <v>60.606999999999999</v>
      </c>
      <c r="BN24" s="174"/>
      <c r="BO24" s="174"/>
      <c r="BP24" s="174"/>
      <c r="BR24" s="174"/>
      <c r="BS24" s="174">
        <v>48.518999999999998</v>
      </c>
      <c r="BT24" s="174"/>
      <c r="BU24" s="190">
        <v>19.973018646240234</v>
      </c>
      <c r="BV24" s="159"/>
      <c r="BW24" s="174">
        <v>10.250999999999999</v>
      </c>
      <c r="BX24" s="159"/>
      <c r="BY24" s="159"/>
      <c r="CB24" s="165"/>
      <c r="CC24" s="174">
        <v>7.8879999999999999</v>
      </c>
      <c r="CD24" s="165"/>
      <c r="CE24" s="174">
        <v>7.5</v>
      </c>
      <c r="CF24" s="165"/>
      <c r="CH24" s="165"/>
      <c r="CJ24" s="165"/>
      <c r="CL24" s="165"/>
      <c r="CN24" s="165"/>
      <c r="CO24" s="130"/>
      <c r="CP24" s="165"/>
      <c r="CQ24" s="130"/>
      <c r="CR24" s="165"/>
      <c r="CS24" s="130"/>
      <c r="CT24" s="130"/>
      <c r="CU24" s="130"/>
      <c r="CV24" s="130"/>
      <c r="CW24" s="130"/>
      <c r="CX24" s="165"/>
      <c r="CY24" s="130"/>
      <c r="CZ24" s="130"/>
      <c r="DA24" s="130"/>
      <c r="DB24" s="130"/>
      <c r="DC24" s="130"/>
      <c r="DD24" s="130"/>
      <c r="DE24" s="130"/>
      <c r="DF24" s="130"/>
      <c r="DG24" s="130"/>
      <c r="DH24" s="130"/>
    </row>
    <row r="25" spans="1:112" ht="15">
      <c r="A25" s="168" t="s">
        <v>7676</v>
      </c>
      <c r="B25" s="175"/>
      <c r="C25" s="174">
        <v>6</v>
      </c>
      <c r="D25" s="174">
        <v>4</v>
      </c>
      <c r="E25" s="174">
        <v>6</v>
      </c>
      <c r="F25" s="174">
        <v>11</v>
      </c>
      <c r="I25" s="174"/>
      <c r="K25" s="188">
        <v>5</v>
      </c>
      <c r="L25" s="146">
        <v>42430</v>
      </c>
      <c r="M25" s="174">
        <v>7.73</v>
      </c>
      <c r="N25" s="189">
        <v>42580</v>
      </c>
      <c r="S25" s="174">
        <v>21.16</v>
      </c>
      <c r="U25" s="159">
        <v>18.5</v>
      </c>
      <c r="AE25" s="174">
        <v>43.09</v>
      </c>
      <c r="AG25" s="174">
        <v>4.25</v>
      </c>
      <c r="AI25" s="174">
        <v>160</v>
      </c>
      <c r="AJ25" s="160">
        <v>42520</v>
      </c>
      <c r="AK25" s="174"/>
      <c r="AL25" s="174"/>
      <c r="AM25" s="174">
        <v>95</v>
      </c>
      <c r="AN25" s="174"/>
      <c r="AO25" s="174"/>
      <c r="AP25" s="174"/>
      <c r="AR25" s="174"/>
      <c r="AS25" s="174"/>
      <c r="AT25" s="174"/>
      <c r="AU25" s="174"/>
      <c r="AV25" s="174"/>
      <c r="AW25" s="174"/>
      <c r="AX25" s="174"/>
      <c r="AY25" s="174"/>
      <c r="BC25" s="174"/>
      <c r="BD25" s="174"/>
      <c r="BE25" s="174"/>
      <c r="BG25" s="174"/>
      <c r="BI25" s="174"/>
      <c r="BJ25" s="174"/>
      <c r="BK25" s="174"/>
      <c r="BM25" s="174">
        <v>61.048999999999999</v>
      </c>
      <c r="BN25" s="174"/>
      <c r="BO25" s="174"/>
      <c r="BP25" s="174"/>
      <c r="BR25" s="174"/>
      <c r="BS25" s="174">
        <v>49.103999999999999</v>
      </c>
      <c r="BT25" s="174"/>
      <c r="BU25" s="190">
        <v>19.526348114013672</v>
      </c>
      <c r="BV25" s="159"/>
      <c r="BW25" s="174">
        <v>10.771000000000001</v>
      </c>
      <c r="BX25" s="159"/>
      <c r="BY25" s="159"/>
      <c r="CB25" s="165"/>
      <c r="CC25" s="174">
        <v>7.9480000000000004</v>
      </c>
      <c r="CD25" s="165"/>
      <c r="CE25" s="174">
        <v>7.6</v>
      </c>
      <c r="CF25" s="165"/>
      <c r="CH25" s="165"/>
      <c r="CJ25" s="165"/>
      <c r="CL25" s="165"/>
      <c r="CN25" s="165"/>
      <c r="CO25" s="130"/>
      <c r="CP25" s="165"/>
      <c r="CQ25" s="130"/>
      <c r="CR25" s="165"/>
      <c r="CS25" s="130"/>
      <c r="CT25" s="130"/>
      <c r="CU25" s="130"/>
      <c r="CV25" s="130"/>
      <c r="CW25" s="130"/>
      <c r="CX25" s="165"/>
      <c r="CY25" s="130"/>
      <c r="CZ25" s="130"/>
      <c r="DA25" s="130"/>
      <c r="DB25" s="130"/>
      <c r="DC25" s="130"/>
      <c r="DD25" s="130"/>
      <c r="DE25" s="130"/>
      <c r="DF25" s="130"/>
      <c r="DG25" s="130"/>
      <c r="DH25" s="130"/>
    </row>
    <row r="26" spans="1:112" ht="15">
      <c r="A26" s="168" t="s">
        <v>7677</v>
      </c>
      <c r="B26" s="175"/>
      <c r="C26" s="174">
        <v>1</v>
      </c>
      <c r="D26" s="174">
        <v>5</v>
      </c>
      <c r="E26" s="174">
        <v>1</v>
      </c>
      <c r="F26" s="174">
        <v>2</v>
      </c>
      <c r="I26" s="174"/>
      <c r="K26" s="188">
        <v>5</v>
      </c>
      <c r="L26" s="146">
        <v>42430</v>
      </c>
      <c r="M26" s="174">
        <v>6.6</v>
      </c>
      <c r="N26" s="189">
        <v>42580</v>
      </c>
      <c r="S26" s="174"/>
      <c r="U26" s="159">
        <v>18.5</v>
      </c>
      <c r="AE26" s="174"/>
      <c r="AG26" s="174"/>
      <c r="AI26" s="174">
        <v>165</v>
      </c>
      <c r="AJ26" s="160">
        <v>42520</v>
      </c>
      <c r="AK26" s="174"/>
      <c r="AL26" s="174"/>
      <c r="AM26" s="174">
        <v>92</v>
      </c>
      <c r="AN26" s="174"/>
      <c r="AO26" s="174"/>
      <c r="AP26" s="174"/>
      <c r="AR26" s="174"/>
      <c r="AS26" s="174"/>
      <c r="AT26" s="174"/>
      <c r="AU26" s="174"/>
      <c r="AV26" s="174"/>
      <c r="AW26" s="174"/>
      <c r="AX26" s="174"/>
      <c r="AY26" s="174"/>
      <c r="BC26" s="174"/>
      <c r="BD26" s="174"/>
      <c r="BE26" s="174"/>
      <c r="BG26" s="174"/>
      <c r="BI26" s="174"/>
      <c r="BJ26" s="174"/>
      <c r="BK26" s="174"/>
      <c r="BM26" s="174"/>
      <c r="BN26" s="174"/>
      <c r="BO26" s="174"/>
      <c r="BP26" s="174"/>
      <c r="BR26" s="174"/>
      <c r="BS26" s="174"/>
      <c r="BT26" s="174"/>
      <c r="BU26" s="192"/>
      <c r="BV26" s="159"/>
      <c r="BW26" s="174"/>
      <c r="BX26" s="159"/>
      <c r="BY26" s="159"/>
      <c r="CB26" s="165"/>
      <c r="CC26" s="174"/>
      <c r="CD26" s="165"/>
      <c r="CE26" s="174"/>
      <c r="CF26" s="165"/>
      <c r="CH26" s="165"/>
      <c r="CJ26" s="165"/>
      <c r="CL26" s="165"/>
      <c r="CN26" s="165"/>
      <c r="CO26" s="130"/>
      <c r="CP26" s="165"/>
      <c r="CQ26" s="130"/>
      <c r="CR26" s="165"/>
      <c r="CS26" s="130"/>
      <c r="CT26" s="130"/>
      <c r="CU26" s="130"/>
      <c r="CV26" s="130"/>
      <c r="CW26" s="130"/>
      <c r="CX26" s="165"/>
      <c r="CY26" s="130"/>
      <c r="CZ26" s="130"/>
      <c r="DA26" s="130"/>
      <c r="DB26" s="130"/>
      <c r="DC26" s="130"/>
      <c r="DD26" s="130"/>
      <c r="DE26" s="130"/>
      <c r="DF26" s="130"/>
      <c r="DG26" s="130"/>
      <c r="DH26" s="130"/>
    </row>
    <row r="27" spans="1:112" ht="15">
      <c r="A27" s="168" t="s">
        <v>7677</v>
      </c>
      <c r="B27" s="175"/>
      <c r="C27" s="174">
        <v>2</v>
      </c>
      <c r="D27" s="174">
        <v>5</v>
      </c>
      <c r="E27" s="174">
        <v>2</v>
      </c>
      <c r="F27" s="174">
        <v>7</v>
      </c>
      <c r="I27" s="174"/>
      <c r="K27" s="188">
        <v>7</v>
      </c>
      <c r="L27" s="146">
        <v>42430</v>
      </c>
      <c r="M27" s="174">
        <v>6.59</v>
      </c>
      <c r="N27" s="189">
        <v>42580</v>
      </c>
      <c r="S27" s="174">
        <v>17.13</v>
      </c>
      <c r="U27" s="159">
        <v>18.5</v>
      </c>
      <c r="AE27" s="174">
        <v>36.6</v>
      </c>
      <c r="AG27" s="174">
        <v>4.22</v>
      </c>
      <c r="AI27" s="174">
        <v>150</v>
      </c>
      <c r="AJ27" s="160">
        <v>42520</v>
      </c>
      <c r="AK27" s="174"/>
      <c r="AL27" s="174"/>
      <c r="AM27" s="174">
        <v>92</v>
      </c>
      <c r="AN27" s="174"/>
      <c r="AO27" s="174"/>
      <c r="AP27" s="174"/>
      <c r="AR27" s="174"/>
      <c r="AS27" s="174"/>
      <c r="AT27" s="174"/>
      <c r="AU27" s="174"/>
      <c r="AV27" s="174"/>
      <c r="AW27" s="174"/>
      <c r="AX27" s="174"/>
      <c r="AY27" s="174"/>
      <c r="BC27" s="174"/>
      <c r="BD27" s="174"/>
      <c r="BE27" s="174"/>
      <c r="BG27" s="174"/>
      <c r="BI27" s="174"/>
      <c r="BJ27" s="174"/>
      <c r="BK27" s="174"/>
      <c r="BM27" s="174">
        <v>61.469000000000001</v>
      </c>
      <c r="BN27" s="174"/>
      <c r="BO27" s="174"/>
      <c r="BP27" s="174"/>
      <c r="BR27" s="174"/>
      <c r="BS27" s="174">
        <v>46.795000000000002</v>
      </c>
      <c r="BT27" s="174"/>
      <c r="BU27" s="190">
        <v>20.754287719726563</v>
      </c>
      <c r="BV27" s="159"/>
      <c r="BW27" s="174">
        <v>16.949000000000002</v>
      </c>
      <c r="BX27" s="159"/>
      <c r="BY27" s="159"/>
      <c r="CB27" s="165"/>
      <c r="CC27" s="174">
        <v>8.2919999999999998</v>
      </c>
      <c r="CD27" s="165"/>
      <c r="CE27" s="174">
        <v>8.1999999999999993</v>
      </c>
      <c r="CF27" s="165"/>
      <c r="CH27" s="165"/>
      <c r="CJ27" s="165"/>
      <c r="CL27" s="165"/>
      <c r="CN27" s="165"/>
      <c r="CO27" s="130"/>
      <c r="CP27" s="165"/>
      <c r="CQ27" s="130"/>
      <c r="CR27" s="165"/>
      <c r="CS27" s="130"/>
      <c r="CT27" s="130"/>
      <c r="CU27" s="130"/>
      <c r="CV27" s="130"/>
      <c r="CW27" s="130"/>
      <c r="CX27" s="165"/>
      <c r="CY27" s="130"/>
      <c r="CZ27" s="130"/>
      <c r="DA27" s="130"/>
      <c r="DB27" s="130"/>
      <c r="DC27" s="130"/>
      <c r="DD27" s="130"/>
      <c r="DE27" s="130"/>
      <c r="DF27" s="130"/>
      <c r="DG27" s="130"/>
      <c r="DH27" s="130"/>
    </row>
    <row r="28" spans="1:112" ht="15">
      <c r="A28" s="168" t="s">
        <v>7677</v>
      </c>
      <c r="B28" s="175"/>
      <c r="C28" s="174">
        <v>3</v>
      </c>
      <c r="D28" s="174">
        <v>5</v>
      </c>
      <c r="E28" s="174">
        <v>3</v>
      </c>
      <c r="F28" s="174">
        <v>31</v>
      </c>
      <c r="I28" s="174"/>
      <c r="K28" s="188">
        <v>5</v>
      </c>
      <c r="L28" s="146">
        <v>42430</v>
      </c>
      <c r="M28" s="174">
        <v>6.68</v>
      </c>
      <c r="N28" s="189">
        <v>42580</v>
      </c>
      <c r="S28" s="174">
        <v>17.489999999999998</v>
      </c>
      <c r="U28" s="159">
        <v>18.5</v>
      </c>
      <c r="AE28" s="174">
        <v>37.299999999999997</v>
      </c>
      <c r="AG28" s="174">
        <v>4.09</v>
      </c>
      <c r="AI28" s="174">
        <v>180</v>
      </c>
      <c r="AJ28" s="160">
        <v>42520</v>
      </c>
      <c r="AK28" s="174"/>
      <c r="AL28" s="174"/>
      <c r="AM28" s="174">
        <v>95</v>
      </c>
      <c r="AN28" s="174"/>
      <c r="AO28" s="174"/>
      <c r="AP28" s="174"/>
      <c r="AR28" s="174"/>
      <c r="AS28" s="174"/>
      <c r="AT28" s="174"/>
      <c r="AU28" s="174"/>
      <c r="AV28" s="174"/>
      <c r="AW28" s="174"/>
      <c r="AX28" s="174"/>
      <c r="AY28" s="174"/>
      <c r="BC28" s="174"/>
      <c r="BD28" s="174"/>
      <c r="BE28" s="174"/>
      <c r="BG28" s="174"/>
      <c r="BI28" s="174"/>
      <c r="BJ28" s="174"/>
      <c r="BK28" s="174"/>
      <c r="BM28" s="174">
        <v>62.363</v>
      </c>
      <c r="BN28" s="174"/>
      <c r="BO28" s="174"/>
      <c r="BP28" s="174"/>
      <c r="BR28" s="174"/>
      <c r="BS28" s="174">
        <v>46.887</v>
      </c>
      <c r="BT28" s="174"/>
      <c r="BU28" s="190">
        <v>20.722969055175781</v>
      </c>
      <c r="BV28" s="159"/>
      <c r="BW28" s="174">
        <v>14.154</v>
      </c>
      <c r="BX28" s="159"/>
      <c r="BY28" s="159"/>
      <c r="CB28" s="165"/>
      <c r="CC28" s="174">
        <v>7.7809999999999997</v>
      </c>
      <c r="CD28" s="165"/>
      <c r="CE28" s="174">
        <v>7.6</v>
      </c>
      <c r="CF28" s="165"/>
      <c r="CH28" s="165"/>
      <c r="CJ28" s="165"/>
      <c r="CL28" s="165"/>
      <c r="CN28" s="165"/>
      <c r="CO28" s="130"/>
      <c r="CP28" s="165"/>
      <c r="CQ28" s="130"/>
      <c r="CR28" s="165"/>
      <c r="CS28" s="130"/>
      <c r="CT28" s="130"/>
      <c r="CU28" s="130"/>
      <c r="CV28" s="130"/>
      <c r="CW28" s="130"/>
      <c r="CX28" s="165"/>
      <c r="CY28" s="130"/>
      <c r="CZ28" s="130"/>
      <c r="DA28" s="130"/>
      <c r="DB28" s="130"/>
      <c r="DC28" s="130"/>
      <c r="DD28" s="130"/>
      <c r="DE28" s="130"/>
      <c r="DF28" s="130"/>
      <c r="DG28" s="130"/>
      <c r="DH28" s="130"/>
    </row>
    <row r="29" spans="1:112" ht="15">
      <c r="A29" s="168" t="s">
        <v>7677</v>
      </c>
      <c r="B29" s="175"/>
      <c r="C29" s="174">
        <v>4</v>
      </c>
      <c r="D29" s="174">
        <v>5</v>
      </c>
      <c r="E29" s="174">
        <v>4</v>
      </c>
      <c r="F29" s="174">
        <v>6</v>
      </c>
      <c r="I29" s="174"/>
      <c r="K29" s="188">
        <v>7</v>
      </c>
      <c r="L29" s="146">
        <v>42430</v>
      </c>
      <c r="M29" s="174">
        <v>6.87</v>
      </c>
      <c r="N29" s="189">
        <v>42580</v>
      </c>
      <c r="S29" s="174">
        <v>18.329999999999998</v>
      </c>
      <c r="U29" s="159">
        <v>18.5</v>
      </c>
      <c r="AE29" s="174">
        <v>38.24</v>
      </c>
      <c r="AG29" s="174">
        <v>4.6399999999999997</v>
      </c>
      <c r="AI29" s="174">
        <v>150</v>
      </c>
      <c r="AJ29" s="160">
        <v>42520</v>
      </c>
      <c r="AK29" s="174"/>
      <c r="AL29" s="174"/>
      <c r="AM29" s="174">
        <v>90</v>
      </c>
      <c r="AN29" s="174"/>
      <c r="AO29" s="174"/>
      <c r="AP29" s="174"/>
      <c r="AR29" s="174"/>
      <c r="AS29" s="174"/>
      <c r="AT29" s="174"/>
      <c r="AU29" s="174"/>
      <c r="AV29" s="174"/>
      <c r="AW29" s="174"/>
      <c r="AX29" s="174"/>
      <c r="AY29" s="175"/>
      <c r="BC29" s="174"/>
      <c r="BD29" s="174"/>
      <c r="BE29" s="174"/>
      <c r="BG29" s="174"/>
      <c r="BI29" s="174"/>
      <c r="BJ29" s="174"/>
      <c r="BK29" s="174"/>
      <c r="BM29" s="174">
        <v>62.878</v>
      </c>
      <c r="BN29" s="174"/>
      <c r="BO29" s="174"/>
      <c r="BP29" s="174"/>
      <c r="BR29" s="174"/>
      <c r="BS29" s="174">
        <v>47.932000000000002</v>
      </c>
      <c r="BT29" s="174"/>
      <c r="BU29" s="190">
        <v>19.402261734008789</v>
      </c>
      <c r="BV29" s="159"/>
      <c r="BW29" s="174">
        <v>16.719000000000001</v>
      </c>
      <c r="BX29" s="159"/>
      <c r="BY29" s="159"/>
      <c r="CB29" s="165"/>
      <c r="CC29" s="174">
        <v>8.0830000000000002</v>
      </c>
      <c r="CD29" s="165"/>
      <c r="CE29" s="174">
        <v>7.5</v>
      </c>
      <c r="CF29" s="165"/>
      <c r="CH29" s="165"/>
      <c r="CJ29" s="165"/>
      <c r="CL29" s="165"/>
      <c r="CN29" s="165"/>
      <c r="CO29" s="130"/>
      <c r="CP29" s="165"/>
      <c r="CQ29" s="130"/>
      <c r="CR29" s="165"/>
      <c r="CS29" s="130"/>
      <c r="CT29" s="130"/>
      <c r="CU29" s="130"/>
      <c r="CV29" s="130"/>
      <c r="CW29" s="130"/>
      <c r="CX29" s="165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</row>
    <row r="30" spans="1:112" ht="15">
      <c r="A30" s="168" t="s">
        <v>7677</v>
      </c>
      <c r="B30" s="175"/>
      <c r="C30" s="174">
        <v>5</v>
      </c>
      <c r="D30" s="174">
        <v>5</v>
      </c>
      <c r="E30" s="174">
        <v>5</v>
      </c>
      <c r="F30" s="174">
        <v>25</v>
      </c>
      <c r="I30" s="174"/>
      <c r="K30" s="188">
        <v>7</v>
      </c>
      <c r="L30" s="146">
        <v>42430</v>
      </c>
      <c r="M30" s="174">
        <v>5.79</v>
      </c>
      <c r="N30" s="189">
        <v>42580</v>
      </c>
      <c r="S30" s="174">
        <v>16.07</v>
      </c>
      <c r="U30" s="159">
        <v>18.5</v>
      </c>
      <c r="AE30" s="174">
        <v>32.380000000000003</v>
      </c>
      <c r="AG30" s="174">
        <v>4.03</v>
      </c>
      <c r="AI30" s="174">
        <v>130</v>
      </c>
      <c r="AJ30" s="160">
        <v>42520</v>
      </c>
      <c r="AK30" s="174"/>
      <c r="AL30" s="174"/>
      <c r="AM30" s="174">
        <v>98</v>
      </c>
      <c r="AN30" s="174"/>
      <c r="AO30" s="174"/>
      <c r="AP30" s="174"/>
      <c r="AR30" s="174"/>
      <c r="AS30" s="174"/>
      <c r="AT30" s="174"/>
      <c r="AU30" s="174"/>
      <c r="AV30" s="174"/>
      <c r="AW30" s="174"/>
      <c r="AX30" s="174"/>
      <c r="AY30" s="174"/>
      <c r="BC30" s="174"/>
      <c r="BD30" s="174"/>
      <c r="BE30" s="174"/>
      <c r="BG30" s="174"/>
      <c r="BI30" s="174"/>
      <c r="BJ30" s="174"/>
      <c r="BK30" s="174"/>
      <c r="BM30" s="174">
        <v>62.783999999999999</v>
      </c>
      <c r="BN30" s="174"/>
      <c r="BO30" s="174"/>
      <c r="BP30" s="174"/>
      <c r="BR30" s="174"/>
      <c r="BS30" s="174">
        <v>49.627000000000002</v>
      </c>
      <c r="BT30" s="174"/>
      <c r="BU30" s="190">
        <v>18.949563980102539</v>
      </c>
      <c r="BV30" s="159"/>
      <c r="BW30" s="174">
        <v>14.004</v>
      </c>
      <c r="BX30" s="159"/>
      <c r="BY30" s="159"/>
      <c r="CB30" s="165"/>
      <c r="CC30" s="174">
        <v>7.6509999999999998</v>
      </c>
      <c r="CD30" s="165"/>
      <c r="CE30" s="174">
        <v>7.4</v>
      </c>
      <c r="CF30" s="165"/>
      <c r="CH30" s="165"/>
      <c r="CJ30" s="165"/>
      <c r="CL30" s="165"/>
      <c r="CN30" s="165"/>
      <c r="CO30" s="130"/>
      <c r="CP30" s="165"/>
      <c r="CQ30" s="130"/>
      <c r="CR30" s="165"/>
      <c r="CS30" s="130"/>
      <c r="CT30" s="130"/>
      <c r="CU30" s="130"/>
      <c r="CV30" s="130"/>
      <c r="CW30" s="130"/>
      <c r="CX30" s="165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</row>
    <row r="31" spans="1:112" ht="15">
      <c r="A31" s="168" t="s">
        <v>7677</v>
      </c>
      <c r="B31" s="175"/>
      <c r="C31" s="174">
        <v>6</v>
      </c>
      <c r="D31" s="174">
        <v>5</v>
      </c>
      <c r="E31" s="174">
        <v>6</v>
      </c>
      <c r="F31" s="174">
        <v>26</v>
      </c>
      <c r="I31" s="174"/>
      <c r="K31" s="188">
        <v>8</v>
      </c>
      <c r="L31" s="146">
        <v>42430</v>
      </c>
      <c r="M31" s="174">
        <v>6.84</v>
      </c>
      <c r="N31" s="189">
        <v>42580</v>
      </c>
      <c r="S31" s="174">
        <v>18.399999999999999</v>
      </c>
      <c r="U31" s="159">
        <v>18.5</v>
      </c>
      <c r="AE31" s="174">
        <v>38.19</v>
      </c>
      <c r="AG31" s="174">
        <v>4.05</v>
      </c>
      <c r="AI31" s="174">
        <v>150</v>
      </c>
      <c r="AJ31" s="160">
        <v>42520</v>
      </c>
      <c r="AK31" s="174"/>
      <c r="AL31" s="174"/>
      <c r="AM31" s="174">
        <v>92</v>
      </c>
      <c r="AN31" s="174"/>
      <c r="AO31" s="174"/>
      <c r="AP31" s="174"/>
      <c r="AR31" s="174"/>
      <c r="AS31" s="174"/>
      <c r="AT31" s="174"/>
      <c r="AU31" s="174"/>
      <c r="AV31" s="174"/>
      <c r="AW31" s="174"/>
      <c r="AX31" s="174"/>
      <c r="AY31" s="175"/>
      <c r="BC31" s="174"/>
      <c r="BD31" s="174"/>
      <c r="BE31" s="174"/>
      <c r="BG31" s="174"/>
      <c r="BI31" s="174"/>
      <c r="BJ31" s="174"/>
      <c r="BK31" s="174"/>
      <c r="BM31" s="174">
        <v>60.936999999999998</v>
      </c>
      <c r="BN31" s="174"/>
      <c r="BO31" s="174"/>
      <c r="BP31" s="174"/>
      <c r="BR31" s="174"/>
      <c r="BS31" s="174">
        <v>48.182000000000002</v>
      </c>
      <c r="BT31" s="174"/>
      <c r="BU31" s="190">
        <v>19.352758407592773</v>
      </c>
      <c r="BV31" s="159"/>
      <c r="BW31" s="174">
        <v>14.282</v>
      </c>
      <c r="BX31" s="159"/>
      <c r="BY31" s="159"/>
      <c r="CB31" s="165"/>
      <c r="CC31" s="174">
        <v>7.798</v>
      </c>
      <c r="CD31" s="165"/>
      <c r="CE31" s="174">
        <v>7.3</v>
      </c>
      <c r="CF31" s="165"/>
      <c r="CH31" s="165"/>
      <c r="CJ31" s="165"/>
      <c r="CL31" s="165"/>
      <c r="CN31" s="165"/>
      <c r="CO31" s="130"/>
      <c r="CP31" s="165"/>
      <c r="CQ31" s="130"/>
      <c r="CR31" s="165"/>
      <c r="CS31" s="130"/>
      <c r="CT31" s="130"/>
      <c r="CU31" s="130"/>
      <c r="CV31" s="130"/>
      <c r="CW31" s="130"/>
      <c r="CX31" s="165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</row>
    <row r="32" spans="1:112" ht="15">
      <c r="A32" s="168" t="s">
        <v>7679</v>
      </c>
      <c r="B32" s="175"/>
      <c r="C32" s="174">
        <v>1</v>
      </c>
      <c r="D32" s="174">
        <v>6</v>
      </c>
      <c r="E32" s="174">
        <v>1</v>
      </c>
      <c r="F32" s="174">
        <v>11</v>
      </c>
      <c r="I32" s="174"/>
      <c r="K32" s="188">
        <v>5</v>
      </c>
      <c r="L32" s="146">
        <v>42430</v>
      </c>
      <c r="M32" s="174">
        <v>6.85</v>
      </c>
      <c r="N32" s="189">
        <v>42580</v>
      </c>
      <c r="S32" s="174">
        <v>17.940000000000001</v>
      </c>
      <c r="U32" s="159">
        <v>18.5</v>
      </c>
      <c r="AE32" s="174">
        <v>38.01</v>
      </c>
      <c r="AG32" s="174">
        <v>4.33</v>
      </c>
      <c r="AI32" s="174">
        <v>170</v>
      </c>
      <c r="AJ32" s="160">
        <v>42520</v>
      </c>
      <c r="AK32" s="174"/>
      <c r="AL32" s="174"/>
      <c r="AM32" s="174">
        <v>95</v>
      </c>
      <c r="AN32" s="174"/>
      <c r="AO32" s="174"/>
      <c r="AP32" s="174"/>
      <c r="AR32" s="174"/>
      <c r="AS32" s="174"/>
      <c r="AT32" s="174"/>
      <c r="AU32" s="174"/>
      <c r="AV32" s="174"/>
      <c r="AW32" s="174"/>
      <c r="AX32" s="174"/>
      <c r="AY32" s="174"/>
      <c r="BC32" s="174"/>
      <c r="BD32" s="174"/>
      <c r="BE32" s="174"/>
      <c r="BG32" s="174"/>
      <c r="BI32" s="174"/>
      <c r="BJ32" s="174"/>
      <c r="BK32" s="174"/>
      <c r="BM32" s="174">
        <v>62.951000000000001</v>
      </c>
      <c r="BN32" s="174"/>
      <c r="BO32" s="174"/>
      <c r="BP32" s="174"/>
      <c r="BR32" s="174"/>
      <c r="BS32" s="174">
        <v>47.191000000000003</v>
      </c>
      <c r="BT32" s="174"/>
      <c r="BU32" s="190">
        <v>20.626459121704102</v>
      </c>
      <c r="BV32" s="159"/>
      <c r="BW32" s="174">
        <v>15.332000000000001</v>
      </c>
      <c r="BX32" s="159"/>
      <c r="BY32" s="159"/>
      <c r="CB32" s="165"/>
      <c r="CC32" s="174">
        <v>8.3559999999999999</v>
      </c>
      <c r="CD32" s="165"/>
      <c r="CE32" s="174">
        <v>8.1999999999999993</v>
      </c>
      <c r="CF32" s="165"/>
      <c r="CH32" s="165"/>
      <c r="CJ32" s="165"/>
      <c r="CL32" s="165"/>
      <c r="CN32" s="165"/>
      <c r="CO32" s="130"/>
      <c r="CP32" s="165"/>
      <c r="CQ32" s="130"/>
      <c r="CR32" s="165"/>
      <c r="CS32" s="130"/>
      <c r="CT32" s="130"/>
      <c r="CU32" s="130"/>
      <c r="CV32" s="130"/>
      <c r="CW32" s="130"/>
      <c r="CX32" s="165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</row>
    <row r="33" spans="1:112" ht="15">
      <c r="A33" s="168" t="s">
        <v>7679</v>
      </c>
      <c r="B33" s="175"/>
      <c r="C33" s="174">
        <v>2</v>
      </c>
      <c r="D33" s="174">
        <v>6</v>
      </c>
      <c r="E33" s="174">
        <v>2</v>
      </c>
      <c r="F33" s="174">
        <v>16</v>
      </c>
      <c r="I33" s="174"/>
      <c r="K33" s="188">
        <v>5</v>
      </c>
      <c r="L33" s="146">
        <v>42430</v>
      </c>
      <c r="M33" s="174">
        <v>7.11</v>
      </c>
      <c r="N33" s="189">
        <v>42580</v>
      </c>
      <c r="S33" s="174">
        <v>18.260000000000002</v>
      </c>
      <c r="U33" s="159">
        <v>18.5</v>
      </c>
      <c r="AE33" s="174">
        <v>39.42</v>
      </c>
      <c r="AG33" s="174">
        <v>4.29</v>
      </c>
      <c r="AI33" s="174">
        <v>180</v>
      </c>
      <c r="AJ33" s="160">
        <v>42520</v>
      </c>
      <c r="AK33" s="174"/>
      <c r="AL33" s="174"/>
      <c r="AM33" s="174">
        <v>95</v>
      </c>
      <c r="AN33" s="174"/>
      <c r="AO33" s="174"/>
      <c r="AP33" s="174"/>
      <c r="AR33" s="174"/>
      <c r="AS33" s="174"/>
      <c r="AT33" s="174"/>
      <c r="AU33" s="174"/>
      <c r="AV33" s="174"/>
      <c r="AW33" s="174"/>
      <c r="AX33" s="174"/>
      <c r="AY33" s="174"/>
      <c r="BC33" s="174"/>
      <c r="BD33" s="174"/>
      <c r="BE33" s="174"/>
      <c r="BG33" s="174"/>
      <c r="BI33" s="174"/>
      <c r="BJ33" s="174"/>
      <c r="BK33" s="174"/>
      <c r="BM33" s="174">
        <v>62.945999999999998</v>
      </c>
      <c r="BN33" s="174"/>
      <c r="BO33" s="174"/>
      <c r="BP33" s="174"/>
      <c r="BR33" s="174"/>
      <c r="BS33" s="174">
        <v>46.323</v>
      </c>
      <c r="BT33" s="174"/>
      <c r="BU33" s="190">
        <v>20.668888092041016</v>
      </c>
      <c r="BV33" s="159"/>
      <c r="BW33" s="174">
        <v>15.481</v>
      </c>
      <c r="BX33" s="159"/>
      <c r="BY33" s="159"/>
      <c r="CB33" s="165"/>
      <c r="CC33" s="174">
        <v>8.4369999999999994</v>
      </c>
      <c r="CD33" s="165"/>
      <c r="CE33" s="174">
        <v>8</v>
      </c>
      <c r="CF33" s="165"/>
      <c r="CH33" s="165"/>
      <c r="CJ33" s="165"/>
      <c r="CL33" s="165"/>
      <c r="CN33" s="165"/>
      <c r="CO33" s="130"/>
      <c r="CP33" s="165"/>
      <c r="CQ33" s="130"/>
      <c r="CR33" s="165"/>
      <c r="CS33" s="130"/>
      <c r="CT33" s="130"/>
      <c r="CU33" s="130"/>
      <c r="CV33" s="130"/>
      <c r="CW33" s="130"/>
      <c r="CX33" s="165"/>
      <c r="CY33" s="130"/>
      <c r="CZ33" s="130"/>
      <c r="DA33" s="130"/>
      <c r="DB33" s="130"/>
      <c r="DC33" s="130"/>
      <c r="DD33" s="130"/>
      <c r="DE33" s="130"/>
      <c r="DF33" s="130"/>
      <c r="DG33" s="130"/>
      <c r="DH33" s="130"/>
    </row>
    <row r="34" spans="1:112" ht="15">
      <c r="A34" s="168" t="s">
        <v>7679</v>
      </c>
      <c r="B34" s="175"/>
      <c r="C34" s="174">
        <v>3</v>
      </c>
      <c r="D34" s="174">
        <v>6</v>
      </c>
      <c r="E34" s="174">
        <v>3</v>
      </c>
      <c r="F34" s="174">
        <v>1</v>
      </c>
      <c r="I34" s="174"/>
      <c r="K34" s="188">
        <v>8</v>
      </c>
      <c r="L34" s="146">
        <v>42430</v>
      </c>
      <c r="M34" s="174">
        <v>6.63</v>
      </c>
      <c r="N34" s="189">
        <v>42580</v>
      </c>
      <c r="S34" s="174">
        <v>17.190000000000001</v>
      </c>
      <c r="U34" s="159">
        <v>18.5</v>
      </c>
      <c r="AE34" s="174">
        <v>36.68</v>
      </c>
      <c r="AG34" s="174">
        <v>3.87</v>
      </c>
      <c r="AI34" s="174">
        <v>180</v>
      </c>
      <c r="AJ34" s="160">
        <v>42520</v>
      </c>
      <c r="AK34" s="174"/>
      <c r="AL34" s="174"/>
      <c r="AM34" s="174">
        <v>98</v>
      </c>
      <c r="AN34" s="174"/>
      <c r="AO34" s="174"/>
      <c r="AP34" s="174"/>
      <c r="AR34" s="174"/>
      <c r="AS34" s="174"/>
      <c r="AT34" s="174"/>
      <c r="AU34" s="174"/>
      <c r="AV34" s="174"/>
      <c r="AW34" s="174"/>
      <c r="AX34" s="174"/>
      <c r="AY34" s="174"/>
      <c r="BC34" s="174"/>
      <c r="BD34" s="174"/>
      <c r="BE34" s="174"/>
      <c r="BG34" s="174"/>
      <c r="BI34" s="174"/>
      <c r="BJ34" s="174"/>
      <c r="BK34" s="174"/>
      <c r="BM34" s="174">
        <v>63.131999999999998</v>
      </c>
      <c r="BN34" s="174"/>
      <c r="BO34" s="174"/>
      <c r="BP34" s="174"/>
      <c r="BR34" s="174"/>
      <c r="BS34" s="174">
        <v>46.875999999999998</v>
      </c>
      <c r="BT34" s="174"/>
      <c r="BU34" s="190">
        <v>21.396245956420898</v>
      </c>
      <c r="BV34" s="159"/>
      <c r="BW34" s="174">
        <v>16.672000000000001</v>
      </c>
      <c r="BX34" s="159"/>
      <c r="BY34" s="159"/>
      <c r="CB34" s="165"/>
      <c r="CC34" s="174">
        <v>8.6280000000000001</v>
      </c>
      <c r="CD34" s="165"/>
      <c r="CE34" s="174">
        <v>8.5</v>
      </c>
      <c r="CF34" s="165"/>
      <c r="CH34" s="165"/>
      <c r="CJ34" s="165"/>
      <c r="CL34" s="165"/>
      <c r="CN34" s="165"/>
      <c r="CO34" s="130"/>
      <c r="CP34" s="165"/>
      <c r="CQ34" s="130"/>
      <c r="CR34" s="165"/>
      <c r="CS34" s="130"/>
      <c r="CT34" s="130"/>
      <c r="CU34" s="130"/>
      <c r="CV34" s="130"/>
      <c r="CW34" s="130"/>
      <c r="CX34" s="165"/>
      <c r="CY34" s="130"/>
      <c r="CZ34" s="130"/>
      <c r="DA34" s="130"/>
      <c r="DB34" s="130"/>
      <c r="DC34" s="130"/>
      <c r="DD34" s="130"/>
      <c r="DE34" s="130"/>
      <c r="DF34" s="130"/>
      <c r="DG34" s="130"/>
      <c r="DH34" s="130"/>
    </row>
    <row r="35" spans="1:112" ht="15">
      <c r="A35" s="168" t="s">
        <v>7679</v>
      </c>
      <c r="B35" s="175"/>
      <c r="C35" s="174">
        <v>4</v>
      </c>
      <c r="D35" s="174">
        <v>6</v>
      </c>
      <c r="E35" s="174">
        <v>4</v>
      </c>
      <c r="F35" s="174">
        <v>31</v>
      </c>
      <c r="I35" s="174"/>
      <c r="K35" s="188">
        <v>5</v>
      </c>
      <c r="L35" s="146">
        <v>42430</v>
      </c>
      <c r="M35" s="174">
        <v>7.12</v>
      </c>
      <c r="N35" s="189">
        <v>42580</v>
      </c>
      <c r="S35" s="174">
        <v>19.38</v>
      </c>
      <c r="U35" s="159">
        <v>18.5</v>
      </c>
      <c r="AE35" s="174">
        <v>39.770000000000003</v>
      </c>
      <c r="AG35" s="174">
        <v>4.6100000000000003</v>
      </c>
      <c r="AI35" s="174">
        <v>160</v>
      </c>
      <c r="AJ35" s="160">
        <v>42520</v>
      </c>
      <c r="AK35" s="174"/>
      <c r="AL35" s="174"/>
      <c r="AM35" s="174">
        <v>98</v>
      </c>
      <c r="AN35" s="174"/>
      <c r="AO35" s="174"/>
      <c r="AP35" s="174"/>
      <c r="AR35" s="174"/>
      <c r="AS35" s="174"/>
      <c r="AT35" s="174"/>
      <c r="AU35" s="174"/>
      <c r="AV35" s="174"/>
      <c r="AW35" s="174"/>
      <c r="AX35" s="174"/>
      <c r="AY35" s="174"/>
      <c r="BC35" s="174"/>
      <c r="BD35" s="174"/>
      <c r="BE35" s="174"/>
      <c r="BG35" s="174"/>
      <c r="BI35" s="174"/>
      <c r="BJ35" s="174"/>
      <c r="BK35" s="174"/>
      <c r="BM35" s="174">
        <v>62.582000000000001</v>
      </c>
      <c r="BN35" s="174"/>
      <c r="BO35" s="174"/>
      <c r="BP35" s="174"/>
      <c r="BR35" s="174"/>
      <c r="BS35" s="174">
        <v>48.731999999999999</v>
      </c>
      <c r="BT35" s="174"/>
      <c r="BU35" s="190">
        <v>19.738002777099609</v>
      </c>
      <c r="BV35" s="159"/>
      <c r="BW35" s="174">
        <v>13.554</v>
      </c>
      <c r="BX35" s="159"/>
      <c r="BY35" s="159"/>
      <c r="CB35" s="165"/>
      <c r="CC35" s="174">
        <v>7.7510000000000003</v>
      </c>
      <c r="CD35" s="165"/>
      <c r="CE35" s="174">
        <v>7.5</v>
      </c>
      <c r="CF35" s="165"/>
      <c r="CH35" s="165"/>
      <c r="CJ35" s="165"/>
      <c r="CL35" s="165"/>
      <c r="CN35" s="165"/>
      <c r="CO35" s="130"/>
      <c r="CP35" s="165"/>
      <c r="CQ35" s="130"/>
      <c r="CR35" s="165"/>
      <c r="CS35" s="130"/>
      <c r="CT35" s="130"/>
      <c r="CU35" s="130"/>
      <c r="CV35" s="130"/>
      <c r="CW35" s="130"/>
      <c r="CX35" s="165"/>
      <c r="CY35" s="130"/>
      <c r="CZ35" s="130"/>
      <c r="DA35" s="130"/>
      <c r="DB35" s="130"/>
      <c r="DC35" s="130"/>
      <c r="DD35" s="130"/>
      <c r="DE35" s="130"/>
      <c r="DF35" s="130"/>
      <c r="DG35" s="130"/>
      <c r="DH35" s="130"/>
    </row>
    <row r="36" spans="1:112" ht="15">
      <c r="A36" s="168" t="s">
        <v>7679</v>
      </c>
      <c r="B36" s="175"/>
      <c r="C36" s="174">
        <v>5</v>
      </c>
      <c r="D36" s="174">
        <v>6</v>
      </c>
      <c r="E36" s="174">
        <v>5</v>
      </c>
      <c r="F36" s="174">
        <v>19</v>
      </c>
      <c r="I36" s="174"/>
      <c r="K36" s="188">
        <v>5</v>
      </c>
      <c r="L36" s="146">
        <v>42430</v>
      </c>
      <c r="M36" s="174">
        <v>6.47</v>
      </c>
      <c r="N36" s="189">
        <v>42580</v>
      </c>
      <c r="S36" s="174">
        <v>17.079999999999998</v>
      </c>
      <c r="U36" s="159">
        <v>18.5</v>
      </c>
      <c r="AE36" s="174">
        <v>36.159999999999997</v>
      </c>
      <c r="AG36" s="174">
        <v>4.07</v>
      </c>
      <c r="AI36" s="174">
        <v>160</v>
      </c>
      <c r="AJ36" s="160">
        <v>42520</v>
      </c>
      <c r="AK36" s="174"/>
      <c r="AL36" s="174"/>
      <c r="AM36" s="174">
        <v>98</v>
      </c>
      <c r="AN36" s="174"/>
      <c r="AO36" s="174"/>
      <c r="AP36" s="174"/>
      <c r="AR36" s="174"/>
      <c r="AS36" s="174"/>
      <c r="AT36" s="174"/>
      <c r="AU36" s="174"/>
      <c r="AV36" s="174"/>
      <c r="AW36" s="174"/>
      <c r="AX36" s="174"/>
      <c r="AY36" s="175"/>
      <c r="BC36" s="174"/>
      <c r="BD36" s="174"/>
      <c r="BE36" s="174"/>
      <c r="BG36" s="174"/>
      <c r="BI36" s="174"/>
      <c r="BJ36" s="174"/>
      <c r="BK36" s="174"/>
      <c r="BM36" s="174">
        <v>62.883000000000003</v>
      </c>
      <c r="BN36" s="174"/>
      <c r="BO36" s="174"/>
      <c r="BP36" s="174"/>
      <c r="BR36" s="174"/>
      <c r="BS36" s="174">
        <v>47.244999999999997</v>
      </c>
      <c r="BT36" s="174"/>
      <c r="BU36" s="190">
        <v>20.366741180419922</v>
      </c>
      <c r="BV36" s="159"/>
      <c r="BW36" s="174">
        <v>13.04</v>
      </c>
      <c r="BX36" s="159"/>
      <c r="BY36" s="159"/>
      <c r="CB36" s="165"/>
      <c r="CC36" s="174">
        <v>7.7080000000000002</v>
      </c>
      <c r="CD36" s="165"/>
      <c r="CE36" s="174">
        <v>7.4</v>
      </c>
      <c r="CF36" s="165"/>
      <c r="CH36" s="165"/>
      <c r="CJ36" s="165"/>
      <c r="CL36" s="165"/>
      <c r="CN36" s="165"/>
      <c r="CO36" s="130"/>
      <c r="CP36" s="165"/>
      <c r="CQ36" s="130"/>
      <c r="CR36" s="165"/>
      <c r="CS36" s="130"/>
      <c r="CT36" s="130"/>
      <c r="CU36" s="130"/>
      <c r="CV36" s="130"/>
      <c r="CW36" s="130"/>
      <c r="CX36" s="165"/>
      <c r="CY36" s="130"/>
      <c r="CZ36" s="130"/>
      <c r="DA36" s="130"/>
      <c r="DB36" s="130"/>
      <c r="DC36" s="130"/>
      <c r="DD36" s="130"/>
      <c r="DE36" s="130"/>
      <c r="DF36" s="130"/>
      <c r="DG36" s="130"/>
      <c r="DH36" s="130"/>
    </row>
    <row r="37" spans="1:112" ht="15">
      <c r="A37" s="168" t="s">
        <v>7679</v>
      </c>
      <c r="B37" s="175"/>
      <c r="C37" s="174">
        <v>6</v>
      </c>
      <c r="D37" s="174">
        <v>6</v>
      </c>
      <c r="E37" s="174">
        <v>6</v>
      </c>
      <c r="F37" s="174">
        <v>28</v>
      </c>
      <c r="I37" s="174"/>
      <c r="K37" s="188">
        <v>7</v>
      </c>
      <c r="L37" s="146">
        <v>42430</v>
      </c>
      <c r="M37" s="174">
        <v>6.48</v>
      </c>
      <c r="N37" s="189">
        <v>42580</v>
      </c>
      <c r="S37" s="174">
        <v>17.39</v>
      </c>
      <c r="U37" s="159">
        <v>18.5</v>
      </c>
      <c r="AE37" s="174">
        <v>36.15</v>
      </c>
      <c r="AG37" s="174">
        <v>4.22</v>
      </c>
      <c r="AI37" s="174">
        <v>160</v>
      </c>
      <c r="AJ37" s="160">
        <v>42520</v>
      </c>
      <c r="AK37" s="174"/>
      <c r="AL37" s="174"/>
      <c r="AM37" s="174">
        <v>95</v>
      </c>
      <c r="AN37" s="174"/>
      <c r="AO37" s="174"/>
      <c r="AP37" s="174"/>
      <c r="AR37" s="174"/>
      <c r="AS37" s="174"/>
      <c r="AT37" s="174"/>
      <c r="AU37" s="174"/>
      <c r="AV37" s="174"/>
      <c r="AW37" s="174"/>
      <c r="AX37" s="174"/>
      <c r="AY37" s="175"/>
      <c r="BC37" s="174"/>
      <c r="BD37" s="174"/>
      <c r="BE37" s="174"/>
      <c r="BG37" s="174"/>
      <c r="BI37" s="174"/>
      <c r="BJ37" s="174"/>
      <c r="BK37" s="174"/>
      <c r="BM37" s="174">
        <v>63.204999999999998</v>
      </c>
      <c r="BN37" s="174"/>
      <c r="BO37" s="174"/>
      <c r="BP37" s="174"/>
      <c r="BR37" s="174"/>
      <c r="BS37" s="174">
        <v>48.11</v>
      </c>
      <c r="BT37" s="174"/>
      <c r="BU37" s="190">
        <v>19.466636657714844</v>
      </c>
      <c r="BV37" s="159"/>
      <c r="BW37" s="174">
        <v>13.319000000000001</v>
      </c>
      <c r="BX37" s="159"/>
      <c r="BY37" s="159"/>
      <c r="CB37" s="165"/>
      <c r="CC37" s="174">
        <v>7.8680000000000003</v>
      </c>
      <c r="CD37" s="165"/>
      <c r="CE37" s="174">
        <v>7.4</v>
      </c>
      <c r="CF37" s="165"/>
      <c r="CH37" s="165"/>
      <c r="CJ37" s="165"/>
      <c r="CL37" s="165"/>
      <c r="CN37" s="165"/>
      <c r="CO37" s="130"/>
      <c r="CP37" s="165"/>
      <c r="CQ37" s="130"/>
      <c r="CR37" s="165"/>
      <c r="CS37" s="130"/>
      <c r="CT37" s="130"/>
      <c r="CU37" s="130"/>
      <c r="CV37" s="130"/>
      <c r="CW37" s="130"/>
      <c r="CX37" s="165"/>
      <c r="CY37" s="130"/>
      <c r="CZ37" s="130"/>
      <c r="DA37" s="130"/>
      <c r="DB37" s="130"/>
      <c r="DC37" s="130"/>
      <c r="DD37" s="130"/>
      <c r="DE37" s="130"/>
      <c r="DF37" s="130"/>
      <c r="DG37" s="130"/>
      <c r="DH37" s="130"/>
    </row>
    <row r="38" spans="1:112" ht="15">
      <c r="A38" s="168" t="s">
        <v>7680</v>
      </c>
      <c r="B38" s="175"/>
      <c r="C38" s="174">
        <v>1</v>
      </c>
      <c r="D38" s="174">
        <v>7</v>
      </c>
      <c r="E38" s="174">
        <v>1</v>
      </c>
      <c r="F38" s="174">
        <v>10</v>
      </c>
      <c r="I38" s="174"/>
      <c r="K38" s="188">
        <v>7</v>
      </c>
      <c r="L38" s="146">
        <v>42430</v>
      </c>
      <c r="M38" s="174">
        <v>7.99</v>
      </c>
      <c r="N38" s="189">
        <v>42580</v>
      </c>
      <c r="S38" s="174">
        <v>19.89</v>
      </c>
      <c r="U38" s="159">
        <v>18.5</v>
      </c>
      <c r="AE38" s="174">
        <v>44.08</v>
      </c>
      <c r="AG38" s="174">
        <v>4.46</v>
      </c>
      <c r="AI38" s="174">
        <v>160</v>
      </c>
      <c r="AJ38" s="160">
        <v>42520</v>
      </c>
      <c r="AK38" s="174"/>
      <c r="AL38" s="174"/>
      <c r="AM38" s="174">
        <v>95</v>
      </c>
      <c r="AN38" s="174"/>
      <c r="AO38" s="174"/>
      <c r="AP38" s="174"/>
      <c r="AR38" s="174"/>
      <c r="AS38" s="174"/>
      <c r="AT38" s="174"/>
      <c r="AU38" s="174"/>
      <c r="AV38" s="174"/>
      <c r="AW38" s="174"/>
      <c r="AX38" s="174"/>
      <c r="AY38" s="174"/>
      <c r="BC38" s="174"/>
      <c r="BD38" s="174"/>
      <c r="BE38" s="174"/>
      <c r="BG38" s="174"/>
      <c r="BI38" s="174"/>
      <c r="BJ38" s="174"/>
      <c r="BK38" s="174"/>
      <c r="BM38" s="174">
        <v>60.947000000000003</v>
      </c>
      <c r="BN38" s="174"/>
      <c r="BO38" s="174"/>
      <c r="BP38" s="174"/>
      <c r="BR38" s="174"/>
      <c r="BS38" s="174">
        <v>45.113999999999997</v>
      </c>
      <c r="BT38" s="174"/>
      <c r="BU38" s="190">
        <v>21.186840057373047</v>
      </c>
      <c r="BV38" s="159"/>
      <c r="BW38" s="174">
        <v>15.999000000000001</v>
      </c>
      <c r="BX38" s="159"/>
      <c r="BY38" s="159"/>
      <c r="CB38" s="165"/>
      <c r="CC38" s="174">
        <v>8.9039999999999999</v>
      </c>
      <c r="CD38" s="165"/>
      <c r="CE38" s="174">
        <v>8.5</v>
      </c>
      <c r="CF38" s="165"/>
      <c r="CH38" s="165"/>
      <c r="CJ38" s="165"/>
      <c r="CL38" s="165"/>
      <c r="CN38" s="165"/>
      <c r="CO38" s="130"/>
      <c r="CP38" s="165"/>
      <c r="CQ38" s="130"/>
      <c r="CR38" s="165"/>
      <c r="CS38" s="130"/>
      <c r="CT38" s="130"/>
      <c r="CU38" s="130"/>
      <c r="CV38" s="130"/>
      <c r="CW38" s="130"/>
      <c r="CX38" s="165"/>
      <c r="CY38" s="130"/>
      <c r="CZ38" s="130"/>
      <c r="DA38" s="130"/>
      <c r="DB38" s="130"/>
      <c r="DC38" s="130"/>
      <c r="DD38" s="130"/>
      <c r="DE38" s="130"/>
      <c r="DF38" s="130"/>
      <c r="DG38" s="130"/>
      <c r="DH38" s="130"/>
    </row>
    <row r="39" spans="1:112" ht="15">
      <c r="A39" s="168" t="s">
        <v>7680</v>
      </c>
      <c r="B39" s="175"/>
      <c r="C39" s="174">
        <v>2</v>
      </c>
      <c r="D39" s="174">
        <v>7</v>
      </c>
      <c r="E39" s="174">
        <v>2</v>
      </c>
      <c r="F39" s="174">
        <v>11</v>
      </c>
      <c r="I39" s="174"/>
      <c r="K39" s="188">
        <v>5</v>
      </c>
      <c r="L39" s="146">
        <v>42430</v>
      </c>
      <c r="M39" s="174">
        <v>8.27</v>
      </c>
      <c r="N39" s="189">
        <v>42580</v>
      </c>
      <c r="S39" s="174">
        <v>21.61</v>
      </c>
      <c r="U39" s="159">
        <v>18.5</v>
      </c>
      <c r="AE39" s="174">
        <v>45.61</v>
      </c>
      <c r="AG39" s="174">
        <v>4.2300000000000004</v>
      </c>
      <c r="AI39" s="174">
        <v>170</v>
      </c>
      <c r="AJ39" s="160">
        <v>42520</v>
      </c>
      <c r="AK39" s="174"/>
      <c r="AL39" s="174"/>
      <c r="AM39" s="174">
        <v>100</v>
      </c>
      <c r="AN39" s="174"/>
      <c r="AO39" s="174"/>
      <c r="AP39" s="174"/>
      <c r="AR39" s="174"/>
      <c r="AS39" s="174"/>
      <c r="AT39" s="174"/>
      <c r="AU39" s="174"/>
      <c r="AV39" s="174"/>
      <c r="AW39" s="174"/>
      <c r="AX39" s="174"/>
      <c r="AY39" s="174"/>
      <c r="BC39" s="174"/>
      <c r="BD39" s="174"/>
      <c r="BE39" s="174"/>
      <c r="BG39" s="174"/>
      <c r="BI39" s="174"/>
      <c r="BJ39" s="174"/>
      <c r="BK39" s="174"/>
      <c r="BM39" s="174">
        <v>62.704999999999998</v>
      </c>
      <c r="BN39" s="174"/>
      <c r="BO39" s="174"/>
      <c r="BP39" s="174"/>
      <c r="BR39" s="174"/>
      <c r="BS39" s="174">
        <v>47.371000000000002</v>
      </c>
      <c r="BT39" s="174"/>
      <c r="BU39" s="190">
        <v>20.83421516418457</v>
      </c>
      <c r="BV39" s="159"/>
      <c r="BW39" s="174">
        <v>13.853999999999999</v>
      </c>
      <c r="BX39" s="159"/>
      <c r="BY39" s="159"/>
      <c r="CB39" s="165"/>
      <c r="CC39" s="174">
        <v>8.9220000000000006</v>
      </c>
      <c r="CD39" s="165"/>
      <c r="CE39" s="174">
        <v>8.5</v>
      </c>
      <c r="CF39" s="165"/>
      <c r="CH39" s="165"/>
      <c r="CJ39" s="165"/>
      <c r="CL39" s="165"/>
      <c r="CN39" s="165"/>
      <c r="CO39" s="130"/>
      <c r="CP39" s="165"/>
      <c r="CQ39" s="130"/>
      <c r="CR39" s="165"/>
      <c r="CS39" s="130"/>
      <c r="CT39" s="130"/>
      <c r="CU39" s="130"/>
      <c r="CV39" s="130"/>
      <c r="CW39" s="130"/>
      <c r="CX39" s="165"/>
      <c r="CY39" s="130"/>
      <c r="CZ39" s="130"/>
      <c r="DA39" s="130"/>
      <c r="DB39" s="130"/>
      <c r="DC39" s="130"/>
      <c r="DD39" s="130"/>
      <c r="DE39" s="130"/>
      <c r="DF39" s="130"/>
      <c r="DG39" s="130"/>
      <c r="DH39" s="130"/>
    </row>
    <row r="40" spans="1:112" ht="15">
      <c r="A40" s="168" t="s">
        <v>7680</v>
      </c>
      <c r="B40" s="175"/>
      <c r="C40" s="174">
        <v>3</v>
      </c>
      <c r="D40" s="174">
        <v>7</v>
      </c>
      <c r="E40" s="174">
        <v>3</v>
      </c>
      <c r="F40" s="174">
        <v>32</v>
      </c>
      <c r="I40" s="174"/>
      <c r="K40" s="188">
        <v>8</v>
      </c>
      <c r="L40" s="146">
        <v>42430</v>
      </c>
      <c r="M40" s="174">
        <v>7.7</v>
      </c>
      <c r="N40" s="189">
        <v>42580</v>
      </c>
      <c r="S40" s="174">
        <v>20.57</v>
      </c>
      <c r="U40" s="159">
        <v>18.5</v>
      </c>
      <c r="AE40" s="174">
        <v>42.66</v>
      </c>
      <c r="AG40" s="174">
        <v>4.3099999999999996</v>
      </c>
      <c r="AI40" s="174">
        <v>190</v>
      </c>
      <c r="AJ40" s="160">
        <v>42520</v>
      </c>
      <c r="AK40" s="174"/>
      <c r="AL40" s="174"/>
      <c r="AM40" s="174">
        <v>98</v>
      </c>
      <c r="AN40" s="174"/>
      <c r="AO40" s="174"/>
      <c r="AP40" s="174"/>
      <c r="AR40" s="174"/>
      <c r="AS40" s="174"/>
      <c r="AT40" s="174"/>
      <c r="AU40" s="174"/>
      <c r="AV40" s="174"/>
      <c r="AW40" s="174"/>
      <c r="AX40" s="174"/>
      <c r="AY40" s="174"/>
      <c r="BC40" s="174"/>
      <c r="BD40" s="174"/>
      <c r="BE40" s="174"/>
      <c r="BG40" s="174"/>
      <c r="BI40" s="174"/>
      <c r="BJ40" s="174"/>
      <c r="BK40" s="174"/>
      <c r="BM40" s="174">
        <v>62.259</v>
      </c>
      <c r="BN40" s="174"/>
      <c r="BO40" s="174"/>
      <c r="BP40" s="174"/>
      <c r="BR40" s="174"/>
      <c r="BS40" s="174">
        <v>48.212000000000003</v>
      </c>
      <c r="BT40" s="174"/>
      <c r="BU40" s="190">
        <v>20.368387222290039</v>
      </c>
      <c r="BV40" s="159"/>
      <c r="BW40" s="174">
        <v>15.404999999999999</v>
      </c>
      <c r="BX40" s="159"/>
      <c r="BY40" s="159"/>
      <c r="CB40" s="165"/>
      <c r="CC40" s="174">
        <v>8.5009999999999994</v>
      </c>
      <c r="CD40" s="165"/>
      <c r="CE40" s="174">
        <v>7.9</v>
      </c>
      <c r="CF40" s="165"/>
      <c r="CH40" s="165"/>
      <c r="CJ40" s="165"/>
      <c r="CL40" s="165"/>
      <c r="CN40" s="165"/>
      <c r="CO40" s="130"/>
      <c r="CP40" s="165"/>
      <c r="CQ40" s="130"/>
      <c r="CR40" s="165"/>
      <c r="CS40" s="130"/>
      <c r="CT40" s="130"/>
      <c r="CU40" s="130"/>
      <c r="CV40" s="130"/>
      <c r="CW40" s="130"/>
      <c r="CX40" s="165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</row>
    <row r="41" spans="1:112" ht="15">
      <c r="A41" s="168" t="s">
        <v>7680</v>
      </c>
      <c r="B41" s="175"/>
      <c r="C41" s="174">
        <v>4</v>
      </c>
      <c r="D41" s="174">
        <v>7</v>
      </c>
      <c r="E41" s="174">
        <v>4</v>
      </c>
      <c r="F41" s="174">
        <v>7</v>
      </c>
      <c r="I41" s="174"/>
      <c r="K41" s="188">
        <v>8</v>
      </c>
      <c r="L41" s="146">
        <v>42430</v>
      </c>
      <c r="M41" s="174">
        <v>7.39</v>
      </c>
      <c r="N41" s="189">
        <v>42580</v>
      </c>
      <c r="S41" s="174">
        <v>19.920000000000002</v>
      </c>
      <c r="U41" s="159">
        <v>18.5</v>
      </c>
      <c r="AE41" s="174">
        <v>40.98</v>
      </c>
      <c r="AG41" s="174">
        <v>4.2</v>
      </c>
      <c r="AI41" s="174">
        <v>160</v>
      </c>
      <c r="AJ41" s="160">
        <v>42520</v>
      </c>
      <c r="AK41" s="174"/>
      <c r="AL41" s="174"/>
      <c r="AM41" s="174">
        <v>90</v>
      </c>
      <c r="AN41" s="174"/>
      <c r="AO41" s="174"/>
      <c r="AP41" s="174"/>
      <c r="AR41" s="174"/>
      <c r="AS41" s="174"/>
      <c r="AT41" s="174"/>
      <c r="AU41" s="174"/>
      <c r="AV41" s="174"/>
      <c r="AW41" s="174"/>
      <c r="AX41" s="174"/>
      <c r="AY41" s="175"/>
      <c r="BC41" s="174"/>
      <c r="BD41" s="174"/>
      <c r="BE41" s="174"/>
      <c r="BG41" s="174"/>
      <c r="BI41" s="174"/>
      <c r="BJ41" s="174"/>
      <c r="BK41" s="174"/>
      <c r="BM41" s="174">
        <v>63.914000000000001</v>
      </c>
      <c r="BN41" s="174"/>
      <c r="BO41" s="174"/>
      <c r="BP41" s="174"/>
      <c r="BR41" s="174"/>
      <c r="BS41" s="174">
        <v>48.609000000000002</v>
      </c>
      <c r="BT41" s="174"/>
      <c r="BU41" s="190">
        <v>19.061378479003906</v>
      </c>
      <c r="BV41" s="159"/>
      <c r="BW41" s="174">
        <v>14.901999999999999</v>
      </c>
      <c r="BX41" s="159"/>
      <c r="BY41" s="159"/>
      <c r="CB41" s="165"/>
      <c r="CC41" s="174">
        <v>8.4179999999999993</v>
      </c>
      <c r="CD41" s="165"/>
      <c r="CE41" s="174">
        <v>7.7</v>
      </c>
      <c r="CF41" s="165"/>
      <c r="CH41" s="165"/>
      <c r="CJ41" s="165"/>
      <c r="CL41" s="165"/>
      <c r="CN41" s="165"/>
      <c r="CO41" s="130"/>
      <c r="CP41" s="165"/>
      <c r="CQ41" s="130"/>
      <c r="CR41" s="165"/>
      <c r="CS41" s="130"/>
      <c r="CT41" s="130"/>
      <c r="CU41" s="130"/>
      <c r="CV41" s="130"/>
      <c r="CW41" s="130"/>
      <c r="CX41" s="165"/>
      <c r="CY41" s="130"/>
      <c r="CZ41" s="130"/>
      <c r="DA41" s="130"/>
      <c r="DB41" s="130"/>
      <c r="DC41" s="130"/>
      <c r="DD41" s="130"/>
      <c r="DE41" s="130"/>
      <c r="DF41" s="130"/>
      <c r="DG41" s="130"/>
      <c r="DH41" s="130"/>
    </row>
    <row r="42" spans="1:112" ht="15">
      <c r="A42" s="168" t="s">
        <v>7680</v>
      </c>
      <c r="B42" s="175"/>
      <c r="C42" s="174">
        <v>5</v>
      </c>
      <c r="D42" s="174">
        <v>7</v>
      </c>
      <c r="E42" s="174">
        <v>5</v>
      </c>
      <c r="F42" s="174">
        <v>9</v>
      </c>
      <c r="I42" s="174"/>
      <c r="K42" s="188">
        <v>7</v>
      </c>
      <c r="L42" s="146">
        <v>42430</v>
      </c>
      <c r="M42" s="174">
        <v>7.76</v>
      </c>
      <c r="N42" s="189">
        <v>42580</v>
      </c>
      <c r="S42" s="174">
        <v>20.72</v>
      </c>
      <c r="U42" s="159">
        <v>18.5</v>
      </c>
      <c r="AE42" s="174">
        <v>43.09</v>
      </c>
      <c r="AG42" s="174">
        <v>4.3899999999999997</v>
      </c>
      <c r="AI42" s="174">
        <v>160</v>
      </c>
      <c r="AJ42" s="160">
        <v>42520</v>
      </c>
      <c r="AK42" s="174"/>
      <c r="AL42" s="174"/>
      <c r="AM42" s="174">
        <v>98</v>
      </c>
      <c r="AN42" s="174"/>
      <c r="AO42" s="174"/>
      <c r="AP42" s="174"/>
      <c r="AR42" s="174"/>
      <c r="AS42" s="174"/>
      <c r="AT42" s="174"/>
      <c r="AU42" s="174"/>
      <c r="AV42" s="174"/>
      <c r="AW42" s="174"/>
      <c r="AX42" s="174"/>
      <c r="AY42" s="175"/>
      <c r="BC42" s="174"/>
      <c r="BD42" s="174"/>
      <c r="BE42" s="174"/>
      <c r="BG42" s="174"/>
      <c r="BI42" s="174"/>
      <c r="BJ42" s="174"/>
      <c r="BK42" s="174"/>
      <c r="BM42" s="174">
        <v>62.87</v>
      </c>
      <c r="BN42" s="174"/>
      <c r="BO42" s="174"/>
      <c r="BP42" s="174"/>
      <c r="BR42" s="174"/>
      <c r="BS42" s="174">
        <v>48.084000000000003</v>
      </c>
      <c r="BT42" s="174"/>
      <c r="BU42" s="190">
        <v>19.724493026733398</v>
      </c>
      <c r="BV42" s="159"/>
      <c r="BW42" s="174">
        <v>12.906000000000001</v>
      </c>
      <c r="BX42" s="159"/>
      <c r="BY42" s="159"/>
      <c r="CB42" s="165"/>
      <c r="CC42" s="174">
        <v>8.3030000000000008</v>
      </c>
      <c r="CD42" s="165"/>
      <c r="CE42" s="174">
        <v>7.8</v>
      </c>
      <c r="CF42" s="165"/>
      <c r="CH42" s="165"/>
      <c r="CJ42" s="165"/>
      <c r="CL42" s="165"/>
      <c r="CN42" s="165"/>
      <c r="CO42" s="130"/>
      <c r="CP42" s="165"/>
      <c r="CQ42" s="130"/>
      <c r="CR42" s="165"/>
      <c r="CS42" s="130"/>
      <c r="CT42" s="130"/>
      <c r="CU42" s="130"/>
      <c r="CV42" s="130"/>
      <c r="CW42" s="130"/>
      <c r="CX42" s="165"/>
      <c r="CY42" s="130"/>
      <c r="CZ42" s="130"/>
      <c r="DA42" s="130"/>
      <c r="DB42" s="130"/>
      <c r="DC42" s="130"/>
      <c r="DD42" s="130"/>
      <c r="DE42" s="130"/>
      <c r="DF42" s="130"/>
      <c r="DG42" s="130"/>
      <c r="DH42" s="130"/>
    </row>
    <row r="43" spans="1:112" ht="15">
      <c r="A43" s="168" t="s">
        <v>7680</v>
      </c>
      <c r="B43" s="175"/>
      <c r="C43" s="174">
        <v>6</v>
      </c>
      <c r="D43" s="174">
        <v>7</v>
      </c>
      <c r="E43" s="174">
        <v>6</v>
      </c>
      <c r="F43" s="174">
        <v>30</v>
      </c>
      <c r="I43" s="174"/>
      <c r="K43" s="188">
        <v>7</v>
      </c>
      <c r="L43" s="146">
        <v>42430</v>
      </c>
      <c r="M43" s="174">
        <v>8.49</v>
      </c>
      <c r="N43" s="189">
        <v>42580</v>
      </c>
      <c r="S43" s="174">
        <v>23.16</v>
      </c>
      <c r="U43" s="159">
        <v>18.5</v>
      </c>
      <c r="AE43" s="174">
        <v>47.2</v>
      </c>
      <c r="AG43" s="174">
        <v>4.54</v>
      </c>
      <c r="AI43" s="174">
        <v>160</v>
      </c>
      <c r="AJ43" s="160">
        <v>42520</v>
      </c>
      <c r="AK43" s="174"/>
      <c r="AL43" s="174"/>
      <c r="AM43" s="174">
        <v>98</v>
      </c>
      <c r="AN43" s="174"/>
      <c r="AO43" s="174"/>
      <c r="AP43" s="174"/>
      <c r="AR43" s="174"/>
      <c r="AS43" s="174"/>
      <c r="AT43" s="174"/>
      <c r="AU43" s="174"/>
      <c r="AV43" s="174"/>
      <c r="AW43" s="174"/>
      <c r="AX43" s="174"/>
      <c r="AY43" s="174"/>
      <c r="BC43" s="174"/>
      <c r="BD43" s="174"/>
      <c r="BE43" s="174"/>
      <c r="BG43" s="174"/>
      <c r="BI43" s="174"/>
      <c r="BJ43" s="174"/>
      <c r="BK43" s="174"/>
      <c r="BM43" s="174">
        <v>63.692999999999998</v>
      </c>
      <c r="BN43" s="174"/>
      <c r="BO43" s="174"/>
      <c r="BP43" s="174"/>
      <c r="BR43" s="174"/>
      <c r="BS43" s="174">
        <v>49.064</v>
      </c>
      <c r="BT43" s="174"/>
      <c r="BU43" s="190">
        <v>19.126482009887695</v>
      </c>
      <c r="BV43" s="159"/>
      <c r="BW43" s="174">
        <v>14.446999999999999</v>
      </c>
      <c r="BX43" s="159"/>
      <c r="BY43" s="159"/>
      <c r="CB43" s="165"/>
      <c r="CC43" s="174">
        <v>8.202</v>
      </c>
      <c r="CD43" s="165"/>
      <c r="CE43" s="174">
        <v>7.7</v>
      </c>
      <c r="CF43" s="165"/>
      <c r="CH43" s="165"/>
      <c r="CJ43" s="165"/>
      <c r="CL43" s="165"/>
      <c r="CN43" s="165"/>
      <c r="CO43" s="130"/>
      <c r="CP43" s="165"/>
      <c r="CQ43" s="130"/>
      <c r="CR43" s="165"/>
      <c r="CS43" s="130"/>
      <c r="CT43" s="130"/>
      <c r="CU43" s="130"/>
      <c r="CV43" s="130"/>
      <c r="CW43" s="130"/>
      <c r="CX43" s="165"/>
      <c r="CY43" s="130"/>
      <c r="CZ43" s="130"/>
      <c r="DA43" s="130"/>
      <c r="DB43" s="130"/>
      <c r="DC43" s="130"/>
      <c r="DD43" s="130"/>
      <c r="DE43" s="130"/>
      <c r="DF43" s="130"/>
      <c r="DG43" s="130"/>
      <c r="DH43" s="130"/>
    </row>
    <row r="44" spans="1:112" ht="15">
      <c r="A44" s="168" t="s">
        <v>7682</v>
      </c>
      <c r="B44" s="175"/>
      <c r="C44" s="174">
        <v>1</v>
      </c>
      <c r="D44" s="174">
        <v>8</v>
      </c>
      <c r="E44" s="174">
        <v>1</v>
      </c>
      <c r="F44" s="174">
        <v>3</v>
      </c>
      <c r="I44" s="174"/>
      <c r="K44" s="188">
        <v>8</v>
      </c>
      <c r="L44" s="146">
        <v>42430</v>
      </c>
      <c r="M44" s="174">
        <v>7.42</v>
      </c>
      <c r="N44" s="189">
        <v>42580</v>
      </c>
      <c r="S44" s="174">
        <v>19.07</v>
      </c>
      <c r="U44" s="159">
        <v>18.5</v>
      </c>
      <c r="AE44" s="174">
        <v>40.950000000000003</v>
      </c>
      <c r="AG44" s="174">
        <v>4.49</v>
      </c>
      <c r="AI44" s="174">
        <v>180</v>
      </c>
      <c r="AJ44" s="160">
        <v>42520</v>
      </c>
      <c r="AK44" s="174"/>
      <c r="AL44" s="174"/>
      <c r="AM44" s="174">
        <v>100</v>
      </c>
      <c r="AN44" s="174"/>
      <c r="AO44" s="174"/>
      <c r="AP44" s="174"/>
      <c r="AR44" s="174"/>
      <c r="AS44" s="174"/>
      <c r="AT44" s="174"/>
      <c r="AU44" s="174"/>
      <c r="AV44" s="174"/>
      <c r="AW44" s="174"/>
      <c r="AX44" s="174"/>
      <c r="AY44" s="174"/>
      <c r="BC44" s="174"/>
      <c r="BD44" s="174"/>
      <c r="BE44" s="174"/>
      <c r="BG44" s="174"/>
      <c r="BI44" s="174"/>
      <c r="BJ44" s="174"/>
      <c r="BK44" s="174"/>
      <c r="BM44" s="174">
        <v>60.234999999999999</v>
      </c>
      <c r="BN44" s="174"/>
      <c r="BO44" s="174"/>
      <c r="BP44" s="174"/>
      <c r="BR44" s="174"/>
      <c r="BS44" s="174">
        <v>46.567999999999998</v>
      </c>
      <c r="BT44" s="174"/>
      <c r="BU44" s="190">
        <v>20.328418731689453</v>
      </c>
      <c r="BV44" s="159"/>
      <c r="BW44" s="174">
        <v>8.6530000000000005</v>
      </c>
      <c r="BX44" s="159"/>
      <c r="BY44" s="159"/>
      <c r="CB44" s="165"/>
      <c r="CC44" s="174">
        <v>8.8559999999999999</v>
      </c>
      <c r="CD44" s="165"/>
      <c r="CE44" s="174">
        <v>8.6999999999999993</v>
      </c>
      <c r="CF44" s="165"/>
      <c r="CH44" s="165"/>
      <c r="CJ44" s="165"/>
      <c r="CL44" s="165"/>
      <c r="CN44" s="165"/>
      <c r="CO44" s="130"/>
      <c r="CP44" s="165"/>
      <c r="CQ44" s="130"/>
      <c r="CR44" s="165"/>
      <c r="CS44" s="130"/>
      <c r="CT44" s="130"/>
      <c r="CU44" s="130"/>
      <c r="CV44" s="130"/>
      <c r="CW44" s="130"/>
      <c r="CX44" s="165"/>
      <c r="CY44" s="130"/>
      <c r="CZ44" s="130"/>
      <c r="DA44" s="130"/>
      <c r="DB44" s="130"/>
      <c r="DC44" s="130"/>
      <c r="DD44" s="130"/>
      <c r="DE44" s="130"/>
      <c r="DF44" s="130"/>
      <c r="DG44" s="130"/>
      <c r="DH44" s="130"/>
    </row>
    <row r="45" spans="1:112" ht="15">
      <c r="A45" s="168" t="s">
        <v>7682</v>
      </c>
      <c r="B45" s="175"/>
      <c r="C45" s="174">
        <v>2</v>
      </c>
      <c r="D45" s="174">
        <v>8</v>
      </c>
      <c r="E45" s="174">
        <v>2</v>
      </c>
      <c r="F45" s="174">
        <v>14</v>
      </c>
      <c r="I45" s="174"/>
      <c r="K45" s="188">
        <v>5</v>
      </c>
      <c r="L45" s="146">
        <v>42430</v>
      </c>
      <c r="M45" s="174">
        <v>8.6</v>
      </c>
      <c r="N45" s="189">
        <v>42580</v>
      </c>
      <c r="S45" s="174">
        <v>22.68</v>
      </c>
      <c r="U45" s="159">
        <v>18.5</v>
      </c>
      <c r="AE45" s="174">
        <v>47.63</v>
      </c>
      <c r="AG45" s="174">
        <v>4.29</v>
      </c>
      <c r="AI45" s="174">
        <v>170</v>
      </c>
      <c r="AJ45" s="160">
        <v>42520</v>
      </c>
      <c r="AK45" s="174"/>
      <c r="AL45" s="174"/>
      <c r="AM45" s="174">
        <v>100</v>
      </c>
      <c r="AN45" s="174"/>
      <c r="AO45" s="174"/>
      <c r="AP45" s="174"/>
      <c r="AR45" s="174"/>
      <c r="AS45" s="174"/>
      <c r="AT45" s="174"/>
      <c r="AU45" s="174"/>
      <c r="AV45" s="174"/>
      <c r="AW45" s="174"/>
      <c r="AX45" s="174"/>
      <c r="AY45" s="174"/>
      <c r="BC45" s="174"/>
      <c r="BD45" s="174"/>
      <c r="BE45" s="174"/>
      <c r="BG45" s="174"/>
      <c r="BI45" s="174"/>
      <c r="BJ45" s="174"/>
      <c r="BK45" s="174"/>
      <c r="BM45" s="174">
        <v>59.585000000000001</v>
      </c>
      <c r="BN45" s="174"/>
      <c r="BO45" s="174"/>
      <c r="BP45" s="174"/>
      <c r="BR45" s="174"/>
      <c r="BS45" s="174">
        <v>47.616999999999997</v>
      </c>
      <c r="BT45" s="174"/>
      <c r="BU45" s="190">
        <v>20.345609664916992</v>
      </c>
      <c r="BV45" s="159"/>
      <c r="BW45" s="174">
        <v>7.8520000000000003</v>
      </c>
      <c r="BX45" s="159"/>
      <c r="BY45" s="159"/>
      <c r="CB45" s="165"/>
      <c r="CC45" s="174">
        <v>8.5500000000000007</v>
      </c>
      <c r="CD45" s="165"/>
      <c r="CE45" s="174">
        <v>8.3000000000000007</v>
      </c>
      <c r="CF45" s="165"/>
      <c r="CH45" s="165"/>
      <c r="CJ45" s="165"/>
      <c r="CL45" s="165"/>
      <c r="CN45" s="165"/>
      <c r="CO45" s="130"/>
      <c r="CP45" s="165"/>
      <c r="CQ45" s="130"/>
      <c r="CR45" s="165"/>
      <c r="CS45" s="130"/>
      <c r="CT45" s="130"/>
      <c r="CU45" s="130"/>
      <c r="CV45" s="130"/>
      <c r="CW45" s="130"/>
      <c r="CX45" s="165"/>
      <c r="CY45" s="130"/>
      <c r="CZ45" s="130"/>
      <c r="DA45" s="130"/>
      <c r="DB45" s="130"/>
      <c r="DC45" s="130"/>
      <c r="DD45" s="130"/>
      <c r="DE45" s="130"/>
      <c r="DF45" s="130"/>
      <c r="DG45" s="130"/>
      <c r="DH45" s="130"/>
    </row>
    <row r="46" spans="1:112" ht="15">
      <c r="A46" s="168" t="s">
        <v>7682</v>
      </c>
      <c r="B46" s="175"/>
      <c r="C46" s="174">
        <v>3</v>
      </c>
      <c r="D46" s="174">
        <v>8</v>
      </c>
      <c r="E46" s="174">
        <v>3</v>
      </c>
      <c r="F46" s="174">
        <v>15</v>
      </c>
      <c r="I46" s="174"/>
      <c r="K46" s="188">
        <v>8</v>
      </c>
      <c r="L46" s="146">
        <v>42430</v>
      </c>
      <c r="M46" s="174">
        <v>8.4499999999999993</v>
      </c>
      <c r="N46" s="189">
        <v>42580</v>
      </c>
      <c r="S46" s="174">
        <v>22.29</v>
      </c>
      <c r="U46" s="159">
        <v>18.5</v>
      </c>
      <c r="AE46" s="174">
        <v>46.74</v>
      </c>
      <c r="AG46" s="174">
        <v>4.34</v>
      </c>
      <c r="AI46" s="174">
        <v>170</v>
      </c>
      <c r="AJ46" s="160">
        <v>42520</v>
      </c>
      <c r="AK46" s="174"/>
      <c r="AL46" s="174"/>
      <c r="AM46" s="174">
        <v>95</v>
      </c>
      <c r="AN46" s="174"/>
      <c r="AO46" s="174"/>
      <c r="AP46" s="174"/>
      <c r="AR46" s="174"/>
      <c r="AS46" s="174"/>
      <c r="AT46" s="174"/>
      <c r="AU46" s="174"/>
      <c r="AV46" s="174"/>
      <c r="AW46" s="174"/>
      <c r="AX46" s="174"/>
      <c r="AY46" s="174"/>
      <c r="BC46" s="174"/>
      <c r="BD46" s="174"/>
      <c r="BE46" s="174"/>
      <c r="BG46" s="174"/>
      <c r="BI46" s="174"/>
      <c r="BJ46" s="174"/>
      <c r="BK46" s="174"/>
      <c r="BM46" s="174">
        <v>60.901000000000003</v>
      </c>
      <c r="BN46" s="174"/>
      <c r="BO46" s="174"/>
      <c r="BP46" s="174"/>
      <c r="BR46" s="174"/>
      <c r="BS46" s="174">
        <v>47.695</v>
      </c>
      <c r="BT46" s="174"/>
      <c r="BU46" s="190">
        <v>20.196937561035156</v>
      </c>
      <c r="BV46" s="159"/>
      <c r="BW46" s="174">
        <v>5.2859999999999996</v>
      </c>
      <c r="BX46" s="159"/>
      <c r="BY46" s="159"/>
      <c r="CB46" s="165"/>
      <c r="CC46" s="174">
        <v>8.6479999999999997</v>
      </c>
      <c r="CD46" s="165"/>
      <c r="CE46" s="174">
        <v>8.5</v>
      </c>
      <c r="CF46" s="165"/>
      <c r="CH46" s="165"/>
      <c r="CJ46" s="165"/>
      <c r="CL46" s="165"/>
      <c r="CN46" s="165"/>
      <c r="CO46" s="130"/>
      <c r="CP46" s="165"/>
      <c r="CQ46" s="130"/>
      <c r="CR46" s="165"/>
      <c r="CS46" s="130"/>
      <c r="CT46" s="130"/>
      <c r="CU46" s="130"/>
      <c r="CV46" s="130"/>
      <c r="CW46" s="130"/>
      <c r="CX46" s="165"/>
      <c r="CY46" s="130"/>
      <c r="CZ46" s="130"/>
      <c r="DA46" s="130"/>
      <c r="DB46" s="130"/>
      <c r="DC46" s="130"/>
      <c r="DD46" s="130"/>
      <c r="DE46" s="130"/>
      <c r="DF46" s="130"/>
      <c r="DG46" s="130"/>
      <c r="DH46" s="130"/>
    </row>
    <row r="47" spans="1:112" ht="15">
      <c r="A47" s="168" t="s">
        <v>7682</v>
      </c>
      <c r="B47" s="175"/>
      <c r="C47" s="174">
        <v>4</v>
      </c>
      <c r="D47" s="174">
        <v>8</v>
      </c>
      <c r="E47" s="174">
        <v>4</v>
      </c>
      <c r="F47" s="174">
        <v>1</v>
      </c>
      <c r="I47" s="174"/>
      <c r="K47" s="188">
        <v>8</v>
      </c>
      <c r="L47" s="146">
        <v>42430</v>
      </c>
      <c r="M47" s="174">
        <v>7.41</v>
      </c>
      <c r="N47" s="189">
        <v>42580</v>
      </c>
      <c r="S47" s="174">
        <v>19.55</v>
      </c>
      <c r="U47" s="159">
        <v>18.5</v>
      </c>
      <c r="AE47" s="174">
        <v>41.22</v>
      </c>
      <c r="AG47" s="174">
        <v>4.7699999999999996</v>
      </c>
      <c r="AI47" s="174">
        <v>160</v>
      </c>
      <c r="AJ47" s="160">
        <v>42520</v>
      </c>
      <c r="AK47" s="174"/>
      <c r="AL47" s="174"/>
      <c r="AM47" s="174">
        <v>92</v>
      </c>
      <c r="AN47" s="174"/>
      <c r="AO47" s="174"/>
      <c r="AP47" s="174"/>
      <c r="AR47" s="174"/>
      <c r="AS47" s="174"/>
      <c r="AT47" s="174"/>
      <c r="AU47" s="174"/>
      <c r="AV47" s="174"/>
      <c r="AW47" s="174"/>
      <c r="AX47" s="174"/>
      <c r="AY47" s="175"/>
      <c r="BC47" s="174"/>
      <c r="BD47" s="174"/>
      <c r="BE47" s="174"/>
      <c r="BG47" s="174"/>
      <c r="BI47" s="174"/>
      <c r="BJ47" s="174"/>
      <c r="BK47" s="174"/>
      <c r="BM47" s="174">
        <v>59.384999999999998</v>
      </c>
      <c r="BN47" s="174"/>
      <c r="BO47" s="174"/>
      <c r="BP47" s="174"/>
      <c r="BR47" s="174"/>
      <c r="BS47" s="174">
        <v>47.427999999999997</v>
      </c>
      <c r="BT47" s="174"/>
      <c r="BU47" s="190">
        <v>19.503591537475586</v>
      </c>
      <c r="BV47" s="159"/>
      <c r="BW47" s="174">
        <v>9.9550000000000001</v>
      </c>
      <c r="BX47" s="159"/>
      <c r="BY47" s="159"/>
      <c r="CB47" s="165"/>
      <c r="CC47" s="174">
        <v>8.125</v>
      </c>
      <c r="CD47" s="165"/>
      <c r="CE47" s="174">
        <v>7.8</v>
      </c>
      <c r="CF47" s="165"/>
      <c r="CH47" s="165"/>
      <c r="CJ47" s="165"/>
      <c r="CL47" s="165"/>
      <c r="CN47" s="165"/>
      <c r="CO47" s="130"/>
      <c r="CP47" s="165"/>
      <c r="CQ47" s="130"/>
      <c r="CR47" s="165"/>
      <c r="CS47" s="130"/>
      <c r="CT47" s="130"/>
      <c r="CU47" s="130"/>
      <c r="CV47" s="130"/>
      <c r="CW47" s="130"/>
      <c r="CX47" s="165"/>
      <c r="CY47" s="130"/>
      <c r="CZ47" s="130"/>
      <c r="DA47" s="130"/>
      <c r="DB47" s="130"/>
      <c r="DC47" s="130"/>
      <c r="DD47" s="130"/>
      <c r="DE47" s="130"/>
      <c r="DF47" s="130"/>
      <c r="DG47" s="130"/>
      <c r="DH47" s="130"/>
    </row>
    <row r="48" spans="1:112" ht="15">
      <c r="A48" s="168" t="s">
        <v>7682</v>
      </c>
      <c r="B48" s="175"/>
      <c r="C48" s="174">
        <v>5</v>
      </c>
      <c r="D48" s="174">
        <v>8</v>
      </c>
      <c r="E48" s="174">
        <v>5</v>
      </c>
      <c r="F48" s="174">
        <v>10</v>
      </c>
      <c r="I48" s="174"/>
      <c r="K48" s="188">
        <v>8</v>
      </c>
      <c r="L48" s="146">
        <v>42430</v>
      </c>
      <c r="M48" s="174">
        <v>8.32</v>
      </c>
      <c r="N48" s="189">
        <v>42580</v>
      </c>
      <c r="S48" s="174">
        <v>22.52</v>
      </c>
      <c r="U48" s="159">
        <v>18.5</v>
      </c>
      <c r="AE48" s="174">
        <v>46.28</v>
      </c>
      <c r="AG48" s="174">
        <v>4.17</v>
      </c>
      <c r="AI48" s="174">
        <v>160</v>
      </c>
      <c r="AJ48" s="160">
        <v>42520</v>
      </c>
      <c r="AK48" s="174"/>
      <c r="AL48" s="174"/>
      <c r="AM48" s="174">
        <v>100</v>
      </c>
      <c r="AN48" s="174"/>
      <c r="AO48" s="174"/>
      <c r="AP48" s="174"/>
      <c r="AR48" s="174"/>
      <c r="AS48" s="174"/>
      <c r="AT48" s="174"/>
      <c r="AU48" s="174"/>
      <c r="AV48" s="174"/>
      <c r="AW48" s="174"/>
      <c r="AX48" s="174"/>
      <c r="AY48" s="174"/>
      <c r="BC48" s="174"/>
      <c r="BD48" s="174"/>
      <c r="BE48" s="174"/>
      <c r="BG48" s="174"/>
      <c r="BI48" s="174"/>
      <c r="BJ48" s="174"/>
      <c r="BK48" s="174"/>
      <c r="BM48" s="174">
        <v>60.67</v>
      </c>
      <c r="BN48" s="174"/>
      <c r="BO48" s="174"/>
      <c r="BP48" s="174"/>
      <c r="BR48" s="174"/>
      <c r="BS48" s="174">
        <v>48.651000000000003</v>
      </c>
      <c r="BT48" s="174"/>
      <c r="BU48" s="190">
        <v>19.143838882446289</v>
      </c>
      <c r="BV48" s="159"/>
      <c r="BW48" s="174">
        <v>6.2789999999999999</v>
      </c>
      <c r="BX48" s="159"/>
      <c r="BY48" s="159"/>
      <c r="CB48" s="165"/>
      <c r="CC48" s="174">
        <v>8.1460000000000008</v>
      </c>
      <c r="CD48" s="165"/>
      <c r="CE48" s="174">
        <v>7.7</v>
      </c>
      <c r="CF48" s="165"/>
      <c r="CH48" s="165"/>
      <c r="CJ48" s="165"/>
      <c r="CL48" s="165"/>
      <c r="CN48" s="165"/>
      <c r="CO48" s="130"/>
      <c r="CP48" s="165"/>
      <c r="CQ48" s="130"/>
      <c r="CR48" s="165"/>
      <c r="CS48" s="130"/>
      <c r="CT48" s="130"/>
      <c r="CU48" s="130"/>
      <c r="CV48" s="130"/>
      <c r="CW48" s="130"/>
      <c r="CX48" s="165"/>
      <c r="CY48" s="130"/>
      <c r="CZ48" s="130"/>
      <c r="DA48" s="130"/>
      <c r="DB48" s="130"/>
      <c r="DC48" s="130"/>
      <c r="DD48" s="130"/>
      <c r="DE48" s="130"/>
      <c r="DF48" s="130"/>
      <c r="DG48" s="130"/>
      <c r="DH48" s="130"/>
    </row>
    <row r="49" spans="1:112" ht="15">
      <c r="A49" s="168" t="s">
        <v>7682</v>
      </c>
      <c r="B49" s="175"/>
      <c r="C49" s="174">
        <v>6</v>
      </c>
      <c r="D49" s="174">
        <v>8</v>
      </c>
      <c r="E49" s="174">
        <v>6</v>
      </c>
      <c r="F49" s="174">
        <v>32</v>
      </c>
      <c r="I49" s="174"/>
      <c r="K49" s="188">
        <v>7</v>
      </c>
      <c r="L49" s="146">
        <v>42430</v>
      </c>
      <c r="M49" s="174">
        <v>8.1</v>
      </c>
      <c r="N49" s="189">
        <v>42580</v>
      </c>
      <c r="S49" s="174">
        <v>22.02</v>
      </c>
      <c r="U49" s="159">
        <v>18.5</v>
      </c>
      <c r="AE49" s="174">
        <v>45.06</v>
      </c>
      <c r="AG49" s="174">
        <v>4.21</v>
      </c>
      <c r="AI49" s="174">
        <v>170</v>
      </c>
      <c r="AJ49" s="160">
        <v>42520</v>
      </c>
      <c r="AK49" s="174"/>
      <c r="AL49" s="174"/>
      <c r="AM49" s="174">
        <v>104</v>
      </c>
      <c r="AN49" s="174"/>
      <c r="AO49" s="174"/>
      <c r="AP49" s="174"/>
      <c r="AR49" s="174"/>
      <c r="AS49" s="174"/>
      <c r="AT49" s="174"/>
      <c r="AU49" s="174"/>
      <c r="AV49" s="174"/>
      <c r="AW49" s="174"/>
      <c r="AX49" s="174"/>
      <c r="AY49" s="174"/>
      <c r="BC49" s="174"/>
      <c r="BD49" s="174"/>
      <c r="BE49" s="174"/>
      <c r="BG49" s="174"/>
      <c r="BI49" s="174"/>
      <c r="BJ49" s="174"/>
      <c r="BK49" s="174"/>
      <c r="BM49" s="174">
        <v>61.445999999999998</v>
      </c>
      <c r="BN49" s="174"/>
      <c r="BO49" s="174"/>
      <c r="BP49" s="174"/>
      <c r="BR49" s="174"/>
      <c r="BS49" s="174">
        <v>48.863999999999997</v>
      </c>
      <c r="BT49" s="174"/>
      <c r="BU49" s="190">
        <v>18.409738540649414</v>
      </c>
      <c r="BV49" s="159"/>
      <c r="BW49" s="174">
        <v>5.8879999999999999</v>
      </c>
      <c r="BX49" s="159"/>
      <c r="BY49" s="159"/>
      <c r="CB49" s="165"/>
      <c r="CC49" s="174">
        <v>8.1310000000000002</v>
      </c>
      <c r="CD49" s="165"/>
      <c r="CE49" s="174">
        <v>7.7</v>
      </c>
      <c r="CF49" s="165"/>
      <c r="CH49" s="165"/>
      <c r="CJ49" s="165"/>
      <c r="CL49" s="165"/>
      <c r="CN49" s="165"/>
      <c r="CO49" s="130"/>
      <c r="CP49" s="165"/>
      <c r="CQ49" s="130"/>
      <c r="CR49" s="165"/>
      <c r="CS49" s="130"/>
      <c r="CT49" s="130"/>
      <c r="CU49" s="130"/>
      <c r="CV49" s="130"/>
      <c r="CW49" s="130"/>
      <c r="CX49" s="165"/>
      <c r="CY49" s="130"/>
      <c r="CZ49" s="130"/>
      <c r="DA49" s="130"/>
      <c r="DB49" s="130"/>
      <c r="DC49" s="130"/>
      <c r="DD49" s="130"/>
      <c r="DE49" s="130"/>
      <c r="DF49" s="130"/>
      <c r="DG49" s="130"/>
      <c r="DH49" s="130"/>
    </row>
    <row r="50" spans="1:112" ht="15">
      <c r="A50" s="168" t="s">
        <v>7683</v>
      </c>
      <c r="B50" s="175"/>
      <c r="C50" s="174">
        <v>1</v>
      </c>
      <c r="D50" s="174">
        <v>9</v>
      </c>
      <c r="E50" s="174">
        <v>1</v>
      </c>
      <c r="F50" s="174">
        <v>8</v>
      </c>
      <c r="I50" s="174"/>
      <c r="K50" s="188">
        <v>7</v>
      </c>
      <c r="L50" s="146">
        <v>42430</v>
      </c>
      <c r="M50" s="174">
        <v>6.08</v>
      </c>
      <c r="N50" s="189">
        <v>42580</v>
      </c>
      <c r="S50" s="174">
        <v>16.04</v>
      </c>
      <c r="U50" s="159">
        <v>18.5</v>
      </c>
      <c r="AE50" s="174">
        <v>33.72</v>
      </c>
      <c r="AG50" s="174">
        <v>4.41</v>
      </c>
      <c r="AI50" s="174">
        <v>170</v>
      </c>
      <c r="AJ50" s="160">
        <v>42520</v>
      </c>
      <c r="AK50" s="174"/>
      <c r="AL50" s="174"/>
      <c r="AM50" s="174">
        <v>92</v>
      </c>
      <c r="AN50" s="174"/>
      <c r="AO50" s="174"/>
      <c r="AP50" s="174"/>
      <c r="AR50" s="174"/>
      <c r="AS50" s="174"/>
      <c r="AT50" s="174"/>
      <c r="AU50" s="174"/>
      <c r="AV50" s="174"/>
      <c r="AW50" s="174"/>
      <c r="AX50" s="174"/>
      <c r="AY50" s="174"/>
      <c r="BC50" s="174"/>
      <c r="BD50" s="174"/>
      <c r="BE50" s="174"/>
      <c r="BG50" s="174"/>
      <c r="BI50" s="174"/>
      <c r="BJ50" s="174"/>
      <c r="BK50" s="174"/>
      <c r="BM50" s="174">
        <v>63.256999999999998</v>
      </c>
      <c r="BN50" s="174"/>
      <c r="BO50" s="174"/>
      <c r="BP50" s="174"/>
      <c r="BR50" s="174"/>
      <c r="BS50" s="174">
        <v>47.573</v>
      </c>
      <c r="BT50" s="174"/>
      <c r="BU50" s="190">
        <v>19.723150253295898</v>
      </c>
      <c r="BV50" s="159"/>
      <c r="BW50" s="174">
        <v>12.590999999999999</v>
      </c>
      <c r="BX50" s="159"/>
      <c r="BY50" s="159"/>
      <c r="CB50" s="165"/>
      <c r="CC50" s="174">
        <v>8.4220000000000006</v>
      </c>
      <c r="CD50" s="165"/>
      <c r="CE50" s="174">
        <v>8</v>
      </c>
      <c r="CF50" s="165"/>
      <c r="CH50" s="165"/>
      <c r="CJ50" s="165"/>
      <c r="CL50" s="165"/>
      <c r="CN50" s="165"/>
      <c r="CO50" s="130"/>
      <c r="CP50" s="165"/>
      <c r="CQ50" s="130"/>
      <c r="CR50" s="165"/>
      <c r="CS50" s="130"/>
      <c r="CT50" s="130"/>
      <c r="CU50" s="130"/>
      <c r="CV50" s="130"/>
      <c r="CW50" s="130"/>
      <c r="CX50" s="165"/>
      <c r="CY50" s="130"/>
      <c r="CZ50" s="130"/>
      <c r="DA50" s="130"/>
      <c r="DB50" s="130"/>
      <c r="DC50" s="130"/>
      <c r="DD50" s="130"/>
      <c r="DE50" s="130"/>
      <c r="DF50" s="130"/>
      <c r="DG50" s="130"/>
      <c r="DH50" s="130"/>
    </row>
    <row r="51" spans="1:112" ht="15">
      <c r="A51" s="168" t="s">
        <v>7683</v>
      </c>
      <c r="B51" s="175"/>
      <c r="C51" s="174">
        <v>2</v>
      </c>
      <c r="D51" s="174">
        <v>9</v>
      </c>
      <c r="E51" s="174">
        <v>2</v>
      </c>
      <c r="F51" s="174">
        <v>15</v>
      </c>
      <c r="I51" s="174"/>
      <c r="K51" s="188">
        <v>8</v>
      </c>
      <c r="L51" s="146">
        <v>42430</v>
      </c>
      <c r="M51" s="174">
        <v>7.02</v>
      </c>
      <c r="N51" s="189">
        <v>42580</v>
      </c>
      <c r="S51" s="174">
        <v>19.41</v>
      </c>
      <c r="U51" s="159">
        <v>18.5</v>
      </c>
      <c r="AE51" s="174">
        <v>39.15</v>
      </c>
      <c r="AG51" s="174">
        <v>3.73</v>
      </c>
      <c r="AI51" s="174">
        <v>160</v>
      </c>
      <c r="AJ51" s="160">
        <v>42520</v>
      </c>
      <c r="AK51" s="174"/>
      <c r="AL51" s="174"/>
      <c r="AM51" s="174">
        <v>92</v>
      </c>
      <c r="AN51" s="174"/>
      <c r="AO51" s="174"/>
      <c r="AP51" s="174"/>
      <c r="AR51" s="174"/>
      <c r="AS51" s="174"/>
      <c r="AT51" s="174"/>
      <c r="AU51" s="174"/>
      <c r="AV51" s="174"/>
      <c r="AW51" s="174"/>
      <c r="AX51" s="174"/>
      <c r="AY51" s="174"/>
      <c r="BC51" s="174"/>
      <c r="BD51" s="174"/>
      <c r="BE51" s="174"/>
      <c r="BG51" s="174"/>
      <c r="BI51" s="174"/>
      <c r="BJ51" s="174"/>
      <c r="BK51" s="174"/>
      <c r="BM51" s="174">
        <v>65.381</v>
      </c>
      <c r="BN51" s="174"/>
      <c r="BO51" s="174"/>
      <c r="BP51" s="174"/>
      <c r="BR51" s="174"/>
      <c r="BS51" s="174">
        <v>49.58</v>
      </c>
      <c r="BT51" s="174"/>
      <c r="BU51" s="190">
        <v>19.749750137329102</v>
      </c>
      <c r="BV51" s="159"/>
      <c r="BW51" s="174">
        <v>12.228999999999999</v>
      </c>
      <c r="BX51" s="159"/>
      <c r="BY51" s="159"/>
      <c r="CB51" s="165"/>
      <c r="CC51" s="174">
        <v>7.9009999999999998</v>
      </c>
      <c r="CD51" s="165"/>
      <c r="CE51" s="174">
        <v>7.6</v>
      </c>
      <c r="CF51" s="165"/>
      <c r="CH51" s="165"/>
      <c r="CJ51" s="165"/>
      <c r="CL51" s="165"/>
      <c r="CN51" s="165"/>
      <c r="CO51" s="130"/>
      <c r="CP51" s="165"/>
      <c r="CQ51" s="130"/>
      <c r="CR51" s="165"/>
      <c r="CS51" s="130"/>
      <c r="CT51" s="130"/>
      <c r="CU51" s="130"/>
      <c r="CV51" s="130"/>
      <c r="CW51" s="130"/>
      <c r="CX51" s="165"/>
      <c r="CY51" s="130"/>
      <c r="CZ51" s="130"/>
      <c r="DA51" s="130"/>
      <c r="DB51" s="130"/>
      <c r="DC51" s="130"/>
      <c r="DD51" s="130"/>
      <c r="DE51" s="130"/>
      <c r="DF51" s="130"/>
      <c r="DG51" s="130"/>
      <c r="DH51" s="130"/>
    </row>
    <row r="52" spans="1:112" ht="15">
      <c r="A52" s="168" t="s">
        <v>7683</v>
      </c>
      <c r="B52" s="175"/>
      <c r="C52" s="174">
        <v>3</v>
      </c>
      <c r="D52" s="174">
        <v>9</v>
      </c>
      <c r="E52" s="174">
        <v>3</v>
      </c>
      <c r="F52" s="174">
        <v>34</v>
      </c>
      <c r="I52" s="174"/>
      <c r="K52" s="188">
        <v>7</v>
      </c>
      <c r="L52" s="146">
        <v>42430</v>
      </c>
      <c r="M52" s="174">
        <v>6.83</v>
      </c>
      <c r="N52" s="189">
        <v>42580</v>
      </c>
      <c r="S52" s="174">
        <v>18.53</v>
      </c>
      <c r="U52" s="159">
        <v>18.5</v>
      </c>
      <c r="AE52" s="174">
        <v>38.18</v>
      </c>
      <c r="AG52" s="174">
        <v>3.87</v>
      </c>
      <c r="AI52" s="174">
        <v>160</v>
      </c>
      <c r="AJ52" s="160">
        <v>42520</v>
      </c>
      <c r="AK52" s="174"/>
      <c r="AL52" s="174"/>
      <c r="AM52" s="174">
        <v>90</v>
      </c>
      <c r="AN52" s="174"/>
      <c r="AO52" s="174"/>
      <c r="AP52" s="174"/>
      <c r="AR52" s="174"/>
      <c r="AS52" s="174"/>
      <c r="AT52" s="174"/>
      <c r="AU52" s="174"/>
      <c r="AV52" s="174"/>
      <c r="AW52" s="174"/>
      <c r="AX52" s="174"/>
      <c r="AY52" s="175"/>
      <c r="BC52" s="174"/>
      <c r="BD52" s="174"/>
      <c r="BE52" s="174"/>
      <c r="BG52" s="174"/>
      <c r="BI52" s="174"/>
      <c r="BJ52" s="174"/>
      <c r="BK52" s="174"/>
      <c r="BM52" s="174">
        <v>65.126999999999995</v>
      </c>
      <c r="BN52" s="174"/>
      <c r="BO52" s="174"/>
      <c r="BP52" s="174"/>
      <c r="BR52" s="174"/>
      <c r="BS52" s="174">
        <v>48.521000000000001</v>
      </c>
      <c r="BT52" s="174"/>
      <c r="BU52" s="190">
        <v>19.456623077392578</v>
      </c>
      <c r="BV52" s="159"/>
      <c r="BW52" s="174">
        <v>13.509</v>
      </c>
      <c r="BX52" s="159"/>
      <c r="BY52" s="159"/>
      <c r="CB52" s="165"/>
      <c r="CC52" s="174">
        <v>7.6840000000000002</v>
      </c>
      <c r="CD52" s="165"/>
      <c r="CE52" s="174">
        <v>7.3</v>
      </c>
      <c r="CF52" s="165"/>
      <c r="CH52" s="165"/>
      <c r="CJ52" s="165"/>
      <c r="CL52" s="165"/>
      <c r="CN52" s="165"/>
      <c r="CO52" s="130"/>
      <c r="CP52" s="165"/>
      <c r="CQ52" s="130"/>
      <c r="CR52" s="165"/>
      <c r="CS52" s="130"/>
      <c r="CT52" s="130"/>
      <c r="CU52" s="130"/>
      <c r="CV52" s="130"/>
      <c r="CW52" s="130"/>
      <c r="CX52" s="165"/>
      <c r="CY52" s="130"/>
      <c r="CZ52" s="130"/>
      <c r="DA52" s="130"/>
      <c r="DB52" s="130"/>
      <c r="DC52" s="130"/>
      <c r="DD52" s="130"/>
      <c r="DE52" s="130"/>
      <c r="DF52" s="130"/>
      <c r="DG52" s="130"/>
      <c r="DH52" s="130"/>
    </row>
    <row r="53" spans="1:112" ht="15">
      <c r="A53" s="168" t="s">
        <v>7683</v>
      </c>
      <c r="B53" s="175"/>
      <c r="C53" s="174">
        <v>4</v>
      </c>
      <c r="D53" s="174">
        <v>9</v>
      </c>
      <c r="E53" s="174">
        <v>4</v>
      </c>
      <c r="F53" s="174">
        <v>14</v>
      </c>
      <c r="I53" s="174"/>
      <c r="K53" s="188">
        <v>5</v>
      </c>
      <c r="L53" s="146">
        <v>42430</v>
      </c>
      <c r="M53" s="174">
        <v>6.29</v>
      </c>
      <c r="N53" s="189">
        <v>42580</v>
      </c>
      <c r="S53" s="174">
        <v>17.25</v>
      </c>
      <c r="U53" s="159">
        <v>18.5</v>
      </c>
      <c r="AE53" s="174">
        <v>35.130000000000003</v>
      </c>
      <c r="AG53" s="174">
        <v>4.21</v>
      </c>
      <c r="AI53" s="174">
        <v>145</v>
      </c>
      <c r="AJ53" s="160">
        <v>42520</v>
      </c>
      <c r="AK53" s="174"/>
      <c r="AL53" s="174"/>
      <c r="AM53" s="174">
        <v>92</v>
      </c>
      <c r="AN53" s="174"/>
      <c r="AO53" s="174"/>
      <c r="AP53" s="174"/>
      <c r="AR53" s="174"/>
      <c r="AS53" s="174"/>
      <c r="AT53" s="174"/>
      <c r="AU53" s="174"/>
      <c r="AV53" s="174"/>
      <c r="AW53" s="174"/>
      <c r="AX53" s="174"/>
      <c r="AY53" s="174"/>
      <c r="BC53" s="174"/>
      <c r="BD53" s="174"/>
      <c r="BE53" s="174"/>
      <c r="BG53" s="174"/>
      <c r="BI53" s="174"/>
      <c r="BJ53" s="174"/>
      <c r="BK53" s="174"/>
      <c r="BM53" s="174">
        <v>64.646000000000001</v>
      </c>
      <c r="BN53" s="174"/>
      <c r="BO53" s="174"/>
      <c r="BP53" s="174"/>
      <c r="BR53" s="174"/>
      <c r="BS53" s="174">
        <v>49.109000000000002</v>
      </c>
      <c r="BT53" s="174"/>
      <c r="BU53" s="190">
        <v>19.406379699707031</v>
      </c>
      <c r="BV53" s="159"/>
      <c r="BW53" s="174">
        <v>13.164999999999999</v>
      </c>
      <c r="BX53" s="159"/>
      <c r="BY53" s="159"/>
      <c r="CB53" s="165"/>
      <c r="CC53" s="174">
        <v>7.7779999999999996</v>
      </c>
      <c r="CD53" s="165"/>
      <c r="CE53" s="174">
        <v>7.2</v>
      </c>
      <c r="CF53" s="165"/>
      <c r="CH53" s="165"/>
      <c r="CJ53" s="165"/>
      <c r="CL53" s="165"/>
      <c r="CN53" s="165"/>
      <c r="CO53" s="130"/>
      <c r="CP53" s="165"/>
      <c r="CQ53" s="130"/>
      <c r="CR53" s="165"/>
      <c r="CS53" s="130"/>
      <c r="CT53" s="130"/>
      <c r="CU53" s="130"/>
      <c r="CV53" s="130"/>
      <c r="CW53" s="130"/>
      <c r="CX53" s="165"/>
      <c r="CY53" s="130"/>
      <c r="CZ53" s="130"/>
      <c r="DA53" s="130"/>
      <c r="DB53" s="130"/>
      <c r="DC53" s="130"/>
      <c r="DD53" s="130"/>
      <c r="DE53" s="130"/>
      <c r="DF53" s="130"/>
      <c r="DG53" s="130"/>
      <c r="DH53" s="130"/>
    </row>
    <row r="54" spans="1:112" ht="15">
      <c r="A54" s="168" t="s">
        <v>7683</v>
      </c>
      <c r="B54" s="175"/>
      <c r="C54" s="174">
        <v>5</v>
      </c>
      <c r="D54" s="174">
        <v>9</v>
      </c>
      <c r="E54" s="174">
        <v>5</v>
      </c>
      <c r="F54" s="174">
        <v>7</v>
      </c>
      <c r="I54" s="174"/>
      <c r="K54" s="188">
        <v>7</v>
      </c>
      <c r="L54" s="146">
        <v>42430</v>
      </c>
      <c r="M54" s="174">
        <v>7.04</v>
      </c>
      <c r="N54" s="189">
        <v>42580</v>
      </c>
      <c r="S54" s="174">
        <v>19.37</v>
      </c>
      <c r="U54" s="159">
        <v>18.5</v>
      </c>
      <c r="AE54" s="174">
        <v>39.39</v>
      </c>
      <c r="AG54" s="174">
        <v>3.7</v>
      </c>
      <c r="AI54" s="174">
        <v>150</v>
      </c>
      <c r="AJ54" s="160">
        <v>42520</v>
      </c>
      <c r="AK54" s="174"/>
      <c r="AL54" s="174"/>
      <c r="AM54" s="174">
        <v>92</v>
      </c>
      <c r="AN54" s="174"/>
      <c r="AO54" s="174"/>
      <c r="AP54" s="174"/>
      <c r="AR54" s="174"/>
      <c r="AS54" s="174"/>
      <c r="AT54" s="174"/>
      <c r="AU54" s="174"/>
      <c r="AV54" s="174"/>
      <c r="AW54" s="174"/>
      <c r="AX54" s="174"/>
      <c r="AY54" s="174"/>
      <c r="BC54" s="174"/>
      <c r="BD54" s="174"/>
      <c r="BE54" s="174"/>
      <c r="BG54" s="174"/>
      <c r="BI54" s="174"/>
      <c r="BJ54" s="174"/>
      <c r="BK54" s="174"/>
      <c r="BM54" s="174">
        <v>65.364000000000004</v>
      </c>
      <c r="BN54" s="174"/>
      <c r="BO54" s="174"/>
      <c r="BP54" s="174"/>
      <c r="BR54" s="174"/>
      <c r="BS54" s="174">
        <v>49.164000000000001</v>
      </c>
      <c r="BT54" s="174"/>
      <c r="BU54" s="190">
        <v>19.310905456542969</v>
      </c>
      <c r="BV54" s="159"/>
      <c r="BW54" s="174">
        <v>9.8940000000000001</v>
      </c>
      <c r="BX54" s="159"/>
      <c r="BY54" s="159"/>
      <c r="CB54" s="165"/>
      <c r="CC54" s="174">
        <v>7.601</v>
      </c>
      <c r="CD54" s="165"/>
      <c r="CE54" s="174">
        <v>7.1</v>
      </c>
      <c r="CF54" s="165"/>
      <c r="CH54" s="165"/>
      <c r="CJ54" s="165"/>
      <c r="CL54" s="165"/>
      <c r="CN54" s="165"/>
      <c r="CO54" s="130"/>
      <c r="CP54" s="165"/>
      <c r="CQ54" s="130"/>
      <c r="CR54" s="165"/>
      <c r="CS54" s="130"/>
      <c r="CT54" s="130"/>
      <c r="CU54" s="130"/>
      <c r="CV54" s="130"/>
      <c r="CW54" s="130"/>
      <c r="CX54" s="165"/>
      <c r="CY54" s="130"/>
      <c r="CZ54" s="130"/>
      <c r="DA54" s="130"/>
      <c r="DB54" s="130"/>
      <c r="DC54" s="130"/>
      <c r="DD54" s="130"/>
      <c r="DE54" s="130"/>
      <c r="DF54" s="130"/>
      <c r="DG54" s="130"/>
      <c r="DH54" s="130"/>
    </row>
    <row r="55" spans="1:112" ht="15">
      <c r="A55" s="168" t="s">
        <v>7683</v>
      </c>
      <c r="B55" s="175"/>
      <c r="C55" s="174">
        <v>6</v>
      </c>
      <c r="D55" s="174">
        <v>9</v>
      </c>
      <c r="E55" s="174">
        <v>6</v>
      </c>
      <c r="F55" s="174">
        <v>8</v>
      </c>
      <c r="I55" s="174"/>
      <c r="K55" s="188">
        <v>5</v>
      </c>
      <c r="L55" s="146">
        <v>42430</v>
      </c>
      <c r="M55" s="174">
        <v>6.37</v>
      </c>
      <c r="N55" s="189">
        <v>42580</v>
      </c>
      <c r="S55" s="174">
        <v>17.809999999999999</v>
      </c>
      <c r="U55" s="159">
        <v>18.5</v>
      </c>
      <c r="AE55" s="174">
        <v>35.6</v>
      </c>
      <c r="AG55" s="174">
        <v>4.25</v>
      </c>
      <c r="AI55" s="174">
        <v>170</v>
      </c>
      <c r="AJ55" s="160">
        <v>42520</v>
      </c>
      <c r="AK55" s="174"/>
      <c r="AL55" s="174"/>
      <c r="AM55" s="174">
        <v>92</v>
      </c>
      <c r="AN55" s="174"/>
      <c r="AO55" s="174"/>
      <c r="AP55" s="174"/>
      <c r="AR55" s="174"/>
      <c r="AS55" s="174"/>
      <c r="AT55" s="174"/>
      <c r="AU55" s="174"/>
      <c r="AV55" s="174"/>
      <c r="AW55" s="174"/>
      <c r="AX55" s="174"/>
      <c r="AY55" s="175"/>
      <c r="BC55" s="174"/>
      <c r="BD55" s="174"/>
      <c r="BE55" s="174"/>
      <c r="BG55" s="174"/>
      <c r="BI55" s="174"/>
      <c r="BJ55" s="174"/>
      <c r="BK55" s="174"/>
      <c r="BM55" s="174">
        <v>64.688000000000002</v>
      </c>
      <c r="BN55" s="174"/>
      <c r="BO55" s="174"/>
      <c r="BP55" s="174"/>
      <c r="BR55" s="174"/>
      <c r="BS55" s="174">
        <v>50.033000000000001</v>
      </c>
      <c r="BT55" s="174"/>
      <c r="BU55" s="190">
        <v>18.164361953735352</v>
      </c>
      <c r="BV55" s="159"/>
      <c r="BW55" s="174">
        <v>10.839</v>
      </c>
      <c r="BX55" s="159"/>
      <c r="BY55" s="159"/>
      <c r="CB55" s="165"/>
      <c r="CC55" s="174">
        <v>7.7080000000000002</v>
      </c>
      <c r="CD55" s="165"/>
      <c r="CE55" s="174">
        <v>7</v>
      </c>
      <c r="CF55" s="165"/>
      <c r="CH55" s="165"/>
      <c r="CJ55" s="165"/>
      <c r="CL55" s="165"/>
      <c r="CN55" s="165"/>
      <c r="CO55" s="130"/>
      <c r="CP55" s="165"/>
      <c r="CQ55" s="130"/>
      <c r="CR55" s="165"/>
      <c r="CS55" s="130"/>
      <c r="CT55" s="130"/>
      <c r="CU55" s="130"/>
      <c r="CV55" s="130"/>
      <c r="CW55" s="130"/>
      <c r="CX55" s="165"/>
      <c r="CY55" s="130"/>
      <c r="CZ55" s="130"/>
      <c r="DA55" s="130"/>
      <c r="DB55" s="130"/>
      <c r="DC55" s="130"/>
      <c r="DD55" s="130"/>
      <c r="DE55" s="130"/>
      <c r="DF55" s="130"/>
      <c r="DG55" s="130"/>
      <c r="DH55" s="130"/>
    </row>
    <row r="56" spans="1:112" ht="15">
      <c r="A56" s="169" t="s">
        <v>7684</v>
      </c>
      <c r="B56" s="175"/>
      <c r="C56" s="174">
        <v>1</v>
      </c>
      <c r="D56" s="174">
        <v>10</v>
      </c>
      <c r="E56" s="174">
        <v>1</v>
      </c>
      <c r="F56" s="174">
        <v>6</v>
      </c>
      <c r="I56" s="174"/>
      <c r="K56" s="188">
        <v>5</v>
      </c>
      <c r="L56" s="146">
        <v>42430</v>
      </c>
      <c r="M56" s="174">
        <v>7.1</v>
      </c>
      <c r="N56" s="189">
        <v>42580</v>
      </c>
      <c r="S56" s="174">
        <v>18.41</v>
      </c>
      <c r="U56" s="159">
        <v>18.5</v>
      </c>
      <c r="AE56" s="174">
        <v>39.33</v>
      </c>
      <c r="AG56" s="174">
        <v>4.13</v>
      </c>
      <c r="AI56" s="174">
        <v>160</v>
      </c>
      <c r="AJ56" s="160">
        <v>42520</v>
      </c>
      <c r="AK56" s="174"/>
      <c r="AL56" s="174"/>
      <c r="AM56" s="174">
        <v>95</v>
      </c>
      <c r="AN56" s="174"/>
      <c r="AO56" s="174"/>
      <c r="AP56" s="174"/>
      <c r="AR56" s="174"/>
      <c r="AS56" s="174"/>
      <c r="AT56" s="174"/>
      <c r="AU56" s="174"/>
      <c r="AV56" s="174"/>
      <c r="AW56" s="174"/>
      <c r="AX56" s="174"/>
      <c r="AY56" s="175"/>
      <c r="BC56" s="174"/>
      <c r="BD56" s="174"/>
      <c r="BE56" s="174"/>
      <c r="BG56" s="174"/>
      <c r="BI56" s="174"/>
      <c r="BJ56" s="174"/>
      <c r="BK56" s="174"/>
      <c r="BM56" s="174">
        <v>61.354999999999997</v>
      </c>
      <c r="BN56" s="174"/>
      <c r="BO56" s="174"/>
      <c r="BP56" s="174"/>
      <c r="BR56" s="174"/>
      <c r="BS56" s="174">
        <v>46.802999999999997</v>
      </c>
      <c r="BT56" s="174"/>
      <c r="BU56" s="190">
        <v>21.516637802124023</v>
      </c>
      <c r="BV56" s="159"/>
      <c r="BW56" s="174">
        <v>12.148</v>
      </c>
      <c r="BX56" s="159"/>
      <c r="BY56" s="159"/>
      <c r="CB56" s="165"/>
      <c r="CC56" s="174">
        <v>8.5310000000000006</v>
      </c>
      <c r="CD56" s="165"/>
      <c r="CE56" s="174">
        <v>8.3000000000000007</v>
      </c>
      <c r="CF56" s="165"/>
      <c r="CH56" s="165"/>
      <c r="CJ56" s="165"/>
      <c r="CL56" s="165"/>
      <c r="CN56" s="165"/>
      <c r="CO56" s="130"/>
      <c r="CP56" s="165"/>
      <c r="CQ56" s="130"/>
      <c r="CR56" s="165"/>
      <c r="CS56" s="130"/>
      <c r="CT56" s="130"/>
      <c r="CU56" s="130"/>
      <c r="CV56" s="130"/>
      <c r="CW56" s="130"/>
      <c r="CX56" s="165"/>
      <c r="CY56" s="130"/>
      <c r="CZ56" s="130"/>
      <c r="DA56" s="130"/>
      <c r="DB56" s="130"/>
      <c r="DC56" s="130"/>
      <c r="DD56" s="130"/>
      <c r="DE56" s="130"/>
      <c r="DF56" s="130"/>
      <c r="DG56" s="130"/>
      <c r="DH56" s="130"/>
    </row>
    <row r="57" spans="1:112" ht="15">
      <c r="A57" s="169" t="s">
        <v>7684</v>
      </c>
      <c r="B57" s="175"/>
      <c r="C57" s="174">
        <v>2</v>
      </c>
      <c r="D57" s="174">
        <v>10</v>
      </c>
      <c r="E57" s="174">
        <v>2</v>
      </c>
      <c r="F57" s="174">
        <v>18</v>
      </c>
      <c r="I57" s="174"/>
      <c r="K57" s="188">
        <v>7</v>
      </c>
      <c r="L57" s="146">
        <v>42430</v>
      </c>
      <c r="M57" s="174">
        <v>7.62</v>
      </c>
      <c r="N57" s="189">
        <v>42580</v>
      </c>
      <c r="S57" s="174">
        <v>19.329999999999998</v>
      </c>
      <c r="U57" s="159">
        <v>18.5</v>
      </c>
      <c r="AE57" s="174">
        <v>42.27</v>
      </c>
      <c r="AG57" s="174">
        <v>4.22</v>
      </c>
      <c r="AI57" s="174">
        <v>160</v>
      </c>
      <c r="AJ57" s="160">
        <v>42520</v>
      </c>
      <c r="AK57" s="174"/>
      <c r="AL57" s="174"/>
      <c r="AM57" s="174">
        <v>95</v>
      </c>
      <c r="AN57" s="174"/>
      <c r="AO57" s="174"/>
      <c r="AP57" s="174"/>
      <c r="AR57" s="174"/>
      <c r="AS57" s="174"/>
      <c r="AT57" s="174"/>
      <c r="AU57" s="174"/>
      <c r="AV57" s="174"/>
      <c r="AW57" s="174"/>
      <c r="AX57" s="174"/>
      <c r="AY57" s="174"/>
      <c r="BC57" s="174"/>
      <c r="BD57" s="174"/>
      <c r="BE57" s="174"/>
      <c r="BG57" s="174"/>
      <c r="BI57" s="174"/>
      <c r="BJ57" s="174"/>
      <c r="BK57" s="174"/>
      <c r="BM57" s="174">
        <v>61.627000000000002</v>
      </c>
      <c r="BN57" s="174"/>
      <c r="BO57" s="174"/>
      <c r="BP57" s="174"/>
      <c r="BR57" s="174"/>
      <c r="BS57" s="174">
        <v>45.734000000000002</v>
      </c>
      <c r="BT57" s="174"/>
      <c r="BU57" s="190">
        <v>21.515983581542969</v>
      </c>
      <c r="BV57" s="159"/>
      <c r="BW57" s="174">
        <v>11.696</v>
      </c>
      <c r="BX57" s="159"/>
      <c r="BY57" s="159"/>
      <c r="CB57" s="165"/>
      <c r="CC57" s="174">
        <v>8.3989999999999991</v>
      </c>
      <c r="CD57" s="165"/>
      <c r="CE57" s="174">
        <v>8.1999999999999993</v>
      </c>
      <c r="CF57" s="165"/>
      <c r="CH57" s="165"/>
      <c r="CJ57" s="165"/>
      <c r="CL57" s="165"/>
      <c r="CN57" s="165"/>
      <c r="CO57" s="130"/>
      <c r="CP57" s="165"/>
      <c r="CQ57" s="130"/>
      <c r="CR57" s="165"/>
      <c r="CS57" s="130"/>
      <c r="CT57" s="130"/>
      <c r="CU57" s="130"/>
      <c r="CV57" s="130"/>
      <c r="CW57" s="130"/>
      <c r="CX57" s="165"/>
      <c r="CY57" s="130"/>
      <c r="CZ57" s="130"/>
      <c r="DA57" s="130"/>
      <c r="DB57" s="130"/>
      <c r="DC57" s="130"/>
      <c r="DD57" s="130"/>
      <c r="DE57" s="130"/>
      <c r="DF57" s="130"/>
      <c r="DG57" s="130"/>
      <c r="DH57" s="130"/>
    </row>
    <row r="58" spans="1:112" ht="15">
      <c r="A58" s="169" t="s">
        <v>7684</v>
      </c>
      <c r="B58" s="175"/>
      <c r="C58" s="174">
        <v>3</v>
      </c>
      <c r="D58" s="174">
        <v>10</v>
      </c>
      <c r="E58" s="174">
        <v>3</v>
      </c>
      <c r="F58" s="174">
        <v>17</v>
      </c>
      <c r="I58" s="174"/>
      <c r="K58" s="188">
        <v>8</v>
      </c>
      <c r="L58" s="146">
        <v>42430</v>
      </c>
      <c r="M58" s="174">
        <v>6.83</v>
      </c>
      <c r="N58" s="189">
        <v>42580</v>
      </c>
      <c r="S58" s="174">
        <v>17.86</v>
      </c>
      <c r="U58" s="159">
        <v>18.5</v>
      </c>
      <c r="AE58" s="174">
        <v>37.869999999999997</v>
      </c>
      <c r="AG58" s="174">
        <v>4.1100000000000003</v>
      </c>
      <c r="AI58" s="174">
        <v>170</v>
      </c>
      <c r="AJ58" s="160">
        <v>42520</v>
      </c>
      <c r="AK58" s="174"/>
      <c r="AL58" s="174"/>
      <c r="AM58" s="174">
        <v>98</v>
      </c>
      <c r="AN58" s="174"/>
      <c r="AO58" s="174"/>
      <c r="AP58" s="174"/>
      <c r="AR58" s="174"/>
      <c r="AS58" s="174"/>
      <c r="AT58" s="174"/>
      <c r="AU58" s="174"/>
      <c r="AV58" s="174"/>
      <c r="AW58" s="174"/>
      <c r="AX58" s="174"/>
      <c r="AY58" s="174"/>
      <c r="BC58" s="174"/>
      <c r="BD58" s="174"/>
      <c r="BE58" s="174"/>
      <c r="BG58" s="174"/>
      <c r="BI58" s="174"/>
      <c r="BJ58" s="174"/>
      <c r="BK58" s="174"/>
      <c r="BM58" s="174">
        <v>61.948999999999998</v>
      </c>
      <c r="BN58" s="174"/>
      <c r="BO58" s="174"/>
      <c r="BP58" s="174"/>
      <c r="BR58" s="174"/>
      <c r="BS58" s="174">
        <v>47.167000000000002</v>
      </c>
      <c r="BT58" s="174"/>
      <c r="BU58" s="190">
        <v>21.64837646484375</v>
      </c>
      <c r="BV58" s="159"/>
      <c r="BW58" s="174">
        <v>12.081</v>
      </c>
      <c r="BX58" s="159"/>
      <c r="BY58" s="159"/>
      <c r="CB58" s="165"/>
      <c r="CC58" s="174">
        <v>8.4410000000000007</v>
      </c>
      <c r="CD58" s="165"/>
      <c r="CE58" s="174">
        <v>8.3000000000000007</v>
      </c>
      <c r="CF58" s="165"/>
      <c r="CH58" s="165"/>
      <c r="CJ58" s="165"/>
      <c r="CL58" s="165"/>
      <c r="CN58" s="165"/>
      <c r="CO58" s="130"/>
      <c r="CP58" s="165"/>
      <c r="CQ58" s="130"/>
      <c r="CR58" s="165"/>
      <c r="CS58" s="130"/>
      <c r="CT58" s="130"/>
      <c r="CU58" s="130"/>
      <c r="CV58" s="130"/>
      <c r="CW58" s="130"/>
      <c r="CX58" s="165"/>
      <c r="CY58" s="130"/>
      <c r="CZ58" s="130"/>
      <c r="DA58" s="130"/>
      <c r="DB58" s="130"/>
      <c r="DC58" s="130"/>
      <c r="DD58" s="130"/>
      <c r="DE58" s="130"/>
      <c r="DF58" s="130"/>
      <c r="DG58" s="130"/>
      <c r="DH58" s="130"/>
    </row>
    <row r="59" spans="1:112" ht="15">
      <c r="A59" s="169" t="s">
        <v>7684</v>
      </c>
      <c r="B59" s="175"/>
      <c r="C59" s="174">
        <v>4</v>
      </c>
      <c r="D59" s="174">
        <v>10</v>
      </c>
      <c r="E59" s="174">
        <v>4</v>
      </c>
      <c r="F59" s="174">
        <v>3</v>
      </c>
      <c r="I59" s="174"/>
      <c r="K59" s="188">
        <v>5</v>
      </c>
      <c r="L59" s="146">
        <v>42430</v>
      </c>
      <c r="M59" s="174">
        <v>6.6</v>
      </c>
      <c r="N59" s="189">
        <v>42580</v>
      </c>
      <c r="S59" s="174">
        <v>17.600000000000001</v>
      </c>
      <c r="U59" s="159">
        <v>18.5</v>
      </c>
      <c r="AE59" s="174">
        <v>36.78</v>
      </c>
      <c r="AG59" s="174">
        <v>4.29</v>
      </c>
      <c r="AI59" s="174">
        <v>160</v>
      </c>
      <c r="AJ59" s="160">
        <v>42520</v>
      </c>
      <c r="AK59" s="174"/>
      <c r="AL59" s="174"/>
      <c r="AM59" s="174">
        <v>90</v>
      </c>
      <c r="AN59" s="174"/>
      <c r="AO59" s="174"/>
      <c r="AP59" s="174"/>
      <c r="AR59" s="174"/>
      <c r="AS59" s="174"/>
      <c r="AT59" s="174"/>
      <c r="AU59" s="174"/>
      <c r="AV59" s="174"/>
      <c r="AW59" s="174"/>
      <c r="AX59" s="174"/>
      <c r="AY59" s="174"/>
      <c r="BC59" s="174"/>
      <c r="BD59" s="174"/>
      <c r="BE59" s="174"/>
      <c r="BG59" s="174"/>
      <c r="BI59" s="174"/>
      <c r="BJ59" s="174"/>
      <c r="BK59" s="174"/>
      <c r="BM59" s="174">
        <v>61.082000000000001</v>
      </c>
      <c r="BN59" s="174"/>
      <c r="BO59" s="174"/>
      <c r="BP59" s="174"/>
      <c r="BR59" s="174"/>
      <c r="BS59" s="174">
        <v>47.854999999999997</v>
      </c>
      <c r="BT59" s="174"/>
      <c r="BU59" s="190">
        <v>20.090654373168945</v>
      </c>
      <c r="BV59" s="159"/>
      <c r="BW59" s="174">
        <v>10.617000000000001</v>
      </c>
      <c r="BX59" s="159"/>
      <c r="BY59" s="159"/>
      <c r="CB59" s="165"/>
      <c r="CC59" s="174">
        <v>7.9729999999999999</v>
      </c>
      <c r="CD59" s="165"/>
      <c r="CE59" s="174">
        <v>7.7</v>
      </c>
      <c r="CF59" s="165"/>
      <c r="CH59" s="165"/>
      <c r="CJ59" s="165"/>
      <c r="CL59" s="165"/>
      <c r="CN59" s="165"/>
      <c r="CO59" s="130"/>
      <c r="CP59" s="165"/>
      <c r="CQ59" s="130"/>
      <c r="CR59" s="165"/>
      <c r="CS59" s="130"/>
      <c r="CT59" s="130"/>
      <c r="CU59" s="130"/>
      <c r="CV59" s="130"/>
      <c r="CW59" s="130"/>
      <c r="CX59" s="165"/>
      <c r="CY59" s="130"/>
      <c r="CZ59" s="130"/>
      <c r="DA59" s="130"/>
      <c r="DB59" s="130"/>
      <c r="DC59" s="130"/>
      <c r="DD59" s="130"/>
      <c r="DE59" s="130"/>
      <c r="DF59" s="130"/>
      <c r="DG59" s="130"/>
      <c r="DH59" s="130"/>
    </row>
    <row r="60" spans="1:112" ht="15">
      <c r="A60" s="169" t="s">
        <v>7684</v>
      </c>
      <c r="B60" s="175"/>
      <c r="C60" s="174">
        <v>5</v>
      </c>
      <c r="D60" s="174">
        <v>10</v>
      </c>
      <c r="E60" s="174">
        <v>5</v>
      </c>
      <c r="F60" s="174">
        <v>8</v>
      </c>
      <c r="I60" s="174"/>
      <c r="K60" s="188">
        <v>7</v>
      </c>
      <c r="L60" s="146">
        <v>42430</v>
      </c>
      <c r="M60" s="174">
        <v>7.24</v>
      </c>
      <c r="N60" s="189">
        <v>42580</v>
      </c>
      <c r="S60" s="174">
        <v>19.64</v>
      </c>
      <c r="U60" s="159">
        <v>18.5</v>
      </c>
      <c r="AE60" s="174">
        <v>40.36</v>
      </c>
      <c r="AG60" s="174">
        <v>4.2300000000000004</v>
      </c>
      <c r="AI60" s="174">
        <v>150</v>
      </c>
      <c r="AJ60" s="160">
        <v>42520</v>
      </c>
      <c r="AK60" s="174"/>
      <c r="AL60" s="174"/>
      <c r="AM60" s="174">
        <v>92</v>
      </c>
      <c r="AN60" s="174"/>
      <c r="AO60" s="174"/>
      <c r="AP60" s="174"/>
      <c r="AR60" s="174"/>
      <c r="AS60" s="174"/>
      <c r="AT60" s="174"/>
      <c r="AU60" s="174"/>
      <c r="AV60" s="174"/>
      <c r="AW60" s="174"/>
      <c r="AX60" s="174"/>
      <c r="AY60" s="175"/>
      <c r="BC60" s="174"/>
      <c r="BD60" s="174"/>
      <c r="BE60" s="174"/>
      <c r="BG60" s="174"/>
      <c r="BI60" s="174"/>
      <c r="BJ60" s="174"/>
      <c r="BK60" s="174"/>
      <c r="BM60" s="174">
        <v>62.216000000000001</v>
      </c>
      <c r="BN60" s="174"/>
      <c r="BO60" s="174"/>
      <c r="BP60" s="174"/>
      <c r="BR60" s="174"/>
      <c r="BS60" s="174">
        <v>48.664000000000001</v>
      </c>
      <c r="BT60" s="174"/>
      <c r="BU60" s="190">
        <v>19.717397689819336</v>
      </c>
      <c r="BV60" s="159"/>
      <c r="BW60" s="174">
        <v>10.686</v>
      </c>
      <c r="BX60" s="159"/>
      <c r="BY60" s="159"/>
      <c r="CB60" s="165"/>
      <c r="CC60" s="174">
        <v>7.9420000000000002</v>
      </c>
      <c r="CD60" s="165"/>
      <c r="CE60" s="174">
        <v>7.5</v>
      </c>
      <c r="CF60" s="165"/>
      <c r="CH60" s="165"/>
      <c r="CJ60" s="165"/>
      <c r="CL60" s="165"/>
      <c r="CN60" s="165"/>
      <c r="CO60" s="130"/>
      <c r="CP60" s="165"/>
      <c r="CQ60" s="130"/>
      <c r="CR60" s="165"/>
      <c r="CS60" s="130"/>
      <c r="CT60" s="130"/>
      <c r="CU60" s="130"/>
      <c r="CV60" s="130"/>
      <c r="CW60" s="130"/>
      <c r="CX60" s="165"/>
      <c r="CY60" s="130"/>
      <c r="CZ60" s="130"/>
      <c r="DA60" s="130"/>
      <c r="DB60" s="130"/>
      <c r="DC60" s="130"/>
      <c r="DD60" s="130"/>
      <c r="DE60" s="130"/>
      <c r="DF60" s="130"/>
      <c r="DG60" s="130"/>
      <c r="DH60" s="130"/>
    </row>
    <row r="61" spans="1:112" ht="15">
      <c r="A61" s="169" t="s">
        <v>7684</v>
      </c>
      <c r="B61" s="175"/>
      <c r="C61" s="174">
        <v>6</v>
      </c>
      <c r="D61" s="174">
        <v>10</v>
      </c>
      <c r="E61" s="174">
        <v>6</v>
      </c>
      <c r="F61" s="174">
        <v>12</v>
      </c>
      <c r="I61" s="174"/>
      <c r="K61" s="188">
        <v>7</v>
      </c>
      <c r="L61" s="146">
        <v>42430</v>
      </c>
      <c r="M61" s="174">
        <v>6.91</v>
      </c>
      <c r="N61" s="189">
        <v>42580</v>
      </c>
      <c r="S61" s="174">
        <v>18.45</v>
      </c>
      <c r="U61" s="159">
        <v>18.5</v>
      </c>
      <c r="AE61" s="174">
        <v>38.5</v>
      </c>
      <c r="AG61" s="174">
        <v>4.1900000000000004</v>
      </c>
      <c r="AI61" s="174">
        <v>160</v>
      </c>
      <c r="AJ61" s="160">
        <v>42520</v>
      </c>
      <c r="AK61" s="174"/>
      <c r="AL61" s="174"/>
      <c r="AM61" s="174">
        <v>95</v>
      </c>
      <c r="AN61" s="174"/>
      <c r="AO61" s="174"/>
      <c r="AP61" s="174"/>
      <c r="AR61" s="174"/>
      <c r="AS61" s="174"/>
      <c r="AT61" s="174"/>
      <c r="AU61" s="174"/>
      <c r="AV61" s="174"/>
      <c r="AW61" s="174"/>
      <c r="AX61" s="174"/>
      <c r="AY61" s="175"/>
      <c r="BC61" s="174"/>
      <c r="BD61" s="174"/>
      <c r="BE61" s="174"/>
      <c r="BG61" s="174"/>
      <c r="BI61" s="174"/>
      <c r="BJ61" s="174"/>
      <c r="BK61" s="174"/>
      <c r="BM61" s="174">
        <v>61.567</v>
      </c>
      <c r="BN61" s="174"/>
      <c r="BO61" s="174"/>
      <c r="BP61" s="174"/>
      <c r="BR61" s="174"/>
      <c r="BS61" s="174">
        <v>47.915999999999997</v>
      </c>
      <c r="BT61" s="174"/>
      <c r="BU61" s="190">
        <v>20.061752319335938</v>
      </c>
      <c r="BV61" s="159"/>
      <c r="BW61" s="174">
        <v>11.090999999999999</v>
      </c>
      <c r="BX61" s="159"/>
      <c r="BY61" s="159"/>
      <c r="CB61" s="165"/>
      <c r="CC61" s="174">
        <v>7.992</v>
      </c>
      <c r="CD61" s="165"/>
      <c r="CE61" s="174">
        <v>7.5</v>
      </c>
      <c r="CF61" s="165"/>
      <c r="CH61" s="165"/>
      <c r="CJ61" s="165"/>
      <c r="CL61" s="165"/>
      <c r="CN61" s="165"/>
      <c r="CO61" s="130"/>
      <c r="CP61" s="165"/>
      <c r="CQ61" s="130"/>
      <c r="CR61" s="165"/>
      <c r="CS61" s="130"/>
      <c r="CT61" s="130"/>
      <c r="CU61" s="130"/>
      <c r="CV61" s="130"/>
      <c r="CW61" s="130"/>
      <c r="CX61" s="165"/>
      <c r="CY61" s="130"/>
      <c r="CZ61" s="130"/>
      <c r="DA61" s="130"/>
      <c r="DB61" s="130"/>
      <c r="DC61" s="130"/>
      <c r="DD61" s="130"/>
      <c r="DE61" s="130"/>
      <c r="DF61" s="130"/>
      <c r="DG61" s="130"/>
      <c r="DH61" s="130"/>
    </row>
    <row r="62" spans="1:112" ht="15">
      <c r="A62" s="169" t="s">
        <v>7687</v>
      </c>
      <c r="B62" s="175"/>
      <c r="C62" s="174">
        <v>1</v>
      </c>
      <c r="D62" s="174">
        <v>11</v>
      </c>
      <c r="E62" s="174">
        <v>1</v>
      </c>
      <c r="F62" s="174">
        <v>1</v>
      </c>
      <c r="I62" s="174"/>
      <c r="K62" s="188">
        <v>8</v>
      </c>
      <c r="L62" s="146">
        <v>42430</v>
      </c>
      <c r="M62" s="174">
        <v>7.78</v>
      </c>
      <c r="N62" s="189">
        <v>42580</v>
      </c>
      <c r="S62" s="174">
        <v>20.399999999999999</v>
      </c>
      <c r="U62" s="159">
        <v>18.5</v>
      </c>
      <c r="AE62" s="174">
        <v>43.38</v>
      </c>
      <c r="AG62" s="174">
        <v>3.99</v>
      </c>
      <c r="AI62" s="174">
        <v>170</v>
      </c>
      <c r="AJ62" s="160">
        <v>42520</v>
      </c>
      <c r="AK62" s="174"/>
      <c r="AL62" s="174"/>
      <c r="AM62" s="174">
        <v>95</v>
      </c>
      <c r="AN62" s="174"/>
      <c r="AO62" s="174"/>
      <c r="AP62" s="174"/>
      <c r="AR62" s="174"/>
      <c r="AS62" s="174"/>
      <c r="AT62" s="174"/>
      <c r="AU62" s="174"/>
      <c r="AV62" s="174"/>
      <c r="AW62" s="174"/>
      <c r="AX62" s="174"/>
      <c r="AY62" s="174"/>
      <c r="BC62" s="174"/>
      <c r="BD62" s="174"/>
      <c r="BE62" s="174"/>
      <c r="BG62" s="174"/>
      <c r="BI62" s="174"/>
      <c r="BJ62" s="174"/>
      <c r="BK62" s="174"/>
      <c r="BM62" s="174">
        <v>61.198</v>
      </c>
      <c r="BN62" s="174"/>
      <c r="BO62" s="174"/>
      <c r="BP62" s="174"/>
      <c r="BR62" s="174"/>
      <c r="BS62" s="174">
        <v>47.026000000000003</v>
      </c>
      <c r="BT62" s="174"/>
      <c r="BU62" s="190">
        <v>19.811321258544922</v>
      </c>
      <c r="BV62" s="159"/>
      <c r="BW62" s="174">
        <v>17.344999999999999</v>
      </c>
      <c r="BX62" s="159"/>
      <c r="BY62" s="159"/>
      <c r="CB62" s="165"/>
      <c r="CC62" s="174">
        <v>7.9249999999999998</v>
      </c>
      <c r="CD62" s="165"/>
      <c r="CE62" s="174">
        <v>7.7</v>
      </c>
      <c r="CF62" s="165"/>
      <c r="CH62" s="165"/>
      <c r="CJ62" s="165"/>
      <c r="CL62" s="165"/>
      <c r="CN62" s="165"/>
      <c r="CO62" s="130"/>
      <c r="CP62" s="165"/>
      <c r="CQ62" s="130"/>
      <c r="CR62" s="165"/>
      <c r="CS62" s="130"/>
      <c r="CT62" s="130"/>
      <c r="CU62" s="130"/>
      <c r="CV62" s="130"/>
      <c r="CW62" s="130"/>
      <c r="CX62" s="165"/>
      <c r="CY62" s="130"/>
      <c r="CZ62" s="130"/>
      <c r="DA62" s="130"/>
      <c r="DB62" s="130"/>
      <c r="DC62" s="130"/>
      <c r="DD62" s="130"/>
      <c r="DE62" s="130"/>
      <c r="DF62" s="130"/>
      <c r="DG62" s="130"/>
      <c r="DH62" s="130"/>
    </row>
    <row r="63" spans="1:112" ht="15">
      <c r="A63" s="169" t="s">
        <v>7687</v>
      </c>
      <c r="B63" s="175"/>
      <c r="C63" s="174">
        <v>2</v>
      </c>
      <c r="D63" s="174">
        <v>11</v>
      </c>
      <c r="E63" s="174">
        <v>2</v>
      </c>
      <c r="F63" s="174">
        <v>33</v>
      </c>
      <c r="I63" s="174"/>
      <c r="K63" s="188">
        <v>9</v>
      </c>
      <c r="L63" s="146">
        <v>42430</v>
      </c>
      <c r="M63" s="174">
        <v>8.2200000000000006</v>
      </c>
      <c r="N63" s="189">
        <v>42580</v>
      </c>
      <c r="S63" s="174">
        <v>22.38</v>
      </c>
      <c r="U63" s="159">
        <v>18.5</v>
      </c>
      <c r="AE63" s="174">
        <v>45.94</v>
      </c>
      <c r="AG63" s="174">
        <v>3.93</v>
      </c>
      <c r="AI63" s="174">
        <v>170</v>
      </c>
      <c r="AJ63" s="160">
        <v>42520</v>
      </c>
      <c r="AK63" s="174"/>
      <c r="AL63" s="174"/>
      <c r="AM63" s="174">
        <v>95</v>
      </c>
      <c r="AN63" s="174"/>
      <c r="AO63" s="174"/>
      <c r="AP63" s="174"/>
      <c r="AR63" s="174"/>
      <c r="AS63" s="174"/>
      <c r="AT63" s="174"/>
      <c r="AU63" s="174"/>
      <c r="AV63" s="174"/>
      <c r="AW63" s="174"/>
      <c r="AX63" s="174"/>
      <c r="AY63" s="174"/>
      <c r="BC63" s="174"/>
      <c r="BD63" s="174"/>
      <c r="BE63" s="174"/>
      <c r="BG63" s="174"/>
      <c r="BI63" s="174"/>
      <c r="BJ63" s="174"/>
      <c r="BK63" s="174"/>
      <c r="BM63" s="174">
        <v>61.362000000000002</v>
      </c>
      <c r="BN63" s="174"/>
      <c r="BO63" s="174"/>
      <c r="BP63" s="174"/>
      <c r="BR63" s="174"/>
      <c r="BS63" s="174">
        <v>48.704999999999998</v>
      </c>
      <c r="BT63" s="174"/>
      <c r="BU63" s="190">
        <v>20.382268905639648</v>
      </c>
      <c r="BV63" s="159"/>
      <c r="BW63" s="174">
        <v>15.55</v>
      </c>
      <c r="BX63" s="159"/>
      <c r="BY63" s="159"/>
      <c r="CB63" s="165"/>
      <c r="CC63" s="174">
        <v>7.7089999999999996</v>
      </c>
      <c r="CD63" s="165"/>
      <c r="CE63" s="174">
        <v>7.4</v>
      </c>
      <c r="CF63" s="165"/>
      <c r="CH63" s="165"/>
      <c r="CJ63" s="165"/>
      <c r="CL63" s="165"/>
      <c r="CN63" s="165"/>
      <c r="CO63" s="130"/>
      <c r="CP63" s="165"/>
      <c r="CQ63" s="130"/>
      <c r="CR63" s="165"/>
      <c r="CS63" s="130"/>
      <c r="CT63" s="130"/>
      <c r="CU63" s="130"/>
      <c r="CV63" s="130"/>
      <c r="CW63" s="130"/>
      <c r="CX63" s="165"/>
      <c r="CY63" s="130"/>
      <c r="CZ63" s="130"/>
      <c r="DA63" s="130"/>
      <c r="DB63" s="130"/>
      <c r="DC63" s="130"/>
      <c r="DD63" s="130"/>
      <c r="DE63" s="130"/>
      <c r="DF63" s="130"/>
      <c r="DG63" s="130"/>
      <c r="DH63" s="130"/>
    </row>
    <row r="64" spans="1:112" ht="15">
      <c r="A64" s="169" t="s">
        <v>7687</v>
      </c>
      <c r="B64" s="175"/>
      <c r="C64" s="174">
        <v>3</v>
      </c>
      <c r="D64" s="174">
        <v>11</v>
      </c>
      <c r="E64" s="174">
        <v>3</v>
      </c>
      <c r="F64" s="174">
        <v>9</v>
      </c>
      <c r="I64" s="174"/>
      <c r="K64" s="188">
        <v>7</v>
      </c>
      <c r="L64" s="146">
        <v>42430</v>
      </c>
      <c r="M64" s="174">
        <v>8.5500000000000007</v>
      </c>
      <c r="N64" s="189">
        <v>42580</v>
      </c>
      <c r="S64" s="174">
        <v>22.91</v>
      </c>
      <c r="U64" s="159">
        <v>18.5</v>
      </c>
      <c r="AE64" s="174">
        <v>47.49</v>
      </c>
      <c r="AG64" s="174">
        <v>4.62</v>
      </c>
      <c r="AI64" s="174">
        <v>170</v>
      </c>
      <c r="AJ64" s="160">
        <v>42520</v>
      </c>
      <c r="AK64" s="174"/>
      <c r="AL64" s="174"/>
      <c r="AM64" s="174">
        <v>95</v>
      </c>
      <c r="AN64" s="174"/>
      <c r="AO64" s="174"/>
      <c r="AP64" s="174"/>
      <c r="AR64" s="174"/>
      <c r="AS64" s="174"/>
      <c r="AT64" s="174"/>
      <c r="AU64" s="174"/>
      <c r="AV64" s="174"/>
      <c r="AW64" s="174"/>
      <c r="AX64" s="174"/>
      <c r="AY64" s="174"/>
      <c r="BC64" s="174"/>
      <c r="BD64" s="174"/>
      <c r="BE64" s="174"/>
      <c r="BG64" s="174"/>
      <c r="BI64" s="174"/>
      <c r="BJ64" s="174"/>
      <c r="BK64" s="174"/>
      <c r="BM64" s="174">
        <v>59.113999999999997</v>
      </c>
      <c r="BN64" s="174"/>
      <c r="BO64" s="174"/>
      <c r="BP64" s="174"/>
      <c r="BR64" s="174"/>
      <c r="BS64" s="174">
        <v>48.24</v>
      </c>
      <c r="BT64" s="174"/>
      <c r="BU64" s="190">
        <v>20.048837661743164</v>
      </c>
      <c r="BV64" s="159"/>
      <c r="BW64" s="174">
        <v>12.39</v>
      </c>
      <c r="BX64" s="159"/>
      <c r="BY64" s="159"/>
      <c r="CB64" s="165"/>
      <c r="CC64" s="174">
        <v>8.2690000000000001</v>
      </c>
      <c r="CD64" s="165"/>
      <c r="CE64" s="174">
        <v>8</v>
      </c>
      <c r="CF64" s="165"/>
      <c r="CH64" s="165"/>
      <c r="CJ64" s="165"/>
      <c r="CL64" s="165"/>
      <c r="CN64" s="165"/>
      <c r="CO64" s="130"/>
      <c r="CP64" s="165"/>
      <c r="CQ64" s="130"/>
      <c r="CR64" s="165"/>
      <c r="CS64" s="130"/>
      <c r="CT64" s="130"/>
      <c r="CU64" s="130"/>
      <c r="CV64" s="130"/>
      <c r="CW64" s="130"/>
      <c r="CX64" s="165"/>
      <c r="CY64" s="130"/>
      <c r="CZ64" s="130"/>
      <c r="DA64" s="130"/>
      <c r="DB64" s="130"/>
      <c r="DC64" s="130"/>
      <c r="DD64" s="130"/>
      <c r="DE64" s="130"/>
      <c r="DF64" s="130"/>
      <c r="DG64" s="130"/>
      <c r="DH64" s="130"/>
    </row>
    <row r="65" spans="1:112" ht="15">
      <c r="A65" s="169" t="s">
        <v>7687</v>
      </c>
      <c r="B65" s="175"/>
      <c r="C65" s="174">
        <v>4</v>
      </c>
      <c r="D65" s="174">
        <v>11</v>
      </c>
      <c r="E65" s="174">
        <v>4</v>
      </c>
      <c r="F65" s="174">
        <v>9</v>
      </c>
      <c r="I65" s="174"/>
      <c r="K65" s="188">
        <v>7</v>
      </c>
      <c r="L65" s="146">
        <v>42430</v>
      </c>
      <c r="M65" s="174">
        <v>7.41</v>
      </c>
      <c r="N65" s="189">
        <v>42580</v>
      </c>
      <c r="S65" s="174">
        <v>20.260000000000002</v>
      </c>
      <c r="U65" s="159">
        <v>18.5</v>
      </c>
      <c r="AE65" s="174">
        <v>41.4</v>
      </c>
      <c r="AG65" s="174">
        <v>4.0199999999999996</v>
      </c>
      <c r="AI65" s="174">
        <v>170</v>
      </c>
      <c r="AJ65" s="160">
        <v>42520</v>
      </c>
      <c r="AK65" s="174"/>
      <c r="AL65" s="174"/>
      <c r="AM65" s="174">
        <v>95</v>
      </c>
      <c r="AN65" s="174"/>
      <c r="AO65" s="174"/>
      <c r="AP65" s="174"/>
      <c r="AR65" s="174"/>
      <c r="AS65" s="174"/>
      <c r="AT65" s="174"/>
      <c r="AU65" s="174"/>
      <c r="AV65" s="174"/>
      <c r="AW65" s="174"/>
      <c r="AX65" s="174"/>
      <c r="AY65" s="174"/>
      <c r="BC65" s="174"/>
      <c r="BD65" s="174"/>
      <c r="BE65" s="174"/>
      <c r="BG65" s="174"/>
      <c r="BI65" s="174"/>
      <c r="BJ65" s="174"/>
      <c r="BK65" s="174"/>
      <c r="BM65" s="174">
        <v>61.551000000000002</v>
      </c>
      <c r="BN65" s="174"/>
      <c r="BO65" s="174"/>
      <c r="BP65" s="174"/>
      <c r="BR65" s="174"/>
      <c r="BS65" s="174">
        <v>48.930999999999997</v>
      </c>
      <c r="BT65" s="174"/>
      <c r="BU65" s="190">
        <v>19.46745491027832</v>
      </c>
      <c r="BV65" s="159"/>
      <c r="BW65" s="174">
        <v>15.539</v>
      </c>
      <c r="BX65" s="159"/>
      <c r="BY65" s="159"/>
      <c r="CB65" s="165"/>
      <c r="CC65" s="174">
        <v>7.7350000000000003</v>
      </c>
      <c r="CD65" s="165"/>
      <c r="CE65" s="174">
        <v>7.4</v>
      </c>
      <c r="CF65" s="165"/>
      <c r="CH65" s="165"/>
      <c r="CJ65" s="165"/>
      <c r="CL65" s="165"/>
      <c r="CN65" s="165"/>
      <c r="CO65" s="130"/>
      <c r="CP65" s="165"/>
      <c r="CQ65" s="130"/>
      <c r="CR65" s="165"/>
      <c r="CS65" s="130"/>
      <c r="CT65" s="130"/>
      <c r="CU65" s="130"/>
      <c r="CV65" s="130"/>
      <c r="CW65" s="130"/>
      <c r="CX65" s="165"/>
      <c r="CY65" s="130"/>
      <c r="CZ65" s="130"/>
      <c r="DA65" s="130"/>
      <c r="DB65" s="130"/>
      <c r="DC65" s="130"/>
      <c r="DD65" s="130"/>
      <c r="DE65" s="130"/>
      <c r="DF65" s="130"/>
      <c r="DG65" s="130"/>
      <c r="DH65" s="130"/>
    </row>
    <row r="66" spans="1:112" ht="15">
      <c r="A66" s="169" t="s">
        <v>7687</v>
      </c>
      <c r="B66" s="175"/>
      <c r="C66" s="174">
        <v>5</v>
      </c>
      <c r="D66" s="174">
        <v>11</v>
      </c>
      <c r="E66" s="174">
        <v>5</v>
      </c>
      <c r="F66" s="174">
        <v>5</v>
      </c>
      <c r="I66" s="174"/>
      <c r="K66" s="188">
        <v>8</v>
      </c>
      <c r="L66" s="146">
        <v>42430</v>
      </c>
      <c r="M66" s="174">
        <v>8.4</v>
      </c>
      <c r="N66" s="189">
        <v>42580</v>
      </c>
      <c r="S66" s="174">
        <v>23.37</v>
      </c>
      <c r="U66" s="159">
        <v>18.5</v>
      </c>
      <c r="AE66" s="174">
        <v>47.02</v>
      </c>
      <c r="AG66" s="174">
        <v>4.4400000000000004</v>
      </c>
      <c r="AI66" s="174">
        <v>155</v>
      </c>
      <c r="AJ66" s="160">
        <v>42520</v>
      </c>
      <c r="AK66" s="174"/>
      <c r="AL66" s="174"/>
      <c r="AM66" s="174">
        <v>98</v>
      </c>
      <c r="AN66" s="174"/>
      <c r="AO66" s="174"/>
      <c r="AP66" s="174"/>
      <c r="AR66" s="174"/>
      <c r="AS66" s="174"/>
      <c r="AT66" s="174"/>
      <c r="AU66" s="174"/>
      <c r="AV66" s="174"/>
      <c r="AW66" s="174"/>
      <c r="AX66" s="174"/>
      <c r="AY66" s="174"/>
      <c r="BC66" s="174"/>
      <c r="BD66" s="174"/>
      <c r="BE66" s="174"/>
      <c r="BG66" s="174"/>
      <c r="BI66" s="174"/>
      <c r="BJ66" s="174"/>
      <c r="BK66" s="174"/>
      <c r="BM66" s="174">
        <v>59.847999999999999</v>
      </c>
      <c r="BN66" s="174"/>
      <c r="BO66" s="174"/>
      <c r="BP66" s="174"/>
      <c r="BR66" s="174"/>
      <c r="BS66" s="174">
        <v>49.694000000000003</v>
      </c>
      <c r="BT66" s="174"/>
      <c r="BU66" s="190">
        <v>19.251153945922852</v>
      </c>
      <c r="BV66" s="159"/>
      <c r="BW66" s="174">
        <v>12.766</v>
      </c>
      <c r="BX66" s="159"/>
      <c r="BY66" s="159"/>
      <c r="CB66" s="165"/>
      <c r="CC66" s="174">
        <v>7.5640000000000001</v>
      </c>
      <c r="CD66" s="165"/>
      <c r="CE66" s="174">
        <v>7.2</v>
      </c>
      <c r="CF66" s="165"/>
      <c r="CH66" s="165"/>
      <c r="CJ66" s="165"/>
      <c r="CL66" s="165"/>
      <c r="CN66" s="165"/>
      <c r="CO66" s="130"/>
      <c r="CP66" s="165"/>
      <c r="CQ66" s="130"/>
      <c r="CR66" s="165"/>
      <c r="CS66" s="130"/>
      <c r="CT66" s="130"/>
      <c r="CU66" s="130"/>
      <c r="CV66" s="130"/>
      <c r="CW66" s="130"/>
      <c r="CX66" s="165"/>
      <c r="CY66" s="130"/>
      <c r="CZ66" s="130"/>
      <c r="DA66" s="130"/>
      <c r="DB66" s="130"/>
      <c r="DC66" s="130"/>
      <c r="DD66" s="130"/>
      <c r="DE66" s="130"/>
      <c r="DF66" s="130"/>
      <c r="DG66" s="130"/>
      <c r="DH66" s="130"/>
    </row>
    <row r="67" spans="1:112" ht="15">
      <c r="A67" s="169" t="s">
        <v>7687</v>
      </c>
      <c r="B67" s="175"/>
      <c r="C67" s="174">
        <v>6</v>
      </c>
      <c r="D67" s="174">
        <v>11</v>
      </c>
      <c r="E67" s="174">
        <v>6</v>
      </c>
      <c r="F67" s="174">
        <v>31</v>
      </c>
      <c r="I67" s="174"/>
      <c r="K67" s="188">
        <v>5</v>
      </c>
      <c r="L67" s="146">
        <v>42430</v>
      </c>
      <c r="M67" s="174">
        <v>8.17</v>
      </c>
      <c r="N67" s="189">
        <v>42580</v>
      </c>
      <c r="S67" s="174">
        <v>22.67</v>
      </c>
      <c r="U67" s="159">
        <v>18.5</v>
      </c>
      <c r="AE67" s="174">
        <v>45.69</v>
      </c>
      <c r="AG67" s="174">
        <v>4.32</v>
      </c>
      <c r="AI67" s="174">
        <v>170</v>
      </c>
      <c r="AJ67" s="160">
        <v>42520</v>
      </c>
      <c r="AK67" s="174"/>
      <c r="AL67" s="174"/>
      <c r="AM67" s="174">
        <v>102</v>
      </c>
      <c r="AN67" s="174"/>
      <c r="AO67" s="174"/>
      <c r="AP67" s="174"/>
      <c r="AR67" s="174"/>
      <c r="AS67" s="174"/>
      <c r="AT67" s="174"/>
      <c r="AU67" s="174"/>
      <c r="AV67" s="174"/>
      <c r="AW67" s="174"/>
      <c r="AX67" s="174"/>
      <c r="AY67" s="174"/>
      <c r="BC67" s="174"/>
      <c r="BD67" s="174"/>
      <c r="BE67" s="174"/>
      <c r="BG67" s="174"/>
      <c r="BI67" s="174"/>
      <c r="BJ67" s="174"/>
      <c r="BK67" s="174"/>
      <c r="BM67" s="174">
        <v>60.914000000000001</v>
      </c>
      <c r="BN67" s="174"/>
      <c r="BO67" s="174"/>
      <c r="BP67" s="174"/>
      <c r="BR67" s="174"/>
      <c r="BS67" s="174">
        <v>49.606999999999999</v>
      </c>
      <c r="BT67" s="174"/>
      <c r="BU67" s="190">
        <v>19.448566436767578</v>
      </c>
      <c r="BV67" s="159"/>
      <c r="BW67" s="174">
        <v>12.743</v>
      </c>
      <c r="BX67" s="159"/>
      <c r="BY67" s="159"/>
      <c r="CB67" s="165"/>
      <c r="CC67" s="174">
        <v>7.6520000000000001</v>
      </c>
      <c r="CD67" s="165"/>
      <c r="CE67" s="174">
        <v>7.3</v>
      </c>
      <c r="CF67" s="165"/>
      <c r="CH67" s="165"/>
      <c r="CJ67" s="165"/>
      <c r="CL67" s="165"/>
      <c r="CN67" s="165"/>
      <c r="CO67" s="130"/>
      <c r="CP67" s="165"/>
      <c r="CQ67" s="130"/>
      <c r="CR67" s="165"/>
      <c r="CS67" s="130"/>
      <c r="CT67" s="130"/>
      <c r="CU67" s="130"/>
      <c r="CV67" s="130"/>
      <c r="CW67" s="130"/>
      <c r="CX67" s="165"/>
      <c r="CY67" s="130"/>
      <c r="CZ67" s="130"/>
      <c r="DA67" s="130"/>
      <c r="DB67" s="130"/>
      <c r="DC67" s="130"/>
      <c r="DD67" s="130"/>
      <c r="DE67" s="130"/>
      <c r="DF67" s="130"/>
      <c r="DG67" s="130"/>
      <c r="DH67" s="130"/>
    </row>
    <row r="68" spans="1:112" ht="15">
      <c r="A68" s="169" t="s">
        <v>7688</v>
      </c>
      <c r="B68" s="175"/>
      <c r="C68" s="174">
        <v>1</v>
      </c>
      <c r="D68" s="174">
        <v>12</v>
      </c>
      <c r="E68" s="174">
        <v>1</v>
      </c>
      <c r="F68" s="174">
        <v>18</v>
      </c>
      <c r="I68" s="174"/>
      <c r="K68" s="188">
        <v>5</v>
      </c>
      <c r="L68" s="146">
        <v>42430</v>
      </c>
      <c r="M68" s="174">
        <v>7.46</v>
      </c>
      <c r="N68" s="189">
        <v>42580</v>
      </c>
      <c r="S68" s="174">
        <v>19.68</v>
      </c>
      <c r="U68" s="159">
        <v>18.5</v>
      </c>
      <c r="AE68" s="174">
        <v>41.27</v>
      </c>
      <c r="AG68" s="174">
        <v>4.78</v>
      </c>
      <c r="AI68" s="174">
        <v>180</v>
      </c>
      <c r="AJ68" s="160">
        <v>42520</v>
      </c>
      <c r="AK68" s="174"/>
      <c r="AL68" s="174"/>
      <c r="AM68" s="174">
        <v>98</v>
      </c>
      <c r="AN68" s="174"/>
      <c r="AO68" s="174"/>
      <c r="AP68" s="174"/>
      <c r="AR68" s="174"/>
      <c r="AS68" s="174"/>
      <c r="AT68" s="174"/>
      <c r="AU68" s="174"/>
      <c r="AV68" s="174"/>
      <c r="AW68" s="174"/>
      <c r="AX68" s="174"/>
      <c r="AY68" s="175"/>
      <c r="BC68" s="174"/>
      <c r="BD68" s="174"/>
      <c r="BE68" s="174"/>
      <c r="BG68" s="174"/>
      <c r="BI68" s="174"/>
      <c r="BJ68" s="174"/>
      <c r="BK68" s="174"/>
      <c r="BM68" s="174">
        <v>61.381999999999998</v>
      </c>
      <c r="BN68" s="174"/>
      <c r="BO68" s="174"/>
      <c r="BP68" s="174"/>
      <c r="BR68" s="174"/>
      <c r="BS68" s="174">
        <v>47.682000000000002</v>
      </c>
      <c r="BT68" s="174"/>
      <c r="BU68" s="190">
        <v>20.759611129760742</v>
      </c>
      <c r="BV68" s="159"/>
      <c r="BW68" s="174">
        <v>10.715999999999999</v>
      </c>
      <c r="BX68" s="159"/>
      <c r="BY68" s="159"/>
      <c r="CB68" s="165"/>
      <c r="CC68" s="174">
        <v>8.6370000000000005</v>
      </c>
      <c r="CD68" s="165"/>
      <c r="CE68" s="174">
        <v>8.4</v>
      </c>
      <c r="CF68" s="165"/>
      <c r="CH68" s="165"/>
      <c r="CJ68" s="165"/>
      <c r="CL68" s="165"/>
      <c r="CN68" s="165"/>
      <c r="CO68" s="130"/>
      <c r="CP68" s="165"/>
      <c r="CQ68" s="130"/>
      <c r="CR68" s="165"/>
      <c r="CS68" s="130"/>
      <c r="CT68" s="130"/>
      <c r="CU68" s="130"/>
      <c r="CV68" s="130"/>
      <c r="CW68" s="130"/>
      <c r="CX68" s="165"/>
      <c r="CY68" s="130"/>
      <c r="CZ68" s="130"/>
      <c r="DA68" s="130"/>
      <c r="DB68" s="130"/>
      <c r="DC68" s="130"/>
      <c r="DD68" s="130"/>
      <c r="DE68" s="130"/>
      <c r="DF68" s="130"/>
      <c r="DG68" s="130"/>
      <c r="DH68" s="130"/>
    </row>
    <row r="69" spans="1:112" ht="15">
      <c r="A69" s="169" t="s">
        <v>7688</v>
      </c>
      <c r="B69" s="175"/>
      <c r="C69" s="174">
        <v>2</v>
      </c>
      <c r="D69" s="174">
        <v>12</v>
      </c>
      <c r="E69" s="174">
        <v>2</v>
      </c>
      <c r="F69" s="174">
        <v>26</v>
      </c>
      <c r="I69" s="174"/>
      <c r="K69" s="188">
        <v>3</v>
      </c>
      <c r="L69" s="146">
        <v>42430</v>
      </c>
      <c r="M69" s="174">
        <v>8.58</v>
      </c>
      <c r="N69" s="189">
        <v>42580</v>
      </c>
      <c r="S69" s="174">
        <v>22.32</v>
      </c>
      <c r="U69" s="159">
        <v>18.5</v>
      </c>
      <c r="AE69" s="174">
        <v>47.52</v>
      </c>
      <c r="AG69" s="174">
        <v>4.5999999999999996</v>
      </c>
      <c r="AI69" s="174">
        <v>175</v>
      </c>
      <c r="AJ69" s="160">
        <v>42520</v>
      </c>
      <c r="AK69" s="174"/>
      <c r="AL69" s="174"/>
      <c r="AM69" s="174">
        <v>98</v>
      </c>
      <c r="AN69" s="174"/>
      <c r="AO69" s="174"/>
      <c r="AP69" s="174"/>
      <c r="AR69" s="174"/>
      <c r="AS69" s="174"/>
      <c r="AT69" s="174"/>
      <c r="AU69" s="174"/>
      <c r="AV69" s="174"/>
      <c r="AW69" s="174"/>
      <c r="AX69" s="174"/>
      <c r="AY69" s="174"/>
      <c r="BC69" s="174"/>
      <c r="BD69" s="174"/>
      <c r="BE69" s="174"/>
      <c r="BG69" s="174"/>
      <c r="BI69" s="174"/>
      <c r="BJ69" s="174"/>
      <c r="BK69" s="174"/>
      <c r="BM69" s="174">
        <v>61.533000000000001</v>
      </c>
      <c r="BN69" s="174"/>
      <c r="BO69" s="174"/>
      <c r="BP69" s="174"/>
      <c r="BR69" s="174"/>
      <c r="BS69" s="174">
        <v>46.972000000000001</v>
      </c>
      <c r="BT69" s="174"/>
      <c r="BU69" s="190">
        <v>20.218532562255859</v>
      </c>
      <c r="BV69" s="159"/>
      <c r="BW69" s="174">
        <v>10.292999999999999</v>
      </c>
      <c r="BX69" s="159"/>
      <c r="BY69" s="159"/>
      <c r="CB69" s="165"/>
      <c r="CC69" s="174">
        <v>8.5370000000000008</v>
      </c>
      <c r="CD69" s="165"/>
      <c r="CE69" s="174">
        <v>8.1</v>
      </c>
      <c r="CF69" s="165"/>
      <c r="CH69" s="165"/>
      <c r="CJ69" s="165"/>
      <c r="CL69" s="165"/>
      <c r="CN69" s="165"/>
      <c r="CO69" s="130"/>
      <c r="CP69" s="165"/>
      <c r="CQ69" s="130"/>
      <c r="CR69" s="165"/>
      <c r="CS69" s="130"/>
      <c r="CT69" s="130"/>
      <c r="CU69" s="130"/>
      <c r="CV69" s="130"/>
      <c r="CW69" s="130"/>
      <c r="CX69" s="165"/>
      <c r="CY69" s="130"/>
      <c r="CZ69" s="130"/>
      <c r="DA69" s="130"/>
      <c r="DB69" s="130"/>
      <c r="DC69" s="130"/>
      <c r="DD69" s="130"/>
      <c r="DE69" s="130"/>
      <c r="DF69" s="130"/>
      <c r="DG69" s="130"/>
      <c r="DH69" s="130"/>
    </row>
    <row r="70" spans="1:112" ht="15">
      <c r="A70" s="169" t="s">
        <v>7688</v>
      </c>
      <c r="B70" s="175"/>
      <c r="C70" s="174">
        <v>3</v>
      </c>
      <c r="D70" s="174">
        <v>12</v>
      </c>
      <c r="E70" s="174">
        <v>3</v>
      </c>
      <c r="F70" s="174">
        <v>2</v>
      </c>
      <c r="I70" s="174"/>
      <c r="K70" s="188">
        <v>5</v>
      </c>
      <c r="L70" s="146">
        <v>42430</v>
      </c>
      <c r="M70" s="174">
        <v>8.56</v>
      </c>
      <c r="N70" s="189">
        <v>42580</v>
      </c>
      <c r="S70" s="174">
        <v>22.56</v>
      </c>
      <c r="U70" s="159">
        <v>18.5</v>
      </c>
      <c r="AE70" s="174">
        <v>47.21</v>
      </c>
      <c r="AG70" s="174">
        <v>4.3600000000000003</v>
      </c>
      <c r="AI70" s="174">
        <v>190</v>
      </c>
      <c r="AJ70" s="160">
        <v>42520</v>
      </c>
      <c r="AK70" s="174"/>
      <c r="AL70" s="174"/>
      <c r="AM70" s="174">
        <v>92</v>
      </c>
      <c r="AN70" s="174"/>
      <c r="AO70" s="174"/>
      <c r="AP70" s="174"/>
      <c r="AR70" s="174"/>
      <c r="AS70" s="174"/>
      <c r="AT70" s="174"/>
      <c r="AU70" s="174"/>
      <c r="AV70" s="174"/>
      <c r="AW70" s="174"/>
      <c r="AX70" s="174"/>
      <c r="AY70" s="174"/>
      <c r="BC70" s="174"/>
      <c r="BD70" s="174"/>
      <c r="BE70" s="174"/>
      <c r="BG70" s="174"/>
      <c r="BI70" s="174"/>
      <c r="BJ70" s="174"/>
      <c r="BK70" s="174"/>
      <c r="BM70" s="174">
        <v>62.698</v>
      </c>
      <c r="BN70" s="174"/>
      <c r="BO70" s="174"/>
      <c r="BP70" s="174"/>
      <c r="BR70" s="174"/>
      <c r="BS70" s="174">
        <v>47.786000000000001</v>
      </c>
      <c r="BT70" s="174"/>
      <c r="BU70" s="190">
        <v>20.518484115600586</v>
      </c>
      <c r="BV70" s="159"/>
      <c r="BW70" s="174">
        <v>10.124000000000001</v>
      </c>
      <c r="BX70" s="159"/>
      <c r="BY70" s="159"/>
      <c r="CB70" s="165"/>
      <c r="CC70" s="174">
        <v>8.9149999999999991</v>
      </c>
      <c r="CD70" s="165"/>
      <c r="CE70" s="174">
        <v>8.5</v>
      </c>
      <c r="CF70" s="165"/>
      <c r="CH70" s="165"/>
      <c r="CJ70" s="165"/>
      <c r="CL70" s="165"/>
      <c r="CN70" s="165"/>
      <c r="CO70" s="130"/>
      <c r="CP70" s="165"/>
      <c r="CQ70" s="130"/>
      <c r="CR70" s="165"/>
      <c r="CS70" s="130"/>
      <c r="CT70" s="130"/>
      <c r="CU70" s="130"/>
      <c r="CV70" s="130"/>
      <c r="CW70" s="130"/>
      <c r="CX70" s="165"/>
      <c r="CY70" s="130"/>
      <c r="CZ70" s="130"/>
      <c r="DA70" s="130"/>
      <c r="DB70" s="130"/>
      <c r="DC70" s="130"/>
      <c r="DD70" s="130"/>
      <c r="DE70" s="130"/>
      <c r="DF70" s="130"/>
      <c r="DG70" s="130"/>
      <c r="DH70" s="130"/>
    </row>
    <row r="71" spans="1:112" ht="15">
      <c r="A71" s="169" t="s">
        <v>7688</v>
      </c>
      <c r="B71" s="175"/>
      <c r="C71" s="174">
        <v>4</v>
      </c>
      <c r="D71" s="174">
        <v>12</v>
      </c>
      <c r="E71" s="174">
        <v>4</v>
      </c>
      <c r="F71" s="174">
        <v>29</v>
      </c>
      <c r="I71" s="174"/>
      <c r="K71" s="188">
        <v>7</v>
      </c>
      <c r="L71" s="146">
        <v>42430</v>
      </c>
      <c r="M71" s="174">
        <v>8.66</v>
      </c>
      <c r="N71" s="189">
        <v>42580</v>
      </c>
      <c r="S71" s="174">
        <v>23.34</v>
      </c>
      <c r="U71" s="159">
        <v>18.5</v>
      </c>
      <c r="AE71" s="174">
        <v>48.29</v>
      </c>
      <c r="AG71" s="174">
        <v>4.21</v>
      </c>
      <c r="AI71" s="174">
        <v>180</v>
      </c>
      <c r="AJ71" s="160">
        <v>42520</v>
      </c>
      <c r="AK71" s="174"/>
      <c r="AL71" s="174"/>
      <c r="AM71" s="174">
        <v>95</v>
      </c>
      <c r="AN71" s="174"/>
      <c r="AO71" s="174"/>
      <c r="AP71" s="174"/>
      <c r="AR71" s="174"/>
      <c r="AS71" s="174"/>
      <c r="AT71" s="174"/>
      <c r="AU71" s="174"/>
      <c r="AV71" s="174"/>
      <c r="AW71" s="174"/>
      <c r="AX71" s="174"/>
      <c r="AY71" s="174"/>
      <c r="BC71" s="174"/>
      <c r="BD71" s="174"/>
      <c r="BE71" s="174"/>
      <c r="BG71" s="174"/>
      <c r="BI71" s="174"/>
      <c r="BJ71" s="174"/>
      <c r="BK71" s="174"/>
      <c r="BM71" s="174">
        <v>63.191000000000003</v>
      </c>
      <c r="BN71" s="174"/>
      <c r="BO71" s="174"/>
      <c r="BP71" s="174"/>
      <c r="BR71" s="174"/>
      <c r="BS71" s="174">
        <v>48.334000000000003</v>
      </c>
      <c r="BT71" s="174"/>
      <c r="BU71" s="190">
        <v>19.51832389831543</v>
      </c>
      <c r="BV71" s="159"/>
      <c r="BW71" s="174">
        <v>10.984999999999999</v>
      </c>
      <c r="BX71" s="159"/>
      <c r="BY71" s="159"/>
      <c r="CB71" s="165"/>
      <c r="CC71" s="174">
        <v>7.9169999999999998</v>
      </c>
      <c r="CD71" s="165"/>
      <c r="CE71" s="174">
        <v>7.7</v>
      </c>
      <c r="CF71" s="165"/>
      <c r="CH71" s="165"/>
      <c r="CJ71" s="165"/>
      <c r="CL71" s="165"/>
      <c r="CN71" s="165"/>
      <c r="CO71" s="130"/>
      <c r="CP71" s="165"/>
      <c r="CQ71" s="130"/>
      <c r="CR71" s="165"/>
      <c r="CS71" s="130"/>
      <c r="CT71" s="130"/>
      <c r="CU71" s="130"/>
      <c r="CV71" s="130"/>
      <c r="CW71" s="130"/>
      <c r="CX71" s="165"/>
      <c r="CY71" s="130"/>
      <c r="CZ71" s="130"/>
      <c r="DA71" s="130"/>
      <c r="DB71" s="130"/>
      <c r="DC71" s="130"/>
      <c r="DD71" s="130"/>
      <c r="DE71" s="130"/>
      <c r="DF71" s="130"/>
      <c r="DG71" s="130"/>
      <c r="DH71" s="130"/>
    </row>
    <row r="72" spans="1:112" ht="15">
      <c r="A72" s="169" t="s">
        <v>7688</v>
      </c>
      <c r="B72" s="175"/>
      <c r="C72" s="174">
        <v>5</v>
      </c>
      <c r="D72" s="174">
        <v>12</v>
      </c>
      <c r="E72" s="174">
        <v>5</v>
      </c>
      <c r="F72" s="174">
        <v>31</v>
      </c>
      <c r="I72" s="174"/>
      <c r="K72" s="188">
        <v>3</v>
      </c>
      <c r="L72" s="146">
        <v>42430</v>
      </c>
      <c r="M72" s="174">
        <v>6.99</v>
      </c>
      <c r="N72" s="189">
        <v>42580</v>
      </c>
      <c r="S72" s="174">
        <v>19.25</v>
      </c>
      <c r="U72" s="159">
        <v>18.5</v>
      </c>
      <c r="AE72" s="174">
        <v>38.94</v>
      </c>
      <c r="AG72" s="174">
        <v>4.37</v>
      </c>
      <c r="AI72" s="174">
        <v>160</v>
      </c>
      <c r="AJ72" s="160">
        <v>42520</v>
      </c>
      <c r="AK72" s="174"/>
      <c r="AL72" s="174"/>
      <c r="AM72" s="174">
        <v>98</v>
      </c>
      <c r="AN72" s="174"/>
      <c r="AO72" s="174"/>
      <c r="AP72" s="174"/>
      <c r="AR72" s="174"/>
      <c r="AS72" s="174"/>
      <c r="AT72" s="174"/>
      <c r="AU72" s="174"/>
      <c r="AV72" s="174"/>
      <c r="AW72" s="174"/>
      <c r="AX72" s="174"/>
      <c r="AY72" s="174"/>
      <c r="BC72" s="174"/>
      <c r="BD72" s="174"/>
      <c r="BE72" s="174"/>
      <c r="BG72" s="174"/>
      <c r="BI72" s="174"/>
      <c r="BJ72" s="174"/>
      <c r="BK72" s="174"/>
      <c r="BM72" s="174">
        <v>62.685000000000002</v>
      </c>
      <c r="BN72" s="174"/>
      <c r="BO72" s="174"/>
      <c r="BP72" s="174"/>
      <c r="BR72" s="174"/>
      <c r="BS72" s="174">
        <v>49.427</v>
      </c>
      <c r="BT72" s="174"/>
      <c r="BU72" s="190">
        <v>19.082279205322266</v>
      </c>
      <c r="BV72" s="159"/>
      <c r="BW72" s="174">
        <v>9.9640000000000004</v>
      </c>
      <c r="BX72" s="159"/>
      <c r="BY72" s="159"/>
      <c r="CB72" s="165"/>
      <c r="CC72" s="174">
        <v>7.9960000000000004</v>
      </c>
      <c r="CD72" s="165"/>
      <c r="CE72" s="174">
        <v>7.7</v>
      </c>
      <c r="CF72" s="165"/>
      <c r="CH72" s="165"/>
      <c r="CJ72" s="165"/>
      <c r="CL72" s="165"/>
      <c r="CN72" s="165"/>
      <c r="CO72" s="130"/>
      <c r="CP72" s="165"/>
      <c r="CQ72" s="130"/>
      <c r="CR72" s="165"/>
      <c r="CS72" s="130"/>
      <c r="CT72" s="130"/>
      <c r="CU72" s="130"/>
      <c r="CV72" s="130"/>
      <c r="CW72" s="130"/>
      <c r="CX72" s="165"/>
      <c r="CY72" s="130"/>
      <c r="CZ72" s="130"/>
      <c r="DA72" s="130"/>
      <c r="DB72" s="130"/>
      <c r="DC72" s="130"/>
      <c r="DD72" s="130"/>
      <c r="DE72" s="130"/>
      <c r="DF72" s="130"/>
      <c r="DG72" s="130"/>
      <c r="DH72" s="130"/>
    </row>
    <row r="73" spans="1:112" ht="15">
      <c r="A73" s="169" t="s">
        <v>7688</v>
      </c>
      <c r="B73" s="175"/>
      <c r="C73" s="174">
        <v>6</v>
      </c>
      <c r="D73" s="174">
        <v>12</v>
      </c>
      <c r="E73" s="174">
        <v>6</v>
      </c>
      <c r="F73" s="174">
        <v>18</v>
      </c>
      <c r="I73" s="174"/>
      <c r="K73" s="188">
        <v>9</v>
      </c>
      <c r="L73" s="146">
        <v>42430</v>
      </c>
      <c r="M73" s="174">
        <v>8.24</v>
      </c>
      <c r="N73" s="189">
        <v>42580</v>
      </c>
      <c r="S73" s="174">
        <v>22.74</v>
      </c>
      <c r="U73" s="159">
        <v>18.5</v>
      </c>
      <c r="AE73" s="174">
        <v>45.9</v>
      </c>
      <c r="AG73" s="174">
        <v>3.84</v>
      </c>
      <c r="AI73" s="174">
        <v>180</v>
      </c>
      <c r="AJ73" s="160">
        <v>42520</v>
      </c>
      <c r="AK73" s="174"/>
      <c r="AL73" s="174"/>
      <c r="AM73" s="174">
        <v>98</v>
      </c>
      <c r="AN73" s="174"/>
      <c r="AO73" s="174"/>
      <c r="AP73" s="174"/>
      <c r="AR73" s="174"/>
      <c r="AS73" s="174"/>
      <c r="AT73" s="174"/>
      <c r="AU73" s="174"/>
      <c r="AV73" s="174"/>
      <c r="AW73" s="174"/>
      <c r="AX73" s="174"/>
      <c r="AY73" s="174"/>
      <c r="BC73" s="174"/>
      <c r="BD73" s="174"/>
      <c r="BE73" s="174"/>
      <c r="BG73" s="174"/>
      <c r="BI73" s="174"/>
      <c r="BJ73" s="174"/>
      <c r="BK73" s="174"/>
      <c r="BM73" s="174">
        <v>62.027000000000001</v>
      </c>
      <c r="BN73" s="174"/>
      <c r="BO73" s="174"/>
      <c r="BP73" s="174"/>
      <c r="BR73" s="174"/>
      <c r="BS73" s="174">
        <v>49.537999999999997</v>
      </c>
      <c r="BT73" s="174"/>
      <c r="BU73" s="190">
        <v>18.370847702026367</v>
      </c>
      <c r="BV73" s="159"/>
      <c r="BW73" s="174">
        <v>9.7609999999999992</v>
      </c>
      <c r="BX73" s="159"/>
      <c r="BY73" s="159"/>
      <c r="CB73" s="165"/>
      <c r="CC73" s="174">
        <v>8.0050000000000008</v>
      </c>
      <c r="CD73" s="165"/>
      <c r="CE73" s="174">
        <v>7.6</v>
      </c>
      <c r="CF73" s="165"/>
      <c r="CH73" s="165"/>
      <c r="CJ73" s="165"/>
      <c r="CL73" s="165"/>
      <c r="CN73" s="165"/>
      <c r="CO73" s="130"/>
      <c r="CP73" s="165"/>
      <c r="CQ73" s="130"/>
      <c r="CR73" s="165"/>
      <c r="CS73" s="130"/>
      <c r="CT73" s="130"/>
      <c r="CU73" s="130"/>
      <c r="CV73" s="130"/>
      <c r="CW73" s="130"/>
      <c r="CX73" s="165"/>
      <c r="CY73" s="130"/>
      <c r="CZ73" s="130"/>
      <c r="DA73" s="130"/>
      <c r="DB73" s="130"/>
      <c r="DC73" s="130"/>
      <c r="DD73" s="130"/>
      <c r="DE73" s="130"/>
      <c r="DF73" s="130"/>
      <c r="DG73" s="130"/>
      <c r="DH73" s="130"/>
    </row>
    <row r="74" spans="1:112" ht="15">
      <c r="A74" s="169" t="s">
        <v>7690</v>
      </c>
      <c r="B74" s="175"/>
      <c r="C74" s="174">
        <v>1</v>
      </c>
      <c r="D74" s="174">
        <v>13</v>
      </c>
      <c r="E74" s="174">
        <v>1</v>
      </c>
      <c r="F74" s="174">
        <v>23</v>
      </c>
      <c r="I74" s="174"/>
      <c r="K74" s="188">
        <v>8</v>
      </c>
      <c r="L74" s="146">
        <v>42430</v>
      </c>
      <c r="M74" s="174">
        <v>7.58</v>
      </c>
      <c r="N74" s="189">
        <v>42580</v>
      </c>
      <c r="S74" s="174">
        <v>19.41</v>
      </c>
      <c r="U74" s="159">
        <v>18.5</v>
      </c>
      <c r="AE74" s="174">
        <v>42.12</v>
      </c>
      <c r="AG74" s="174">
        <v>4.8099999999999996</v>
      </c>
      <c r="AI74" s="174">
        <v>175</v>
      </c>
      <c r="AJ74" s="160">
        <v>42520</v>
      </c>
      <c r="AK74" s="174"/>
      <c r="AL74" s="174"/>
      <c r="AM74" s="174">
        <v>98</v>
      </c>
      <c r="AN74" s="174"/>
      <c r="AO74" s="174"/>
      <c r="AP74" s="174"/>
      <c r="AR74" s="174"/>
      <c r="AS74" s="174"/>
      <c r="AT74" s="174"/>
      <c r="AU74" s="174"/>
      <c r="AV74" s="174"/>
      <c r="AW74" s="174"/>
      <c r="AX74" s="174"/>
      <c r="AY74" s="174"/>
      <c r="BC74" s="174"/>
      <c r="BD74" s="174"/>
      <c r="BE74" s="174"/>
      <c r="BG74" s="174"/>
      <c r="BI74" s="174"/>
      <c r="BJ74" s="174"/>
      <c r="BK74" s="174"/>
      <c r="BM74" s="174">
        <v>61.417000000000002</v>
      </c>
      <c r="BN74" s="174"/>
      <c r="BO74" s="174"/>
      <c r="BP74" s="174"/>
      <c r="BR74" s="174"/>
      <c r="BS74" s="174">
        <v>46.091999999999999</v>
      </c>
      <c r="BT74" s="174"/>
      <c r="BU74" s="190">
        <v>21.018423080444336</v>
      </c>
      <c r="BV74" s="159"/>
      <c r="BW74" s="174">
        <v>13.391999999999999</v>
      </c>
      <c r="BX74" s="159"/>
      <c r="BY74" s="159"/>
      <c r="CB74" s="165"/>
      <c r="CC74" s="174">
        <v>8.2439999999999998</v>
      </c>
      <c r="CD74" s="165"/>
      <c r="CE74" s="174">
        <v>8.3000000000000007</v>
      </c>
      <c r="CF74" s="165"/>
      <c r="CH74" s="165"/>
      <c r="CJ74" s="165"/>
      <c r="CL74" s="165"/>
      <c r="CN74" s="165"/>
      <c r="CO74" s="130"/>
      <c r="CP74" s="165"/>
      <c r="CQ74" s="130"/>
      <c r="CR74" s="165"/>
      <c r="CS74" s="130"/>
      <c r="CT74" s="130"/>
      <c r="CU74" s="130"/>
      <c r="CV74" s="130"/>
      <c r="CW74" s="130"/>
      <c r="CX74" s="165"/>
      <c r="CY74" s="130"/>
      <c r="CZ74" s="130"/>
      <c r="DA74" s="130"/>
      <c r="DB74" s="130"/>
      <c r="DC74" s="130"/>
      <c r="DD74" s="130"/>
      <c r="DE74" s="130"/>
      <c r="DF74" s="130"/>
      <c r="DG74" s="130"/>
      <c r="DH74" s="130"/>
    </row>
    <row r="75" spans="1:112" ht="15">
      <c r="A75" s="169" t="s">
        <v>7690</v>
      </c>
      <c r="B75" s="175"/>
      <c r="C75" s="174">
        <v>2</v>
      </c>
      <c r="D75" s="174">
        <v>13</v>
      </c>
      <c r="E75" s="174">
        <v>2</v>
      </c>
      <c r="F75" s="174">
        <v>32</v>
      </c>
      <c r="I75" s="174"/>
      <c r="K75" s="188">
        <v>9</v>
      </c>
      <c r="L75" s="146">
        <v>42430</v>
      </c>
      <c r="M75" s="174">
        <v>7.08</v>
      </c>
      <c r="N75" s="189">
        <v>42580</v>
      </c>
      <c r="S75" s="174">
        <v>18.420000000000002</v>
      </c>
      <c r="U75" s="159">
        <v>18.5</v>
      </c>
      <c r="AE75" s="174">
        <v>39.4</v>
      </c>
      <c r="AG75" s="174">
        <v>4.34</v>
      </c>
      <c r="AI75" s="174">
        <v>160</v>
      </c>
      <c r="AJ75" s="160">
        <v>42520</v>
      </c>
      <c r="AK75" s="174"/>
      <c r="AL75" s="174"/>
      <c r="AM75" s="174">
        <v>98</v>
      </c>
      <c r="AN75" s="174"/>
      <c r="AO75" s="174"/>
      <c r="AP75" s="174"/>
      <c r="AR75" s="174"/>
      <c r="AS75" s="174"/>
      <c r="AT75" s="174"/>
      <c r="AU75" s="174"/>
      <c r="AV75" s="174"/>
      <c r="AW75" s="174"/>
      <c r="AX75" s="174"/>
      <c r="AY75" s="174"/>
      <c r="BC75" s="174"/>
      <c r="BD75" s="174"/>
      <c r="BE75" s="174"/>
      <c r="BG75" s="174"/>
      <c r="BI75" s="174"/>
      <c r="BJ75" s="174"/>
      <c r="BK75" s="174"/>
      <c r="BM75" s="174">
        <v>60.938000000000002</v>
      </c>
      <c r="BN75" s="174"/>
      <c r="BO75" s="174"/>
      <c r="BP75" s="174"/>
      <c r="BR75" s="174"/>
      <c r="BS75" s="174">
        <v>46.747999999999998</v>
      </c>
      <c r="BT75" s="174"/>
      <c r="BU75" s="190">
        <v>21.312793731689453</v>
      </c>
      <c r="BV75" s="159"/>
      <c r="BW75" s="174">
        <v>12.627000000000001</v>
      </c>
      <c r="BX75" s="159"/>
      <c r="BY75" s="159"/>
      <c r="CB75" s="165"/>
      <c r="CC75" s="174">
        <v>8.1120000000000001</v>
      </c>
      <c r="CD75" s="165"/>
      <c r="CE75" s="174">
        <v>7.7</v>
      </c>
      <c r="CF75" s="165"/>
      <c r="CH75" s="165"/>
      <c r="CJ75" s="165"/>
      <c r="CL75" s="165"/>
      <c r="CN75" s="165"/>
      <c r="CO75" s="130"/>
      <c r="CP75" s="165"/>
      <c r="CQ75" s="130"/>
      <c r="CR75" s="165"/>
      <c r="CS75" s="130"/>
      <c r="CT75" s="130"/>
      <c r="CU75" s="130"/>
      <c r="CV75" s="130"/>
      <c r="CW75" s="130"/>
      <c r="CX75" s="165"/>
      <c r="CY75" s="130"/>
      <c r="CZ75" s="130"/>
      <c r="DA75" s="130"/>
      <c r="DB75" s="130"/>
      <c r="DC75" s="130"/>
      <c r="DD75" s="130"/>
      <c r="DE75" s="130"/>
      <c r="DF75" s="130"/>
      <c r="DG75" s="130"/>
      <c r="DH75" s="130"/>
    </row>
    <row r="76" spans="1:112" ht="15">
      <c r="A76" s="169" t="s">
        <v>7690</v>
      </c>
      <c r="B76" s="175"/>
      <c r="C76" s="174">
        <v>3</v>
      </c>
      <c r="D76" s="174">
        <v>13</v>
      </c>
      <c r="E76" s="174">
        <v>3</v>
      </c>
      <c r="F76" s="174">
        <v>7</v>
      </c>
      <c r="I76" s="174"/>
      <c r="K76" s="188">
        <v>5</v>
      </c>
      <c r="L76" s="146">
        <v>42430</v>
      </c>
      <c r="M76" s="174">
        <v>8.15</v>
      </c>
      <c r="N76" s="189">
        <v>42580</v>
      </c>
      <c r="S76" s="174">
        <v>21.35</v>
      </c>
      <c r="U76" s="159">
        <v>18.5</v>
      </c>
      <c r="AE76" s="174">
        <v>45</v>
      </c>
      <c r="AG76" s="174">
        <v>4.8600000000000003</v>
      </c>
      <c r="AI76" s="174">
        <v>180</v>
      </c>
      <c r="AJ76" s="160">
        <v>42520</v>
      </c>
      <c r="AK76" s="174"/>
      <c r="AL76" s="174"/>
      <c r="AM76" s="174">
        <v>95</v>
      </c>
      <c r="AN76" s="174"/>
      <c r="AO76" s="174"/>
      <c r="AP76" s="174"/>
      <c r="AR76" s="174"/>
      <c r="AS76" s="174"/>
      <c r="AT76" s="174"/>
      <c r="AU76" s="174"/>
      <c r="AV76" s="174"/>
      <c r="AW76" s="174"/>
      <c r="AX76" s="174"/>
      <c r="AY76" s="174"/>
      <c r="BC76" s="174"/>
      <c r="BD76" s="174"/>
      <c r="BE76" s="174"/>
      <c r="BG76" s="174"/>
      <c r="BI76" s="174"/>
      <c r="BJ76" s="174"/>
      <c r="BK76" s="174"/>
      <c r="BM76" s="174">
        <v>63.286000000000001</v>
      </c>
      <c r="BN76" s="174"/>
      <c r="BO76" s="174"/>
      <c r="BP76" s="174"/>
      <c r="BR76" s="174"/>
      <c r="BS76" s="174">
        <v>47.45</v>
      </c>
      <c r="BT76" s="174"/>
      <c r="BU76" s="190">
        <v>21.181089401245117</v>
      </c>
      <c r="BV76" s="159"/>
      <c r="BW76" s="174">
        <v>13.15</v>
      </c>
      <c r="BX76" s="159"/>
      <c r="BY76" s="159"/>
      <c r="CB76" s="165"/>
      <c r="CC76" s="174">
        <v>8.8230000000000004</v>
      </c>
      <c r="CD76" s="165"/>
      <c r="CE76" s="174">
        <v>8.6</v>
      </c>
      <c r="CF76" s="165"/>
      <c r="CH76" s="165"/>
      <c r="CJ76" s="165"/>
      <c r="CL76" s="165"/>
      <c r="CN76" s="165"/>
      <c r="CO76" s="130"/>
      <c r="CP76" s="165"/>
      <c r="CQ76" s="130"/>
      <c r="CR76" s="165"/>
      <c r="CS76" s="130"/>
      <c r="CT76" s="130"/>
      <c r="CU76" s="130"/>
      <c r="CV76" s="130"/>
      <c r="CW76" s="130"/>
      <c r="CX76" s="165"/>
      <c r="CY76" s="130"/>
      <c r="CZ76" s="130"/>
      <c r="DA76" s="130"/>
      <c r="DB76" s="130"/>
      <c r="DC76" s="130"/>
      <c r="DD76" s="130"/>
      <c r="DE76" s="130"/>
      <c r="DF76" s="130"/>
      <c r="DG76" s="130"/>
      <c r="DH76" s="130"/>
    </row>
    <row r="77" spans="1:112" ht="15">
      <c r="A77" s="169" t="s">
        <v>7690</v>
      </c>
      <c r="B77" s="175"/>
      <c r="C77" s="174">
        <v>4</v>
      </c>
      <c r="D77" s="174">
        <v>13</v>
      </c>
      <c r="E77" s="174">
        <v>4</v>
      </c>
      <c r="F77" s="174">
        <v>20</v>
      </c>
      <c r="I77" s="174"/>
      <c r="K77" s="188">
        <v>7</v>
      </c>
      <c r="L77" s="146">
        <v>42430</v>
      </c>
      <c r="M77" s="174">
        <v>8.31</v>
      </c>
      <c r="N77" s="189">
        <v>42580</v>
      </c>
      <c r="S77" s="174">
        <v>22.15</v>
      </c>
      <c r="U77" s="159">
        <v>18.5</v>
      </c>
      <c r="AE77" s="174">
        <v>46.24</v>
      </c>
      <c r="AG77" s="174">
        <v>3.93</v>
      </c>
      <c r="AI77" s="174">
        <v>165</v>
      </c>
      <c r="AJ77" s="160">
        <v>42520</v>
      </c>
      <c r="AK77" s="174"/>
      <c r="AL77" s="174"/>
      <c r="AM77" s="174">
        <v>95</v>
      </c>
      <c r="AN77" s="174"/>
      <c r="AO77" s="174"/>
      <c r="AP77" s="174"/>
      <c r="AR77" s="174"/>
      <c r="AS77" s="174"/>
      <c r="AT77" s="174"/>
      <c r="AU77" s="174"/>
      <c r="AV77" s="174"/>
      <c r="AW77" s="174"/>
      <c r="AX77" s="174"/>
      <c r="AY77" s="174"/>
      <c r="BC77" s="174"/>
      <c r="BD77" s="174"/>
      <c r="BE77" s="174"/>
      <c r="BG77" s="174"/>
      <c r="BI77" s="174"/>
      <c r="BJ77" s="174"/>
      <c r="BK77" s="174"/>
      <c r="BM77" s="174">
        <v>63.612000000000002</v>
      </c>
      <c r="BN77" s="174"/>
      <c r="BO77" s="174"/>
      <c r="BP77" s="174"/>
      <c r="BR77" s="174"/>
      <c r="BS77" s="174">
        <v>47.911000000000001</v>
      </c>
      <c r="BT77" s="174"/>
      <c r="BU77" s="190">
        <v>19.972415924072266</v>
      </c>
      <c r="BV77" s="159"/>
      <c r="BW77" s="174">
        <v>13.644</v>
      </c>
      <c r="BX77" s="159"/>
      <c r="BY77" s="159"/>
      <c r="CB77" s="165"/>
      <c r="CC77" s="174">
        <v>8.1189999999999998</v>
      </c>
      <c r="CD77" s="165"/>
      <c r="CE77" s="174">
        <v>7.7</v>
      </c>
      <c r="CF77" s="165"/>
      <c r="CH77" s="165"/>
      <c r="CJ77" s="165"/>
      <c r="CL77" s="165"/>
      <c r="CN77" s="165"/>
      <c r="CO77" s="130"/>
      <c r="CP77" s="165"/>
      <c r="CQ77" s="130"/>
      <c r="CR77" s="165"/>
      <c r="CS77" s="130"/>
      <c r="CT77" s="130"/>
      <c r="CU77" s="130"/>
      <c r="CV77" s="130"/>
      <c r="CW77" s="130"/>
      <c r="CX77" s="165"/>
      <c r="CY77" s="130"/>
      <c r="CZ77" s="130"/>
      <c r="DA77" s="130"/>
      <c r="DB77" s="130"/>
      <c r="DC77" s="130"/>
      <c r="DD77" s="130"/>
      <c r="DE77" s="130"/>
      <c r="DF77" s="130"/>
      <c r="DG77" s="130"/>
      <c r="DH77" s="130"/>
    </row>
    <row r="78" spans="1:112" ht="15">
      <c r="A78" s="169" t="s">
        <v>7690</v>
      </c>
      <c r="B78" s="175"/>
      <c r="C78" s="174">
        <v>5</v>
      </c>
      <c r="D78" s="174">
        <v>13</v>
      </c>
      <c r="E78" s="174">
        <v>5</v>
      </c>
      <c r="F78" s="174">
        <v>24</v>
      </c>
      <c r="I78" s="174"/>
      <c r="K78" s="188">
        <v>5</v>
      </c>
      <c r="L78" s="146">
        <v>42430</v>
      </c>
      <c r="M78" s="174">
        <v>8.1300000000000008</v>
      </c>
      <c r="N78" s="189">
        <v>42580</v>
      </c>
      <c r="S78" s="174">
        <v>22.23</v>
      </c>
      <c r="U78" s="159">
        <v>18.5</v>
      </c>
      <c r="AE78" s="174">
        <v>45.24</v>
      </c>
      <c r="AG78" s="174">
        <v>4.41</v>
      </c>
      <c r="AI78" s="174">
        <v>160</v>
      </c>
      <c r="AJ78" s="160">
        <v>42520</v>
      </c>
      <c r="AK78" s="174"/>
      <c r="AL78" s="174"/>
      <c r="AM78" s="174">
        <v>102</v>
      </c>
      <c r="AN78" s="174"/>
      <c r="AO78" s="174"/>
      <c r="AP78" s="174"/>
      <c r="AR78" s="174"/>
      <c r="AS78" s="174"/>
      <c r="AT78" s="174"/>
      <c r="AU78" s="174"/>
      <c r="AV78" s="174"/>
      <c r="AW78" s="174"/>
      <c r="AX78" s="174"/>
      <c r="AY78" s="174"/>
      <c r="BC78" s="174"/>
      <c r="BD78" s="174"/>
      <c r="BE78" s="174"/>
      <c r="BG78" s="174"/>
      <c r="BI78" s="174"/>
      <c r="BJ78" s="174"/>
      <c r="BK78" s="174"/>
      <c r="BM78" s="174">
        <v>62.143999999999998</v>
      </c>
      <c r="BN78" s="174"/>
      <c r="BO78" s="174"/>
      <c r="BP78" s="174"/>
      <c r="BR78" s="174"/>
      <c r="BS78" s="174">
        <v>49.148000000000003</v>
      </c>
      <c r="BT78" s="174"/>
      <c r="BU78" s="190">
        <v>18.832860946655273</v>
      </c>
      <c r="BV78" s="159"/>
      <c r="BW78" s="174">
        <v>10.381</v>
      </c>
      <c r="BX78" s="159"/>
      <c r="BY78" s="159"/>
      <c r="CB78" s="165"/>
      <c r="CC78" s="174">
        <v>8.1020000000000003</v>
      </c>
      <c r="CD78" s="165"/>
      <c r="CE78" s="174">
        <v>7.7</v>
      </c>
      <c r="CF78" s="165"/>
      <c r="CH78" s="165"/>
      <c r="CJ78" s="165"/>
      <c r="CL78" s="165"/>
      <c r="CN78" s="165"/>
      <c r="CO78" s="130"/>
      <c r="CP78" s="165"/>
      <c r="CQ78" s="130"/>
      <c r="CR78" s="165"/>
      <c r="CS78" s="130"/>
      <c r="CT78" s="130"/>
      <c r="CU78" s="130"/>
      <c r="CV78" s="130"/>
      <c r="CW78" s="130"/>
      <c r="CX78" s="165"/>
      <c r="CY78" s="130"/>
      <c r="CZ78" s="130"/>
      <c r="DA78" s="130"/>
      <c r="DB78" s="130"/>
      <c r="DC78" s="130"/>
      <c r="DD78" s="130"/>
      <c r="DE78" s="130"/>
      <c r="DF78" s="130"/>
      <c r="DG78" s="130"/>
      <c r="DH78" s="130"/>
    </row>
    <row r="79" spans="1:112" ht="15">
      <c r="A79" s="169" t="s">
        <v>7690</v>
      </c>
      <c r="B79" s="175"/>
      <c r="C79" s="174">
        <v>6</v>
      </c>
      <c r="D79" s="174">
        <v>13</v>
      </c>
      <c r="E79" s="174">
        <v>6</v>
      </c>
      <c r="F79" s="174">
        <v>19</v>
      </c>
      <c r="I79" s="174"/>
      <c r="K79" s="188">
        <v>8</v>
      </c>
      <c r="L79" s="146">
        <v>42430</v>
      </c>
      <c r="M79" s="174">
        <v>8.64</v>
      </c>
      <c r="N79" s="189">
        <v>42580</v>
      </c>
      <c r="S79" s="174">
        <v>23.22</v>
      </c>
      <c r="U79" s="159">
        <v>18.5</v>
      </c>
      <c r="AE79" s="174">
        <v>48.12</v>
      </c>
      <c r="AG79" s="174">
        <v>4.22</v>
      </c>
      <c r="AI79" s="174">
        <v>160</v>
      </c>
      <c r="AJ79" s="160">
        <v>42520</v>
      </c>
      <c r="AK79" s="174"/>
      <c r="AL79" s="174"/>
      <c r="AM79" s="174">
        <v>98</v>
      </c>
      <c r="AN79" s="174"/>
      <c r="AO79" s="174"/>
      <c r="AP79" s="174"/>
      <c r="AR79" s="174"/>
      <c r="AS79" s="174"/>
      <c r="AT79" s="174"/>
      <c r="AU79" s="174"/>
      <c r="AV79" s="174"/>
      <c r="AW79" s="174"/>
      <c r="AX79" s="174"/>
      <c r="AY79" s="175"/>
      <c r="BC79" s="174"/>
      <c r="BD79" s="174"/>
      <c r="BE79" s="174"/>
      <c r="BG79" s="174"/>
      <c r="BI79" s="174"/>
      <c r="BJ79" s="174"/>
      <c r="BK79" s="174"/>
      <c r="BM79" s="174">
        <v>61.667000000000002</v>
      </c>
      <c r="BN79" s="174"/>
      <c r="BO79" s="174"/>
      <c r="BP79" s="174"/>
      <c r="BR79" s="174"/>
      <c r="BS79" s="174">
        <v>48.256</v>
      </c>
      <c r="BT79" s="174"/>
      <c r="BU79" s="190">
        <v>19.13212776184082</v>
      </c>
      <c r="BV79" s="159"/>
      <c r="BW79" s="174">
        <v>10.117000000000001</v>
      </c>
      <c r="BX79" s="159"/>
      <c r="BY79" s="159"/>
      <c r="CB79" s="165"/>
      <c r="CC79" s="174">
        <v>8.0229999999999997</v>
      </c>
      <c r="CD79" s="165"/>
      <c r="CE79" s="174">
        <v>7.7</v>
      </c>
      <c r="CF79" s="165"/>
      <c r="CH79" s="165"/>
      <c r="CJ79" s="165"/>
      <c r="CL79" s="165"/>
      <c r="CN79" s="165"/>
      <c r="CO79" s="130"/>
      <c r="CP79" s="165"/>
      <c r="CQ79" s="130"/>
      <c r="CR79" s="165"/>
      <c r="CS79" s="130"/>
      <c r="CT79" s="130"/>
      <c r="CU79" s="130"/>
      <c r="CV79" s="130"/>
      <c r="CW79" s="130"/>
      <c r="CX79" s="165"/>
      <c r="CY79" s="130"/>
      <c r="CZ79" s="130"/>
      <c r="DA79" s="130"/>
      <c r="DB79" s="130"/>
      <c r="DC79" s="130"/>
      <c r="DD79" s="130"/>
      <c r="DE79" s="130"/>
      <c r="DF79" s="130"/>
      <c r="DG79" s="130"/>
      <c r="DH79" s="130"/>
    </row>
    <row r="80" spans="1:112" ht="15">
      <c r="A80" s="169" t="s">
        <v>7691</v>
      </c>
      <c r="B80" s="175"/>
      <c r="C80" s="174">
        <v>1</v>
      </c>
      <c r="D80" s="174">
        <v>14</v>
      </c>
      <c r="E80" s="174">
        <v>1</v>
      </c>
      <c r="F80" s="174">
        <v>34</v>
      </c>
      <c r="I80" s="174"/>
      <c r="K80" s="188">
        <v>7</v>
      </c>
      <c r="L80" s="146">
        <v>42430</v>
      </c>
      <c r="M80" s="174">
        <v>7.51</v>
      </c>
      <c r="N80" s="189">
        <v>42580</v>
      </c>
      <c r="S80" s="174">
        <v>20.14</v>
      </c>
      <c r="U80" s="159">
        <v>18.5</v>
      </c>
      <c r="AE80" s="174">
        <v>41.82</v>
      </c>
      <c r="AG80" s="174">
        <v>4.07</v>
      </c>
      <c r="AI80" s="174">
        <v>170</v>
      </c>
      <c r="AJ80" s="160">
        <v>42520</v>
      </c>
      <c r="AK80" s="174"/>
      <c r="AL80" s="174"/>
      <c r="AM80" s="174">
        <v>95</v>
      </c>
      <c r="AN80" s="174"/>
      <c r="AO80" s="174"/>
      <c r="AP80" s="174"/>
      <c r="AR80" s="174"/>
      <c r="AS80" s="174"/>
      <c r="AT80" s="174"/>
      <c r="AU80" s="174"/>
      <c r="AV80" s="174"/>
      <c r="AW80" s="174"/>
      <c r="AX80" s="174"/>
      <c r="AY80" s="174"/>
      <c r="BC80" s="174"/>
      <c r="BD80" s="174"/>
      <c r="BE80" s="174"/>
      <c r="BG80" s="174"/>
      <c r="BI80" s="174"/>
      <c r="BJ80" s="174"/>
      <c r="BK80" s="174"/>
      <c r="BM80" s="174">
        <v>62.954000000000001</v>
      </c>
      <c r="BN80" s="174"/>
      <c r="BO80" s="174"/>
      <c r="BP80" s="174"/>
      <c r="BR80" s="174"/>
      <c r="BS80" s="174">
        <v>48.15</v>
      </c>
      <c r="BT80" s="174"/>
      <c r="BU80" s="190">
        <v>20.114288330078125</v>
      </c>
      <c r="BV80" s="159"/>
      <c r="BW80" s="174">
        <v>16.623999999999999</v>
      </c>
      <c r="BX80" s="159"/>
      <c r="BY80" s="159"/>
      <c r="CB80" s="165"/>
      <c r="CC80" s="174">
        <v>8.0440000000000005</v>
      </c>
      <c r="CD80" s="165"/>
      <c r="CE80" s="174">
        <v>7.5</v>
      </c>
      <c r="CF80" s="165"/>
      <c r="CH80" s="165"/>
      <c r="CJ80" s="165"/>
      <c r="CL80" s="165"/>
      <c r="CN80" s="165"/>
      <c r="CO80" s="130"/>
      <c r="CP80" s="165"/>
      <c r="CQ80" s="130"/>
      <c r="CR80" s="165"/>
      <c r="CS80" s="130"/>
      <c r="CT80" s="130"/>
      <c r="CU80" s="130"/>
      <c r="CV80" s="130"/>
      <c r="CW80" s="130"/>
      <c r="CX80" s="165"/>
      <c r="CY80" s="130"/>
      <c r="CZ80" s="130"/>
      <c r="DA80" s="130"/>
      <c r="DB80" s="130"/>
      <c r="DC80" s="130"/>
      <c r="DD80" s="130"/>
      <c r="DE80" s="130"/>
      <c r="DF80" s="130"/>
      <c r="DG80" s="130"/>
      <c r="DH80" s="130"/>
    </row>
    <row r="81" spans="1:112" ht="15">
      <c r="A81" s="169" t="s">
        <v>7691</v>
      </c>
      <c r="B81" s="175"/>
      <c r="C81" s="174">
        <v>2</v>
      </c>
      <c r="D81" s="174">
        <v>14</v>
      </c>
      <c r="E81" s="174">
        <v>2</v>
      </c>
      <c r="F81" s="174">
        <v>29</v>
      </c>
      <c r="I81" s="174"/>
      <c r="K81" s="188">
        <v>9</v>
      </c>
      <c r="L81" s="146">
        <v>42430</v>
      </c>
      <c r="M81" s="174">
        <v>8.52</v>
      </c>
      <c r="N81" s="189">
        <v>42580</v>
      </c>
      <c r="S81" s="174">
        <v>22.91</v>
      </c>
      <c r="U81" s="159">
        <v>18.5</v>
      </c>
      <c r="AE81" s="174">
        <v>47.74</v>
      </c>
      <c r="AG81" s="174">
        <v>4.53</v>
      </c>
      <c r="AI81" s="174">
        <v>170</v>
      </c>
      <c r="AJ81" s="160">
        <v>42520</v>
      </c>
      <c r="AK81" s="174"/>
      <c r="AL81" s="174"/>
      <c r="AM81" s="174">
        <v>92</v>
      </c>
      <c r="AN81" s="174"/>
      <c r="AO81" s="174"/>
      <c r="AP81" s="174"/>
      <c r="AR81" s="174"/>
      <c r="AS81" s="174"/>
      <c r="AT81" s="174"/>
      <c r="AU81" s="174"/>
      <c r="AV81" s="174"/>
      <c r="AW81" s="174"/>
      <c r="AX81" s="174"/>
      <c r="AY81" s="174"/>
      <c r="BC81" s="174"/>
      <c r="BD81" s="174"/>
      <c r="BE81" s="174"/>
      <c r="BG81" s="174"/>
      <c r="BI81" s="174"/>
      <c r="BJ81" s="174"/>
      <c r="BK81" s="174"/>
      <c r="BM81" s="174">
        <v>62.247</v>
      </c>
      <c r="BN81" s="174"/>
      <c r="BO81" s="174"/>
      <c r="BP81" s="174"/>
      <c r="BR81" s="174"/>
      <c r="BS81" s="174">
        <v>47.985999999999997</v>
      </c>
      <c r="BT81" s="174"/>
      <c r="BU81" s="190">
        <v>20.426900863647461</v>
      </c>
      <c r="BV81" s="159"/>
      <c r="BW81" s="174">
        <v>13.198</v>
      </c>
      <c r="BX81" s="159"/>
      <c r="BY81" s="159"/>
      <c r="CB81" s="165"/>
      <c r="CC81" s="174">
        <v>7.4720000000000004</v>
      </c>
      <c r="CD81" s="165"/>
      <c r="CE81" s="174">
        <v>7.2</v>
      </c>
      <c r="CF81" s="165"/>
      <c r="CH81" s="165"/>
      <c r="CJ81" s="165"/>
      <c r="CL81" s="165"/>
      <c r="CN81" s="165"/>
      <c r="CO81" s="130"/>
      <c r="CP81" s="165"/>
      <c r="CQ81" s="130"/>
      <c r="CR81" s="165"/>
      <c r="CS81" s="130"/>
      <c r="CT81" s="130"/>
      <c r="CU81" s="130"/>
      <c r="CV81" s="130"/>
      <c r="CW81" s="130"/>
      <c r="CX81" s="165"/>
      <c r="CY81" s="130"/>
      <c r="CZ81" s="130"/>
      <c r="DA81" s="130"/>
      <c r="DB81" s="130"/>
      <c r="DC81" s="130"/>
      <c r="DD81" s="130"/>
      <c r="DE81" s="130"/>
      <c r="DF81" s="130"/>
      <c r="DG81" s="130"/>
      <c r="DH81" s="130"/>
    </row>
    <row r="82" spans="1:112" ht="15">
      <c r="A82" s="169" t="s">
        <v>7691</v>
      </c>
      <c r="B82" s="175"/>
      <c r="C82" s="174">
        <v>3</v>
      </c>
      <c r="D82" s="174">
        <v>14</v>
      </c>
      <c r="E82" s="174">
        <v>3</v>
      </c>
      <c r="F82" s="174">
        <v>14</v>
      </c>
      <c r="I82" s="174"/>
      <c r="K82" s="188">
        <v>8</v>
      </c>
      <c r="L82" s="146">
        <v>42430</v>
      </c>
      <c r="M82" s="174">
        <v>7.25</v>
      </c>
      <c r="N82" s="189">
        <v>42580</v>
      </c>
      <c r="S82" s="174">
        <v>20.23</v>
      </c>
      <c r="U82" s="159">
        <v>18.5</v>
      </c>
      <c r="AE82" s="174">
        <v>40.33</v>
      </c>
      <c r="AG82" s="174">
        <v>4.17</v>
      </c>
      <c r="AI82" s="174">
        <v>170</v>
      </c>
      <c r="AJ82" s="160">
        <v>42520</v>
      </c>
      <c r="AK82" s="174"/>
      <c r="AL82" s="174"/>
      <c r="AM82" s="174">
        <v>90</v>
      </c>
      <c r="AN82" s="174"/>
      <c r="AO82" s="174"/>
      <c r="AP82" s="174"/>
      <c r="AR82" s="174"/>
      <c r="AS82" s="174"/>
      <c r="AT82" s="174"/>
      <c r="AU82" s="174"/>
      <c r="AV82" s="174"/>
      <c r="AW82" s="174"/>
      <c r="AX82" s="174"/>
      <c r="AY82" s="174"/>
      <c r="BC82" s="174"/>
      <c r="BD82" s="174"/>
      <c r="BE82" s="174"/>
      <c r="BG82" s="174"/>
      <c r="BI82" s="174"/>
      <c r="BJ82" s="174"/>
      <c r="BK82" s="174"/>
      <c r="BM82" s="174">
        <v>64.034999999999997</v>
      </c>
      <c r="BN82" s="174"/>
      <c r="BO82" s="174"/>
      <c r="BP82" s="174"/>
      <c r="BR82" s="174"/>
      <c r="BS82" s="174">
        <v>50.17</v>
      </c>
      <c r="BT82" s="174"/>
      <c r="BU82" s="190">
        <v>18.989770889282227</v>
      </c>
      <c r="BV82" s="159"/>
      <c r="BW82" s="174">
        <v>10.742000000000001</v>
      </c>
      <c r="BX82" s="159"/>
      <c r="BY82" s="159"/>
      <c r="CB82" s="165"/>
      <c r="CC82" s="174">
        <v>8.1389999999999993</v>
      </c>
      <c r="CD82" s="165"/>
      <c r="CE82" s="174">
        <v>7.7</v>
      </c>
      <c r="CF82" s="165"/>
      <c r="CH82" s="165"/>
      <c r="CJ82" s="165"/>
      <c r="CL82" s="165"/>
      <c r="CN82" s="165"/>
      <c r="CO82" s="130"/>
      <c r="CP82" s="165"/>
      <c r="CQ82" s="130"/>
      <c r="CR82" s="165"/>
      <c r="CS82" s="130"/>
      <c r="CT82" s="130"/>
      <c r="CU82" s="130"/>
      <c r="CV82" s="130"/>
      <c r="CW82" s="130"/>
      <c r="CX82" s="165"/>
      <c r="CY82" s="130"/>
      <c r="CZ82" s="130"/>
      <c r="DA82" s="130"/>
      <c r="DB82" s="130"/>
      <c r="DC82" s="130"/>
      <c r="DD82" s="130"/>
      <c r="DE82" s="130"/>
      <c r="DF82" s="130"/>
      <c r="DG82" s="130"/>
      <c r="DH82" s="130"/>
    </row>
    <row r="83" spans="1:112" ht="15">
      <c r="A83" s="169" t="s">
        <v>7691</v>
      </c>
      <c r="B83" s="175"/>
      <c r="C83" s="174">
        <v>4</v>
      </c>
      <c r="D83" s="174">
        <v>14</v>
      </c>
      <c r="E83" s="174">
        <v>4</v>
      </c>
      <c r="F83" s="174">
        <v>28</v>
      </c>
      <c r="I83" s="174"/>
      <c r="K83" s="188">
        <v>7</v>
      </c>
      <c r="L83" s="146">
        <v>42430</v>
      </c>
      <c r="M83" s="174">
        <v>7.05</v>
      </c>
      <c r="N83" s="189">
        <v>42580</v>
      </c>
      <c r="S83" s="174">
        <v>19.649999999999999</v>
      </c>
      <c r="U83" s="159">
        <v>18.5</v>
      </c>
      <c r="AE83" s="174">
        <v>39.35</v>
      </c>
      <c r="AG83" s="174">
        <v>4.43</v>
      </c>
      <c r="AI83" s="174">
        <v>170</v>
      </c>
      <c r="AJ83" s="160">
        <v>42520</v>
      </c>
      <c r="AK83" s="174"/>
      <c r="AL83" s="174"/>
      <c r="AM83" s="174">
        <v>98</v>
      </c>
      <c r="AN83" s="174"/>
      <c r="AO83" s="174"/>
      <c r="AP83" s="174"/>
      <c r="AR83" s="174"/>
      <c r="AS83" s="174"/>
      <c r="AT83" s="174"/>
      <c r="AU83" s="174"/>
      <c r="AV83" s="174"/>
      <c r="AW83" s="174"/>
      <c r="AX83" s="174"/>
      <c r="AY83" s="174"/>
      <c r="BC83" s="174"/>
      <c r="BD83" s="174"/>
      <c r="BE83" s="174"/>
      <c r="BG83" s="174"/>
      <c r="BI83" s="174"/>
      <c r="BJ83" s="174"/>
      <c r="BK83" s="174"/>
      <c r="BM83" s="174">
        <v>63.465000000000003</v>
      </c>
      <c r="BN83" s="174"/>
      <c r="BO83" s="174"/>
      <c r="BP83" s="174"/>
      <c r="BR83" s="174"/>
      <c r="BS83" s="174">
        <v>49.930999999999997</v>
      </c>
      <c r="BT83" s="174"/>
      <c r="BU83" s="190">
        <v>18.891721725463867</v>
      </c>
      <c r="BV83" s="159"/>
      <c r="BW83" s="174">
        <v>11.747</v>
      </c>
      <c r="BX83" s="159"/>
      <c r="BY83" s="159"/>
      <c r="CB83" s="165"/>
      <c r="CC83" s="174">
        <v>7.8179999999999996</v>
      </c>
      <c r="CD83" s="165"/>
      <c r="CE83" s="174">
        <v>7.2</v>
      </c>
      <c r="CF83" s="165"/>
      <c r="CH83" s="165"/>
      <c r="CJ83" s="165"/>
      <c r="CL83" s="165"/>
      <c r="CN83" s="165"/>
      <c r="CO83" s="130"/>
      <c r="CP83" s="165"/>
      <c r="CQ83" s="130"/>
      <c r="CR83" s="165"/>
      <c r="CS83" s="130"/>
      <c r="CT83" s="130"/>
      <c r="CU83" s="130"/>
      <c r="CV83" s="130"/>
      <c r="CW83" s="130"/>
      <c r="CX83" s="165"/>
      <c r="CY83" s="130"/>
      <c r="CZ83" s="130"/>
      <c r="DA83" s="130"/>
      <c r="DB83" s="130"/>
      <c r="DC83" s="130"/>
      <c r="DD83" s="130"/>
      <c r="DE83" s="130"/>
      <c r="DF83" s="130"/>
      <c r="DG83" s="130"/>
      <c r="DH83" s="130"/>
    </row>
    <row r="84" spans="1:112" ht="15">
      <c r="A84" s="169" t="s">
        <v>7691</v>
      </c>
      <c r="B84" s="175"/>
      <c r="C84" s="174">
        <v>5</v>
      </c>
      <c r="D84" s="174">
        <v>14</v>
      </c>
      <c r="E84" s="174">
        <v>5</v>
      </c>
      <c r="F84" s="174">
        <v>21</v>
      </c>
      <c r="I84" s="174"/>
      <c r="K84" s="188">
        <v>7</v>
      </c>
      <c r="L84" s="146">
        <v>42430</v>
      </c>
      <c r="M84" s="174">
        <v>7.87</v>
      </c>
      <c r="N84" s="189">
        <v>42580</v>
      </c>
      <c r="S84" s="174">
        <v>21.78</v>
      </c>
      <c r="U84" s="159">
        <v>18.5</v>
      </c>
      <c r="AE84" s="174">
        <v>44.04</v>
      </c>
      <c r="AG84" s="174">
        <v>4.22</v>
      </c>
      <c r="AI84" s="174">
        <v>160</v>
      </c>
      <c r="AJ84" s="160">
        <v>42520</v>
      </c>
      <c r="AK84" s="174"/>
      <c r="AL84" s="174"/>
      <c r="AM84" s="174">
        <v>92</v>
      </c>
      <c r="AN84" s="174"/>
      <c r="AO84" s="174"/>
      <c r="AP84" s="174"/>
      <c r="AR84" s="174"/>
      <c r="AS84" s="174"/>
      <c r="AT84" s="174"/>
      <c r="AU84" s="174"/>
      <c r="AV84" s="174"/>
      <c r="AW84" s="174"/>
      <c r="AX84" s="174"/>
      <c r="AY84" s="174"/>
      <c r="BC84" s="174"/>
      <c r="BD84" s="174"/>
      <c r="BE84" s="174"/>
      <c r="BG84" s="174"/>
      <c r="BI84" s="174"/>
      <c r="BJ84" s="174"/>
      <c r="BK84" s="174"/>
      <c r="BM84" s="174">
        <v>62.271000000000001</v>
      </c>
      <c r="BN84" s="174"/>
      <c r="BO84" s="174"/>
      <c r="BP84" s="174"/>
      <c r="BR84" s="174"/>
      <c r="BS84" s="174">
        <v>49.448999999999998</v>
      </c>
      <c r="BT84" s="174"/>
      <c r="BU84" s="190">
        <v>18.886125564575195</v>
      </c>
      <c r="BV84" s="159"/>
      <c r="BW84" s="174">
        <v>11.733000000000001</v>
      </c>
      <c r="BX84" s="159"/>
      <c r="BY84" s="159"/>
      <c r="CB84" s="165"/>
      <c r="CC84" s="174">
        <v>7.5960000000000001</v>
      </c>
      <c r="CD84" s="165"/>
      <c r="CE84" s="174">
        <v>7.2</v>
      </c>
      <c r="CF84" s="165"/>
      <c r="CH84" s="165"/>
      <c r="CJ84" s="165"/>
      <c r="CL84" s="165"/>
      <c r="CN84" s="165"/>
      <c r="CO84" s="130"/>
      <c r="CP84" s="165"/>
      <c r="CQ84" s="130"/>
      <c r="CR84" s="165"/>
      <c r="CS84" s="130"/>
      <c r="CT84" s="130"/>
      <c r="CU84" s="130"/>
      <c r="CV84" s="130"/>
      <c r="CW84" s="130"/>
      <c r="CX84" s="165"/>
      <c r="CY84" s="130"/>
      <c r="CZ84" s="130"/>
      <c r="DA84" s="130"/>
      <c r="DB84" s="130"/>
      <c r="DC84" s="130"/>
      <c r="DD84" s="130"/>
      <c r="DE84" s="130"/>
      <c r="DF84" s="130"/>
      <c r="DG84" s="130"/>
      <c r="DH84" s="130"/>
    </row>
    <row r="85" spans="1:112" ht="15">
      <c r="A85" s="169" t="s">
        <v>7691</v>
      </c>
      <c r="B85" s="175"/>
      <c r="C85" s="174">
        <v>6</v>
      </c>
      <c r="D85" s="174">
        <v>14</v>
      </c>
      <c r="E85" s="174">
        <v>6</v>
      </c>
      <c r="F85" s="174">
        <v>27</v>
      </c>
      <c r="I85" s="174"/>
      <c r="K85" s="188">
        <v>5</v>
      </c>
      <c r="L85" s="146">
        <v>42430</v>
      </c>
      <c r="M85" s="174">
        <v>7.74</v>
      </c>
      <c r="N85" s="189">
        <v>42580</v>
      </c>
      <c r="S85" s="174">
        <v>21.9</v>
      </c>
      <c r="U85" s="159">
        <v>18.5</v>
      </c>
      <c r="AE85" s="174">
        <v>43.28</v>
      </c>
      <c r="AG85" s="174">
        <v>3.76</v>
      </c>
      <c r="AI85" s="174">
        <v>150</v>
      </c>
      <c r="AJ85" s="160">
        <v>42520</v>
      </c>
      <c r="AK85" s="174"/>
      <c r="AL85" s="174"/>
      <c r="AM85" s="174">
        <v>92</v>
      </c>
      <c r="AN85" s="174"/>
      <c r="AO85" s="174"/>
      <c r="AP85" s="174"/>
      <c r="AR85" s="174"/>
      <c r="AS85" s="174"/>
      <c r="AT85" s="174"/>
      <c r="AU85" s="174"/>
      <c r="AV85" s="174"/>
      <c r="AW85" s="174"/>
      <c r="AX85" s="174"/>
      <c r="AY85" s="175"/>
      <c r="BC85" s="174"/>
      <c r="BD85" s="174"/>
      <c r="BE85" s="174"/>
      <c r="BG85" s="174"/>
      <c r="BI85" s="174"/>
      <c r="BJ85" s="174"/>
      <c r="BK85" s="174"/>
      <c r="BM85" s="174">
        <v>63.896999999999998</v>
      </c>
      <c r="BN85" s="174"/>
      <c r="BO85" s="174"/>
      <c r="BP85" s="174"/>
      <c r="BR85" s="174"/>
      <c r="BS85" s="174">
        <v>50.61</v>
      </c>
      <c r="BT85" s="174"/>
      <c r="BU85" s="190">
        <v>18.512832641601563</v>
      </c>
      <c r="BV85" s="159"/>
      <c r="BW85" s="174">
        <v>11.33</v>
      </c>
      <c r="BX85" s="159"/>
      <c r="BY85" s="159"/>
      <c r="CB85" s="165"/>
      <c r="CC85" s="174">
        <v>7.6609999999999996</v>
      </c>
      <c r="CD85" s="165"/>
      <c r="CE85" s="174">
        <v>7.3</v>
      </c>
      <c r="CF85" s="165"/>
      <c r="CH85" s="165"/>
      <c r="CJ85" s="165"/>
      <c r="CL85" s="165"/>
      <c r="CN85" s="165"/>
      <c r="CO85" s="130"/>
      <c r="CP85" s="165"/>
      <c r="CQ85" s="130"/>
      <c r="CR85" s="165"/>
      <c r="CS85" s="130"/>
      <c r="CT85" s="130"/>
      <c r="CU85" s="130"/>
      <c r="CV85" s="130"/>
      <c r="CW85" s="130"/>
      <c r="CX85" s="165"/>
      <c r="CY85" s="130"/>
      <c r="CZ85" s="130"/>
      <c r="DA85" s="130"/>
      <c r="DB85" s="130"/>
      <c r="DC85" s="130"/>
      <c r="DD85" s="130"/>
      <c r="DE85" s="130"/>
      <c r="DF85" s="130"/>
      <c r="DG85" s="130"/>
      <c r="DH85" s="130"/>
    </row>
    <row r="86" spans="1:112" ht="15">
      <c r="A86" s="169" t="s">
        <v>7692</v>
      </c>
      <c r="B86" s="175"/>
      <c r="C86" s="174">
        <v>1</v>
      </c>
      <c r="D86" s="174">
        <v>15</v>
      </c>
      <c r="E86" s="174">
        <v>1</v>
      </c>
      <c r="F86" s="174">
        <v>25</v>
      </c>
      <c r="I86" s="174"/>
      <c r="K86" s="188">
        <v>9</v>
      </c>
      <c r="L86" s="146">
        <v>42430</v>
      </c>
      <c r="M86" s="174">
        <v>7.24</v>
      </c>
      <c r="N86" s="189">
        <v>42580</v>
      </c>
      <c r="S86" s="174">
        <v>19.3</v>
      </c>
      <c r="U86" s="159">
        <v>18.5</v>
      </c>
      <c r="AE86" s="174">
        <v>40.340000000000003</v>
      </c>
      <c r="AG86" s="174">
        <v>4.33</v>
      </c>
      <c r="AI86" s="174">
        <v>160</v>
      </c>
      <c r="AJ86" s="160">
        <v>42520</v>
      </c>
      <c r="AK86" s="174"/>
      <c r="AL86" s="174"/>
      <c r="AM86" s="174">
        <v>92</v>
      </c>
      <c r="AN86" s="174"/>
      <c r="AO86" s="174"/>
      <c r="AP86" s="174"/>
      <c r="AR86" s="174"/>
      <c r="AS86" s="174"/>
      <c r="AT86" s="174"/>
      <c r="AU86" s="174"/>
      <c r="AV86" s="174"/>
      <c r="AW86" s="174"/>
      <c r="AX86" s="174"/>
      <c r="AY86" s="174"/>
      <c r="BC86" s="174"/>
      <c r="BD86" s="174"/>
      <c r="BE86" s="174"/>
      <c r="BG86" s="174"/>
      <c r="BI86" s="174"/>
      <c r="BJ86" s="174"/>
      <c r="BK86" s="174"/>
      <c r="BM86" s="174">
        <v>61.566000000000003</v>
      </c>
      <c r="BN86" s="174"/>
      <c r="BO86" s="174"/>
      <c r="BP86" s="174"/>
      <c r="BR86" s="174"/>
      <c r="BS86" s="174">
        <v>47.838000000000001</v>
      </c>
      <c r="BT86" s="174"/>
      <c r="BU86" s="190">
        <v>20.532052993774414</v>
      </c>
      <c r="BV86" s="159"/>
      <c r="BW86" s="174">
        <v>13.366</v>
      </c>
      <c r="BX86" s="159"/>
      <c r="BY86" s="159"/>
      <c r="CB86" s="165"/>
      <c r="CC86" s="174">
        <v>7.984</v>
      </c>
      <c r="CD86" s="165"/>
      <c r="CE86" s="174">
        <v>7.7</v>
      </c>
      <c r="CF86" s="165"/>
      <c r="CH86" s="165"/>
      <c r="CJ86" s="165"/>
      <c r="CL86" s="165"/>
      <c r="CN86" s="165"/>
      <c r="CO86" s="130"/>
      <c r="CP86" s="165"/>
      <c r="CQ86" s="130"/>
      <c r="CR86" s="165"/>
      <c r="CS86" s="130"/>
      <c r="CT86" s="130"/>
      <c r="CU86" s="130"/>
      <c r="CV86" s="130"/>
      <c r="CW86" s="130"/>
      <c r="CX86" s="165"/>
      <c r="CY86" s="130"/>
      <c r="CZ86" s="130"/>
      <c r="DA86" s="130"/>
      <c r="DB86" s="130"/>
      <c r="DC86" s="130"/>
      <c r="DD86" s="130"/>
      <c r="DE86" s="130"/>
      <c r="DF86" s="130"/>
      <c r="DG86" s="130"/>
      <c r="DH86" s="130"/>
    </row>
    <row r="87" spans="1:112" ht="15">
      <c r="A87" s="169" t="s">
        <v>7692</v>
      </c>
      <c r="B87" s="175"/>
      <c r="C87" s="174">
        <v>2</v>
      </c>
      <c r="D87" s="174">
        <v>15</v>
      </c>
      <c r="E87" s="174">
        <v>2</v>
      </c>
      <c r="F87" s="174">
        <v>6</v>
      </c>
      <c r="I87" s="174"/>
      <c r="K87" s="188">
        <v>7</v>
      </c>
      <c r="L87" s="146">
        <v>42430</v>
      </c>
      <c r="M87" s="174">
        <v>8.6999999999999993</v>
      </c>
      <c r="N87" s="189">
        <v>42580</v>
      </c>
      <c r="S87" s="174">
        <v>23.96</v>
      </c>
      <c r="U87" s="159">
        <v>18.5</v>
      </c>
      <c r="AE87" s="174">
        <v>48.18</v>
      </c>
      <c r="AG87" s="174">
        <v>4.1900000000000004</v>
      </c>
      <c r="AI87" s="174">
        <v>160</v>
      </c>
      <c r="AJ87" s="160">
        <v>42520</v>
      </c>
      <c r="AK87" s="174"/>
      <c r="AL87" s="174"/>
      <c r="AM87" s="174">
        <v>95</v>
      </c>
      <c r="AN87" s="174"/>
      <c r="AO87" s="174"/>
      <c r="AP87" s="174"/>
      <c r="AR87" s="174"/>
      <c r="AS87" s="174"/>
      <c r="AT87" s="174"/>
      <c r="AU87" s="174"/>
      <c r="AV87" s="174"/>
      <c r="AW87" s="174"/>
      <c r="AX87" s="174"/>
      <c r="AY87" s="174"/>
      <c r="BC87" s="174"/>
      <c r="BD87" s="174"/>
      <c r="BE87" s="174"/>
      <c r="BG87" s="174"/>
      <c r="BI87" s="174"/>
      <c r="BJ87" s="174"/>
      <c r="BK87" s="174"/>
      <c r="BM87" s="174">
        <v>63.652999999999999</v>
      </c>
      <c r="BN87" s="174"/>
      <c r="BO87" s="174"/>
      <c r="BP87" s="174"/>
      <c r="BR87" s="174"/>
      <c r="BS87" s="174">
        <v>49.728999999999999</v>
      </c>
      <c r="BT87" s="174"/>
      <c r="BU87" s="190">
        <v>20.224853515625</v>
      </c>
      <c r="BV87" s="159"/>
      <c r="BW87" s="174">
        <v>13.579000000000001</v>
      </c>
      <c r="BX87" s="159"/>
      <c r="BY87" s="159"/>
      <c r="CB87" s="165"/>
      <c r="CC87" s="174">
        <v>8.5389999999999997</v>
      </c>
      <c r="CD87" s="165"/>
      <c r="CE87" s="174">
        <v>7.8</v>
      </c>
      <c r="CF87" s="165"/>
      <c r="CH87" s="165"/>
      <c r="CJ87" s="165"/>
      <c r="CL87" s="165"/>
      <c r="CN87" s="165"/>
      <c r="CO87" s="130"/>
      <c r="CP87" s="165"/>
      <c r="CQ87" s="130"/>
      <c r="CR87" s="165"/>
      <c r="CS87" s="130"/>
      <c r="CT87" s="130"/>
      <c r="CU87" s="130"/>
      <c r="CV87" s="130"/>
      <c r="CW87" s="130"/>
      <c r="CX87" s="165"/>
      <c r="CY87" s="130"/>
      <c r="CZ87" s="130"/>
      <c r="DA87" s="130"/>
      <c r="DB87" s="130"/>
      <c r="DC87" s="130"/>
      <c r="DD87" s="130"/>
      <c r="DE87" s="130"/>
      <c r="DF87" s="130"/>
      <c r="DG87" s="130"/>
      <c r="DH87" s="130"/>
    </row>
    <row r="88" spans="1:112" ht="15">
      <c r="A88" s="169" t="s">
        <v>7692</v>
      </c>
      <c r="B88" s="175"/>
      <c r="C88" s="174">
        <v>3</v>
      </c>
      <c r="D88" s="174">
        <v>15</v>
      </c>
      <c r="E88" s="174">
        <v>3</v>
      </c>
      <c r="F88" s="174">
        <v>3</v>
      </c>
      <c r="I88" s="174"/>
      <c r="K88" s="188">
        <v>3</v>
      </c>
      <c r="L88" s="146">
        <v>42430</v>
      </c>
      <c r="M88" s="174">
        <v>7.29</v>
      </c>
      <c r="N88" s="189">
        <v>42580</v>
      </c>
      <c r="S88" s="174">
        <v>19.760000000000002</v>
      </c>
      <c r="U88" s="159">
        <v>18.5</v>
      </c>
      <c r="AE88" s="174">
        <v>40.44</v>
      </c>
      <c r="AG88" s="174">
        <v>4.07</v>
      </c>
      <c r="AI88" s="174">
        <v>180</v>
      </c>
      <c r="AJ88" s="160">
        <v>42520</v>
      </c>
      <c r="AK88" s="174"/>
      <c r="AL88" s="174"/>
      <c r="AM88" s="174">
        <v>95</v>
      </c>
      <c r="AN88" s="174"/>
      <c r="AO88" s="174"/>
      <c r="AP88" s="174"/>
      <c r="AR88" s="174"/>
      <c r="AS88" s="174"/>
      <c r="AT88" s="174"/>
      <c r="AU88" s="174"/>
      <c r="AV88" s="174"/>
      <c r="AW88" s="174"/>
      <c r="AX88" s="174"/>
      <c r="AY88" s="174"/>
      <c r="BC88" s="174"/>
      <c r="BD88" s="174"/>
      <c r="BE88" s="174"/>
      <c r="BG88" s="174"/>
      <c r="BI88" s="174"/>
      <c r="BJ88" s="174"/>
      <c r="BK88" s="174"/>
      <c r="BM88" s="174">
        <v>62.94</v>
      </c>
      <c r="BN88" s="174"/>
      <c r="BO88" s="174"/>
      <c r="BP88" s="174"/>
      <c r="BR88" s="174"/>
      <c r="BS88" s="174">
        <v>48.863</v>
      </c>
      <c r="BT88" s="174"/>
      <c r="BU88" s="190">
        <v>19.898775100708008</v>
      </c>
      <c r="BV88" s="159"/>
      <c r="BW88" s="174">
        <v>12.753</v>
      </c>
      <c r="BX88" s="159"/>
      <c r="BY88" s="159"/>
      <c r="CB88" s="165"/>
      <c r="CC88" s="174">
        <v>8.3849999999999998</v>
      </c>
      <c r="CD88" s="165"/>
      <c r="CE88" s="174">
        <v>8.1</v>
      </c>
      <c r="CF88" s="165"/>
      <c r="CH88" s="165"/>
      <c r="CJ88" s="165"/>
      <c r="CL88" s="165"/>
      <c r="CN88" s="165"/>
      <c r="CO88" s="130"/>
      <c r="CP88" s="165"/>
      <c r="CQ88" s="130"/>
      <c r="CR88" s="165"/>
      <c r="CS88" s="130"/>
      <c r="CT88" s="130"/>
      <c r="CU88" s="130"/>
      <c r="CV88" s="130"/>
      <c r="CW88" s="130"/>
      <c r="CX88" s="165"/>
      <c r="CY88" s="130"/>
      <c r="CZ88" s="130"/>
      <c r="DA88" s="130"/>
      <c r="DB88" s="130"/>
      <c r="DC88" s="130"/>
      <c r="DD88" s="130"/>
      <c r="DE88" s="130"/>
      <c r="DF88" s="130"/>
      <c r="DG88" s="130"/>
      <c r="DH88" s="130"/>
    </row>
    <row r="89" spans="1:112" ht="15">
      <c r="A89" s="169" t="s">
        <v>7692</v>
      </c>
      <c r="B89" s="175"/>
      <c r="C89" s="174">
        <v>4</v>
      </c>
      <c r="D89" s="174">
        <v>15</v>
      </c>
      <c r="E89" s="174">
        <v>4</v>
      </c>
      <c r="F89" s="174">
        <v>19</v>
      </c>
      <c r="I89" s="174"/>
      <c r="K89" s="188">
        <v>5</v>
      </c>
      <c r="L89" s="146">
        <v>42430</v>
      </c>
      <c r="M89" s="174">
        <v>7.08</v>
      </c>
      <c r="N89" s="189">
        <v>42580</v>
      </c>
      <c r="S89" s="174">
        <v>19.649999999999999</v>
      </c>
      <c r="U89" s="159">
        <v>18.5</v>
      </c>
      <c r="AE89" s="174">
        <v>39.58</v>
      </c>
      <c r="AG89" s="174">
        <v>4.25</v>
      </c>
      <c r="AI89" s="174">
        <v>160</v>
      </c>
      <c r="AJ89" s="160">
        <v>42520</v>
      </c>
      <c r="AK89" s="174"/>
      <c r="AL89" s="174"/>
      <c r="AM89" s="174">
        <v>95</v>
      </c>
      <c r="AN89" s="174"/>
      <c r="AO89" s="174"/>
      <c r="AP89" s="174"/>
      <c r="AR89" s="174"/>
      <c r="AS89" s="174"/>
      <c r="AT89" s="174"/>
      <c r="AU89" s="174"/>
      <c r="AV89" s="174"/>
      <c r="AW89" s="174"/>
      <c r="AX89" s="174"/>
      <c r="AY89" s="174"/>
      <c r="BC89" s="174"/>
      <c r="BD89" s="174"/>
      <c r="BE89" s="174"/>
      <c r="BG89" s="174"/>
      <c r="BI89" s="174"/>
      <c r="BJ89" s="174"/>
      <c r="BK89" s="174"/>
      <c r="BM89" s="174">
        <v>63.334000000000003</v>
      </c>
      <c r="BN89" s="174"/>
      <c r="BO89" s="174"/>
      <c r="BP89" s="174"/>
      <c r="BR89" s="174"/>
      <c r="BS89" s="174">
        <v>49.658000000000001</v>
      </c>
      <c r="BT89" s="174"/>
      <c r="BU89" s="190">
        <v>19.265422821044922</v>
      </c>
      <c r="BV89" s="159"/>
      <c r="BW89" s="174">
        <v>12.005000000000001</v>
      </c>
      <c r="BX89" s="159"/>
      <c r="BY89" s="159"/>
      <c r="CB89" s="165"/>
      <c r="CC89" s="174">
        <v>7.6760000000000002</v>
      </c>
      <c r="CD89" s="165"/>
      <c r="CE89" s="174">
        <v>7.3</v>
      </c>
      <c r="CF89" s="165"/>
      <c r="CH89" s="165"/>
      <c r="CJ89" s="165"/>
      <c r="CL89" s="165"/>
      <c r="CN89" s="165"/>
      <c r="CO89" s="130"/>
      <c r="CP89" s="165"/>
      <c r="CQ89" s="130"/>
      <c r="CR89" s="165"/>
      <c r="CS89" s="130"/>
      <c r="CT89" s="130"/>
      <c r="CU89" s="130"/>
      <c r="CV89" s="130"/>
      <c r="CW89" s="130"/>
      <c r="CX89" s="165"/>
      <c r="CY89" s="130"/>
      <c r="CZ89" s="130"/>
      <c r="DA89" s="130"/>
      <c r="DB89" s="130"/>
      <c r="DC89" s="130"/>
      <c r="DD89" s="130"/>
      <c r="DE89" s="130"/>
      <c r="DF89" s="130"/>
      <c r="DG89" s="130"/>
      <c r="DH89" s="130"/>
    </row>
    <row r="90" spans="1:112" ht="15">
      <c r="A90" s="169" t="s">
        <v>7692</v>
      </c>
      <c r="B90" s="175"/>
      <c r="C90" s="174">
        <v>5</v>
      </c>
      <c r="D90" s="174">
        <v>15</v>
      </c>
      <c r="E90" s="174">
        <v>5</v>
      </c>
      <c r="F90" s="174">
        <v>14</v>
      </c>
      <c r="I90" s="174"/>
      <c r="K90" s="188">
        <v>5</v>
      </c>
      <c r="L90" s="146">
        <v>42430</v>
      </c>
      <c r="M90" s="174">
        <v>6.57</v>
      </c>
      <c r="N90" s="189">
        <v>42580</v>
      </c>
      <c r="S90" s="174">
        <v>18.100000000000001</v>
      </c>
      <c r="U90" s="159">
        <v>18.5</v>
      </c>
      <c r="AE90" s="174">
        <v>36.700000000000003</v>
      </c>
      <c r="AG90" s="174">
        <v>4.05</v>
      </c>
      <c r="AI90" s="174">
        <v>160</v>
      </c>
      <c r="AJ90" s="160">
        <v>42520</v>
      </c>
      <c r="AK90" s="174"/>
      <c r="AL90" s="174"/>
      <c r="AM90" s="174">
        <v>92</v>
      </c>
      <c r="AN90" s="174"/>
      <c r="AO90" s="174"/>
      <c r="AP90" s="174"/>
      <c r="AR90" s="174"/>
      <c r="AS90" s="174"/>
      <c r="AT90" s="174"/>
      <c r="AU90" s="174"/>
      <c r="AV90" s="174"/>
      <c r="AW90" s="174"/>
      <c r="AX90" s="174"/>
      <c r="AY90" s="174"/>
      <c r="BC90" s="174"/>
      <c r="BD90" s="174"/>
      <c r="BE90" s="174"/>
      <c r="BG90" s="174"/>
      <c r="BI90" s="174"/>
      <c r="BJ90" s="174"/>
      <c r="BK90" s="174"/>
      <c r="BM90" s="174">
        <v>62.844000000000001</v>
      </c>
      <c r="BN90" s="174"/>
      <c r="BO90" s="174"/>
      <c r="BP90" s="174"/>
      <c r="BR90" s="174"/>
      <c r="BS90" s="174">
        <v>49.308999999999997</v>
      </c>
      <c r="BT90" s="174"/>
      <c r="BU90" s="190">
        <v>19.555919647216797</v>
      </c>
      <c r="BV90" s="159"/>
      <c r="BW90" s="174">
        <v>12.513</v>
      </c>
      <c r="BX90" s="159"/>
      <c r="BY90" s="159"/>
      <c r="CB90" s="165"/>
      <c r="CC90" s="174">
        <v>7.7450000000000001</v>
      </c>
      <c r="CD90" s="165"/>
      <c r="CE90" s="174">
        <v>7.3</v>
      </c>
      <c r="CF90" s="165"/>
      <c r="CH90" s="165"/>
      <c r="CJ90" s="165"/>
      <c r="CL90" s="165"/>
      <c r="CN90" s="165"/>
      <c r="CO90" s="130"/>
      <c r="CP90" s="165"/>
      <c r="CQ90" s="130"/>
      <c r="CR90" s="165"/>
      <c r="CS90" s="130"/>
      <c r="CT90" s="130"/>
      <c r="CU90" s="130"/>
      <c r="CV90" s="130"/>
      <c r="CW90" s="130"/>
      <c r="CX90" s="165"/>
      <c r="CY90" s="130"/>
      <c r="CZ90" s="130"/>
      <c r="DA90" s="130"/>
      <c r="DB90" s="130"/>
      <c r="DC90" s="130"/>
      <c r="DD90" s="130"/>
      <c r="DE90" s="130"/>
      <c r="DF90" s="130"/>
      <c r="DG90" s="130"/>
      <c r="DH90" s="130"/>
    </row>
    <row r="91" spans="1:112" ht="15">
      <c r="A91" s="169" t="s">
        <v>7692</v>
      </c>
      <c r="B91" s="175"/>
      <c r="C91" s="174">
        <v>6</v>
      </c>
      <c r="D91" s="174">
        <v>15</v>
      </c>
      <c r="E91" s="174">
        <v>6</v>
      </c>
      <c r="F91" s="174">
        <v>22</v>
      </c>
      <c r="I91" s="174"/>
      <c r="K91" s="188">
        <v>8</v>
      </c>
      <c r="L91" s="146">
        <v>42430</v>
      </c>
      <c r="M91" s="174">
        <v>7.79</v>
      </c>
      <c r="N91" s="189">
        <v>42580</v>
      </c>
      <c r="S91" s="174">
        <v>22</v>
      </c>
      <c r="U91" s="159">
        <v>18.5</v>
      </c>
      <c r="AE91" s="174">
        <v>43.5</v>
      </c>
      <c r="AG91" s="174">
        <v>3.73</v>
      </c>
      <c r="AI91" s="174">
        <v>160</v>
      </c>
      <c r="AJ91" s="160">
        <v>42520</v>
      </c>
      <c r="AK91" s="174"/>
      <c r="AL91" s="174"/>
      <c r="AM91" s="174">
        <v>95</v>
      </c>
      <c r="AN91" s="174"/>
      <c r="AO91" s="174"/>
      <c r="AP91" s="174"/>
      <c r="AR91" s="174"/>
      <c r="AS91" s="174"/>
      <c r="AT91" s="174"/>
      <c r="AU91" s="174"/>
      <c r="AV91" s="174"/>
      <c r="AW91" s="174"/>
      <c r="AX91" s="174"/>
      <c r="AY91" s="175"/>
      <c r="BC91" s="174"/>
      <c r="BD91" s="174"/>
      <c r="BE91" s="174"/>
      <c r="BG91" s="174"/>
      <c r="BI91" s="174"/>
      <c r="BJ91" s="174"/>
      <c r="BK91" s="174"/>
      <c r="BM91" s="174">
        <v>62.920999999999999</v>
      </c>
      <c r="BN91" s="174"/>
      <c r="BO91" s="174"/>
      <c r="BP91" s="174"/>
      <c r="BR91" s="174"/>
      <c r="BS91" s="174">
        <v>50.570999999999998</v>
      </c>
      <c r="BT91" s="174"/>
      <c r="BU91" s="190">
        <v>18.119638442993164</v>
      </c>
      <c r="BV91" s="159"/>
      <c r="BW91" s="174">
        <v>12.090999999999999</v>
      </c>
      <c r="BX91" s="159"/>
      <c r="BY91" s="159"/>
      <c r="CB91" s="165"/>
      <c r="CC91" s="174">
        <v>7.7789999999999999</v>
      </c>
      <c r="CD91" s="165"/>
      <c r="CE91" s="174">
        <v>7.1</v>
      </c>
      <c r="CF91" s="165"/>
      <c r="CH91" s="165"/>
      <c r="CJ91" s="165"/>
      <c r="CL91" s="165"/>
      <c r="CN91" s="165"/>
      <c r="CO91" s="130"/>
      <c r="CP91" s="165"/>
      <c r="CQ91" s="130"/>
      <c r="CR91" s="165"/>
      <c r="CS91" s="130"/>
      <c r="CT91" s="130"/>
      <c r="CU91" s="130"/>
      <c r="CV91" s="130"/>
      <c r="CW91" s="130"/>
      <c r="CX91" s="165"/>
      <c r="CY91" s="130"/>
      <c r="CZ91" s="130"/>
      <c r="DA91" s="130"/>
      <c r="DB91" s="130"/>
      <c r="DC91" s="130"/>
      <c r="DD91" s="130"/>
      <c r="DE91" s="130"/>
      <c r="DF91" s="130"/>
      <c r="DG91" s="130"/>
      <c r="DH91" s="130"/>
    </row>
    <row r="92" spans="1:112" ht="15">
      <c r="A92" s="169" t="s">
        <v>7435</v>
      </c>
      <c r="B92" s="175"/>
      <c r="C92" s="174">
        <v>1</v>
      </c>
      <c r="D92" s="174">
        <v>16</v>
      </c>
      <c r="E92" s="174">
        <v>1</v>
      </c>
      <c r="F92" s="174">
        <v>7</v>
      </c>
      <c r="I92" s="174"/>
      <c r="K92" s="188">
        <v>7</v>
      </c>
      <c r="L92" s="146">
        <v>42430</v>
      </c>
      <c r="M92" s="174">
        <v>8.94</v>
      </c>
      <c r="N92" s="189">
        <v>42580</v>
      </c>
      <c r="S92" s="174">
        <v>24.05</v>
      </c>
      <c r="U92" s="159">
        <v>18.5</v>
      </c>
      <c r="AE92" s="174">
        <v>49.54</v>
      </c>
      <c r="AG92" s="174">
        <v>5.25</v>
      </c>
      <c r="AI92" s="174">
        <v>170</v>
      </c>
      <c r="AJ92" s="160">
        <v>42520</v>
      </c>
      <c r="AK92" s="174"/>
      <c r="AL92" s="174"/>
      <c r="AM92" s="174">
        <v>95</v>
      </c>
      <c r="AN92" s="174"/>
      <c r="AO92" s="174"/>
      <c r="AP92" s="174"/>
      <c r="AR92" s="174"/>
      <c r="AS92" s="174"/>
      <c r="AT92" s="174"/>
      <c r="AU92" s="174"/>
      <c r="AV92" s="174"/>
      <c r="AW92" s="174"/>
      <c r="AX92" s="174"/>
      <c r="AY92" s="174"/>
      <c r="BC92" s="174"/>
      <c r="BD92" s="174"/>
      <c r="BE92" s="174"/>
      <c r="BG92" s="174"/>
      <c r="BI92" s="174"/>
      <c r="BJ92" s="174"/>
      <c r="BK92" s="174"/>
      <c r="BM92" s="174">
        <v>63.258000000000003</v>
      </c>
      <c r="BN92" s="174"/>
      <c r="BO92" s="174"/>
      <c r="BP92" s="174"/>
      <c r="BR92" s="174"/>
      <c r="BS92" s="174">
        <v>48.542999999999999</v>
      </c>
      <c r="BT92" s="174"/>
      <c r="BU92" s="190">
        <v>19.965957641601563</v>
      </c>
      <c r="BV92" s="159"/>
      <c r="BW92" s="174">
        <v>13.19</v>
      </c>
      <c r="BX92" s="159"/>
      <c r="BY92" s="159"/>
      <c r="CB92" s="165"/>
      <c r="CC92" s="174">
        <v>8.4969999999999999</v>
      </c>
      <c r="CD92" s="165"/>
      <c r="CE92" s="174">
        <v>8.4</v>
      </c>
      <c r="CF92" s="165"/>
      <c r="CH92" s="165"/>
      <c r="CJ92" s="165"/>
      <c r="CL92" s="165"/>
      <c r="CN92" s="165"/>
      <c r="CO92" s="130"/>
      <c r="CP92" s="165"/>
      <c r="CQ92" s="130"/>
      <c r="CR92" s="165"/>
      <c r="CS92" s="130"/>
      <c r="CT92" s="130"/>
      <c r="CU92" s="130"/>
      <c r="CV92" s="130"/>
      <c r="CW92" s="130"/>
      <c r="CX92" s="165"/>
      <c r="CY92" s="130"/>
      <c r="CZ92" s="130"/>
      <c r="DA92" s="130"/>
      <c r="DB92" s="130"/>
      <c r="DC92" s="130"/>
      <c r="DD92" s="130"/>
      <c r="DE92" s="130"/>
      <c r="DF92" s="130"/>
      <c r="DG92" s="130"/>
      <c r="DH92" s="130"/>
    </row>
    <row r="93" spans="1:112" ht="15">
      <c r="A93" s="169" t="s">
        <v>7435</v>
      </c>
      <c r="B93" s="175"/>
      <c r="C93" s="174">
        <v>2</v>
      </c>
      <c r="D93" s="174">
        <v>16</v>
      </c>
      <c r="E93" s="174">
        <v>2</v>
      </c>
      <c r="F93" s="174">
        <v>13</v>
      </c>
      <c r="I93" s="174"/>
      <c r="K93" s="188">
        <v>5</v>
      </c>
      <c r="L93" s="146">
        <v>42430</v>
      </c>
      <c r="M93" s="174">
        <v>7.8</v>
      </c>
      <c r="N93" s="189">
        <v>42580</v>
      </c>
      <c r="S93" s="174">
        <v>21.44</v>
      </c>
      <c r="U93" s="159">
        <v>18.5</v>
      </c>
      <c r="AE93" s="174">
        <v>43.23</v>
      </c>
      <c r="AG93" s="174">
        <v>4.03</v>
      </c>
      <c r="AI93" s="174">
        <v>160</v>
      </c>
      <c r="AJ93" s="160">
        <v>42520</v>
      </c>
      <c r="AK93" s="174"/>
      <c r="AL93" s="174"/>
      <c r="AM93" s="174">
        <v>98</v>
      </c>
      <c r="AN93" s="174"/>
      <c r="AO93" s="174"/>
      <c r="AP93" s="174"/>
      <c r="AR93" s="174"/>
      <c r="AS93" s="174"/>
      <c r="AT93" s="174"/>
      <c r="AU93" s="174"/>
      <c r="AV93" s="174"/>
      <c r="AW93" s="174"/>
      <c r="AX93" s="174"/>
      <c r="AY93" s="174"/>
      <c r="BC93" s="174"/>
      <c r="BD93" s="174"/>
      <c r="BE93" s="174"/>
      <c r="BG93" s="174"/>
      <c r="BI93" s="174"/>
      <c r="BJ93" s="174"/>
      <c r="BK93" s="174"/>
      <c r="BM93" s="174">
        <v>64.481999999999999</v>
      </c>
      <c r="BN93" s="174"/>
      <c r="BO93" s="174"/>
      <c r="BP93" s="174"/>
      <c r="BR93" s="174"/>
      <c r="BS93" s="174">
        <v>49.587000000000003</v>
      </c>
      <c r="BT93" s="174"/>
      <c r="BU93" s="190">
        <v>19.719930648803711</v>
      </c>
      <c r="BV93" s="159"/>
      <c r="BW93" s="174">
        <v>10.819000000000001</v>
      </c>
      <c r="BX93" s="159"/>
      <c r="BY93" s="159"/>
      <c r="CB93" s="165"/>
      <c r="CC93" s="174">
        <v>8.4689999999999994</v>
      </c>
      <c r="CD93" s="165"/>
      <c r="CE93" s="174">
        <v>8.3000000000000007</v>
      </c>
      <c r="CF93" s="165"/>
      <c r="CH93" s="165"/>
      <c r="CJ93" s="165"/>
      <c r="CL93" s="165"/>
      <c r="CN93" s="165"/>
      <c r="CO93" s="130"/>
      <c r="CP93" s="165"/>
      <c r="CQ93" s="130"/>
      <c r="CR93" s="165"/>
      <c r="CS93" s="130"/>
      <c r="CT93" s="130"/>
      <c r="CU93" s="130"/>
      <c r="CV93" s="130"/>
      <c r="CW93" s="130"/>
      <c r="CX93" s="165"/>
      <c r="CY93" s="130"/>
      <c r="CZ93" s="130"/>
      <c r="DA93" s="130"/>
      <c r="DB93" s="130"/>
      <c r="DC93" s="130"/>
      <c r="DD93" s="130"/>
      <c r="DE93" s="130"/>
      <c r="DF93" s="130"/>
      <c r="DG93" s="130"/>
      <c r="DH93" s="130"/>
    </row>
    <row r="94" spans="1:112" ht="15">
      <c r="A94" s="169" t="s">
        <v>7435</v>
      </c>
      <c r="B94" s="175"/>
      <c r="C94" s="174">
        <v>3</v>
      </c>
      <c r="D94" s="174">
        <v>16</v>
      </c>
      <c r="E94" s="174">
        <v>3</v>
      </c>
      <c r="F94" s="174">
        <v>11</v>
      </c>
      <c r="I94" s="174"/>
      <c r="K94" s="188">
        <v>7</v>
      </c>
      <c r="L94" s="146">
        <v>42430</v>
      </c>
      <c r="M94" s="174">
        <v>7.81</v>
      </c>
      <c r="N94" s="189">
        <v>42580</v>
      </c>
      <c r="S94" s="174">
        <v>21.05</v>
      </c>
      <c r="U94" s="159">
        <v>18.5</v>
      </c>
      <c r="AE94" s="174">
        <v>43.33</v>
      </c>
      <c r="AG94" s="174">
        <v>4.8899999999999997</v>
      </c>
      <c r="AI94" s="174">
        <v>170</v>
      </c>
      <c r="AJ94" s="160">
        <v>42520</v>
      </c>
      <c r="AK94" s="174"/>
      <c r="AL94" s="174"/>
      <c r="AM94" s="174">
        <v>98</v>
      </c>
      <c r="AN94" s="174"/>
      <c r="AO94" s="174"/>
      <c r="AP94" s="174"/>
      <c r="AR94" s="174"/>
      <c r="AS94" s="174"/>
      <c r="AT94" s="174"/>
      <c r="AU94" s="174"/>
      <c r="AV94" s="174"/>
      <c r="AW94" s="174"/>
      <c r="AX94" s="174"/>
      <c r="AY94" s="174"/>
      <c r="BC94" s="174"/>
      <c r="BD94" s="174"/>
      <c r="BE94" s="174"/>
      <c r="BG94" s="174"/>
      <c r="BI94" s="174"/>
      <c r="BJ94" s="174"/>
      <c r="BK94" s="174"/>
      <c r="BM94" s="174">
        <v>64.355999999999995</v>
      </c>
      <c r="BN94" s="174"/>
      <c r="BO94" s="174"/>
      <c r="BP94" s="174"/>
      <c r="BR94" s="174"/>
      <c r="BS94" s="174">
        <v>48.57</v>
      </c>
      <c r="BT94" s="174"/>
      <c r="BU94" s="190">
        <v>20.189310073852539</v>
      </c>
      <c r="BV94" s="159"/>
      <c r="BW94" s="174">
        <v>12.75</v>
      </c>
      <c r="BX94" s="159"/>
      <c r="BY94" s="159"/>
      <c r="CB94" s="165"/>
      <c r="CC94" s="174">
        <v>8.3919999999999995</v>
      </c>
      <c r="CD94" s="165"/>
      <c r="CE94" s="174">
        <v>8.3000000000000007</v>
      </c>
      <c r="CF94" s="165"/>
      <c r="CH94" s="165"/>
      <c r="CJ94" s="165"/>
      <c r="CL94" s="165"/>
      <c r="CN94" s="165"/>
      <c r="CO94" s="130"/>
      <c r="CP94" s="165"/>
      <c r="CQ94" s="130"/>
      <c r="CR94" s="165"/>
      <c r="CS94" s="130"/>
      <c r="CT94" s="130"/>
      <c r="CU94" s="130"/>
      <c r="CV94" s="130"/>
      <c r="CW94" s="130"/>
      <c r="CX94" s="165"/>
      <c r="CY94" s="130"/>
      <c r="CZ94" s="130"/>
      <c r="DA94" s="130"/>
      <c r="DB94" s="130"/>
      <c r="DC94" s="130"/>
      <c r="DD94" s="130"/>
      <c r="DE94" s="130"/>
      <c r="DF94" s="130"/>
      <c r="DG94" s="130"/>
      <c r="DH94" s="130"/>
    </row>
    <row r="95" spans="1:112" ht="15">
      <c r="A95" s="169" t="s">
        <v>7435</v>
      </c>
      <c r="B95" s="175"/>
      <c r="C95" s="174">
        <v>4</v>
      </c>
      <c r="D95" s="174">
        <v>16</v>
      </c>
      <c r="E95" s="174">
        <v>4</v>
      </c>
      <c r="F95" s="174">
        <v>33</v>
      </c>
      <c r="I95" s="174"/>
      <c r="K95" s="188">
        <v>9</v>
      </c>
      <c r="L95" s="146">
        <v>42430</v>
      </c>
      <c r="M95" s="174">
        <v>8.1</v>
      </c>
      <c r="N95" s="189">
        <v>42580</v>
      </c>
      <c r="S95" s="174">
        <v>22.91</v>
      </c>
      <c r="U95" s="159">
        <v>18.5</v>
      </c>
      <c r="AE95" s="174">
        <v>45.23</v>
      </c>
      <c r="AG95" s="174">
        <v>4.4800000000000004</v>
      </c>
      <c r="AI95" s="174">
        <v>160</v>
      </c>
      <c r="AJ95" s="160">
        <v>42520</v>
      </c>
      <c r="AK95" s="174"/>
      <c r="AL95" s="174"/>
      <c r="AM95" s="174">
        <v>92</v>
      </c>
      <c r="AN95" s="174"/>
      <c r="AO95" s="174"/>
      <c r="AP95" s="174"/>
      <c r="AR95" s="174"/>
      <c r="AS95" s="174"/>
      <c r="AT95" s="174"/>
      <c r="AU95" s="174"/>
      <c r="AV95" s="174"/>
      <c r="AW95" s="174"/>
      <c r="AX95" s="174"/>
      <c r="AY95" s="174"/>
      <c r="BC95" s="174"/>
      <c r="BD95" s="174"/>
      <c r="BE95" s="174"/>
      <c r="BG95" s="174"/>
      <c r="BI95" s="174"/>
      <c r="BJ95" s="174"/>
      <c r="BK95" s="174"/>
      <c r="BM95" s="174">
        <v>65.751999999999995</v>
      </c>
      <c r="BN95" s="174"/>
      <c r="BO95" s="174"/>
      <c r="BP95" s="174"/>
      <c r="BR95" s="174"/>
      <c r="BS95" s="174">
        <v>50.658999999999999</v>
      </c>
      <c r="BT95" s="174"/>
      <c r="BU95" s="190">
        <v>18.182788848876953</v>
      </c>
      <c r="BV95" s="159"/>
      <c r="BW95" s="174">
        <v>14.753</v>
      </c>
      <c r="BX95" s="159"/>
      <c r="BY95" s="159"/>
      <c r="CB95" s="165"/>
      <c r="CC95" s="174">
        <v>7.7850000000000001</v>
      </c>
      <c r="CD95" s="165"/>
      <c r="CE95" s="174">
        <v>7.6</v>
      </c>
      <c r="CF95" s="165"/>
      <c r="CH95" s="165"/>
      <c r="CJ95" s="165"/>
      <c r="CL95" s="165"/>
      <c r="CN95" s="165"/>
      <c r="CO95" s="130"/>
      <c r="CP95" s="165"/>
      <c r="CQ95" s="130"/>
      <c r="CR95" s="165"/>
      <c r="CS95" s="130"/>
      <c r="CT95" s="130"/>
      <c r="CU95" s="130"/>
      <c r="CV95" s="130"/>
      <c r="CW95" s="130"/>
      <c r="CX95" s="165"/>
      <c r="CY95" s="130"/>
      <c r="CZ95" s="130"/>
      <c r="DA95" s="130"/>
      <c r="DB95" s="130"/>
      <c r="DC95" s="130"/>
      <c r="DD95" s="130"/>
      <c r="DE95" s="130"/>
      <c r="DF95" s="130"/>
      <c r="DG95" s="130"/>
      <c r="DH95" s="130"/>
    </row>
    <row r="96" spans="1:112" ht="15">
      <c r="A96" s="169" t="s">
        <v>7435</v>
      </c>
      <c r="B96" s="175"/>
      <c r="C96" s="174">
        <v>5</v>
      </c>
      <c r="D96" s="174">
        <v>16</v>
      </c>
      <c r="E96" s="174">
        <v>5</v>
      </c>
      <c r="F96" s="174">
        <v>13</v>
      </c>
      <c r="I96" s="174"/>
      <c r="K96" s="188">
        <v>8</v>
      </c>
      <c r="L96" s="146">
        <v>42430</v>
      </c>
      <c r="M96" s="174">
        <v>8.2100000000000009</v>
      </c>
      <c r="N96" s="189">
        <v>42580</v>
      </c>
      <c r="S96" s="174">
        <v>23.01</v>
      </c>
      <c r="U96" s="159">
        <v>18.5</v>
      </c>
      <c r="AE96" s="174">
        <v>45.77</v>
      </c>
      <c r="AG96" s="174">
        <v>4.97</v>
      </c>
      <c r="AI96" s="174">
        <v>150</v>
      </c>
      <c r="AJ96" s="160">
        <v>42520</v>
      </c>
      <c r="AK96" s="174"/>
      <c r="AL96" s="174"/>
      <c r="AM96" s="174">
        <v>95</v>
      </c>
      <c r="AN96" s="174"/>
      <c r="AO96" s="174"/>
      <c r="AP96" s="174"/>
      <c r="AR96" s="174"/>
      <c r="AS96" s="174"/>
      <c r="AT96" s="174"/>
      <c r="AU96" s="174"/>
      <c r="AV96" s="174"/>
      <c r="AW96" s="174"/>
      <c r="AX96" s="174"/>
      <c r="AY96" s="174"/>
      <c r="BC96" s="174"/>
      <c r="BD96" s="174"/>
      <c r="BE96" s="174"/>
      <c r="BG96" s="174"/>
      <c r="BI96" s="174"/>
      <c r="BJ96" s="174"/>
      <c r="BK96" s="174"/>
      <c r="BM96" s="174">
        <v>64.899000000000001</v>
      </c>
      <c r="BN96" s="174"/>
      <c r="BO96" s="174"/>
      <c r="BP96" s="174"/>
      <c r="BR96" s="174"/>
      <c r="BS96" s="174">
        <v>50.273000000000003</v>
      </c>
      <c r="BT96" s="174"/>
      <c r="BU96" s="190">
        <v>18.574211120605469</v>
      </c>
      <c r="BV96" s="159"/>
      <c r="BW96" s="174">
        <v>12.92</v>
      </c>
      <c r="BX96" s="159"/>
      <c r="BY96" s="159"/>
      <c r="CB96" s="165"/>
      <c r="CC96" s="174">
        <v>7.9379999999999997</v>
      </c>
      <c r="CD96" s="165"/>
      <c r="CE96" s="174">
        <v>7.4</v>
      </c>
      <c r="CF96" s="165"/>
      <c r="CH96" s="165"/>
      <c r="CJ96" s="165"/>
      <c r="CL96" s="165"/>
      <c r="CN96" s="165"/>
      <c r="CO96" s="130"/>
      <c r="CP96" s="165"/>
      <c r="CQ96" s="130"/>
      <c r="CR96" s="165"/>
      <c r="CS96" s="130"/>
      <c r="CT96" s="130"/>
      <c r="CU96" s="130"/>
      <c r="CV96" s="130"/>
      <c r="CW96" s="130"/>
      <c r="CX96" s="165"/>
      <c r="CY96" s="130"/>
      <c r="CZ96" s="130"/>
      <c r="DA96" s="130"/>
      <c r="DB96" s="130"/>
      <c r="DC96" s="130"/>
      <c r="DD96" s="130"/>
      <c r="DE96" s="130"/>
      <c r="DF96" s="130"/>
      <c r="DG96" s="130"/>
      <c r="DH96" s="130"/>
    </row>
    <row r="97" spans="1:112" ht="15">
      <c r="A97" s="169" t="s">
        <v>7435</v>
      </c>
      <c r="B97" s="175"/>
      <c r="C97" s="174">
        <v>6</v>
      </c>
      <c r="D97" s="174">
        <v>16</v>
      </c>
      <c r="E97" s="174">
        <v>6</v>
      </c>
      <c r="F97" s="174">
        <v>34</v>
      </c>
      <c r="I97" s="174"/>
      <c r="K97" s="188">
        <v>8</v>
      </c>
      <c r="L97" s="146">
        <v>42430</v>
      </c>
      <c r="M97" s="174">
        <v>8</v>
      </c>
      <c r="N97" s="189">
        <v>42580</v>
      </c>
      <c r="S97" s="174">
        <v>22.79</v>
      </c>
      <c r="U97" s="159">
        <v>18.5</v>
      </c>
      <c r="AE97" s="174">
        <v>44.75</v>
      </c>
      <c r="AG97" s="174">
        <v>4.46</v>
      </c>
      <c r="AI97" s="174">
        <v>160</v>
      </c>
      <c r="AJ97" s="160">
        <v>42520</v>
      </c>
      <c r="AK97" s="174"/>
      <c r="AL97" s="174"/>
      <c r="AM97" s="174">
        <v>98</v>
      </c>
      <c r="AN97" s="174"/>
      <c r="AO97" s="174"/>
      <c r="AP97" s="174"/>
      <c r="AR97" s="174"/>
      <c r="AS97" s="174"/>
      <c r="AT97" s="174"/>
      <c r="AU97" s="174"/>
      <c r="AV97" s="174"/>
      <c r="AW97" s="174"/>
      <c r="AX97" s="174"/>
      <c r="AY97" s="174"/>
      <c r="BC97" s="174"/>
      <c r="BD97" s="174"/>
      <c r="BE97" s="174"/>
      <c r="BG97" s="174"/>
      <c r="BI97" s="174"/>
      <c r="BJ97" s="174"/>
      <c r="BK97" s="174"/>
      <c r="BM97" s="174">
        <v>66.069000000000003</v>
      </c>
      <c r="BN97" s="174"/>
      <c r="BO97" s="174"/>
      <c r="BP97" s="174"/>
      <c r="BR97" s="174"/>
      <c r="BS97" s="174">
        <v>50.932000000000002</v>
      </c>
      <c r="BT97" s="174"/>
      <c r="BU97" s="190">
        <v>17.343603134155273</v>
      </c>
      <c r="BV97" s="159"/>
      <c r="BW97" s="174">
        <v>10.092000000000001</v>
      </c>
      <c r="BX97" s="159"/>
      <c r="BY97" s="159"/>
      <c r="CB97" s="165"/>
      <c r="CC97" s="174">
        <v>7.6319999999999997</v>
      </c>
      <c r="CD97" s="165"/>
      <c r="CE97" s="174">
        <v>7.4</v>
      </c>
      <c r="CF97" s="165"/>
      <c r="CH97" s="165"/>
      <c r="CJ97" s="165"/>
      <c r="CL97" s="165"/>
      <c r="CN97" s="165"/>
      <c r="CO97" s="130"/>
      <c r="CP97" s="165"/>
      <c r="CQ97" s="130"/>
      <c r="CR97" s="165"/>
      <c r="CS97" s="130"/>
      <c r="CT97" s="130"/>
      <c r="CU97" s="130"/>
      <c r="CV97" s="130"/>
      <c r="CW97" s="130"/>
      <c r="CX97" s="165"/>
      <c r="CY97" s="130"/>
      <c r="CZ97" s="130"/>
      <c r="DA97" s="130"/>
      <c r="DB97" s="130"/>
      <c r="DC97" s="130"/>
      <c r="DD97" s="130"/>
      <c r="DE97" s="130"/>
      <c r="DF97" s="130"/>
      <c r="DG97" s="130"/>
      <c r="DH97" s="130"/>
    </row>
    <row r="98" spans="1:112" ht="15">
      <c r="A98" s="169" t="s">
        <v>7693</v>
      </c>
      <c r="B98" s="175"/>
      <c r="C98" s="174">
        <v>1</v>
      </c>
      <c r="D98" s="174">
        <v>17</v>
      </c>
      <c r="E98" s="174">
        <v>1</v>
      </c>
      <c r="F98" s="174">
        <v>20</v>
      </c>
      <c r="I98" s="174"/>
      <c r="K98" s="188">
        <v>7</v>
      </c>
      <c r="L98" s="146">
        <v>42430</v>
      </c>
      <c r="M98" s="174">
        <v>7.38</v>
      </c>
      <c r="N98" s="189">
        <v>42580</v>
      </c>
      <c r="S98" s="174">
        <v>19.489999999999998</v>
      </c>
      <c r="U98" s="159">
        <v>18.5</v>
      </c>
      <c r="AE98" s="174">
        <v>40.840000000000003</v>
      </c>
      <c r="AG98" s="174">
        <v>4.22</v>
      </c>
      <c r="AI98" s="174">
        <v>180</v>
      </c>
      <c r="AJ98" s="160">
        <v>42520</v>
      </c>
      <c r="AK98" s="174"/>
      <c r="AL98" s="174"/>
      <c r="AM98" s="174">
        <v>95</v>
      </c>
      <c r="AN98" s="174"/>
      <c r="AO98" s="174"/>
      <c r="AP98" s="174"/>
      <c r="AR98" s="174"/>
      <c r="AS98" s="174"/>
      <c r="AT98" s="174"/>
      <c r="AU98" s="174"/>
      <c r="AV98" s="174"/>
      <c r="AW98" s="174"/>
      <c r="AX98" s="174"/>
      <c r="AY98" s="175"/>
      <c r="BC98" s="174"/>
      <c r="BD98" s="174"/>
      <c r="BE98" s="174"/>
      <c r="BG98" s="174"/>
      <c r="BI98" s="174"/>
      <c r="BJ98" s="174"/>
      <c r="BK98" s="174"/>
      <c r="BM98" s="174">
        <v>62.875</v>
      </c>
      <c r="BN98" s="174"/>
      <c r="BO98" s="174"/>
      <c r="BP98" s="174"/>
      <c r="BR98" s="174"/>
      <c r="BS98" s="174">
        <v>47.720999999999997</v>
      </c>
      <c r="BT98" s="174"/>
      <c r="BU98" s="190">
        <v>19.149007797241211</v>
      </c>
      <c r="BV98" s="159"/>
      <c r="BW98" s="174">
        <v>13.041</v>
      </c>
      <c r="BX98" s="159"/>
      <c r="BY98" s="159"/>
      <c r="CB98" s="165"/>
      <c r="CC98" s="174">
        <v>8.6199999999999992</v>
      </c>
      <c r="CD98" s="165"/>
      <c r="CE98" s="174">
        <v>8.3000000000000007</v>
      </c>
      <c r="CF98" s="165"/>
      <c r="CH98" s="165"/>
      <c r="CJ98" s="165"/>
      <c r="CL98" s="165"/>
      <c r="CN98" s="165"/>
      <c r="CO98" s="130"/>
      <c r="CP98" s="165"/>
      <c r="CQ98" s="130"/>
      <c r="CR98" s="165"/>
      <c r="CS98" s="130"/>
      <c r="CT98" s="130"/>
      <c r="CU98" s="130"/>
      <c r="CV98" s="130"/>
      <c r="CW98" s="130"/>
      <c r="CX98" s="165"/>
      <c r="CY98" s="130"/>
      <c r="CZ98" s="130"/>
      <c r="DA98" s="130"/>
      <c r="DB98" s="130"/>
      <c r="DC98" s="130"/>
      <c r="DD98" s="130"/>
      <c r="DE98" s="130"/>
      <c r="DF98" s="130"/>
      <c r="DG98" s="130"/>
      <c r="DH98" s="130"/>
    </row>
    <row r="99" spans="1:112" ht="15">
      <c r="A99" s="169" t="s">
        <v>7693</v>
      </c>
      <c r="B99" s="175"/>
      <c r="C99" s="174">
        <v>2</v>
      </c>
      <c r="D99" s="174">
        <v>17</v>
      </c>
      <c r="E99" s="174">
        <v>2</v>
      </c>
      <c r="F99" s="174">
        <v>12</v>
      </c>
      <c r="I99" s="174"/>
      <c r="K99" s="188">
        <v>8</v>
      </c>
      <c r="L99" s="146">
        <v>42430</v>
      </c>
      <c r="M99" s="174">
        <v>7.67</v>
      </c>
      <c r="N99" s="189">
        <v>42580</v>
      </c>
      <c r="S99" s="174">
        <v>20.27</v>
      </c>
      <c r="U99" s="159">
        <v>18.5</v>
      </c>
      <c r="AE99" s="174">
        <v>42.46</v>
      </c>
      <c r="AG99" s="174">
        <v>4.17</v>
      </c>
      <c r="AI99" s="174">
        <v>160</v>
      </c>
      <c r="AJ99" s="160">
        <v>42520</v>
      </c>
      <c r="AK99" s="174"/>
      <c r="AL99" s="174"/>
      <c r="AM99" s="174">
        <v>95</v>
      </c>
      <c r="AN99" s="174"/>
      <c r="AO99" s="174"/>
      <c r="AP99" s="174"/>
      <c r="AR99" s="174"/>
      <c r="AS99" s="174"/>
      <c r="AT99" s="174"/>
      <c r="AU99" s="174"/>
      <c r="AV99" s="174"/>
      <c r="AW99" s="174"/>
      <c r="AX99" s="174"/>
      <c r="AY99" s="174"/>
      <c r="BC99" s="174"/>
      <c r="BD99" s="174"/>
      <c r="BE99" s="174"/>
      <c r="BG99" s="174"/>
      <c r="BI99" s="174"/>
      <c r="BJ99" s="174"/>
      <c r="BK99" s="174"/>
      <c r="BM99" s="174">
        <v>61.502000000000002</v>
      </c>
      <c r="BN99" s="174"/>
      <c r="BO99" s="174"/>
      <c r="BP99" s="174"/>
      <c r="BR99" s="174"/>
      <c r="BS99" s="174">
        <v>47.741</v>
      </c>
      <c r="BT99" s="174"/>
      <c r="BU99" s="190">
        <v>18.857749938964844</v>
      </c>
      <c r="BV99" s="159"/>
      <c r="BW99" s="174">
        <v>12.741</v>
      </c>
      <c r="BX99" s="159"/>
      <c r="BY99" s="159"/>
      <c r="CB99" s="165"/>
      <c r="CC99" s="174">
        <v>8.5749999999999993</v>
      </c>
      <c r="CD99" s="165"/>
      <c r="CE99" s="174">
        <v>8.3000000000000007</v>
      </c>
      <c r="CF99" s="165"/>
      <c r="CH99" s="165"/>
      <c r="CJ99" s="165"/>
      <c r="CL99" s="165"/>
      <c r="CN99" s="165"/>
      <c r="CO99" s="130"/>
      <c r="CP99" s="165"/>
      <c r="CQ99" s="130"/>
      <c r="CR99" s="165"/>
      <c r="CS99" s="130"/>
      <c r="CT99" s="130"/>
      <c r="CU99" s="130"/>
      <c r="CV99" s="130"/>
      <c r="CW99" s="130"/>
      <c r="CX99" s="165"/>
      <c r="CY99" s="130"/>
      <c r="CZ99" s="130"/>
      <c r="DA99" s="130"/>
      <c r="DB99" s="130"/>
      <c r="DC99" s="130"/>
      <c r="DD99" s="130"/>
      <c r="DE99" s="130"/>
      <c r="DF99" s="130"/>
      <c r="DG99" s="130"/>
      <c r="DH99" s="130"/>
    </row>
    <row r="100" spans="1:112" ht="15">
      <c r="A100" s="169" t="s">
        <v>7693</v>
      </c>
      <c r="B100" s="175"/>
      <c r="C100" s="174">
        <v>3</v>
      </c>
      <c r="D100" s="174">
        <v>17</v>
      </c>
      <c r="E100" s="174">
        <v>3</v>
      </c>
      <c r="F100" s="174">
        <v>12</v>
      </c>
      <c r="I100" s="174"/>
      <c r="K100" s="188">
        <v>3</v>
      </c>
      <c r="L100" s="146">
        <v>42430</v>
      </c>
      <c r="M100" s="174">
        <v>7.17</v>
      </c>
      <c r="N100" s="189">
        <v>42580</v>
      </c>
      <c r="S100" s="174">
        <v>19.38</v>
      </c>
      <c r="U100" s="159">
        <v>18.5</v>
      </c>
      <c r="AE100" s="174">
        <v>39.619999999999997</v>
      </c>
      <c r="AG100" s="174">
        <v>4.21</v>
      </c>
      <c r="AI100" s="174">
        <v>160</v>
      </c>
      <c r="AJ100" s="160">
        <v>42520</v>
      </c>
      <c r="AK100" s="174"/>
      <c r="AL100" s="174"/>
      <c r="AM100" s="174">
        <v>95</v>
      </c>
      <c r="AN100" s="174"/>
      <c r="AO100" s="174"/>
      <c r="AP100" s="174"/>
      <c r="AR100" s="174"/>
      <c r="AS100" s="174"/>
      <c r="AT100" s="174"/>
      <c r="AU100" s="174"/>
      <c r="AV100" s="174"/>
      <c r="AW100" s="174"/>
      <c r="AX100" s="174"/>
      <c r="AY100" s="175"/>
      <c r="BC100" s="174"/>
      <c r="BD100" s="174"/>
      <c r="BE100" s="174"/>
      <c r="BG100" s="174"/>
      <c r="BI100" s="174"/>
      <c r="BJ100" s="174"/>
      <c r="BK100" s="174"/>
      <c r="BM100" s="174">
        <v>62.667000000000002</v>
      </c>
      <c r="BN100" s="174"/>
      <c r="BO100" s="174"/>
      <c r="BP100" s="174"/>
      <c r="BR100" s="174"/>
      <c r="BS100" s="174">
        <v>48.915999999999997</v>
      </c>
      <c r="BT100" s="174"/>
      <c r="BU100" s="190">
        <v>18.409591674804687</v>
      </c>
      <c r="BV100" s="159"/>
      <c r="BW100" s="174">
        <v>12.952</v>
      </c>
      <c r="BX100" s="159"/>
      <c r="BY100" s="159"/>
      <c r="CB100" s="165"/>
      <c r="CC100" s="174">
        <v>8.7520000000000007</v>
      </c>
      <c r="CD100" s="165"/>
      <c r="CE100" s="174">
        <v>8.5</v>
      </c>
      <c r="CF100" s="165"/>
      <c r="CH100" s="165"/>
      <c r="CJ100" s="165"/>
      <c r="CL100" s="165"/>
      <c r="CN100" s="165"/>
      <c r="CO100" s="130"/>
      <c r="CP100" s="165"/>
      <c r="CQ100" s="130"/>
      <c r="CR100" s="165"/>
      <c r="CS100" s="130"/>
      <c r="CT100" s="130"/>
      <c r="CU100" s="130"/>
      <c r="CV100" s="130"/>
      <c r="CW100" s="130"/>
      <c r="CX100" s="165"/>
      <c r="CY100" s="130"/>
      <c r="CZ100" s="130"/>
      <c r="DA100" s="130"/>
      <c r="DB100" s="130"/>
      <c r="DC100" s="130"/>
      <c r="DD100" s="130"/>
      <c r="DE100" s="130"/>
      <c r="DF100" s="130"/>
      <c r="DG100" s="130"/>
      <c r="DH100" s="130"/>
    </row>
    <row r="101" spans="1:112" ht="15">
      <c r="A101" s="169" t="s">
        <v>7693</v>
      </c>
      <c r="B101" s="175"/>
      <c r="C101" s="174">
        <v>4</v>
      </c>
      <c r="D101" s="174">
        <v>17</v>
      </c>
      <c r="E101" s="174">
        <v>4</v>
      </c>
      <c r="F101" s="174">
        <v>21</v>
      </c>
      <c r="I101" s="174"/>
      <c r="K101" s="188">
        <v>7</v>
      </c>
      <c r="L101" s="146">
        <v>42430</v>
      </c>
      <c r="M101" s="174">
        <v>7.75</v>
      </c>
      <c r="N101" s="189">
        <v>42580</v>
      </c>
      <c r="S101" s="174">
        <v>21.26</v>
      </c>
      <c r="U101" s="159">
        <v>18.5</v>
      </c>
      <c r="AE101" s="174">
        <v>43.07</v>
      </c>
      <c r="AG101" s="174">
        <v>3.85</v>
      </c>
      <c r="AI101" s="174">
        <v>160</v>
      </c>
      <c r="AJ101" s="160">
        <v>42520</v>
      </c>
      <c r="AK101" s="174"/>
      <c r="AL101" s="174"/>
      <c r="AM101" s="174">
        <v>95</v>
      </c>
      <c r="AN101" s="174"/>
      <c r="AO101" s="174"/>
      <c r="AP101" s="174"/>
      <c r="AR101" s="174"/>
      <c r="AS101" s="174"/>
      <c r="AT101" s="174"/>
      <c r="AU101" s="174"/>
      <c r="AV101" s="174"/>
      <c r="AW101" s="174"/>
      <c r="AX101" s="174"/>
      <c r="AY101" s="175"/>
      <c r="BC101" s="174"/>
      <c r="BD101" s="174"/>
      <c r="BE101" s="174"/>
      <c r="BG101" s="174"/>
      <c r="BI101" s="174"/>
      <c r="BJ101" s="174"/>
      <c r="BK101" s="174"/>
      <c r="BM101" s="174">
        <v>63.698999999999998</v>
      </c>
      <c r="BN101" s="174"/>
      <c r="BO101" s="174"/>
      <c r="BP101" s="174"/>
      <c r="BR101" s="174"/>
      <c r="BS101" s="174">
        <v>49.363999999999997</v>
      </c>
      <c r="BT101" s="174"/>
      <c r="BU101" s="190">
        <v>18.140909194946289</v>
      </c>
      <c r="BV101" s="159"/>
      <c r="BW101" s="174">
        <v>11.856999999999999</v>
      </c>
      <c r="BX101" s="159"/>
      <c r="BY101" s="159"/>
      <c r="CB101" s="165"/>
      <c r="CC101" s="174">
        <v>8.218</v>
      </c>
      <c r="CD101" s="165"/>
      <c r="CE101" s="174">
        <v>7.8</v>
      </c>
      <c r="CF101" s="165"/>
      <c r="CH101" s="165"/>
      <c r="CJ101" s="165"/>
      <c r="CL101" s="165"/>
      <c r="CN101" s="165"/>
      <c r="CO101" s="130"/>
      <c r="CP101" s="165"/>
      <c r="CQ101" s="130"/>
      <c r="CR101" s="165"/>
      <c r="CS101" s="130"/>
      <c r="CT101" s="130"/>
      <c r="CU101" s="130"/>
      <c r="CV101" s="130"/>
      <c r="CW101" s="130"/>
      <c r="CX101" s="165"/>
      <c r="CY101" s="130"/>
      <c r="CZ101" s="130"/>
      <c r="DA101" s="130"/>
      <c r="DB101" s="130"/>
      <c r="DC101" s="130"/>
      <c r="DD101" s="130"/>
      <c r="DE101" s="130"/>
      <c r="DF101" s="130"/>
      <c r="DG101" s="130"/>
      <c r="DH101" s="130"/>
    </row>
    <row r="102" spans="1:112" ht="15">
      <c r="A102" s="169" t="s">
        <v>7693</v>
      </c>
      <c r="B102" s="175"/>
      <c r="C102" s="174">
        <v>5</v>
      </c>
      <c r="D102" s="174">
        <v>17</v>
      </c>
      <c r="E102" s="174">
        <v>5</v>
      </c>
      <c r="F102" s="174">
        <v>20</v>
      </c>
      <c r="I102" s="174"/>
      <c r="K102" s="188">
        <v>5</v>
      </c>
      <c r="L102" s="146">
        <v>42430</v>
      </c>
      <c r="M102" s="174">
        <v>7.61</v>
      </c>
      <c r="N102" s="189">
        <v>42580</v>
      </c>
      <c r="S102" s="174">
        <v>21.34</v>
      </c>
      <c r="U102" s="159">
        <v>18.5</v>
      </c>
      <c r="AE102" s="174">
        <v>42.31</v>
      </c>
      <c r="AG102" s="174">
        <v>4.0599999999999996</v>
      </c>
      <c r="AI102" s="174">
        <v>150</v>
      </c>
      <c r="AJ102" s="160">
        <v>42520</v>
      </c>
      <c r="AK102" s="174"/>
      <c r="AL102" s="174"/>
      <c r="AM102" s="174">
        <v>98</v>
      </c>
      <c r="AN102" s="174"/>
      <c r="AO102" s="174"/>
      <c r="AP102" s="174"/>
      <c r="AR102" s="174"/>
      <c r="AS102" s="174"/>
      <c r="AT102" s="174"/>
      <c r="AU102" s="174"/>
      <c r="AV102" s="174"/>
      <c r="AW102" s="174"/>
      <c r="AX102" s="174"/>
      <c r="AY102" s="174"/>
      <c r="BC102" s="174"/>
      <c r="BD102" s="174"/>
      <c r="BE102" s="174"/>
      <c r="BG102" s="174"/>
      <c r="BI102" s="174"/>
      <c r="BJ102" s="174"/>
      <c r="BK102" s="174"/>
      <c r="BM102" s="174">
        <v>63.4</v>
      </c>
      <c r="BN102" s="174"/>
      <c r="BO102" s="174"/>
      <c r="BP102" s="174"/>
      <c r="BR102" s="174"/>
      <c r="BS102" s="174">
        <v>50.429000000000002</v>
      </c>
      <c r="BT102" s="174"/>
      <c r="BU102" s="190">
        <v>16.804361343383789</v>
      </c>
      <c r="BV102" s="159"/>
      <c r="BW102" s="174">
        <v>12.002000000000001</v>
      </c>
      <c r="BX102" s="159"/>
      <c r="BY102" s="159"/>
      <c r="CB102" s="165"/>
      <c r="CC102" s="174">
        <v>8.1769999999999996</v>
      </c>
      <c r="CD102" s="165"/>
      <c r="CE102" s="174">
        <v>7.7</v>
      </c>
      <c r="CF102" s="165"/>
      <c r="CH102" s="165"/>
      <c r="CJ102" s="165"/>
      <c r="CL102" s="165"/>
      <c r="CN102" s="165"/>
      <c r="CO102" s="130"/>
      <c r="CP102" s="165"/>
      <c r="CQ102" s="130"/>
      <c r="CR102" s="165"/>
      <c r="CS102" s="130"/>
      <c r="CT102" s="130"/>
      <c r="CU102" s="130"/>
      <c r="CV102" s="130"/>
      <c r="CW102" s="130"/>
      <c r="CX102" s="165"/>
      <c r="CY102" s="130"/>
      <c r="CZ102" s="130"/>
      <c r="DA102" s="130"/>
      <c r="DB102" s="130"/>
      <c r="DC102" s="130"/>
      <c r="DD102" s="130"/>
      <c r="DE102" s="130"/>
      <c r="DF102" s="130"/>
      <c r="DG102" s="130"/>
      <c r="DH102" s="130"/>
    </row>
    <row r="103" spans="1:112" ht="15">
      <c r="A103" s="169" t="s">
        <v>7693</v>
      </c>
      <c r="B103" s="175"/>
      <c r="C103" s="174">
        <v>6</v>
      </c>
      <c r="D103" s="174">
        <v>17</v>
      </c>
      <c r="E103" s="174">
        <v>6</v>
      </c>
      <c r="F103" s="174">
        <v>2</v>
      </c>
      <c r="I103" s="174"/>
      <c r="K103" s="188">
        <v>5</v>
      </c>
      <c r="L103" s="146">
        <v>42430</v>
      </c>
      <c r="M103" s="174">
        <v>7.38</v>
      </c>
      <c r="N103" s="189">
        <v>42580</v>
      </c>
      <c r="S103" s="174">
        <v>20.11</v>
      </c>
      <c r="U103" s="159">
        <v>18.5</v>
      </c>
      <c r="AE103" s="174">
        <v>40.99</v>
      </c>
      <c r="AG103" s="174">
        <v>4.4400000000000004</v>
      </c>
      <c r="AI103" s="174">
        <v>170</v>
      </c>
      <c r="AJ103" s="160">
        <v>42520</v>
      </c>
      <c r="AK103" s="174"/>
      <c r="AL103" s="174"/>
      <c r="AM103" s="174">
        <v>95</v>
      </c>
      <c r="AN103" s="174"/>
      <c r="AO103" s="174"/>
      <c r="AP103" s="174"/>
      <c r="AR103" s="174"/>
      <c r="AS103" s="174"/>
      <c r="AT103" s="174"/>
      <c r="AU103" s="174"/>
      <c r="AV103" s="174"/>
      <c r="AW103" s="174"/>
      <c r="AX103" s="174"/>
      <c r="AY103" s="174"/>
      <c r="BC103" s="174"/>
      <c r="BD103" s="174"/>
      <c r="BE103" s="174"/>
      <c r="BG103" s="174"/>
      <c r="BI103" s="174"/>
      <c r="BJ103" s="174"/>
      <c r="BK103" s="174"/>
      <c r="BM103" s="174">
        <v>63.265999999999998</v>
      </c>
      <c r="BN103" s="174"/>
      <c r="BO103" s="174"/>
      <c r="BP103" s="174"/>
      <c r="BR103" s="174"/>
      <c r="BS103" s="174">
        <v>49.058</v>
      </c>
      <c r="BT103" s="174"/>
      <c r="BU103" s="190">
        <v>18.371063232421875</v>
      </c>
      <c r="BV103" s="159"/>
      <c r="BW103" s="174">
        <v>12.537000000000001</v>
      </c>
      <c r="BX103" s="159"/>
      <c r="BY103" s="159"/>
      <c r="CB103" s="165"/>
      <c r="CC103" s="174">
        <v>8.2859999999999996</v>
      </c>
      <c r="CD103" s="165"/>
      <c r="CE103" s="174">
        <v>7.7</v>
      </c>
      <c r="CF103" s="165"/>
      <c r="CH103" s="165"/>
      <c r="CJ103" s="165"/>
      <c r="CL103" s="165"/>
      <c r="CN103" s="165"/>
      <c r="CO103" s="130"/>
      <c r="CP103" s="165"/>
      <c r="CQ103" s="130"/>
      <c r="CR103" s="165"/>
      <c r="CS103" s="130"/>
      <c r="CT103" s="130"/>
      <c r="CU103" s="130"/>
      <c r="CV103" s="130"/>
      <c r="CW103" s="130"/>
      <c r="CX103" s="165"/>
      <c r="CY103" s="130"/>
      <c r="CZ103" s="130"/>
      <c r="DA103" s="130"/>
      <c r="DB103" s="130"/>
      <c r="DC103" s="130"/>
      <c r="DD103" s="130"/>
      <c r="DE103" s="130"/>
      <c r="DF103" s="130"/>
      <c r="DG103" s="130"/>
      <c r="DH103" s="130"/>
    </row>
    <row r="104" spans="1:112" ht="15">
      <c r="A104" s="169" t="s">
        <v>7694</v>
      </c>
      <c r="B104" s="175"/>
      <c r="C104" s="174">
        <v>1</v>
      </c>
      <c r="D104" s="174">
        <v>18</v>
      </c>
      <c r="E104" s="174">
        <v>1</v>
      </c>
      <c r="F104" s="174">
        <v>31</v>
      </c>
      <c r="I104" s="174"/>
      <c r="K104" s="188">
        <v>8</v>
      </c>
      <c r="L104" s="146">
        <v>42430</v>
      </c>
      <c r="M104" s="174">
        <v>7.42</v>
      </c>
      <c r="N104" s="189">
        <v>42580</v>
      </c>
      <c r="S104" s="174">
        <v>20.27</v>
      </c>
      <c r="U104" s="159">
        <v>18.5</v>
      </c>
      <c r="AE104" s="174">
        <v>41.51</v>
      </c>
      <c r="AG104" s="174">
        <v>4.7699999999999996</v>
      </c>
      <c r="AI104" s="174">
        <v>170</v>
      </c>
      <c r="AJ104" s="160">
        <v>42520</v>
      </c>
      <c r="AK104" s="174"/>
      <c r="AL104" s="174"/>
      <c r="AM104" s="174">
        <v>92</v>
      </c>
      <c r="AN104" s="174"/>
      <c r="AO104" s="174"/>
      <c r="AP104" s="174"/>
      <c r="AR104" s="174"/>
      <c r="AS104" s="174"/>
      <c r="AT104" s="174"/>
      <c r="AU104" s="174"/>
      <c r="AV104" s="174"/>
      <c r="AW104" s="174"/>
      <c r="AX104" s="174"/>
      <c r="AY104" s="174"/>
      <c r="BC104" s="174"/>
      <c r="BD104" s="174"/>
      <c r="BE104" s="174"/>
      <c r="BG104" s="174"/>
      <c r="BI104" s="174"/>
      <c r="BJ104" s="174"/>
      <c r="BK104" s="174"/>
      <c r="BM104" s="174">
        <v>64.552000000000007</v>
      </c>
      <c r="BN104" s="174"/>
      <c r="BO104" s="174"/>
      <c r="BP104" s="174"/>
      <c r="BR104" s="174"/>
      <c r="BS104" s="174">
        <v>48.835000000000001</v>
      </c>
      <c r="BT104" s="174"/>
      <c r="BU104" s="190">
        <v>20.469867706298828</v>
      </c>
      <c r="BV104" s="159"/>
      <c r="BW104" s="174">
        <v>15.286</v>
      </c>
      <c r="BX104" s="159"/>
      <c r="BY104" s="159"/>
      <c r="CB104" s="165"/>
      <c r="CC104" s="174">
        <v>7.6239999999999997</v>
      </c>
      <c r="CD104" s="165"/>
      <c r="CE104" s="174">
        <v>7.5</v>
      </c>
      <c r="CF104" s="165"/>
      <c r="CH104" s="165"/>
      <c r="CJ104" s="165"/>
      <c r="CL104" s="165"/>
      <c r="CN104" s="165"/>
      <c r="CO104" s="130"/>
      <c r="CP104" s="165"/>
      <c r="CQ104" s="130"/>
      <c r="CR104" s="165"/>
      <c r="CS104" s="130"/>
      <c r="CT104" s="130"/>
      <c r="CU104" s="130"/>
      <c r="CV104" s="130"/>
      <c r="CW104" s="130"/>
      <c r="CX104" s="165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/>
    </row>
    <row r="105" spans="1:112" ht="15">
      <c r="A105" s="169" t="s">
        <v>7694</v>
      </c>
      <c r="B105" s="175"/>
      <c r="C105" s="174">
        <v>2</v>
      </c>
      <c r="D105" s="174">
        <v>18</v>
      </c>
      <c r="E105" s="174">
        <v>2</v>
      </c>
      <c r="F105" s="174">
        <v>19</v>
      </c>
      <c r="I105" s="174"/>
      <c r="K105" s="188">
        <v>7</v>
      </c>
      <c r="L105" s="146">
        <v>42430</v>
      </c>
      <c r="M105" s="174">
        <v>7.9</v>
      </c>
      <c r="N105" s="189">
        <v>42580</v>
      </c>
      <c r="S105" s="174">
        <v>20.96</v>
      </c>
      <c r="U105" s="159">
        <v>18.5</v>
      </c>
      <c r="AE105" s="174">
        <v>43.95</v>
      </c>
      <c r="AG105" s="174">
        <v>4.1100000000000003</v>
      </c>
      <c r="AI105" s="174">
        <v>165</v>
      </c>
      <c r="AJ105" s="160">
        <v>42520</v>
      </c>
      <c r="AK105" s="174"/>
      <c r="AL105" s="174"/>
      <c r="AM105" s="174">
        <v>92</v>
      </c>
      <c r="AN105" s="174"/>
      <c r="AO105" s="174"/>
      <c r="AP105" s="174"/>
      <c r="AR105" s="174"/>
      <c r="AS105" s="174"/>
      <c r="AT105" s="174"/>
      <c r="AU105" s="174"/>
      <c r="AV105" s="174"/>
      <c r="AW105" s="174"/>
      <c r="AX105" s="174"/>
      <c r="AY105" s="174"/>
      <c r="BC105" s="174"/>
      <c r="BD105" s="174"/>
      <c r="BE105" s="174"/>
      <c r="BG105" s="174"/>
      <c r="BI105" s="174"/>
      <c r="BJ105" s="174"/>
      <c r="BK105" s="174"/>
      <c r="BM105" s="174">
        <v>64.316999999999993</v>
      </c>
      <c r="BN105" s="174"/>
      <c r="BO105" s="174"/>
      <c r="BP105" s="174"/>
      <c r="BR105" s="174"/>
      <c r="BS105" s="174">
        <v>47.694000000000003</v>
      </c>
      <c r="BT105" s="174"/>
      <c r="BU105" s="190">
        <v>19.596456527709961</v>
      </c>
      <c r="BV105" s="159"/>
      <c r="BW105" s="174">
        <v>15.807</v>
      </c>
      <c r="BX105" s="159"/>
      <c r="BY105" s="159"/>
      <c r="CB105" s="165"/>
      <c r="CC105" s="174">
        <v>8.1340000000000003</v>
      </c>
      <c r="CD105" s="165"/>
      <c r="CE105" s="174">
        <v>7.8</v>
      </c>
      <c r="CF105" s="165"/>
      <c r="CH105" s="165"/>
      <c r="CJ105" s="165"/>
      <c r="CL105" s="165"/>
      <c r="CN105" s="165"/>
      <c r="CO105" s="130"/>
      <c r="CP105" s="165"/>
      <c r="CQ105" s="130"/>
      <c r="CR105" s="165"/>
      <c r="CS105" s="130"/>
      <c r="CT105" s="130"/>
      <c r="CU105" s="130"/>
      <c r="CV105" s="130"/>
      <c r="CW105" s="130"/>
      <c r="CX105" s="165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/>
    </row>
    <row r="106" spans="1:112" ht="15">
      <c r="A106" s="169" t="s">
        <v>7694</v>
      </c>
      <c r="B106" s="175"/>
      <c r="C106" s="174">
        <v>3</v>
      </c>
      <c r="D106" s="174">
        <v>18</v>
      </c>
      <c r="E106" s="174">
        <v>3</v>
      </c>
      <c r="F106" s="174">
        <v>16</v>
      </c>
      <c r="I106" s="174"/>
      <c r="K106" s="188">
        <v>5</v>
      </c>
      <c r="L106" s="146">
        <v>42430</v>
      </c>
      <c r="M106" s="174">
        <v>7.82</v>
      </c>
      <c r="N106" s="189">
        <v>42580</v>
      </c>
      <c r="S106" s="174">
        <v>21.39</v>
      </c>
      <c r="U106" s="159">
        <v>18.5</v>
      </c>
      <c r="AE106" s="174">
        <v>43.41</v>
      </c>
      <c r="AG106" s="174">
        <v>4.43</v>
      </c>
      <c r="AI106" s="174">
        <v>170</v>
      </c>
      <c r="AJ106" s="160">
        <v>42520</v>
      </c>
      <c r="AK106" s="174"/>
      <c r="AL106" s="174"/>
      <c r="AM106" s="174">
        <v>95</v>
      </c>
      <c r="AN106" s="174"/>
      <c r="AO106" s="174"/>
      <c r="AP106" s="174"/>
      <c r="AR106" s="174"/>
      <c r="AS106" s="174"/>
      <c r="AT106" s="174"/>
      <c r="AU106" s="174"/>
      <c r="AV106" s="174"/>
      <c r="AW106" s="174"/>
      <c r="AX106" s="174"/>
      <c r="AY106" s="174"/>
      <c r="BC106" s="174"/>
      <c r="BD106" s="174"/>
      <c r="BE106" s="174"/>
      <c r="BG106" s="174"/>
      <c r="BI106" s="174"/>
      <c r="BJ106" s="174"/>
      <c r="BK106" s="174"/>
      <c r="BM106" s="174">
        <v>65.287999999999997</v>
      </c>
      <c r="BN106" s="174"/>
      <c r="BO106" s="174"/>
      <c r="BP106" s="174"/>
      <c r="BR106" s="174"/>
      <c r="BS106" s="174">
        <v>49.283999999999999</v>
      </c>
      <c r="BT106" s="174"/>
      <c r="BU106" s="190">
        <v>19.811084747314453</v>
      </c>
      <c r="BV106" s="159"/>
      <c r="BW106" s="174">
        <v>12.095000000000001</v>
      </c>
      <c r="BX106" s="159"/>
      <c r="BY106" s="159"/>
      <c r="CB106" s="165"/>
      <c r="CC106" s="174">
        <v>8.3209999999999997</v>
      </c>
      <c r="CD106" s="165"/>
      <c r="CE106" s="174">
        <v>7.9</v>
      </c>
      <c r="CF106" s="165"/>
      <c r="CH106" s="165"/>
      <c r="CJ106" s="165"/>
      <c r="CL106" s="165"/>
      <c r="CN106" s="165"/>
      <c r="CO106" s="130"/>
      <c r="CP106" s="165"/>
      <c r="CQ106" s="130"/>
      <c r="CR106" s="165"/>
      <c r="CS106" s="130"/>
      <c r="CT106" s="130"/>
      <c r="CU106" s="130"/>
      <c r="CV106" s="130"/>
      <c r="CW106" s="130"/>
      <c r="CX106" s="165"/>
      <c r="CY106" s="130"/>
      <c r="CZ106" s="130"/>
      <c r="DA106" s="130"/>
      <c r="DB106" s="130"/>
      <c r="DC106" s="130"/>
      <c r="DD106" s="130"/>
      <c r="DE106" s="130"/>
      <c r="DF106" s="130"/>
      <c r="DG106" s="130"/>
      <c r="DH106" s="130"/>
    </row>
    <row r="107" spans="1:112" ht="15">
      <c r="A107" s="169" t="s">
        <v>7694</v>
      </c>
      <c r="B107" s="175"/>
      <c r="C107" s="174">
        <v>4</v>
      </c>
      <c r="D107" s="174">
        <v>18</v>
      </c>
      <c r="E107" s="174">
        <v>4</v>
      </c>
      <c r="F107" s="174">
        <v>2</v>
      </c>
      <c r="I107" s="174"/>
      <c r="K107" s="188">
        <v>7</v>
      </c>
      <c r="L107" s="146">
        <v>42430</v>
      </c>
      <c r="M107" s="174">
        <v>6.31</v>
      </c>
      <c r="N107" s="189">
        <v>42580</v>
      </c>
      <c r="S107" s="174">
        <v>17.579999999999998</v>
      </c>
      <c r="U107" s="159">
        <v>18.5</v>
      </c>
      <c r="AE107" s="174">
        <v>35.22</v>
      </c>
      <c r="AG107" s="174">
        <v>5</v>
      </c>
      <c r="AI107" s="174">
        <v>160</v>
      </c>
      <c r="AJ107" s="160">
        <v>42520</v>
      </c>
      <c r="AK107" s="174"/>
      <c r="AL107" s="174"/>
      <c r="AM107" s="174">
        <v>95</v>
      </c>
      <c r="AN107" s="174"/>
      <c r="AO107" s="174"/>
      <c r="AP107" s="174"/>
      <c r="AR107" s="174"/>
      <c r="AS107" s="174"/>
      <c r="AT107" s="174"/>
      <c r="AU107" s="174"/>
      <c r="AV107" s="174"/>
      <c r="AW107" s="174"/>
      <c r="AX107" s="174"/>
      <c r="AY107" s="174"/>
      <c r="BC107" s="174"/>
      <c r="BD107" s="174"/>
      <c r="BE107" s="174"/>
      <c r="BG107" s="174"/>
      <c r="BI107" s="174"/>
      <c r="BJ107" s="174"/>
      <c r="BK107" s="174"/>
      <c r="BM107" s="174">
        <v>64.02</v>
      </c>
      <c r="BN107" s="174"/>
      <c r="BO107" s="174"/>
      <c r="BP107" s="174"/>
      <c r="BR107" s="174"/>
      <c r="BS107" s="174">
        <v>49.914999999999999</v>
      </c>
      <c r="BT107" s="174"/>
      <c r="BU107" s="190">
        <v>18.652154922485352</v>
      </c>
      <c r="BV107" s="159"/>
      <c r="BW107" s="174">
        <v>12.132</v>
      </c>
      <c r="BX107" s="159"/>
      <c r="BY107" s="159"/>
      <c r="CB107" s="165"/>
      <c r="CC107" s="174">
        <v>7.8150000000000004</v>
      </c>
      <c r="CD107" s="165"/>
      <c r="CE107" s="174">
        <v>7.3</v>
      </c>
      <c r="CF107" s="165"/>
      <c r="CH107" s="165"/>
      <c r="CJ107" s="165"/>
      <c r="CL107" s="165"/>
      <c r="CN107" s="165"/>
      <c r="CO107" s="130"/>
      <c r="CP107" s="165"/>
      <c r="CQ107" s="130"/>
      <c r="CR107" s="165"/>
      <c r="CS107" s="130"/>
      <c r="CT107" s="130"/>
      <c r="CU107" s="130"/>
      <c r="CV107" s="130"/>
      <c r="CW107" s="130"/>
      <c r="CX107" s="165"/>
      <c r="CY107" s="130"/>
      <c r="CZ107" s="130"/>
      <c r="DA107" s="130"/>
      <c r="DB107" s="130"/>
      <c r="DC107" s="130"/>
      <c r="DD107" s="130"/>
      <c r="DE107" s="130"/>
      <c r="DF107" s="130"/>
      <c r="DG107" s="130"/>
      <c r="DH107" s="130"/>
    </row>
    <row r="108" spans="1:112" ht="15">
      <c r="A108" s="169" t="s">
        <v>7694</v>
      </c>
      <c r="B108" s="175"/>
      <c r="C108" s="174">
        <v>5</v>
      </c>
      <c r="D108" s="174">
        <v>18</v>
      </c>
      <c r="E108" s="174">
        <v>5</v>
      </c>
      <c r="F108" s="174">
        <v>3</v>
      </c>
      <c r="I108" s="174"/>
      <c r="K108" s="188">
        <v>7</v>
      </c>
      <c r="L108" s="146">
        <v>42430</v>
      </c>
      <c r="M108" s="174">
        <v>6.7</v>
      </c>
      <c r="N108" s="189">
        <v>42580</v>
      </c>
      <c r="S108" s="174">
        <v>18.649999999999999</v>
      </c>
      <c r="U108" s="159">
        <v>18.5</v>
      </c>
      <c r="AE108" s="174">
        <v>37.43</v>
      </c>
      <c r="AG108" s="174">
        <v>4.08</v>
      </c>
      <c r="AI108" s="174">
        <v>150</v>
      </c>
      <c r="AJ108" s="160">
        <v>42520</v>
      </c>
      <c r="AK108" s="174"/>
      <c r="AL108" s="174"/>
      <c r="AM108" s="174">
        <v>92</v>
      </c>
      <c r="AN108" s="174"/>
      <c r="AO108" s="174"/>
      <c r="AP108" s="174"/>
      <c r="AR108" s="174"/>
      <c r="AS108" s="174"/>
      <c r="AT108" s="174"/>
      <c r="AU108" s="174"/>
      <c r="AV108" s="174"/>
      <c r="AW108" s="174"/>
      <c r="AX108" s="174"/>
      <c r="AY108" s="174"/>
      <c r="BC108" s="174"/>
      <c r="BD108" s="174"/>
      <c r="BE108" s="174"/>
      <c r="BG108" s="174"/>
      <c r="BI108" s="174"/>
      <c r="BJ108" s="174"/>
      <c r="BK108" s="174"/>
      <c r="BM108" s="174">
        <v>65.444000000000003</v>
      </c>
      <c r="BN108" s="174"/>
      <c r="BO108" s="174"/>
      <c r="BP108" s="174"/>
      <c r="BR108" s="174"/>
      <c r="BS108" s="174">
        <v>49.829000000000001</v>
      </c>
      <c r="BT108" s="174"/>
      <c r="BU108" s="190">
        <v>18.514385223388672</v>
      </c>
      <c r="BV108" s="159"/>
      <c r="BW108" s="174">
        <v>12.009</v>
      </c>
      <c r="BX108" s="159"/>
      <c r="BY108" s="159"/>
      <c r="CB108" s="165"/>
      <c r="CC108" s="174">
        <v>7.75</v>
      </c>
      <c r="CD108" s="165"/>
      <c r="CE108" s="174">
        <v>7.3</v>
      </c>
      <c r="CF108" s="165"/>
      <c r="CH108" s="165"/>
      <c r="CJ108" s="165"/>
      <c r="CL108" s="165"/>
      <c r="CN108" s="165"/>
      <c r="CO108" s="130"/>
      <c r="CP108" s="165"/>
      <c r="CQ108" s="130"/>
      <c r="CR108" s="165"/>
      <c r="CS108" s="130"/>
      <c r="CT108" s="130"/>
      <c r="CU108" s="130"/>
      <c r="CV108" s="130"/>
      <c r="CW108" s="130"/>
      <c r="CX108" s="165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/>
    </row>
    <row r="109" spans="1:112" ht="15">
      <c r="A109" s="169" t="s">
        <v>7694</v>
      </c>
      <c r="B109" s="175"/>
      <c r="C109" s="174">
        <v>6</v>
      </c>
      <c r="D109" s="174">
        <v>18</v>
      </c>
      <c r="E109" s="174">
        <v>6</v>
      </c>
      <c r="F109" s="174">
        <v>7</v>
      </c>
      <c r="I109" s="174"/>
      <c r="K109" s="188">
        <v>7</v>
      </c>
      <c r="L109" s="146">
        <v>42430</v>
      </c>
      <c r="M109" s="174">
        <v>6.97</v>
      </c>
      <c r="N109" s="189">
        <v>42580</v>
      </c>
      <c r="S109" s="174">
        <v>19.54</v>
      </c>
      <c r="U109" s="159">
        <v>18.5</v>
      </c>
      <c r="AE109" s="174">
        <v>39</v>
      </c>
      <c r="AG109" s="174">
        <v>4.18</v>
      </c>
      <c r="AI109" s="174">
        <v>160</v>
      </c>
      <c r="AJ109" s="160">
        <v>42520</v>
      </c>
      <c r="AK109" s="174"/>
      <c r="AL109" s="174"/>
      <c r="AM109" s="174">
        <v>92</v>
      </c>
      <c r="AN109" s="174"/>
      <c r="AO109" s="174"/>
      <c r="AP109" s="174"/>
      <c r="AR109" s="174"/>
      <c r="AS109" s="174"/>
      <c r="AT109" s="174"/>
      <c r="AU109" s="174"/>
      <c r="AV109" s="174"/>
      <c r="AW109" s="174"/>
      <c r="AX109" s="174"/>
      <c r="AY109" s="174"/>
      <c r="BC109" s="174"/>
      <c r="BD109" s="174"/>
      <c r="BE109" s="174"/>
      <c r="BG109" s="174"/>
      <c r="BI109" s="174"/>
      <c r="BJ109" s="174"/>
      <c r="BK109" s="174"/>
      <c r="BM109" s="174">
        <v>65.141999999999996</v>
      </c>
      <c r="BN109" s="174"/>
      <c r="BO109" s="174"/>
      <c r="BP109" s="174"/>
      <c r="BR109" s="174"/>
      <c r="BS109" s="174">
        <v>50.101999999999997</v>
      </c>
      <c r="BT109" s="174"/>
      <c r="BU109" s="190">
        <v>18.556724548339844</v>
      </c>
      <c r="BV109" s="159"/>
      <c r="BW109" s="174">
        <v>14.576000000000001</v>
      </c>
      <c r="BX109" s="159"/>
      <c r="BY109" s="159"/>
      <c r="CB109" s="165"/>
      <c r="CC109" s="174">
        <v>7.6040000000000001</v>
      </c>
      <c r="CD109" s="165"/>
      <c r="CE109" s="174">
        <v>7.3</v>
      </c>
      <c r="CF109" s="165"/>
      <c r="CH109" s="165"/>
      <c r="CJ109" s="165"/>
      <c r="CL109" s="165"/>
      <c r="CN109" s="165"/>
      <c r="CO109" s="130"/>
      <c r="CP109" s="165"/>
      <c r="CQ109" s="130"/>
      <c r="CR109" s="165"/>
      <c r="CS109" s="130"/>
      <c r="CT109" s="130"/>
      <c r="CU109" s="130"/>
      <c r="CV109" s="130"/>
      <c r="CW109" s="130"/>
      <c r="CX109" s="165"/>
      <c r="CY109" s="130"/>
      <c r="CZ109" s="130"/>
      <c r="DA109" s="130"/>
      <c r="DB109" s="130"/>
      <c r="DC109" s="130"/>
      <c r="DD109" s="130"/>
      <c r="DE109" s="130"/>
      <c r="DF109" s="130"/>
      <c r="DG109" s="130"/>
      <c r="DH109" s="130"/>
    </row>
    <row r="110" spans="1:112" ht="15">
      <c r="A110" s="169" t="s">
        <v>7695</v>
      </c>
      <c r="B110" s="175"/>
      <c r="C110" s="174">
        <v>1</v>
      </c>
      <c r="D110" s="174">
        <v>19</v>
      </c>
      <c r="E110" s="174">
        <v>1</v>
      </c>
      <c r="F110" s="174">
        <v>15</v>
      </c>
      <c r="I110" s="174"/>
      <c r="K110" s="188">
        <v>7</v>
      </c>
      <c r="L110" s="146">
        <v>42430</v>
      </c>
      <c r="M110" s="174">
        <v>7.34</v>
      </c>
      <c r="N110" s="189">
        <v>42580</v>
      </c>
      <c r="S110" s="174">
        <v>19.97</v>
      </c>
      <c r="U110" s="159">
        <v>18.5</v>
      </c>
      <c r="AE110" s="174">
        <v>40.92</v>
      </c>
      <c r="AG110" s="174">
        <v>4.79</v>
      </c>
      <c r="AI110" s="174">
        <v>170</v>
      </c>
      <c r="AJ110" s="160">
        <v>42520</v>
      </c>
      <c r="AK110" s="174"/>
      <c r="AL110" s="174"/>
      <c r="AM110" s="174">
        <v>95</v>
      </c>
      <c r="AN110" s="174"/>
      <c r="AO110" s="174"/>
      <c r="AP110" s="174"/>
      <c r="AR110" s="174"/>
      <c r="AS110" s="174"/>
      <c r="AT110" s="174"/>
      <c r="AU110" s="174"/>
      <c r="AV110" s="174"/>
      <c r="AW110" s="174"/>
      <c r="AX110" s="174"/>
      <c r="AY110" s="175"/>
      <c r="BC110" s="174"/>
      <c r="BD110" s="174"/>
      <c r="BE110" s="174"/>
      <c r="BG110" s="174"/>
      <c r="BI110" s="174"/>
      <c r="BJ110" s="174"/>
      <c r="BK110" s="174"/>
      <c r="BM110" s="174">
        <v>64.712999999999994</v>
      </c>
      <c r="BN110" s="174"/>
      <c r="BO110" s="174"/>
      <c r="BP110" s="174"/>
      <c r="BR110" s="174"/>
      <c r="BS110" s="174">
        <v>48.813000000000002</v>
      </c>
      <c r="BT110" s="174"/>
      <c r="BU110" s="190">
        <v>20.186704635620117</v>
      </c>
      <c r="BV110" s="159"/>
      <c r="BW110" s="174">
        <v>14.722</v>
      </c>
      <c r="BX110" s="159"/>
      <c r="BY110" s="159"/>
      <c r="CB110" s="165"/>
      <c r="CC110" s="174">
        <v>7.94</v>
      </c>
      <c r="CD110" s="165"/>
      <c r="CE110" s="174">
        <v>7.9</v>
      </c>
      <c r="CF110" s="165"/>
      <c r="CH110" s="165"/>
      <c r="CJ110" s="165"/>
      <c r="CL110" s="165"/>
      <c r="CN110" s="165"/>
      <c r="CO110" s="130"/>
      <c r="CP110" s="165"/>
      <c r="CQ110" s="130"/>
      <c r="CR110" s="165"/>
      <c r="CS110" s="130"/>
      <c r="CT110" s="130"/>
      <c r="CU110" s="130"/>
      <c r="CV110" s="130"/>
      <c r="CW110" s="130"/>
      <c r="CX110" s="165"/>
      <c r="CY110" s="130"/>
      <c r="CZ110" s="130"/>
      <c r="DA110" s="130"/>
      <c r="DB110" s="130"/>
      <c r="DC110" s="130"/>
      <c r="DD110" s="130"/>
      <c r="DE110" s="130"/>
      <c r="DF110" s="130"/>
      <c r="DG110" s="130"/>
      <c r="DH110" s="130"/>
    </row>
    <row r="111" spans="1:112" ht="15">
      <c r="A111" s="169" t="s">
        <v>7695</v>
      </c>
      <c r="B111" s="175"/>
      <c r="C111" s="174">
        <v>2</v>
      </c>
      <c r="D111" s="174">
        <v>19</v>
      </c>
      <c r="E111" s="174">
        <v>2</v>
      </c>
      <c r="F111" s="174">
        <v>34</v>
      </c>
      <c r="I111" s="174"/>
      <c r="K111" s="188">
        <v>8</v>
      </c>
      <c r="L111" s="146">
        <v>42430</v>
      </c>
      <c r="M111" s="174">
        <v>7.21</v>
      </c>
      <c r="N111" s="189">
        <v>42580</v>
      </c>
      <c r="S111" s="174">
        <v>19.39</v>
      </c>
      <c r="U111" s="159">
        <v>18.5</v>
      </c>
      <c r="AE111" s="174">
        <v>40.28</v>
      </c>
      <c r="AG111" s="174">
        <v>4.55</v>
      </c>
      <c r="AI111" s="174">
        <v>160</v>
      </c>
      <c r="AJ111" s="160">
        <v>42520</v>
      </c>
      <c r="AK111" s="174"/>
      <c r="AL111" s="174"/>
      <c r="AM111" s="174">
        <v>92</v>
      </c>
      <c r="AN111" s="174"/>
      <c r="AO111" s="174"/>
      <c r="AP111" s="174"/>
      <c r="AR111" s="174"/>
      <c r="AS111" s="174"/>
      <c r="AT111" s="174"/>
      <c r="AU111" s="174"/>
      <c r="AV111" s="174"/>
      <c r="AW111" s="174"/>
      <c r="AX111" s="174"/>
      <c r="AY111" s="174"/>
      <c r="BC111" s="174"/>
      <c r="BD111" s="174"/>
      <c r="BE111" s="174"/>
      <c r="BG111" s="174"/>
      <c r="BI111" s="174"/>
      <c r="BJ111" s="174"/>
      <c r="BK111" s="174"/>
      <c r="BM111" s="174">
        <v>63.545000000000002</v>
      </c>
      <c r="BN111" s="174"/>
      <c r="BO111" s="174"/>
      <c r="BP111" s="174"/>
      <c r="BR111" s="174"/>
      <c r="BS111" s="174">
        <v>48.137999999999998</v>
      </c>
      <c r="BT111" s="174"/>
      <c r="BU111" s="190">
        <v>20.701587677001953</v>
      </c>
      <c r="BV111" s="159"/>
      <c r="BW111" s="174">
        <v>13.532999999999999</v>
      </c>
      <c r="BX111" s="159"/>
      <c r="BY111" s="159"/>
      <c r="CB111" s="165"/>
      <c r="CC111" s="174">
        <v>7.742</v>
      </c>
      <c r="CD111" s="165"/>
      <c r="CE111" s="174">
        <v>7.3</v>
      </c>
      <c r="CF111" s="165"/>
      <c r="CH111" s="165"/>
      <c r="CJ111" s="165"/>
      <c r="CL111" s="165"/>
      <c r="CN111" s="165"/>
      <c r="CO111" s="130"/>
      <c r="CP111" s="165"/>
      <c r="CQ111" s="130"/>
      <c r="CR111" s="165"/>
      <c r="CS111" s="130"/>
      <c r="CT111" s="130"/>
      <c r="CU111" s="130"/>
      <c r="CV111" s="130"/>
      <c r="CW111" s="130"/>
      <c r="CX111" s="165"/>
      <c r="CY111" s="130"/>
      <c r="CZ111" s="130"/>
      <c r="DA111" s="130"/>
      <c r="DB111" s="130"/>
      <c r="DC111" s="130"/>
      <c r="DD111" s="130"/>
      <c r="DE111" s="130"/>
      <c r="DF111" s="130"/>
      <c r="DG111" s="130"/>
      <c r="DH111" s="130"/>
    </row>
    <row r="112" spans="1:112" ht="15">
      <c r="A112" s="169" t="s">
        <v>7695</v>
      </c>
      <c r="B112" s="175"/>
      <c r="C112" s="174">
        <v>3</v>
      </c>
      <c r="D112" s="174">
        <v>19</v>
      </c>
      <c r="E112" s="174">
        <v>3</v>
      </c>
      <c r="F112" s="174">
        <v>25</v>
      </c>
      <c r="I112" s="174"/>
      <c r="K112" s="188">
        <v>8</v>
      </c>
      <c r="L112" s="146">
        <v>42430</v>
      </c>
      <c r="M112" s="174">
        <v>7.54</v>
      </c>
      <c r="N112" s="189">
        <v>42580</v>
      </c>
      <c r="S112" s="174">
        <v>20.56</v>
      </c>
      <c r="U112" s="159">
        <v>18.5</v>
      </c>
      <c r="AE112" s="174">
        <v>42.09</v>
      </c>
      <c r="AG112" s="174">
        <v>4.78</v>
      </c>
      <c r="AI112" s="174">
        <v>160</v>
      </c>
      <c r="AJ112" s="160">
        <v>42520</v>
      </c>
      <c r="AK112" s="174"/>
      <c r="AL112" s="174"/>
      <c r="AM112" s="174">
        <v>95</v>
      </c>
      <c r="AN112" s="174"/>
      <c r="AO112" s="174"/>
      <c r="AP112" s="174"/>
      <c r="AR112" s="174"/>
      <c r="AS112" s="174"/>
      <c r="AT112" s="174"/>
      <c r="AU112" s="174"/>
      <c r="AV112" s="174"/>
      <c r="AW112" s="174"/>
      <c r="AX112" s="174"/>
      <c r="AY112" s="174"/>
      <c r="BC112" s="174"/>
      <c r="BD112" s="174"/>
      <c r="BE112" s="174"/>
      <c r="BG112" s="174"/>
      <c r="BI112" s="174"/>
      <c r="BJ112" s="174"/>
      <c r="BK112" s="174"/>
      <c r="BM112" s="174">
        <v>65.105999999999995</v>
      </c>
      <c r="BN112" s="174"/>
      <c r="BO112" s="174"/>
      <c r="BP112" s="174"/>
      <c r="BR112" s="174"/>
      <c r="BS112" s="174">
        <v>48.84</v>
      </c>
      <c r="BT112" s="174"/>
      <c r="BU112" s="190">
        <v>20.891639709472656</v>
      </c>
      <c r="BV112" s="159"/>
      <c r="BW112" s="174">
        <v>15.324999999999999</v>
      </c>
      <c r="BX112" s="159"/>
      <c r="BY112" s="159"/>
      <c r="CB112" s="165"/>
      <c r="CC112" s="174">
        <v>7.8170000000000002</v>
      </c>
      <c r="CD112" s="165"/>
      <c r="CE112" s="174">
        <v>7.6</v>
      </c>
      <c r="CF112" s="165"/>
      <c r="CH112" s="165"/>
      <c r="CJ112" s="165"/>
      <c r="CL112" s="165"/>
      <c r="CN112" s="165"/>
      <c r="CO112" s="130"/>
      <c r="CP112" s="165"/>
      <c r="CQ112" s="130"/>
      <c r="CR112" s="165"/>
      <c r="CS112" s="130"/>
      <c r="CT112" s="130"/>
      <c r="CU112" s="130"/>
      <c r="CV112" s="130"/>
      <c r="CW112" s="130"/>
      <c r="CX112" s="165"/>
      <c r="CY112" s="130"/>
      <c r="CZ112" s="130"/>
      <c r="DA112" s="130"/>
      <c r="DB112" s="130"/>
      <c r="DC112" s="130"/>
      <c r="DD112" s="130"/>
      <c r="DE112" s="130"/>
      <c r="DF112" s="130"/>
      <c r="DG112" s="130"/>
      <c r="DH112" s="130"/>
    </row>
    <row r="113" spans="1:112" ht="15">
      <c r="A113" s="169" t="s">
        <v>7695</v>
      </c>
      <c r="B113" s="175"/>
      <c r="C113" s="174">
        <v>4</v>
      </c>
      <c r="D113" s="174">
        <v>19</v>
      </c>
      <c r="E113" s="174">
        <v>4</v>
      </c>
      <c r="F113" s="174">
        <v>4</v>
      </c>
      <c r="I113" s="174"/>
      <c r="K113" s="188">
        <v>9</v>
      </c>
      <c r="L113" s="146">
        <v>42430</v>
      </c>
      <c r="M113" s="174">
        <v>7.14</v>
      </c>
      <c r="N113" s="189">
        <v>42580</v>
      </c>
      <c r="S113" s="174">
        <v>19.87</v>
      </c>
      <c r="U113" s="159">
        <v>18.5</v>
      </c>
      <c r="AE113" s="174">
        <v>39.85</v>
      </c>
      <c r="AG113" s="174">
        <v>4.3600000000000003</v>
      </c>
      <c r="AI113" s="174">
        <v>160</v>
      </c>
      <c r="AJ113" s="160">
        <v>42520</v>
      </c>
      <c r="AK113" s="174"/>
      <c r="AL113" s="174"/>
      <c r="AM113" s="174">
        <v>92</v>
      </c>
      <c r="AN113" s="174"/>
      <c r="AO113" s="174"/>
      <c r="AP113" s="174"/>
      <c r="AR113" s="174"/>
      <c r="AS113" s="174"/>
      <c r="AT113" s="174"/>
      <c r="AU113" s="174"/>
      <c r="AV113" s="174"/>
      <c r="AW113" s="174"/>
      <c r="AX113" s="174"/>
      <c r="AY113" s="174"/>
      <c r="BC113" s="174"/>
      <c r="BD113" s="174"/>
      <c r="BE113" s="174"/>
      <c r="BG113" s="174"/>
      <c r="BI113" s="174"/>
      <c r="BJ113" s="174"/>
      <c r="BK113" s="174"/>
      <c r="BM113" s="174">
        <v>64.936000000000007</v>
      </c>
      <c r="BN113" s="174"/>
      <c r="BO113" s="174"/>
      <c r="BP113" s="174"/>
      <c r="BR113" s="174"/>
      <c r="BS113" s="174">
        <v>49.863999999999997</v>
      </c>
      <c r="BT113" s="174"/>
      <c r="BU113" s="190">
        <v>18.905784606933594</v>
      </c>
      <c r="BV113" s="159"/>
      <c r="BW113" s="174">
        <v>12.922000000000001</v>
      </c>
      <c r="BX113" s="159"/>
      <c r="BY113" s="159"/>
      <c r="CB113" s="165"/>
      <c r="CC113" s="174">
        <v>7.827</v>
      </c>
      <c r="CD113" s="165"/>
      <c r="CE113" s="174">
        <v>7.4</v>
      </c>
      <c r="CF113" s="165"/>
      <c r="CH113" s="165"/>
      <c r="CJ113" s="165"/>
      <c r="CL113" s="165"/>
      <c r="CN113" s="165"/>
      <c r="CO113" s="130"/>
      <c r="CP113" s="165"/>
      <c r="CQ113" s="130"/>
      <c r="CR113" s="165"/>
      <c r="CS113" s="130"/>
      <c r="CT113" s="130"/>
      <c r="CU113" s="130"/>
      <c r="CV113" s="130"/>
      <c r="CW113" s="130"/>
      <c r="CX113" s="165"/>
      <c r="CY113" s="130"/>
      <c r="CZ113" s="130"/>
      <c r="DA113" s="130"/>
      <c r="DB113" s="130"/>
      <c r="DC113" s="130"/>
      <c r="DD113" s="130"/>
      <c r="DE113" s="130"/>
      <c r="DF113" s="130"/>
      <c r="DG113" s="130"/>
      <c r="DH113" s="130"/>
    </row>
    <row r="114" spans="1:112" ht="15">
      <c r="A114" s="169" t="s">
        <v>7695</v>
      </c>
      <c r="B114" s="175"/>
      <c r="C114" s="174">
        <v>5</v>
      </c>
      <c r="D114" s="174">
        <v>19</v>
      </c>
      <c r="E114" s="174">
        <v>5</v>
      </c>
      <c r="F114" s="174">
        <v>17</v>
      </c>
      <c r="I114" s="174"/>
      <c r="K114" s="188">
        <v>8</v>
      </c>
      <c r="L114" s="146">
        <v>42430</v>
      </c>
      <c r="M114" s="174">
        <v>7.2</v>
      </c>
      <c r="N114" s="189">
        <v>42580</v>
      </c>
      <c r="S114" s="174">
        <v>20.11</v>
      </c>
      <c r="U114" s="159">
        <v>18.5</v>
      </c>
      <c r="AE114" s="174">
        <v>40.21</v>
      </c>
      <c r="AG114" s="174">
        <v>4.25</v>
      </c>
      <c r="AI114" s="174">
        <v>160</v>
      </c>
      <c r="AJ114" s="160">
        <v>42520</v>
      </c>
      <c r="AK114" s="174"/>
      <c r="AL114" s="174"/>
      <c r="AM114" s="174">
        <v>95</v>
      </c>
      <c r="AN114" s="174"/>
      <c r="AO114" s="174"/>
      <c r="AP114" s="174"/>
      <c r="AR114" s="174"/>
      <c r="AS114" s="174"/>
      <c r="AT114" s="174"/>
      <c r="AU114" s="174"/>
      <c r="AV114" s="174"/>
      <c r="AW114" s="174"/>
      <c r="AX114" s="174"/>
      <c r="AY114" s="175"/>
      <c r="BC114" s="174"/>
      <c r="BD114" s="174"/>
      <c r="BE114" s="174"/>
      <c r="BG114" s="174"/>
      <c r="BI114" s="174"/>
      <c r="BJ114" s="174"/>
      <c r="BK114" s="174"/>
      <c r="BM114" s="174">
        <v>65.563999999999993</v>
      </c>
      <c r="BN114" s="174"/>
      <c r="BO114" s="174"/>
      <c r="BP114" s="174"/>
      <c r="BR114" s="174"/>
      <c r="BS114" s="174">
        <v>50.008000000000003</v>
      </c>
      <c r="BT114" s="174"/>
      <c r="BU114" s="190">
        <v>19.136970520019531</v>
      </c>
      <c r="BV114" s="159"/>
      <c r="BW114" s="174">
        <v>12.242000000000001</v>
      </c>
      <c r="BX114" s="159"/>
      <c r="BY114" s="159"/>
      <c r="CB114" s="165"/>
      <c r="CC114" s="174">
        <v>7.782</v>
      </c>
      <c r="CD114" s="165"/>
      <c r="CE114" s="174">
        <v>7.2</v>
      </c>
      <c r="CF114" s="165"/>
      <c r="CH114" s="165"/>
      <c r="CJ114" s="165"/>
      <c r="CL114" s="165"/>
      <c r="CN114" s="165"/>
      <c r="CO114" s="130"/>
      <c r="CP114" s="165"/>
      <c r="CQ114" s="130"/>
      <c r="CR114" s="165"/>
      <c r="CS114" s="130"/>
      <c r="CT114" s="130"/>
      <c r="CU114" s="130"/>
      <c r="CV114" s="130"/>
      <c r="CW114" s="130"/>
      <c r="CX114" s="165"/>
      <c r="CY114" s="130"/>
      <c r="CZ114" s="130"/>
      <c r="DA114" s="130"/>
      <c r="DB114" s="130"/>
      <c r="DC114" s="130"/>
      <c r="DD114" s="130"/>
      <c r="DE114" s="130"/>
      <c r="DF114" s="130"/>
      <c r="DG114" s="130"/>
      <c r="DH114" s="130"/>
    </row>
    <row r="115" spans="1:112" ht="15">
      <c r="A115" s="169" t="s">
        <v>7695</v>
      </c>
      <c r="B115" s="175"/>
      <c r="C115" s="174">
        <v>6</v>
      </c>
      <c r="D115" s="174">
        <v>19</v>
      </c>
      <c r="E115" s="174">
        <v>6</v>
      </c>
      <c r="F115" s="174">
        <v>1</v>
      </c>
      <c r="I115" s="174"/>
      <c r="K115" s="188">
        <v>8</v>
      </c>
      <c r="L115" s="146">
        <v>42430</v>
      </c>
      <c r="M115" s="174">
        <v>7.56</v>
      </c>
      <c r="N115" s="189">
        <v>42580</v>
      </c>
      <c r="S115" s="174">
        <v>20.21</v>
      </c>
      <c r="U115" s="159">
        <v>18.5</v>
      </c>
      <c r="AE115" s="174">
        <v>42.29</v>
      </c>
      <c r="AG115" s="174">
        <v>4.8499999999999996</v>
      </c>
      <c r="AI115" s="174">
        <v>170</v>
      </c>
      <c r="AJ115" s="160">
        <v>42520</v>
      </c>
      <c r="AK115" s="174"/>
      <c r="AL115" s="174"/>
      <c r="AM115" s="174">
        <v>92</v>
      </c>
      <c r="AN115" s="174"/>
      <c r="AO115" s="174"/>
      <c r="AP115" s="174"/>
      <c r="AR115" s="174"/>
      <c r="AS115" s="174"/>
      <c r="AT115" s="174"/>
      <c r="AU115" s="174"/>
      <c r="AV115" s="174"/>
      <c r="AW115" s="174"/>
      <c r="AX115" s="174"/>
      <c r="AY115" s="174"/>
      <c r="BC115" s="174"/>
      <c r="BD115" s="174"/>
      <c r="BE115" s="174"/>
      <c r="BG115" s="174"/>
      <c r="BI115" s="174"/>
      <c r="BJ115" s="174"/>
      <c r="BK115" s="174"/>
      <c r="BM115" s="174">
        <v>62.856000000000002</v>
      </c>
      <c r="BN115" s="174"/>
      <c r="BO115" s="174"/>
      <c r="BP115" s="174"/>
      <c r="BR115" s="174"/>
      <c r="BS115" s="174">
        <v>47.784999999999997</v>
      </c>
      <c r="BT115" s="174"/>
      <c r="BU115" s="190">
        <v>20.782539367675781</v>
      </c>
      <c r="BV115" s="159"/>
      <c r="BW115" s="174">
        <v>11.74</v>
      </c>
      <c r="BX115" s="159"/>
      <c r="BY115" s="159"/>
      <c r="CB115" s="165"/>
      <c r="CC115" s="174">
        <v>7.6310000000000002</v>
      </c>
      <c r="CD115" s="165"/>
      <c r="CE115" s="174">
        <v>7.3</v>
      </c>
      <c r="CF115" s="165"/>
      <c r="CH115" s="165"/>
      <c r="CJ115" s="165"/>
      <c r="CL115" s="165"/>
      <c r="CN115" s="165"/>
      <c r="CO115" s="130"/>
      <c r="CP115" s="165"/>
      <c r="CQ115" s="130"/>
      <c r="CR115" s="165"/>
      <c r="CS115" s="130"/>
      <c r="CT115" s="130"/>
      <c r="CU115" s="130"/>
      <c r="CV115" s="130"/>
      <c r="CW115" s="130"/>
      <c r="CX115" s="165"/>
      <c r="CY115" s="130"/>
      <c r="CZ115" s="130"/>
      <c r="DA115" s="130"/>
      <c r="DB115" s="130"/>
      <c r="DC115" s="130"/>
      <c r="DD115" s="130"/>
      <c r="DE115" s="130"/>
      <c r="DF115" s="130"/>
      <c r="DG115" s="130"/>
      <c r="DH115" s="130"/>
    </row>
    <row r="116" spans="1:112" ht="15">
      <c r="A116" s="169" t="s">
        <v>7696</v>
      </c>
      <c r="B116" s="175"/>
      <c r="C116" s="174">
        <v>1</v>
      </c>
      <c r="D116" s="174">
        <v>20</v>
      </c>
      <c r="E116" s="174">
        <v>1</v>
      </c>
      <c r="F116" s="174">
        <v>4</v>
      </c>
      <c r="I116" s="174"/>
      <c r="K116" s="188">
        <v>3</v>
      </c>
      <c r="L116" s="146">
        <v>42430</v>
      </c>
      <c r="M116" s="174">
        <v>7.13</v>
      </c>
      <c r="N116" s="189">
        <v>42580</v>
      </c>
      <c r="S116" s="174">
        <v>18.93</v>
      </c>
      <c r="U116" s="159">
        <v>18.5</v>
      </c>
      <c r="AE116" s="174">
        <v>39.36</v>
      </c>
      <c r="AG116" s="174">
        <v>4.68</v>
      </c>
      <c r="AI116" s="174">
        <v>175</v>
      </c>
      <c r="AJ116" s="160">
        <v>42520</v>
      </c>
      <c r="AK116" s="174"/>
      <c r="AL116" s="174"/>
      <c r="AM116" s="174">
        <v>95</v>
      </c>
      <c r="AN116" s="174"/>
      <c r="AO116" s="174"/>
      <c r="AP116" s="174"/>
      <c r="AR116" s="174"/>
      <c r="AS116" s="174"/>
      <c r="AT116" s="174"/>
      <c r="AU116" s="174"/>
      <c r="AV116" s="174"/>
      <c r="AW116" s="174"/>
      <c r="AX116" s="174"/>
      <c r="AY116" s="174"/>
      <c r="BC116" s="174"/>
      <c r="BD116" s="174"/>
      <c r="BE116" s="174"/>
      <c r="BG116" s="174"/>
      <c r="BI116" s="174"/>
      <c r="BJ116" s="174"/>
      <c r="BK116" s="174"/>
      <c r="BM116" s="174">
        <v>63.460999999999999</v>
      </c>
      <c r="BN116" s="174"/>
      <c r="BO116" s="174"/>
      <c r="BP116" s="174"/>
      <c r="BR116" s="174"/>
      <c r="BS116" s="174">
        <v>48.106000000000002</v>
      </c>
      <c r="BT116" s="174"/>
      <c r="BU116" s="190">
        <v>19.535171508789063</v>
      </c>
      <c r="BV116" s="159"/>
      <c r="BW116" s="174">
        <v>11.677</v>
      </c>
      <c r="BX116" s="159"/>
      <c r="BY116" s="159"/>
      <c r="CB116" s="165"/>
      <c r="CC116" s="174">
        <v>8.83</v>
      </c>
      <c r="CD116" s="165"/>
      <c r="CE116" s="174">
        <v>8.6</v>
      </c>
      <c r="CF116" s="165"/>
      <c r="CH116" s="165"/>
      <c r="CJ116" s="165"/>
      <c r="CL116" s="165"/>
      <c r="CN116" s="165"/>
      <c r="CO116" s="130"/>
      <c r="CP116" s="165"/>
      <c r="CQ116" s="130"/>
      <c r="CR116" s="165"/>
      <c r="CS116" s="130"/>
      <c r="CT116" s="130"/>
      <c r="CU116" s="130"/>
      <c r="CV116" s="130"/>
      <c r="CW116" s="130"/>
      <c r="CX116" s="165"/>
      <c r="CY116" s="130"/>
      <c r="CZ116" s="130"/>
      <c r="DA116" s="130"/>
      <c r="DB116" s="130"/>
      <c r="DC116" s="130"/>
      <c r="DD116" s="130"/>
      <c r="DE116" s="130"/>
      <c r="DF116" s="130"/>
      <c r="DG116" s="130"/>
      <c r="DH116" s="130"/>
    </row>
    <row r="117" spans="1:112" ht="15">
      <c r="A117" s="169" t="s">
        <v>7696</v>
      </c>
      <c r="B117" s="175"/>
      <c r="C117" s="174">
        <v>2</v>
      </c>
      <c r="D117" s="174">
        <v>20</v>
      </c>
      <c r="E117" s="174">
        <v>2</v>
      </c>
      <c r="F117" s="174">
        <v>30</v>
      </c>
      <c r="I117" s="174"/>
      <c r="K117" s="188">
        <v>7</v>
      </c>
      <c r="L117" s="146">
        <v>42430</v>
      </c>
      <c r="M117" s="174">
        <v>6.41</v>
      </c>
      <c r="N117" s="189">
        <v>42580</v>
      </c>
      <c r="S117" s="174">
        <v>17.12</v>
      </c>
      <c r="U117" s="159">
        <v>18.5</v>
      </c>
      <c r="AE117" s="174">
        <v>35.700000000000003</v>
      </c>
      <c r="AG117" s="174">
        <v>4.1900000000000004</v>
      </c>
      <c r="AI117" s="174">
        <v>160</v>
      </c>
      <c r="AJ117" s="160">
        <v>42520</v>
      </c>
      <c r="AK117" s="174"/>
      <c r="AL117" s="174"/>
      <c r="AM117" s="174">
        <v>95</v>
      </c>
      <c r="AN117" s="174"/>
      <c r="AO117" s="174"/>
      <c r="AP117" s="174"/>
      <c r="AR117" s="174"/>
      <c r="AS117" s="174"/>
      <c r="AT117" s="174"/>
      <c r="AU117" s="174"/>
      <c r="AV117" s="174"/>
      <c r="AW117" s="174"/>
      <c r="AX117" s="174"/>
      <c r="AY117" s="174"/>
      <c r="BC117" s="174"/>
      <c r="BD117" s="174"/>
      <c r="BE117" s="174"/>
      <c r="BG117" s="174"/>
      <c r="BI117" s="174"/>
      <c r="BJ117" s="174"/>
      <c r="BK117" s="174"/>
      <c r="BM117" s="174">
        <v>63.8</v>
      </c>
      <c r="BN117" s="174"/>
      <c r="BO117" s="174"/>
      <c r="BP117" s="174"/>
      <c r="BR117" s="174"/>
      <c r="BS117" s="174">
        <v>47.966999999999999</v>
      </c>
      <c r="BT117" s="174"/>
      <c r="BU117" s="190">
        <v>19.95600700378418</v>
      </c>
      <c r="BV117" s="159"/>
      <c r="BW117" s="174">
        <v>11.436999999999999</v>
      </c>
      <c r="BX117" s="159"/>
      <c r="BY117" s="159"/>
      <c r="CB117" s="165"/>
      <c r="CC117" s="174">
        <v>8.0229999999999997</v>
      </c>
      <c r="CD117" s="165"/>
      <c r="CE117" s="174">
        <v>7.7</v>
      </c>
      <c r="CF117" s="165"/>
      <c r="CH117" s="165"/>
      <c r="CJ117" s="165"/>
      <c r="CL117" s="165"/>
      <c r="CN117" s="165"/>
      <c r="CO117" s="130"/>
      <c r="CP117" s="165"/>
      <c r="CQ117" s="130"/>
      <c r="CR117" s="165"/>
      <c r="CS117" s="130"/>
      <c r="CT117" s="130"/>
      <c r="CU117" s="130"/>
      <c r="CV117" s="130"/>
      <c r="CW117" s="130"/>
      <c r="CX117" s="165"/>
      <c r="CY117" s="130"/>
      <c r="CZ117" s="130"/>
      <c r="DA117" s="130"/>
      <c r="DB117" s="130"/>
      <c r="DC117" s="130"/>
      <c r="DD117" s="130"/>
      <c r="DE117" s="130"/>
      <c r="DF117" s="130"/>
      <c r="DG117" s="130"/>
      <c r="DH117" s="130"/>
    </row>
    <row r="118" spans="1:112" ht="15">
      <c r="A118" s="169" t="s">
        <v>7696</v>
      </c>
      <c r="B118" s="175"/>
      <c r="C118" s="174">
        <v>3</v>
      </c>
      <c r="D118" s="174">
        <v>20</v>
      </c>
      <c r="E118" s="174">
        <v>3</v>
      </c>
      <c r="F118" s="174">
        <v>23</v>
      </c>
      <c r="I118" s="174"/>
      <c r="K118" s="188">
        <v>3</v>
      </c>
      <c r="L118" s="146">
        <v>42430</v>
      </c>
      <c r="M118" s="174">
        <v>7.75</v>
      </c>
      <c r="N118" s="189">
        <v>42580</v>
      </c>
      <c r="S118" s="174">
        <v>21.41</v>
      </c>
      <c r="U118" s="159">
        <v>18.5</v>
      </c>
      <c r="AE118" s="174">
        <v>43.04</v>
      </c>
      <c r="AG118" s="174">
        <v>4.57</v>
      </c>
      <c r="AI118" s="174">
        <v>170</v>
      </c>
      <c r="AJ118" s="160">
        <v>42520</v>
      </c>
      <c r="AK118" s="174"/>
      <c r="AL118" s="174"/>
      <c r="AM118" s="174">
        <v>95</v>
      </c>
      <c r="AN118" s="174"/>
      <c r="AO118" s="174"/>
      <c r="AP118" s="174"/>
      <c r="AR118" s="174"/>
      <c r="AS118" s="174"/>
      <c r="AT118" s="174"/>
      <c r="AU118" s="174"/>
      <c r="AV118" s="174"/>
      <c r="AW118" s="174"/>
      <c r="AX118" s="174"/>
      <c r="AY118" s="174"/>
      <c r="BC118" s="174"/>
      <c r="BD118" s="174"/>
      <c r="BE118" s="174"/>
      <c r="BG118" s="174"/>
      <c r="BI118" s="174"/>
      <c r="BJ118" s="174"/>
      <c r="BK118" s="174"/>
      <c r="BM118" s="174">
        <v>64.343999999999994</v>
      </c>
      <c r="BN118" s="174"/>
      <c r="BO118" s="174"/>
      <c r="BP118" s="174"/>
      <c r="BR118" s="174"/>
      <c r="BS118" s="174">
        <v>49.744999999999997</v>
      </c>
      <c r="BT118" s="174"/>
      <c r="BU118" s="190">
        <v>18.661369323730469</v>
      </c>
      <c r="BV118" s="159"/>
      <c r="BW118" s="174">
        <v>11.265000000000001</v>
      </c>
      <c r="BX118" s="159"/>
      <c r="BY118" s="159"/>
      <c r="CB118" s="165"/>
      <c r="CC118" s="174">
        <v>8.2850000000000001</v>
      </c>
      <c r="CD118" s="165"/>
      <c r="CE118" s="174">
        <v>8.1999999999999993</v>
      </c>
      <c r="CF118" s="165"/>
      <c r="CH118" s="165"/>
      <c r="CJ118" s="165"/>
      <c r="CL118" s="165"/>
      <c r="CN118" s="165"/>
      <c r="CO118" s="130"/>
      <c r="CP118" s="165"/>
      <c r="CQ118" s="130"/>
      <c r="CR118" s="165"/>
      <c r="CS118" s="130"/>
      <c r="CT118" s="130"/>
      <c r="CU118" s="130"/>
      <c r="CV118" s="130"/>
      <c r="CW118" s="130"/>
      <c r="CX118" s="165"/>
      <c r="CY118" s="130"/>
      <c r="CZ118" s="130"/>
      <c r="DA118" s="130"/>
      <c r="DB118" s="130"/>
      <c r="DC118" s="130"/>
      <c r="DD118" s="130"/>
      <c r="DE118" s="130"/>
      <c r="DF118" s="130"/>
      <c r="DG118" s="130"/>
      <c r="DH118" s="130"/>
    </row>
    <row r="119" spans="1:112" ht="15">
      <c r="A119" s="169" t="s">
        <v>7696</v>
      </c>
      <c r="B119" s="175"/>
      <c r="C119" s="174">
        <v>4</v>
      </c>
      <c r="D119" s="174">
        <v>20</v>
      </c>
      <c r="E119" s="174">
        <v>4</v>
      </c>
      <c r="F119" s="174">
        <v>25</v>
      </c>
      <c r="I119" s="174"/>
      <c r="K119" s="188">
        <v>5</v>
      </c>
      <c r="L119" s="146">
        <v>42430</v>
      </c>
      <c r="M119" s="174">
        <v>6.97</v>
      </c>
      <c r="N119" s="189">
        <v>42580</v>
      </c>
      <c r="S119" s="174">
        <v>18.899999999999999</v>
      </c>
      <c r="U119" s="159">
        <v>18.5</v>
      </c>
      <c r="AE119" s="174">
        <v>38.799999999999997</v>
      </c>
      <c r="AG119" s="174">
        <v>4.3499999999999996</v>
      </c>
      <c r="AI119" s="174">
        <v>160</v>
      </c>
      <c r="AJ119" s="160">
        <v>42520</v>
      </c>
      <c r="AK119" s="174"/>
      <c r="AL119" s="174"/>
      <c r="AM119" s="174">
        <v>95</v>
      </c>
      <c r="AN119" s="174"/>
      <c r="AO119" s="174"/>
      <c r="AP119" s="174"/>
      <c r="AR119" s="174"/>
      <c r="AS119" s="174"/>
      <c r="AT119" s="174"/>
      <c r="AU119" s="174"/>
      <c r="AV119" s="174"/>
      <c r="AW119" s="174"/>
      <c r="AX119" s="174"/>
      <c r="AY119" s="174"/>
      <c r="BC119" s="174"/>
      <c r="BD119" s="174"/>
      <c r="BE119" s="174"/>
      <c r="BG119" s="174"/>
      <c r="BI119" s="174"/>
      <c r="BJ119" s="174"/>
      <c r="BK119" s="174"/>
      <c r="BM119" s="174">
        <v>64.378</v>
      </c>
      <c r="BN119" s="174"/>
      <c r="BO119" s="174"/>
      <c r="BP119" s="174"/>
      <c r="BR119" s="174"/>
      <c r="BS119" s="174">
        <v>48.71</v>
      </c>
      <c r="BT119" s="174"/>
      <c r="BU119" s="190">
        <v>18.548431396484375</v>
      </c>
      <c r="BV119" s="159"/>
      <c r="BW119" s="174">
        <v>12.52</v>
      </c>
      <c r="BX119" s="159"/>
      <c r="BY119" s="159"/>
      <c r="CB119" s="165"/>
      <c r="CC119" s="174">
        <v>8.0820000000000007</v>
      </c>
      <c r="CD119" s="165"/>
      <c r="CE119" s="174">
        <v>7.8</v>
      </c>
      <c r="CF119" s="165"/>
      <c r="CH119" s="165"/>
      <c r="CJ119" s="165"/>
      <c r="CL119" s="165"/>
      <c r="CN119" s="165"/>
      <c r="CO119" s="130"/>
      <c r="CP119" s="165"/>
      <c r="CQ119" s="130"/>
      <c r="CR119" s="165"/>
      <c r="CS119" s="130"/>
      <c r="CT119" s="130"/>
      <c r="CU119" s="130"/>
      <c r="CV119" s="130"/>
      <c r="CW119" s="130"/>
      <c r="CX119" s="165"/>
      <c r="CY119" s="130"/>
      <c r="CZ119" s="130"/>
      <c r="DA119" s="130"/>
      <c r="DB119" s="130"/>
      <c r="DC119" s="130"/>
      <c r="DD119" s="130"/>
      <c r="DE119" s="130"/>
      <c r="DF119" s="130"/>
      <c r="DG119" s="130"/>
      <c r="DH119" s="130"/>
    </row>
    <row r="120" spans="1:112" ht="15">
      <c r="A120" s="169" t="s">
        <v>7696</v>
      </c>
      <c r="B120" s="175"/>
      <c r="C120" s="174">
        <v>5</v>
      </c>
      <c r="D120" s="174">
        <v>20</v>
      </c>
      <c r="E120" s="174">
        <v>5</v>
      </c>
      <c r="F120" s="174">
        <v>4</v>
      </c>
      <c r="I120" s="174"/>
      <c r="K120" s="188">
        <v>5</v>
      </c>
      <c r="L120" s="146">
        <v>42430</v>
      </c>
      <c r="M120" s="174">
        <v>7.38</v>
      </c>
      <c r="N120" s="189">
        <v>42580</v>
      </c>
      <c r="S120" s="174">
        <v>20.28</v>
      </c>
      <c r="U120" s="159">
        <v>18.5</v>
      </c>
      <c r="AE120" s="174">
        <v>41.16</v>
      </c>
      <c r="AG120" s="174">
        <v>4.33</v>
      </c>
      <c r="AI120" s="174">
        <v>160</v>
      </c>
      <c r="AJ120" s="160">
        <v>42520</v>
      </c>
      <c r="AK120" s="174"/>
      <c r="AL120" s="174"/>
      <c r="AM120" s="174">
        <v>95</v>
      </c>
      <c r="AN120" s="174"/>
      <c r="AO120" s="174"/>
      <c r="AP120" s="174"/>
      <c r="AR120" s="174"/>
      <c r="AS120" s="174"/>
      <c r="AT120" s="174"/>
      <c r="AU120" s="174"/>
      <c r="AV120" s="174"/>
      <c r="AW120" s="174"/>
      <c r="AX120" s="174"/>
      <c r="AY120" s="174"/>
      <c r="BC120" s="174"/>
      <c r="BD120" s="174"/>
      <c r="BE120" s="174"/>
      <c r="BG120" s="174"/>
      <c r="BI120" s="174"/>
      <c r="BJ120" s="174"/>
      <c r="BK120" s="174"/>
      <c r="BM120" s="174">
        <v>64.614000000000004</v>
      </c>
      <c r="BN120" s="174"/>
      <c r="BO120" s="174"/>
      <c r="BP120" s="174"/>
      <c r="BR120" s="174"/>
      <c r="BS120" s="174">
        <v>49.265999999999998</v>
      </c>
      <c r="BT120" s="174"/>
      <c r="BU120" s="190">
        <v>17.28376579284668</v>
      </c>
      <c r="BV120" s="159"/>
      <c r="BW120" s="174">
        <v>12.11</v>
      </c>
      <c r="BX120" s="159"/>
      <c r="BY120" s="159"/>
      <c r="CB120" s="165"/>
      <c r="CC120" s="174">
        <v>7.9089999999999998</v>
      </c>
      <c r="CD120" s="165"/>
      <c r="CE120" s="174">
        <v>7.5</v>
      </c>
      <c r="CF120" s="165"/>
      <c r="CH120" s="165"/>
      <c r="CJ120" s="165"/>
      <c r="CL120" s="165"/>
      <c r="CN120" s="165"/>
      <c r="CO120" s="130"/>
      <c r="CP120" s="165"/>
      <c r="CQ120" s="130"/>
      <c r="CR120" s="165"/>
      <c r="CS120" s="130"/>
      <c r="CT120" s="130"/>
      <c r="CU120" s="130"/>
      <c r="CV120" s="130"/>
      <c r="CW120" s="130"/>
      <c r="CX120" s="165"/>
      <c r="CY120" s="130"/>
      <c r="CZ120" s="130"/>
      <c r="DA120" s="130"/>
      <c r="DB120" s="130"/>
      <c r="DC120" s="130"/>
      <c r="DD120" s="130"/>
      <c r="DE120" s="130"/>
      <c r="DF120" s="130"/>
      <c r="DG120" s="130"/>
      <c r="DH120" s="130"/>
    </row>
    <row r="121" spans="1:112" ht="15">
      <c r="A121" s="169" t="s">
        <v>7696</v>
      </c>
      <c r="B121" s="175"/>
      <c r="C121" s="174">
        <v>6</v>
      </c>
      <c r="D121" s="174">
        <v>20</v>
      </c>
      <c r="E121" s="174">
        <v>6</v>
      </c>
      <c r="F121" s="174">
        <v>33</v>
      </c>
      <c r="I121" s="174"/>
      <c r="K121" s="188">
        <v>5</v>
      </c>
      <c r="L121" s="146">
        <v>42430</v>
      </c>
      <c r="M121" s="174">
        <v>6.96</v>
      </c>
      <c r="N121" s="189">
        <v>42580</v>
      </c>
      <c r="S121" s="174">
        <v>19.16</v>
      </c>
      <c r="U121" s="159">
        <v>18.5</v>
      </c>
      <c r="AE121" s="174">
        <v>38.840000000000003</v>
      </c>
      <c r="AG121" s="174">
        <v>4.0599999999999996</v>
      </c>
      <c r="AI121" s="174">
        <v>160</v>
      </c>
      <c r="AJ121" s="160">
        <v>42520</v>
      </c>
      <c r="AK121" s="174"/>
      <c r="AL121" s="174"/>
      <c r="AM121" s="174">
        <v>98</v>
      </c>
      <c r="AN121" s="174"/>
      <c r="AO121" s="174"/>
      <c r="AP121" s="174"/>
      <c r="AR121" s="174"/>
      <c r="AS121" s="174"/>
      <c r="AT121" s="174"/>
      <c r="AU121" s="174"/>
      <c r="AV121" s="174"/>
      <c r="AW121" s="174"/>
      <c r="AX121" s="174"/>
      <c r="AY121" s="174"/>
      <c r="BC121" s="174"/>
      <c r="BD121" s="174"/>
      <c r="BE121" s="174"/>
      <c r="BG121" s="174"/>
      <c r="BI121" s="174"/>
      <c r="BJ121" s="174"/>
      <c r="BK121" s="174"/>
      <c r="BM121" s="174">
        <v>64.391000000000005</v>
      </c>
      <c r="BN121" s="174"/>
      <c r="BO121" s="174"/>
      <c r="BP121" s="174"/>
      <c r="BR121" s="174"/>
      <c r="BS121" s="174">
        <v>49.323</v>
      </c>
      <c r="BT121" s="174"/>
      <c r="BU121" s="190">
        <v>17.799858093261719</v>
      </c>
      <c r="BV121" s="159"/>
      <c r="BW121" s="174">
        <v>10.439</v>
      </c>
      <c r="BX121" s="159"/>
      <c r="BY121" s="159"/>
      <c r="CB121" s="165"/>
      <c r="CC121" s="174">
        <v>7.8479999999999999</v>
      </c>
      <c r="CD121" s="165"/>
      <c r="CE121" s="174">
        <v>7.7</v>
      </c>
      <c r="CF121" s="165"/>
      <c r="CH121" s="165"/>
      <c r="CJ121" s="165"/>
      <c r="CL121" s="165"/>
      <c r="CN121" s="165"/>
      <c r="CO121" s="130"/>
      <c r="CP121" s="165"/>
      <c r="CQ121" s="130"/>
      <c r="CR121" s="165"/>
      <c r="CS121" s="130"/>
      <c r="CT121" s="130"/>
      <c r="CU121" s="130"/>
      <c r="CV121" s="130"/>
      <c r="CW121" s="130"/>
      <c r="CX121" s="165"/>
      <c r="CY121" s="130"/>
      <c r="CZ121" s="130"/>
      <c r="DA121" s="130"/>
      <c r="DB121" s="130"/>
      <c r="DC121" s="130"/>
      <c r="DD121" s="130"/>
      <c r="DE121" s="130"/>
      <c r="DF121" s="130"/>
      <c r="DG121" s="130"/>
      <c r="DH121" s="130"/>
    </row>
    <row r="122" spans="1:112" ht="15">
      <c r="A122" s="169" t="s">
        <v>7697</v>
      </c>
      <c r="B122" s="175"/>
      <c r="C122" s="174">
        <v>1</v>
      </c>
      <c r="D122" s="174">
        <v>21</v>
      </c>
      <c r="E122" s="174">
        <v>1</v>
      </c>
      <c r="F122" s="174">
        <v>19</v>
      </c>
      <c r="I122" s="174"/>
      <c r="K122" s="188">
        <v>5</v>
      </c>
      <c r="L122" s="146">
        <v>42430</v>
      </c>
      <c r="M122" s="174">
        <v>8.44</v>
      </c>
      <c r="N122" s="189">
        <v>42580</v>
      </c>
      <c r="S122" s="174">
        <v>21.91</v>
      </c>
      <c r="U122" s="159">
        <v>18.5</v>
      </c>
      <c r="AE122" s="174">
        <v>46.78</v>
      </c>
      <c r="AG122" s="174">
        <v>4.55</v>
      </c>
      <c r="AI122" s="174">
        <v>175</v>
      </c>
      <c r="AJ122" s="160">
        <v>42520</v>
      </c>
      <c r="AK122" s="174"/>
      <c r="AL122" s="174"/>
      <c r="AM122" s="174">
        <v>95</v>
      </c>
      <c r="AN122" s="174"/>
      <c r="AO122" s="174"/>
      <c r="AP122" s="174"/>
      <c r="AR122" s="174"/>
      <c r="AS122" s="174"/>
      <c r="AT122" s="174"/>
      <c r="AU122" s="174"/>
      <c r="AV122" s="174"/>
      <c r="AW122" s="174"/>
      <c r="AX122" s="174"/>
      <c r="AY122" s="174"/>
      <c r="BC122" s="174"/>
      <c r="BD122" s="174"/>
      <c r="BE122" s="174"/>
      <c r="BG122" s="174"/>
      <c r="BI122" s="174"/>
      <c r="BJ122" s="174"/>
      <c r="BK122" s="174"/>
      <c r="BM122" s="174">
        <v>63.002000000000002</v>
      </c>
      <c r="BN122" s="174"/>
      <c r="BO122" s="174"/>
      <c r="BP122" s="174"/>
      <c r="BR122" s="174"/>
      <c r="BS122" s="174">
        <v>46.83</v>
      </c>
      <c r="BT122" s="174"/>
      <c r="BU122" s="190">
        <v>20.607242584228516</v>
      </c>
      <c r="BV122" s="159"/>
      <c r="BW122" s="174">
        <v>15.343999999999999</v>
      </c>
      <c r="BX122" s="159"/>
      <c r="BY122" s="159"/>
      <c r="CB122" s="165"/>
      <c r="CC122" s="174">
        <v>8.4700000000000006</v>
      </c>
      <c r="CD122" s="165"/>
      <c r="CE122" s="174">
        <v>8.3000000000000007</v>
      </c>
      <c r="CF122" s="165"/>
      <c r="CH122" s="165"/>
      <c r="CJ122" s="165"/>
      <c r="CL122" s="165"/>
      <c r="CN122" s="165"/>
      <c r="CO122" s="130"/>
      <c r="CP122" s="165"/>
      <c r="CQ122" s="130"/>
      <c r="CR122" s="165"/>
      <c r="CS122" s="130"/>
      <c r="CT122" s="130"/>
      <c r="CU122" s="130"/>
      <c r="CV122" s="130"/>
      <c r="CW122" s="130"/>
      <c r="CX122" s="165"/>
      <c r="CY122" s="130"/>
      <c r="CZ122" s="130"/>
      <c r="DA122" s="130"/>
      <c r="DB122" s="130"/>
      <c r="DC122" s="130"/>
      <c r="DD122" s="130"/>
      <c r="DE122" s="130"/>
      <c r="DF122" s="130"/>
      <c r="DG122" s="130"/>
      <c r="DH122" s="130"/>
    </row>
    <row r="123" spans="1:112" ht="15">
      <c r="A123" s="169" t="s">
        <v>7697</v>
      </c>
      <c r="B123" s="175"/>
      <c r="C123" s="174">
        <v>2</v>
      </c>
      <c r="D123" s="174">
        <v>21</v>
      </c>
      <c r="E123" s="174">
        <v>2</v>
      </c>
      <c r="F123" s="174">
        <v>10</v>
      </c>
      <c r="I123" s="174"/>
      <c r="K123" s="188">
        <v>8</v>
      </c>
      <c r="L123" s="146">
        <v>42430</v>
      </c>
      <c r="M123" s="174">
        <v>8.31</v>
      </c>
      <c r="N123" s="189">
        <v>42580</v>
      </c>
      <c r="S123" s="174">
        <v>21.6</v>
      </c>
      <c r="U123" s="159">
        <v>18.5</v>
      </c>
      <c r="AE123" s="174">
        <v>45.83</v>
      </c>
      <c r="AG123" s="174">
        <v>4.74</v>
      </c>
      <c r="AI123" s="174">
        <v>160</v>
      </c>
      <c r="AJ123" s="160">
        <v>42520</v>
      </c>
      <c r="AK123" s="174"/>
      <c r="AL123" s="174"/>
      <c r="AM123" s="174">
        <v>95</v>
      </c>
      <c r="AN123" s="174"/>
      <c r="AO123" s="174"/>
      <c r="AP123" s="174"/>
      <c r="AR123" s="174"/>
      <c r="AS123" s="174"/>
      <c r="AT123" s="174"/>
      <c r="AU123" s="174"/>
      <c r="AV123" s="174"/>
      <c r="AW123" s="174"/>
      <c r="AX123" s="174"/>
      <c r="AY123" s="174"/>
      <c r="BC123" s="174"/>
      <c r="BD123" s="174"/>
      <c r="BE123" s="174"/>
      <c r="BG123" s="174"/>
      <c r="BI123" s="174"/>
      <c r="BJ123" s="174"/>
      <c r="BK123" s="174"/>
      <c r="BM123" s="174">
        <v>64.131</v>
      </c>
      <c r="BN123" s="174"/>
      <c r="BO123" s="174"/>
      <c r="BP123" s="174"/>
      <c r="BR123" s="174"/>
      <c r="BS123" s="174">
        <v>47.134999999999998</v>
      </c>
      <c r="BT123" s="174"/>
      <c r="BU123" s="190">
        <v>19.619440078735352</v>
      </c>
      <c r="BV123" s="159"/>
      <c r="BW123" s="174">
        <v>12.941000000000001</v>
      </c>
      <c r="BX123" s="159"/>
      <c r="BY123" s="159"/>
      <c r="CB123" s="165"/>
      <c r="CC123" s="174">
        <v>8.93</v>
      </c>
      <c r="CD123" s="165"/>
      <c r="CE123" s="174">
        <v>8.4</v>
      </c>
      <c r="CF123" s="165"/>
      <c r="CH123" s="165"/>
      <c r="CJ123" s="165"/>
      <c r="CL123" s="165"/>
      <c r="CN123" s="165"/>
      <c r="CO123" s="130"/>
      <c r="CP123" s="165"/>
      <c r="CQ123" s="130"/>
      <c r="CR123" s="165"/>
      <c r="CS123" s="130"/>
      <c r="CT123" s="130"/>
      <c r="CU123" s="130"/>
      <c r="CV123" s="130"/>
      <c r="CW123" s="130"/>
      <c r="CX123" s="165"/>
      <c r="CY123" s="130"/>
      <c r="CZ123" s="130"/>
      <c r="DA123" s="130"/>
      <c r="DB123" s="130"/>
      <c r="DC123" s="130"/>
      <c r="DD123" s="130"/>
      <c r="DE123" s="130"/>
      <c r="DF123" s="130"/>
      <c r="DG123" s="130"/>
      <c r="DH123" s="130"/>
    </row>
    <row r="124" spans="1:112" ht="15">
      <c r="A124" s="169" t="s">
        <v>7697</v>
      </c>
      <c r="B124" s="175"/>
      <c r="C124" s="174">
        <v>3</v>
      </c>
      <c r="D124" s="174">
        <v>21</v>
      </c>
      <c r="E124" s="174">
        <v>3</v>
      </c>
      <c r="F124" s="174">
        <v>28</v>
      </c>
      <c r="I124" s="174"/>
      <c r="K124" s="188">
        <v>5</v>
      </c>
      <c r="L124" s="146">
        <v>42430</v>
      </c>
      <c r="M124" s="174">
        <v>8.4</v>
      </c>
      <c r="N124" s="189">
        <v>42580</v>
      </c>
      <c r="S124" s="174">
        <v>22.95</v>
      </c>
      <c r="U124" s="159">
        <v>18.5</v>
      </c>
      <c r="AE124" s="174">
        <v>46.6</v>
      </c>
      <c r="AG124" s="174">
        <v>4.2699999999999996</v>
      </c>
      <c r="AI124" s="174">
        <v>180</v>
      </c>
      <c r="AJ124" s="160">
        <v>42520</v>
      </c>
      <c r="AK124" s="174"/>
      <c r="AL124" s="174"/>
      <c r="AM124" s="174">
        <v>95</v>
      </c>
      <c r="AN124" s="174"/>
      <c r="AO124" s="174"/>
      <c r="AP124" s="174"/>
      <c r="AR124" s="174"/>
      <c r="AS124" s="174"/>
      <c r="AT124" s="174"/>
      <c r="AU124" s="174"/>
      <c r="AV124" s="174"/>
      <c r="AW124" s="174"/>
      <c r="AX124" s="174"/>
      <c r="AY124" s="174"/>
      <c r="BC124" s="174"/>
      <c r="BD124" s="174"/>
      <c r="BE124" s="174"/>
      <c r="BG124" s="174"/>
      <c r="BI124" s="174"/>
      <c r="BJ124" s="174"/>
      <c r="BK124" s="174"/>
      <c r="BM124" s="174">
        <v>63.947000000000003</v>
      </c>
      <c r="BN124" s="174"/>
      <c r="BO124" s="174"/>
      <c r="BP124" s="174"/>
      <c r="BR124" s="174"/>
      <c r="BS124" s="174">
        <v>49.241</v>
      </c>
      <c r="BT124" s="174"/>
      <c r="BU124" s="190">
        <v>19.402158737182617</v>
      </c>
      <c r="BV124" s="159"/>
      <c r="BW124" s="174">
        <v>14.361000000000001</v>
      </c>
      <c r="BX124" s="159"/>
      <c r="BY124" s="159"/>
      <c r="CB124" s="165"/>
      <c r="CC124" s="174">
        <v>8.39</v>
      </c>
      <c r="CD124" s="165"/>
      <c r="CE124" s="174">
        <v>8.1999999999999993</v>
      </c>
      <c r="CF124" s="165"/>
      <c r="CH124" s="165"/>
      <c r="CJ124" s="165"/>
      <c r="CL124" s="165"/>
      <c r="CN124" s="165"/>
      <c r="CO124" s="130"/>
      <c r="CP124" s="165"/>
      <c r="CQ124" s="130"/>
      <c r="CR124" s="165"/>
      <c r="CS124" s="130"/>
      <c r="CT124" s="130"/>
      <c r="CU124" s="130"/>
      <c r="CV124" s="130"/>
      <c r="CW124" s="130"/>
      <c r="CX124" s="165"/>
      <c r="CY124" s="130"/>
      <c r="CZ124" s="130"/>
      <c r="DA124" s="130"/>
      <c r="DB124" s="130"/>
      <c r="DC124" s="130"/>
      <c r="DD124" s="130"/>
      <c r="DE124" s="130"/>
      <c r="DF124" s="130"/>
      <c r="DG124" s="130"/>
      <c r="DH124" s="130"/>
    </row>
    <row r="125" spans="1:112" ht="15">
      <c r="A125" s="169" t="s">
        <v>7697</v>
      </c>
      <c r="B125" s="175"/>
      <c r="C125" s="174">
        <v>4</v>
      </c>
      <c r="D125" s="174">
        <v>21</v>
      </c>
      <c r="E125" s="174">
        <v>4</v>
      </c>
      <c r="F125" s="174">
        <v>8</v>
      </c>
      <c r="I125" s="174"/>
      <c r="K125" s="188">
        <v>7</v>
      </c>
      <c r="L125" s="146">
        <v>42430</v>
      </c>
      <c r="M125" s="174">
        <v>8.0399999999999991</v>
      </c>
      <c r="N125" s="189">
        <v>42580</v>
      </c>
      <c r="S125" s="174">
        <v>21.38</v>
      </c>
      <c r="U125" s="159">
        <v>18.5</v>
      </c>
      <c r="AE125" s="174">
        <v>44.61</v>
      </c>
      <c r="AG125" s="174">
        <v>4.8099999999999996</v>
      </c>
      <c r="AI125" s="174">
        <v>175</v>
      </c>
      <c r="AJ125" s="160">
        <v>42520</v>
      </c>
      <c r="AK125" s="174"/>
      <c r="AL125" s="174"/>
      <c r="AM125" s="174">
        <v>90</v>
      </c>
      <c r="AN125" s="174"/>
      <c r="AO125" s="174"/>
      <c r="AP125" s="174"/>
      <c r="AR125" s="174"/>
      <c r="AS125" s="174"/>
      <c r="AT125" s="174"/>
      <c r="AU125" s="174"/>
      <c r="AV125" s="174"/>
      <c r="AW125" s="174"/>
      <c r="AX125" s="174"/>
      <c r="AY125" s="174"/>
      <c r="BC125" s="174"/>
      <c r="BD125" s="174"/>
      <c r="BE125" s="174"/>
      <c r="BG125" s="174"/>
      <c r="BI125" s="174"/>
      <c r="BJ125" s="174"/>
      <c r="BK125" s="174"/>
      <c r="BM125" s="174">
        <v>62.277999999999999</v>
      </c>
      <c r="BN125" s="174"/>
      <c r="BO125" s="174"/>
      <c r="BP125" s="174"/>
      <c r="BR125" s="174"/>
      <c r="BS125" s="174">
        <v>47.926000000000002</v>
      </c>
      <c r="BT125" s="174"/>
      <c r="BU125" s="190">
        <v>18.85040283203125</v>
      </c>
      <c r="BV125" s="159"/>
      <c r="BW125" s="174">
        <v>13.41</v>
      </c>
      <c r="BX125" s="159"/>
      <c r="BY125" s="159"/>
      <c r="CB125" s="165"/>
      <c r="CC125" s="174">
        <v>8.3840000000000003</v>
      </c>
      <c r="CD125" s="165"/>
      <c r="CE125" s="174">
        <v>7.6</v>
      </c>
      <c r="CF125" s="165"/>
      <c r="CH125" s="165"/>
      <c r="CJ125" s="165"/>
      <c r="CL125" s="165"/>
      <c r="CN125" s="165"/>
      <c r="CO125" s="130"/>
      <c r="CP125" s="165"/>
      <c r="CQ125" s="130"/>
      <c r="CR125" s="165"/>
      <c r="CS125" s="130"/>
      <c r="CT125" s="130"/>
      <c r="CU125" s="130"/>
      <c r="CV125" s="130"/>
      <c r="CW125" s="130"/>
      <c r="CX125" s="165"/>
      <c r="CY125" s="130"/>
      <c r="CZ125" s="130"/>
      <c r="DA125" s="130"/>
      <c r="DB125" s="130"/>
      <c r="DC125" s="130"/>
      <c r="DD125" s="130"/>
      <c r="DE125" s="130"/>
      <c r="DF125" s="130"/>
      <c r="DG125" s="130"/>
      <c r="DH125" s="130"/>
    </row>
    <row r="126" spans="1:112" ht="15">
      <c r="A126" s="169" t="s">
        <v>7697</v>
      </c>
      <c r="B126" s="175"/>
      <c r="C126" s="174">
        <v>5</v>
      </c>
      <c r="D126" s="174">
        <v>21</v>
      </c>
      <c r="E126" s="174">
        <v>5</v>
      </c>
      <c r="F126" s="174">
        <v>18</v>
      </c>
      <c r="I126" s="174"/>
      <c r="K126" s="188">
        <v>5</v>
      </c>
      <c r="L126" s="146">
        <v>42430</v>
      </c>
      <c r="M126" s="174">
        <v>8.16</v>
      </c>
      <c r="N126" s="189">
        <v>42580</v>
      </c>
      <c r="S126" s="174">
        <v>22.09</v>
      </c>
      <c r="U126" s="159">
        <v>18.5</v>
      </c>
      <c r="AE126" s="174">
        <v>45.38</v>
      </c>
      <c r="AG126" s="174">
        <v>4.3600000000000003</v>
      </c>
      <c r="AI126" s="174">
        <v>160</v>
      </c>
      <c r="AJ126" s="160">
        <v>42520</v>
      </c>
      <c r="AK126" s="174"/>
      <c r="AL126" s="174"/>
      <c r="AM126" s="174">
        <v>98</v>
      </c>
      <c r="AN126" s="174"/>
      <c r="AO126" s="174"/>
      <c r="AP126" s="174"/>
      <c r="AR126" s="174"/>
      <c r="AS126" s="174"/>
      <c r="AT126" s="174"/>
      <c r="AU126" s="174"/>
      <c r="AV126" s="174"/>
      <c r="AW126" s="174"/>
      <c r="AX126" s="174"/>
      <c r="AY126" s="175"/>
      <c r="BC126" s="174"/>
      <c r="BD126" s="174"/>
      <c r="BE126" s="174"/>
      <c r="BG126" s="174"/>
      <c r="BI126" s="174"/>
      <c r="BJ126" s="174"/>
      <c r="BK126" s="174"/>
      <c r="BM126" s="174">
        <v>63.523000000000003</v>
      </c>
      <c r="BN126" s="174"/>
      <c r="BO126" s="174"/>
      <c r="BP126" s="174"/>
      <c r="BR126" s="174"/>
      <c r="BS126" s="174">
        <v>48.677999999999997</v>
      </c>
      <c r="BT126" s="174"/>
      <c r="BU126" s="190">
        <v>19.304113388061523</v>
      </c>
      <c r="BV126" s="159"/>
      <c r="BW126" s="174">
        <v>13.698</v>
      </c>
      <c r="BX126" s="159"/>
      <c r="BY126" s="159"/>
      <c r="CB126" s="165"/>
      <c r="CC126" s="174">
        <v>8.1690000000000005</v>
      </c>
      <c r="CD126" s="165"/>
      <c r="CE126" s="174">
        <v>7.7</v>
      </c>
      <c r="CF126" s="165"/>
      <c r="CH126" s="165"/>
      <c r="CJ126" s="165"/>
      <c r="CL126" s="165"/>
      <c r="CN126" s="165"/>
      <c r="CO126" s="130"/>
      <c r="CP126" s="165"/>
      <c r="CQ126" s="130"/>
      <c r="CR126" s="165"/>
      <c r="CS126" s="130"/>
      <c r="CT126" s="130"/>
      <c r="CU126" s="130"/>
      <c r="CV126" s="130"/>
      <c r="CW126" s="130"/>
      <c r="CX126" s="165"/>
      <c r="CY126" s="130"/>
      <c r="CZ126" s="130"/>
      <c r="DA126" s="130"/>
      <c r="DB126" s="130"/>
      <c r="DC126" s="130"/>
      <c r="DD126" s="130"/>
      <c r="DE126" s="130"/>
      <c r="DF126" s="130"/>
      <c r="DG126" s="130"/>
      <c r="DH126" s="130"/>
    </row>
    <row r="127" spans="1:112" ht="15">
      <c r="A127" s="169" t="s">
        <v>7697</v>
      </c>
      <c r="B127" s="175"/>
      <c r="C127" s="174">
        <v>6</v>
      </c>
      <c r="D127" s="174">
        <v>21</v>
      </c>
      <c r="E127" s="174">
        <v>6</v>
      </c>
      <c r="F127" s="174">
        <v>4</v>
      </c>
      <c r="I127" s="174"/>
      <c r="K127" s="188">
        <v>7</v>
      </c>
      <c r="L127" s="146">
        <v>42430</v>
      </c>
      <c r="M127" s="174">
        <v>7.72</v>
      </c>
      <c r="N127" s="189">
        <v>42580</v>
      </c>
      <c r="S127" s="174">
        <v>20.98</v>
      </c>
      <c r="U127" s="159">
        <v>18.5</v>
      </c>
      <c r="AE127" s="174">
        <v>42.94</v>
      </c>
      <c r="AG127" s="174">
        <v>4.3</v>
      </c>
      <c r="AI127" s="174">
        <v>170</v>
      </c>
      <c r="AJ127" s="160">
        <v>42520</v>
      </c>
      <c r="AK127" s="174"/>
      <c r="AL127" s="174"/>
      <c r="AM127" s="174">
        <v>98</v>
      </c>
      <c r="AN127" s="174"/>
      <c r="AO127" s="174"/>
      <c r="AP127" s="174"/>
      <c r="AR127" s="174"/>
      <c r="AS127" s="174"/>
      <c r="AT127" s="174"/>
      <c r="AU127" s="174"/>
      <c r="AV127" s="174"/>
      <c r="AW127" s="174"/>
      <c r="AX127" s="174"/>
      <c r="AY127" s="174"/>
      <c r="BC127" s="174"/>
      <c r="BD127" s="174"/>
      <c r="BE127" s="174"/>
      <c r="BG127" s="174"/>
      <c r="BI127" s="174"/>
      <c r="BJ127" s="174"/>
      <c r="BK127" s="174"/>
      <c r="BM127" s="174">
        <v>63.805999999999997</v>
      </c>
      <c r="BN127" s="174"/>
      <c r="BO127" s="174"/>
      <c r="BP127" s="174"/>
      <c r="BR127" s="174"/>
      <c r="BS127" s="174">
        <v>48.847999999999999</v>
      </c>
      <c r="BT127" s="174"/>
      <c r="BU127" s="190">
        <v>19.299646377563477</v>
      </c>
      <c r="BV127" s="159"/>
      <c r="BW127" s="174">
        <v>12.930999999999999</v>
      </c>
      <c r="BX127" s="159"/>
      <c r="BY127" s="159"/>
      <c r="CB127" s="165"/>
      <c r="CC127" s="174">
        <v>8.1509999999999998</v>
      </c>
      <c r="CD127" s="165"/>
      <c r="CE127" s="174">
        <v>7.7</v>
      </c>
      <c r="CF127" s="165"/>
      <c r="CH127" s="165"/>
      <c r="CJ127" s="165"/>
      <c r="CL127" s="165"/>
      <c r="CN127" s="165"/>
      <c r="CO127" s="130"/>
      <c r="CP127" s="165"/>
      <c r="CQ127" s="130"/>
      <c r="CR127" s="165"/>
      <c r="CS127" s="130"/>
      <c r="CT127" s="130"/>
      <c r="CU127" s="130"/>
      <c r="CV127" s="130"/>
      <c r="CW127" s="130"/>
      <c r="CX127" s="165"/>
      <c r="CY127" s="130"/>
      <c r="CZ127" s="130"/>
      <c r="DA127" s="130"/>
      <c r="DB127" s="130"/>
      <c r="DC127" s="130"/>
      <c r="DD127" s="130"/>
      <c r="DE127" s="130"/>
      <c r="DF127" s="130"/>
      <c r="DG127" s="130"/>
      <c r="DH127" s="130"/>
    </row>
    <row r="128" spans="1:112" ht="15">
      <c r="A128" s="169" t="s">
        <v>7698</v>
      </c>
      <c r="B128" s="175"/>
      <c r="C128" s="174">
        <v>1</v>
      </c>
      <c r="D128" s="174">
        <v>22</v>
      </c>
      <c r="E128" s="174">
        <v>1</v>
      </c>
      <c r="F128" s="174">
        <v>30</v>
      </c>
      <c r="I128" s="174"/>
      <c r="K128" s="188">
        <v>7</v>
      </c>
      <c r="L128" s="146">
        <v>42430</v>
      </c>
      <c r="M128" s="174">
        <v>6.98</v>
      </c>
      <c r="N128" s="189">
        <v>42580</v>
      </c>
      <c r="S128" s="174">
        <v>19.190000000000001</v>
      </c>
      <c r="U128" s="159">
        <v>18.5</v>
      </c>
      <c r="AE128" s="174">
        <v>39.06</v>
      </c>
      <c r="AG128" s="174">
        <v>4</v>
      </c>
      <c r="AI128" s="174">
        <v>160</v>
      </c>
      <c r="AJ128" s="160">
        <v>42520</v>
      </c>
      <c r="AK128" s="174"/>
      <c r="AL128" s="174"/>
      <c r="AM128" s="174">
        <v>102</v>
      </c>
      <c r="AN128" s="174"/>
      <c r="AO128" s="174"/>
      <c r="AP128" s="174"/>
      <c r="AR128" s="174"/>
      <c r="AS128" s="174"/>
      <c r="AT128" s="174"/>
      <c r="AU128" s="174"/>
      <c r="AV128" s="174"/>
      <c r="AW128" s="174"/>
      <c r="AX128" s="174"/>
      <c r="AY128" s="174"/>
      <c r="BC128" s="174"/>
      <c r="BD128" s="174"/>
      <c r="BE128" s="174"/>
      <c r="BG128" s="174"/>
      <c r="BI128" s="174"/>
      <c r="BJ128" s="174"/>
      <c r="BK128" s="174"/>
      <c r="BM128" s="174">
        <v>62.79</v>
      </c>
      <c r="BN128" s="174"/>
      <c r="BO128" s="174"/>
      <c r="BP128" s="174"/>
      <c r="BR128" s="174"/>
      <c r="BS128" s="174">
        <v>49.125</v>
      </c>
      <c r="BT128" s="174"/>
      <c r="BU128" s="190">
        <v>19.349308013916016</v>
      </c>
      <c r="BV128" s="159"/>
      <c r="BW128" s="174">
        <v>11.051</v>
      </c>
      <c r="BX128" s="159"/>
      <c r="BY128" s="159"/>
      <c r="CB128" s="165"/>
      <c r="CC128" s="174">
        <v>7.5880000000000001</v>
      </c>
      <c r="CD128" s="165"/>
      <c r="CE128" s="174">
        <v>7.3</v>
      </c>
      <c r="CF128" s="165"/>
      <c r="CH128" s="165"/>
      <c r="CJ128" s="165"/>
      <c r="CL128" s="165"/>
      <c r="CN128" s="165"/>
      <c r="CO128" s="130"/>
      <c r="CP128" s="165"/>
      <c r="CQ128" s="130"/>
      <c r="CR128" s="165"/>
      <c r="CS128" s="130"/>
      <c r="CT128" s="130"/>
      <c r="CU128" s="130"/>
      <c r="CV128" s="130"/>
      <c r="CW128" s="130"/>
      <c r="CX128" s="165"/>
      <c r="CY128" s="130"/>
      <c r="CZ128" s="130"/>
      <c r="DA128" s="130"/>
      <c r="DB128" s="130"/>
      <c r="DC128" s="130"/>
      <c r="DD128" s="130"/>
      <c r="DE128" s="130"/>
      <c r="DF128" s="130"/>
      <c r="DG128" s="130"/>
      <c r="DH128" s="130"/>
    </row>
    <row r="129" spans="1:112" ht="15">
      <c r="A129" s="169" t="s">
        <v>7698</v>
      </c>
      <c r="B129" s="175"/>
      <c r="C129" s="174">
        <v>2</v>
      </c>
      <c r="D129" s="174">
        <v>22</v>
      </c>
      <c r="E129" s="174">
        <v>2</v>
      </c>
      <c r="F129" s="174">
        <v>22</v>
      </c>
      <c r="I129" s="174"/>
      <c r="K129" s="188">
        <v>7</v>
      </c>
      <c r="L129" s="146">
        <v>42430</v>
      </c>
      <c r="M129" s="174">
        <v>8.0399999999999991</v>
      </c>
      <c r="N129" s="189">
        <v>42580</v>
      </c>
      <c r="S129" s="174">
        <v>22.15</v>
      </c>
      <c r="U129" s="159">
        <v>18.5</v>
      </c>
      <c r="AE129" s="174">
        <v>44.68</v>
      </c>
      <c r="AG129" s="174">
        <v>4.91</v>
      </c>
      <c r="AI129" s="174">
        <v>165</v>
      </c>
      <c r="AJ129" s="160">
        <v>42520</v>
      </c>
      <c r="AK129" s="174"/>
      <c r="AL129" s="174"/>
      <c r="AM129" s="174">
        <v>98</v>
      </c>
      <c r="AN129" s="174"/>
      <c r="AO129" s="174"/>
      <c r="AP129" s="174"/>
      <c r="AR129" s="174"/>
      <c r="AS129" s="174"/>
      <c r="AT129" s="174"/>
      <c r="AU129" s="174"/>
      <c r="AV129" s="174"/>
      <c r="AW129" s="174"/>
      <c r="AX129" s="174"/>
      <c r="AY129" s="175"/>
      <c r="BC129" s="174"/>
      <c r="BD129" s="174"/>
      <c r="BE129" s="174"/>
      <c r="BG129" s="174"/>
      <c r="BI129" s="174"/>
      <c r="BJ129" s="174"/>
      <c r="BK129" s="174"/>
      <c r="BM129" s="174">
        <v>63.46</v>
      </c>
      <c r="BN129" s="174"/>
      <c r="BO129" s="174"/>
      <c r="BP129" s="174"/>
      <c r="BR129" s="174"/>
      <c r="BS129" s="174">
        <v>49.581000000000003</v>
      </c>
      <c r="BT129" s="174"/>
      <c r="BU129" s="190">
        <v>19.092632293701172</v>
      </c>
      <c r="BV129" s="159"/>
      <c r="BW129" s="174">
        <v>8.9329999999999998</v>
      </c>
      <c r="BX129" s="159"/>
      <c r="BY129" s="159"/>
      <c r="CB129" s="165"/>
      <c r="CC129" s="174">
        <v>8.2170000000000005</v>
      </c>
      <c r="CD129" s="165"/>
      <c r="CE129" s="174">
        <v>7.7</v>
      </c>
      <c r="CF129" s="165"/>
      <c r="CH129" s="165"/>
      <c r="CJ129" s="165"/>
      <c r="CL129" s="165"/>
      <c r="CN129" s="165"/>
      <c r="CO129" s="130"/>
      <c r="CP129" s="165"/>
      <c r="CQ129" s="130"/>
      <c r="CR129" s="165"/>
      <c r="CS129" s="130"/>
      <c r="CT129" s="130"/>
      <c r="CU129" s="130"/>
      <c r="CV129" s="130"/>
      <c r="CW129" s="130"/>
      <c r="CX129" s="165"/>
      <c r="CY129" s="130"/>
      <c r="CZ129" s="130"/>
      <c r="DA129" s="130"/>
      <c r="DB129" s="130"/>
      <c r="DC129" s="130"/>
      <c r="DD129" s="130"/>
      <c r="DE129" s="130"/>
      <c r="DF129" s="130"/>
      <c r="DG129" s="130"/>
      <c r="DH129" s="130"/>
    </row>
    <row r="130" spans="1:112" ht="15">
      <c r="A130" s="169" t="s">
        <v>7698</v>
      </c>
      <c r="B130" s="175"/>
      <c r="C130" s="174">
        <v>3</v>
      </c>
      <c r="D130" s="174">
        <v>22</v>
      </c>
      <c r="E130" s="174">
        <v>3</v>
      </c>
      <c r="F130" s="174">
        <v>30</v>
      </c>
      <c r="I130" s="174"/>
      <c r="K130" s="188">
        <v>7</v>
      </c>
      <c r="L130" s="146">
        <v>42430</v>
      </c>
      <c r="M130" s="174">
        <v>7.13</v>
      </c>
      <c r="N130" s="189">
        <v>42580</v>
      </c>
      <c r="S130" s="174">
        <v>19.72</v>
      </c>
      <c r="U130" s="159">
        <v>18.5</v>
      </c>
      <c r="AE130" s="174">
        <v>39.83</v>
      </c>
      <c r="AG130" s="174">
        <v>3.95</v>
      </c>
      <c r="AI130" s="174">
        <v>170</v>
      </c>
      <c r="AJ130" s="160">
        <v>42520</v>
      </c>
      <c r="AK130" s="174"/>
      <c r="AL130" s="174"/>
      <c r="AM130" s="174">
        <v>102</v>
      </c>
      <c r="AN130" s="174"/>
      <c r="AO130" s="174"/>
      <c r="AP130" s="174"/>
      <c r="AR130" s="174"/>
      <c r="AS130" s="174"/>
      <c r="AT130" s="174"/>
      <c r="AU130" s="174"/>
      <c r="AV130" s="174"/>
      <c r="AW130" s="174"/>
      <c r="AX130" s="174"/>
      <c r="AY130" s="174"/>
      <c r="BC130" s="174"/>
      <c r="BD130" s="174"/>
      <c r="BE130" s="174"/>
      <c r="BG130" s="174"/>
      <c r="BI130" s="174"/>
      <c r="BJ130" s="174"/>
      <c r="BK130" s="174"/>
      <c r="BM130" s="174">
        <v>64.664000000000001</v>
      </c>
      <c r="BN130" s="174"/>
      <c r="BO130" s="174"/>
      <c r="BP130" s="174"/>
      <c r="BR130" s="174"/>
      <c r="BS130" s="174">
        <v>49.521000000000001</v>
      </c>
      <c r="BT130" s="174"/>
      <c r="BU130" s="190">
        <v>18.780984878540039</v>
      </c>
      <c r="BV130" s="159"/>
      <c r="BW130" s="174">
        <v>9.3309999999999995</v>
      </c>
      <c r="BX130" s="159"/>
      <c r="BY130" s="159"/>
      <c r="CB130" s="165"/>
      <c r="CC130" s="174">
        <v>7.76</v>
      </c>
      <c r="CD130" s="165"/>
      <c r="CE130" s="174">
        <v>7.3</v>
      </c>
      <c r="CF130" s="165"/>
      <c r="CH130" s="165"/>
      <c r="CJ130" s="165"/>
      <c r="CL130" s="165"/>
      <c r="CN130" s="165"/>
      <c r="CO130" s="130"/>
      <c r="CP130" s="165"/>
      <c r="CQ130" s="130"/>
      <c r="CR130" s="165"/>
      <c r="CS130" s="130"/>
      <c r="CT130" s="130"/>
      <c r="CU130" s="130"/>
      <c r="CV130" s="130"/>
      <c r="CW130" s="130"/>
      <c r="CX130" s="165"/>
      <c r="CY130" s="130"/>
      <c r="CZ130" s="130"/>
      <c r="DA130" s="130"/>
      <c r="DB130" s="130"/>
      <c r="DC130" s="130"/>
      <c r="DD130" s="130"/>
      <c r="DE130" s="130"/>
      <c r="DF130" s="130"/>
      <c r="DG130" s="130"/>
      <c r="DH130" s="130"/>
    </row>
    <row r="131" spans="1:112" ht="15">
      <c r="A131" s="169" t="s">
        <v>7698</v>
      </c>
      <c r="B131" s="175"/>
      <c r="C131" s="174">
        <v>4</v>
      </c>
      <c r="D131" s="174">
        <v>22</v>
      </c>
      <c r="E131" s="174">
        <v>4</v>
      </c>
      <c r="F131" s="174">
        <v>24</v>
      </c>
      <c r="I131" s="174"/>
      <c r="K131" s="188">
        <v>7</v>
      </c>
      <c r="L131" s="146">
        <v>42430</v>
      </c>
      <c r="M131" s="174">
        <v>7.53</v>
      </c>
      <c r="N131" s="189">
        <v>42580</v>
      </c>
      <c r="S131" s="174">
        <v>20.97</v>
      </c>
      <c r="U131" s="159">
        <v>18.5</v>
      </c>
      <c r="AE131" s="174">
        <v>42</v>
      </c>
      <c r="AG131" s="174">
        <v>4.2300000000000004</v>
      </c>
      <c r="AI131" s="174">
        <v>155</v>
      </c>
      <c r="AJ131" s="160">
        <v>42520</v>
      </c>
      <c r="AK131" s="174"/>
      <c r="AL131" s="174"/>
      <c r="AM131" s="174">
        <v>98</v>
      </c>
      <c r="AN131" s="174"/>
      <c r="AO131" s="174"/>
      <c r="AP131" s="174"/>
      <c r="AR131" s="174"/>
      <c r="AS131" s="174"/>
      <c r="AT131" s="174"/>
      <c r="AU131" s="174"/>
      <c r="AV131" s="174"/>
      <c r="AW131" s="174"/>
      <c r="AX131" s="174"/>
      <c r="AY131" s="174"/>
      <c r="BC131" s="174"/>
      <c r="BD131" s="174"/>
      <c r="BE131" s="174"/>
      <c r="BG131" s="174"/>
      <c r="BI131" s="174"/>
      <c r="BJ131" s="174"/>
      <c r="BK131" s="174"/>
      <c r="BM131" s="174">
        <v>65.760000000000005</v>
      </c>
      <c r="BN131" s="174"/>
      <c r="BO131" s="174"/>
      <c r="BP131" s="174"/>
      <c r="BR131" s="174"/>
      <c r="BS131" s="174">
        <v>49.921999999999997</v>
      </c>
      <c r="BT131" s="174"/>
      <c r="BU131" s="190">
        <v>18.443513870239258</v>
      </c>
      <c r="BV131" s="159"/>
      <c r="BW131" s="174">
        <v>9.375</v>
      </c>
      <c r="BX131" s="159"/>
      <c r="BY131" s="159"/>
      <c r="CB131" s="165"/>
      <c r="CC131" s="174">
        <v>7.9039999999999999</v>
      </c>
      <c r="CD131" s="165"/>
      <c r="CE131" s="174">
        <v>7.3</v>
      </c>
      <c r="CF131" s="165"/>
      <c r="CH131" s="165"/>
      <c r="CJ131" s="165"/>
      <c r="CL131" s="165"/>
      <c r="CN131" s="165"/>
      <c r="CO131" s="130"/>
      <c r="CP131" s="165"/>
      <c r="CQ131" s="130"/>
      <c r="CR131" s="165"/>
      <c r="CS131" s="130"/>
      <c r="CT131" s="130"/>
      <c r="CU131" s="130"/>
      <c r="CV131" s="130"/>
      <c r="CW131" s="130"/>
      <c r="CX131" s="165"/>
      <c r="CY131" s="130"/>
      <c r="CZ131" s="130"/>
      <c r="DA131" s="130"/>
      <c r="DB131" s="130"/>
      <c r="DC131" s="130"/>
      <c r="DD131" s="130"/>
      <c r="DE131" s="130"/>
      <c r="DF131" s="130"/>
      <c r="DG131" s="130"/>
      <c r="DH131" s="130"/>
    </row>
    <row r="132" spans="1:112" ht="15">
      <c r="A132" s="169" t="s">
        <v>7698</v>
      </c>
      <c r="B132" s="175"/>
      <c r="C132" s="174">
        <v>5</v>
      </c>
      <c r="D132" s="174">
        <v>22</v>
      </c>
      <c r="E132" s="174">
        <v>5</v>
      </c>
      <c r="F132" s="174">
        <v>34</v>
      </c>
      <c r="I132" s="174"/>
      <c r="K132" s="188">
        <v>3</v>
      </c>
      <c r="L132" s="146">
        <v>42430</v>
      </c>
      <c r="M132" s="174">
        <v>6.42</v>
      </c>
      <c r="N132" s="189">
        <v>42580</v>
      </c>
      <c r="S132" s="174">
        <v>18.07</v>
      </c>
      <c r="U132" s="159">
        <v>18.5</v>
      </c>
      <c r="AE132" s="174">
        <v>35.74</v>
      </c>
      <c r="AG132" s="174">
        <v>4.04</v>
      </c>
      <c r="AI132" s="174">
        <v>140</v>
      </c>
      <c r="AJ132" s="160">
        <v>42520</v>
      </c>
      <c r="AK132" s="174"/>
      <c r="AL132" s="174"/>
      <c r="AM132" s="174">
        <v>98</v>
      </c>
      <c r="AN132" s="174"/>
      <c r="AO132" s="174"/>
      <c r="AP132" s="174"/>
      <c r="AR132" s="174"/>
      <c r="AS132" s="174"/>
      <c r="AT132" s="174"/>
      <c r="AU132" s="174"/>
      <c r="AV132" s="174"/>
      <c r="AW132" s="174"/>
      <c r="AX132" s="174"/>
      <c r="AY132" s="174"/>
      <c r="BC132" s="174"/>
      <c r="BD132" s="174"/>
      <c r="BE132" s="174"/>
      <c r="BG132" s="174"/>
      <c r="BI132" s="174"/>
      <c r="BJ132" s="174"/>
      <c r="BK132" s="174"/>
      <c r="BM132" s="174">
        <v>65.424000000000007</v>
      </c>
      <c r="BN132" s="174"/>
      <c r="BO132" s="174"/>
      <c r="BP132" s="174"/>
      <c r="BR132" s="174"/>
      <c r="BS132" s="174">
        <v>50.569000000000003</v>
      </c>
      <c r="BT132" s="174"/>
      <c r="BU132" s="190">
        <v>17.545478820800781</v>
      </c>
      <c r="BV132" s="159"/>
      <c r="BW132" s="174">
        <v>9.0459999999999994</v>
      </c>
      <c r="BX132" s="159"/>
      <c r="BY132" s="159"/>
      <c r="CB132" s="165"/>
      <c r="CC132" s="174">
        <v>8.0730000000000004</v>
      </c>
      <c r="CD132" s="165"/>
      <c r="CE132" s="174">
        <v>7.5</v>
      </c>
      <c r="CF132" s="165"/>
      <c r="CH132" s="165"/>
      <c r="CJ132" s="165"/>
      <c r="CL132" s="165"/>
      <c r="CN132" s="165"/>
      <c r="CO132" s="130"/>
      <c r="CP132" s="165"/>
      <c r="CQ132" s="130"/>
      <c r="CR132" s="165"/>
      <c r="CS132" s="130"/>
      <c r="CT132" s="130"/>
      <c r="CU132" s="130"/>
      <c r="CV132" s="130"/>
      <c r="CW132" s="130"/>
      <c r="CX132" s="165"/>
      <c r="CY132" s="130"/>
      <c r="CZ132" s="130"/>
      <c r="DA132" s="130"/>
      <c r="DB132" s="130"/>
      <c r="DC132" s="130"/>
      <c r="DD132" s="130"/>
      <c r="DE132" s="130"/>
      <c r="DF132" s="130"/>
      <c r="DG132" s="130"/>
      <c r="DH132" s="130"/>
    </row>
    <row r="133" spans="1:112" ht="15">
      <c r="A133" s="169" t="s">
        <v>7698</v>
      </c>
      <c r="B133" s="175"/>
      <c r="C133" s="174">
        <v>6</v>
      </c>
      <c r="D133" s="174">
        <v>22</v>
      </c>
      <c r="E133" s="174">
        <v>6</v>
      </c>
      <c r="F133" s="174">
        <v>14</v>
      </c>
      <c r="I133" s="174"/>
      <c r="K133" s="188">
        <v>8</v>
      </c>
      <c r="L133" s="146">
        <v>42430</v>
      </c>
      <c r="M133" s="174">
        <v>7.52</v>
      </c>
      <c r="N133" s="189">
        <v>42580</v>
      </c>
      <c r="S133" s="174">
        <v>21.14</v>
      </c>
      <c r="U133" s="159">
        <v>18.5</v>
      </c>
      <c r="AE133" s="174">
        <v>41.96</v>
      </c>
      <c r="AG133" s="174">
        <v>4.16</v>
      </c>
      <c r="AI133" s="174">
        <v>150</v>
      </c>
      <c r="AJ133" s="160">
        <v>42520</v>
      </c>
      <c r="AK133" s="174"/>
      <c r="AL133" s="174"/>
      <c r="AM133" s="174">
        <v>98</v>
      </c>
      <c r="AN133" s="174"/>
      <c r="AO133" s="174"/>
      <c r="AP133" s="174"/>
      <c r="AR133" s="174"/>
      <c r="AS133" s="174"/>
      <c r="AT133" s="174"/>
      <c r="AU133" s="174"/>
      <c r="AV133" s="174"/>
      <c r="AW133" s="174"/>
      <c r="AX133" s="174"/>
      <c r="AY133" s="174"/>
      <c r="BC133" s="174"/>
      <c r="BD133" s="174"/>
      <c r="BE133" s="174"/>
      <c r="BG133" s="174"/>
      <c r="BI133" s="174"/>
      <c r="BJ133" s="174"/>
      <c r="BK133" s="174"/>
      <c r="BM133" s="174">
        <v>64.778000000000006</v>
      </c>
      <c r="BN133" s="174"/>
      <c r="BO133" s="174"/>
      <c r="BP133" s="174"/>
      <c r="BR133" s="174"/>
      <c r="BS133" s="174">
        <v>50.378999999999998</v>
      </c>
      <c r="BT133" s="174"/>
      <c r="BU133" s="190">
        <v>17.455692291259766</v>
      </c>
      <c r="BV133" s="159"/>
      <c r="BW133" s="174">
        <v>11.438000000000001</v>
      </c>
      <c r="BX133" s="159"/>
      <c r="BY133" s="159"/>
      <c r="CB133" s="165"/>
      <c r="CC133" s="174">
        <v>7.8540000000000001</v>
      </c>
      <c r="CD133" s="165"/>
      <c r="CE133" s="174">
        <v>7.3</v>
      </c>
      <c r="CF133" s="165"/>
      <c r="CH133" s="165"/>
      <c r="CJ133" s="165"/>
      <c r="CL133" s="165"/>
      <c r="CN133" s="165"/>
      <c r="CO133" s="130"/>
      <c r="CP133" s="165"/>
      <c r="CQ133" s="130"/>
      <c r="CR133" s="165"/>
      <c r="CS133" s="130"/>
      <c r="CT133" s="130"/>
      <c r="CU133" s="130"/>
      <c r="CV133" s="130"/>
      <c r="CW133" s="130"/>
      <c r="CX133" s="165"/>
      <c r="CY133" s="130"/>
      <c r="CZ133" s="130"/>
      <c r="DA133" s="130"/>
      <c r="DB133" s="130"/>
      <c r="DC133" s="130"/>
      <c r="DD133" s="130"/>
      <c r="DE133" s="130"/>
      <c r="DF133" s="130"/>
      <c r="DG133" s="130"/>
      <c r="DH133" s="130"/>
    </row>
    <row r="134" spans="1:112" ht="15">
      <c r="A134" s="169" t="s">
        <v>7700</v>
      </c>
      <c r="B134" s="175"/>
      <c r="C134" s="174">
        <v>1</v>
      </c>
      <c r="D134" s="174">
        <v>23</v>
      </c>
      <c r="E134" s="174">
        <v>1</v>
      </c>
      <c r="F134" s="174">
        <v>9</v>
      </c>
      <c r="I134" s="174"/>
      <c r="K134" s="188">
        <v>5</v>
      </c>
      <c r="L134" s="146">
        <v>42430</v>
      </c>
      <c r="M134" s="174">
        <v>7.33</v>
      </c>
      <c r="N134" s="189">
        <v>42580</v>
      </c>
      <c r="S134" s="174">
        <v>19.63</v>
      </c>
      <c r="U134" s="159">
        <v>18.5</v>
      </c>
      <c r="AE134" s="174">
        <v>40.76</v>
      </c>
      <c r="AG134" s="174">
        <v>4.5199999999999996</v>
      </c>
      <c r="AI134" s="174">
        <v>160</v>
      </c>
      <c r="AJ134" s="160">
        <v>42520</v>
      </c>
      <c r="AK134" s="174"/>
      <c r="AL134" s="174"/>
      <c r="AM134" s="174">
        <v>95</v>
      </c>
      <c r="AN134" s="174"/>
      <c r="AO134" s="174"/>
      <c r="AP134" s="174"/>
      <c r="AR134" s="174"/>
      <c r="AS134" s="174"/>
      <c r="AT134" s="174"/>
      <c r="AU134" s="174"/>
      <c r="AV134" s="174"/>
      <c r="AW134" s="174"/>
      <c r="AX134" s="174"/>
      <c r="AY134" s="175"/>
      <c r="BC134" s="174"/>
      <c r="BD134" s="174"/>
      <c r="BE134" s="174"/>
      <c r="BG134" s="174"/>
      <c r="BI134" s="174"/>
      <c r="BJ134" s="174"/>
      <c r="BK134" s="174"/>
      <c r="BM134" s="174">
        <v>65.015000000000001</v>
      </c>
      <c r="BN134" s="174"/>
      <c r="BO134" s="174"/>
      <c r="BP134" s="174"/>
      <c r="BR134" s="174"/>
      <c r="BS134" s="174">
        <v>48.154000000000003</v>
      </c>
      <c r="BT134" s="174"/>
      <c r="BU134" s="190">
        <v>19.878671646118164</v>
      </c>
      <c r="BV134" s="159"/>
      <c r="BW134" s="174">
        <v>13.333</v>
      </c>
      <c r="BX134" s="159"/>
      <c r="BY134" s="159"/>
      <c r="CB134" s="165"/>
      <c r="CC134" s="174">
        <v>8.173</v>
      </c>
      <c r="CD134" s="165"/>
      <c r="CE134" s="174">
        <v>7.9</v>
      </c>
      <c r="CF134" s="165"/>
      <c r="CH134" s="165"/>
      <c r="CJ134" s="165"/>
      <c r="CL134" s="165"/>
      <c r="CN134" s="165"/>
      <c r="CO134" s="130"/>
      <c r="CP134" s="165"/>
      <c r="CQ134" s="130"/>
      <c r="CR134" s="165"/>
      <c r="CS134" s="130"/>
      <c r="CT134" s="130"/>
      <c r="CU134" s="130"/>
      <c r="CV134" s="130"/>
      <c r="CW134" s="130"/>
      <c r="CX134" s="165"/>
      <c r="CY134" s="130"/>
      <c r="CZ134" s="130"/>
      <c r="DA134" s="130"/>
      <c r="DB134" s="130"/>
      <c r="DC134" s="130"/>
      <c r="DD134" s="130"/>
      <c r="DE134" s="130"/>
      <c r="DF134" s="130"/>
      <c r="DG134" s="130"/>
      <c r="DH134" s="130"/>
    </row>
    <row r="135" spans="1:112" ht="15">
      <c r="A135" s="169" t="s">
        <v>7700</v>
      </c>
      <c r="B135" s="175"/>
      <c r="C135" s="174">
        <v>2</v>
      </c>
      <c r="D135" s="174">
        <v>23</v>
      </c>
      <c r="E135" s="174">
        <v>2</v>
      </c>
      <c r="F135" s="174">
        <v>17</v>
      </c>
      <c r="I135" s="174"/>
      <c r="K135" s="188">
        <v>8</v>
      </c>
      <c r="L135" s="146">
        <v>42430</v>
      </c>
      <c r="M135" s="174">
        <v>7.32</v>
      </c>
      <c r="N135" s="189">
        <v>42580</v>
      </c>
      <c r="S135" s="174">
        <v>19.86</v>
      </c>
      <c r="U135" s="159">
        <v>18.5</v>
      </c>
      <c r="AE135" s="174">
        <v>40.76</v>
      </c>
      <c r="AG135" s="174">
        <v>4.4800000000000004</v>
      </c>
      <c r="AI135" s="174">
        <v>160</v>
      </c>
      <c r="AJ135" s="160">
        <v>42520</v>
      </c>
      <c r="AK135" s="174"/>
      <c r="AL135" s="174"/>
      <c r="AM135" s="174">
        <v>95</v>
      </c>
      <c r="AN135" s="174"/>
      <c r="AO135" s="174"/>
      <c r="AP135" s="174"/>
      <c r="AR135" s="174"/>
      <c r="AS135" s="174"/>
      <c r="AT135" s="174"/>
      <c r="AU135" s="174"/>
      <c r="AV135" s="174"/>
      <c r="AW135" s="174"/>
      <c r="AX135" s="174"/>
      <c r="AY135" s="174"/>
      <c r="BC135" s="174"/>
      <c r="BD135" s="174"/>
      <c r="BE135" s="174"/>
      <c r="BG135" s="174"/>
      <c r="BI135" s="174"/>
      <c r="BJ135" s="174"/>
      <c r="BK135" s="174"/>
      <c r="BM135" s="174">
        <v>64.364999999999995</v>
      </c>
      <c r="BN135" s="174"/>
      <c r="BO135" s="174"/>
      <c r="BP135" s="174"/>
      <c r="BR135" s="174"/>
      <c r="BS135" s="174">
        <v>48.72</v>
      </c>
      <c r="BT135" s="174"/>
      <c r="BU135" s="190">
        <v>20.104251861572266</v>
      </c>
      <c r="BV135" s="159"/>
      <c r="BW135" s="174">
        <v>13.303000000000001</v>
      </c>
      <c r="BX135" s="159"/>
      <c r="BY135" s="159"/>
      <c r="CB135" s="165"/>
      <c r="CC135" s="174">
        <v>8.0419999999999998</v>
      </c>
      <c r="CD135" s="165"/>
      <c r="CE135" s="174">
        <v>7.7</v>
      </c>
      <c r="CF135" s="165"/>
      <c r="CH135" s="165"/>
      <c r="CJ135" s="165"/>
      <c r="CL135" s="165"/>
      <c r="CN135" s="165"/>
      <c r="CO135" s="130"/>
      <c r="CP135" s="165"/>
      <c r="CQ135" s="130"/>
      <c r="CR135" s="165"/>
      <c r="CS135" s="130"/>
      <c r="CT135" s="130"/>
      <c r="CU135" s="130"/>
      <c r="CV135" s="130"/>
      <c r="CW135" s="130"/>
      <c r="CX135" s="165"/>
      <c r="CY135" s="130"/>
      <c r="CZ135" s="130"/>
      <c r="DA135" s="130"/>
      <c r="DB135" s="130"/>
      <c r="DC135" s="130"/>
      <c r="DD135" s="130"/>
      <c r="DE135" s="130"/>
      <c r="DF135" s="130"/>
      <c r="DG135" s="130"/>
      <c r="DH135" s="130"/>
    </row>
    <row r="136" spans="1:112" ht="15">
      <c r="A136" s="169" t="s">
        <v>7700</v>
      </c>
      <c r="B136" s="175"/>
      <c r="C136" s="174">
        <v>3</v>
      </c>
      <c r="D136" s="174">
        <v>23</v>
      </c>
      <c r="E136" s="174">
        <v>3</v>
      </c>
      <c r="F136" s="174">
        <v>4</v>
      </c>
      <c r="I136" s="174"/>
      <c r="K136" s="188">
        <v>8</v>
      </c>
      <c r="L136" s="146">
        <v>42430</v>
      </c>
      <c r="M136" s="174">
        <v>6.58</v>
      </c>
      <c r="N136" s="189">
        <v>42580</v>
      </c>
      <c r="S136" s="174">
        <v>17.89</v>
      </c>
      <c r="U136" s="159">
        <v>18.5</v>
      </c>
      <c r="AE136" s="174">
        <v>36.49</v>
      </c>
      <c r="AG136" s="174">
        <v>4.29</v>
      </c>
      <c r="AI136" s="174">
        <v>170</v>
      </c>
      <c r="AJ136" s="160">
        <v>42520</v>
      </c>
      <c r="AK136" s="174"/>
      <c r="AL136" s="174"/>
      <c r="AM136" s="174">
        <v>90</v>
      </c>
      <c r="AN136" s="174"/>
      <c r="AO136" s="174"/>
      <c r="AP136" s="174"/>
      <c r="AR136" s="174"/>
      <c r="AS136" s="174"/>
      <c r="AT136" s="174"/>
      <c r="AU136" s="174"/>
      <c r="AV136" s="174"/>
      <c r="AW136" s="174"/>
      <c r="AX136" s="174"/>
      <c r="AY136" s="174"/>
      <c r="BC136" s="174"/>
      <c r="BD136" s="174"/>
      <c r="BE136" s="174"/>
      <c r="BG136" s="174"/>
      <c r="BI136" s="174"/>
      <c r="BJ136" s="174"/>
      <c r="BK136" s="174"/>
      <c r="BM136" s="174">
        <v>64.971000000000004</v>
      </c>
      <c r="BN136" s="174"/>
      <c r="BO136" s="174"/>
      <c r="BP136" s="174"/>
      <c r="BR136" s="174"/>
      <c r="BS136" s="174">
        <v>49.033000000000001</v>
      </c>
      <c r="BT136" s="174"/>
      <c r="BU136" s="190">
        <v>19.429615020751953</v>
      </c>
      <c r="BV136" s="159"/>
      <c r="BW136" s="174">
        <v>10.896000000000001</v>
      </c>
      <c r="BX136" s="159"/>
      <c r="BY136" s="159"/>
      <c r="CB136" s="165"/>
      <c r="CC136" s="174">
        <v>8.4250000000000007</v>
      </c>
      <c r="CD136" s="165"/>
      <c r="CE136" s="174">
        <v>7.9</v>
      </c>
      <c r="CF136" s="165"/>
      <c r="CH136" s="165"/>
      <c r="CJ136" s="165"/>
      <c r="CL136" s="165"/>
      <c r="CN136" s="165"/>
      <c r="CO136" s="130"/>
      <c r="CP136" s="165"/>
      <c r="CQ136" s="130"/>
      <c r="CR136" s="165"/>
      <c r="CS136" s="130"/>
      <c r="CT136" s="130"/>
      <c r="CU136" s="130"/>
      <c r="CV136" s="130"/>
      <c r="CW136" s="130"/>
      <c r="CX136" s="165"/>
      <c r="CY136" s="130"/>
      <c r="CZ136" s="130"/>
      <c r="DA136" s="130"/>
      <c r="DB136" s="130"/>
      <c r="DC136" s="130"/>
      <c r="DD136" s="130"/>
      <c r="DE136" s="130"/>
      <c r="DF136" s="130"/>
      <c r="DG136" s="130"/>
      <c r="DH136" s="130"/>
    </row>
    <row r="137" spans="1:112" ht="15">
      <c r="A137" s="169" t="s">
        <v>7700</v>
      </c>
      <c r="B137" s="175"/>
      <c r="C137" s="174">
        <v>4</v>
      </c>
      <c r="D137" s="174">
        <v>23</v>
      </c>
      <c r="E137" s="174">
        <v>4</v>
      </c>
      <c r="F137" s="174">
        <v>30</v>
      </c>
      <c r="I137" s="174"/>
      <c r="K137" s="188">
        <v>5</v>
      </c>
      <c r="L137" s="146">
        <v>42430</v>
      </c>
      <c r="M137" s="174">
        <v>6.4</v>
      </c>
      <c r="N137" s="189">
        <v>42580</v>
      </c>
      <c r="S137" s="174">
        <v>17.88</v>
      </c>
      <c r="U137" s="159">
        <v>18.5</v>
      </c>
      <c r="AE137" s="174">
        <v>35.68</v>
      </c>
      <c r="AG137" s="174">
        <v>4.17</v>
      </c>
      <c r="AI137" s="174">
        <v>150</v>
      </c>
      <c r="AJ137" s="160">
        <v>42520</v>
      </c>
      <c r="AK137" s="174"/>
      <c r="AL137" s="174"/>
      <c r="AM137" s="174">
        <v>98</v>
      </c>
      <c r="AN137" s="174"/>
      <c r="AO137" s="174"/>
      <c r="AP137" s="174"/>
      <c r="AR137" s="174"/>
      <c r="AS137" s="174"/>
      <c r="AT137" s="174"/>
      <c r="AU137" s="174"/>
      <c r="AV137" s="174"/>
      <c r="AW137" s="174"/>
      <c r="AX137" s="174"/>
      <c r="AY137" s="174"/>
      <c r="BC137" s="174"/>
      <c r="BD137" s="174"/>
      <c r="BE137" s="174"/>
      <c r="BG137" s="174"/>
      <c r="BI137" s="174"/>
      <c r="BJ137" s="174"/>
      <c r="BK137" s="174"/>
      <c r="BM137" s="174">
        <v>65.947999999999993</v>
      </c>
      <c r="BN137" s="174"/>
      <c r="BO137" s="174"/>
      <c r="BP137" s="174"/>
      <c r="BR137" s="174"/>
      <c r="BS137" s="174">
        <v>50.109000000000002</v>
      </c>
      <c r="BT137" s="174"/>
      <c r="BU137" s="190">
        <v>18.252586364746094</v>
      </c>
      <c r="BV137" s="159"/>
      <c r="BW137" s="174">
        <v>11.935</v>
      </c>
      <c r="BX137" s="159"/>
      <c r="BY137" s="159"/>
      <c r="CB137" s="165"/>
      <c r="CC137" s="174">
        <v>7.9290000000000003</v>
      </c>
      <c r="CD137" s="165"/>
      <c r="CE137" s="174">
        <v>7.3</v>
      </c>
      <c r="CF137" s="165"/>
      <c r="CH137" s="165"/>
      <c r="CJ137" s="165"/>
      <c r="CL137" s="165"/>
      <c r="CN137" s="165"/>
      <c r="CO137" s="130"/>
      <c r="CP137" s="165"/>
      <c r="CQ137" s="130"/>
      <c r="CR137" s="165"/>
      <c r="CS137" s="130"/>
      <c r="CT137" s="130"/>
      <c r="CU137" s="130"/>
      <c r="CV137" s="130"/>
      <c r="CW137" s="130"/>
      <c r="CX137" s="165"/>
      <c r="CY137" s="130"/>
      <c r="CZ137" s="130"/>
      <c r="DA137" s="130"/>
      <c r="DB137" s="130"/>
      <c r="DC137" s="130"/>
      <c r="DD137" s="130"/>
      <c r="DE137" s="130"/>
      <c r="DF137" s="130"/>
      <c r="DG137" s="130"/>
      <c r="DH137" s="130"/>
    </row>
    <row r="138" spans="1:112" ht="15">
      <c r="A138" s="169" t="s">
        <v>7700</v>
      </c>
      <c r="B138" s="175"/>
      <c r="C138" s="174">
        <v>5</v>
      </c>
      <c r="D138" s="174">
        <v>23</v>
      </c>
      <c r="E138" s="174">
        <v>5</v>
      </c>
      <c r="F138" s="174">
        <v>33</v>
      </c>
      <c r="I138" s="174"/>
      <c r="K138" s="188">
        <v>3</v>
      </c>
      <c r="L138" s="146">
        <v>42430</v>
      </c>
      <c r="M138" s="174">
        <v>5.89</v>
      </c>
      <c r="N138" s="189">
        <v>42580</v>
      </c>
      <c r="S138" s="174">
        <v>16.46</v>
      </c>
      <c r="U138" s="159">
        <v>18.5</v>
      </c>
      <c r="AE138" s="174">
        <v>32.909999999999997</v>
      </c>
      <c r="AG138" s="174">
        <v>4.22</v>
      </c>
      <c r="AI138" s="174">
        <v>150</v>
      </c>
      <c r="AJ138" s="160">
        <v>42520</v>
      </c>
      <c r="AK138" s="174"/>
      <c r="AL138" s="174"/>
      <c r="AM138" s="174">
        <v>92</v>
      </c>
      <c r="AN138" s="174"/>
      <c r="AO138" s="174"/>
      <c r="AP138" s="174"/>
      <c r="AR138" s="174"/>
      <c r="AS138" s="174"/>
      <c r="AT138" s="174"/>
      <c r="AU138" s="174"/>
      <c r="AV138" s="174"/>
      <c r="AW138" s="174"/>
      <c r="AX138" s="174"/>
      <c r="AY138" s="174"/>
      <c r="BC138" s="174"/>
      <c r="BD138" s="174"/>
      <c r="BE138" s="174"/>
      <c r="BG138" s="174"/>
      <c r="BI138" s="174"/>
      <c r="BJ138" s="174"/>
      <c r="BK138" s="174"/>
      <c r="BM138" s="174">
        <v>67.268000000000001</v>
      </c>
      <c r="BN138" s="174"/>
      <c r="BO138" s="174"/>
      <c r="BP138" s="174"/>
      <c r="BR138" s="174"/>
      <c r="BS138" s="174">
        <v>50.018000000000001</v>
      </c>
      <c r="BT138" s="174"/>
      <c r="BU138" s="190">
        <v>18.539714813232422</v>
      </c>
      <c r="BV138" s="159"/>
      <c r="BW138" s="174">
        <v>11.737</v>
      </c>
      <c r="BX138" s="159"/>
      <c r="BY138" s="159"/>
      <c r="CB138" s="165"/>
      <c r="CC138" s="174">
        <v>7.7160000000000002</v>
      </c>
      <c r="CD138" s="165"/>
      <c r="CE138" s="174">
        <v>7.3</v>
      </c>
      <c r="CF138" s="165"/>
      <c r="CH138" s="165"/>
      <c r="CJ138" s="165"/>
      <c r="CL138" s="165"/>
      <c r="CN138" s="165"/>
      <c r="CO138" s="130"/>
      <c r="CP138" s="165"/>
      <c r="CQ138" s="130"/>
      <c r="CR138" s="165"/>
      <c r="CS138" s="130"/>
      <c r="CT138" s="130"/>
      <c r="CU138" s="130"/>
      <c r="CV138" s="130"/>
      <c r="CW138" s="130"/>
      <c r="CX138" s="165"/>
      <c r="CY138" s="130"/>
      <c r="CZ138" s="130"/>
      <c r="DA138" s="130"/>
      <c r="DB138" s="130"/>
      <c r="DC138" s="130"/>
      <c r="DD138" s="130"/>
      <c r="DE138" s="130"/>
      <c r="DF138" s="130"/>
      <c r="DG138" s="130"/>
      <c r="DH138" s="130"/>
    </row>
    <row r="139" spans="1:112" ht="15">
      <c r="A139" s="169" t="s">
        <v>7700</v>
      </c>
      <c r="B139" s="175"/>
      <c r="C139" s="174">
        <v>6</v>
      </c>
      <c r="D139" s="174">
        <v>23</v>
      </c>
      <c r="E139" s="174">
        <v>6</v>
      </c>
      <c r="F139" s="174">
        <v>20</v>
      </c>
      <c r="I139" s="174"/>
      <c r="K139" s="188">
        <v>5</v>
      </c>
      <c r="L139" s="146">
        <v>42430</v>
      </c>
      <c r="M139" s="174">
        <v>6.3</v>
      </c>
      <c r="N139" s="189">
        <v>42580</v>
      </c>
      <c r="S139" s="174">
        <v>17.809999999999999</v>
      </c>
      <c r="U139" s="159">
        <v>18.5</v>
      </c>
      <c r="AE139" s="174">
        <v>35.200000000000003</v>
      </c>
      <c r="AG139" s="174">
        <v>4.55</v>
      </c>
      <c r="AI139" s="174">
        <v>160</v>
      </c>
      <c r="AJ139" s="160">
        <v>42520</v>
      </c>
      <c r="AK139" s="174"/>
      <c r="AL139" s="174"/>
      <c r="AM139" s="174">
        <v>95</v>
      </c>
      <c r="AN139" s="174"/>
      <c r="AO139" s="174"/>
      <c r="AP139" s="174"/>
      <c r="AR139" s="174"/>
      <c r="AS139" s="174"/>
      <c r="AT139" s="174"/>
      <c r="AU139" s="174"/>
      <c r="AV139" s="174"/>
      <c r="AW139" s="174"/>
      <c r="AX139" s="174"/>
      <c r="AY139" s="174"/>
      <c r="BC139" s="174"/>
      <c r="BD139" s="174"/>
      <c r="BE139" s="174"/>
      <c r="BG139" s="174"/>
      <c r="BI139" s="174"/>
      <c r="BJ139" s="174"/>
      <c r="BK139" s="174"/>
      <c r="BM139" s="174">
        <v>65.84</v>
      </c>
      <c r="BN139" s="174"/>
      <c r="BO139" s="174"/>
      <c r="BP139" s="174"/>
      <c r="BR139" s="174"/>
      <c r="BS139" s="174">
        <v>50.585999999999999</v>
      </c>
      <c r="BT139" s="174"/>
      <c r="BU139" s="190">
        <v>17.43073844909668</v>
      </c>
      <c r="BV139" s="159"/>
      <c r="BW139" s="174">
        <v>10.298</v>
      </c>
      <c r="BX139" s="159"/>
      <c r="BY139" s="159"/>
      <c r="CB139" s="165"/>
      <c r="CC139" s="174">
        <v>7.7359999999999998</v>
      </c>
      <c r="CD139" s="165"/>
      <c r="CE139" s="174">
        <v>7.3</v>
      </c>
      <c r="CF139" s="165"/>
      <c r="CH139" s="165"/>
      <c r="CJ139" s="165"/>
      <c r="CL139" s="165"/>
      <c r="CN139" s="165"/>
      <c r="CO139" s="130"/>
      <c r="CP139" s="165"/>
      <c r="CQ139" s="130"/>
      <c r="CR139" s="165"/>
      <c r="CS139" s="130"/>
      <c r="CT139" s="130"/>
      <c r="CU139" s="130"/>
      <c r="CV139" s="130"/>
      <c r="CW139" s="130"/>
      <c r="CX139" s="165"/>
      <c r="CY139" s="130"/>
      <c r="CZ139" s="130"/>
      <c r="DA139" s="130"/>
      <c r="DB139" s="130"/>
      <c r="DC139" s="130"/>
      <c r="DD139" s="130"/>
      <c r="DE139" s="130"/>
      <c r="DF139" s="130"/>
      <c r="DG139" s="130"/>
      <c r="DH139" s="130"/>
    </row>
    <row r="140" spans="1:112" ht="15">
      <c r="A140" s="169" t="s">
        <v>7701</v>
      </c>
      <c r="B140" s="175"/>
      <c r="C140" s="174">
        <v>1</v>
      </c>
      <c r="D140" s="174">
        <v>24</v>
      </c>
      <c r="E140" s="174">
        <v>1</v>
      </c>
      <c r="F140" s="174">
        <v>29</v>
      </c>
      <c r="I140" s="174"/>
      <c r="K140" s="188">
        <v>5</v>
      </c>
      <c r="L140" s="146">
        <v>42430</v>
      </c>
      <c r="M140" s="174">
        <v>6.06</v>
      </c>
      <c r="N140" s="189">
        <v>42580</v>
      </c>
      <c r="S140" s="174">
        <v>16.329999999999998</v>
      </c>
      <c r="U140" s="159">
        <v>18.5</v>
      </c>
      <c r="AE140" s="174">
        <v>34.07</v>
      </c>
      <c r="AG140" s="174">
        <v>4.49</v>
      </c>
      <c r="AI140" s="174">
        <v>150</v>
      </c>
      <c r="AJ140" s="160">
        <v>42520</v>
      </c>
      <c r="AK140" s="174"/>
      <c r="AL140" s="174"/>
      <c r="AM140" s="174">
        <v>90</v>
      </c>
      <c r="AN140" s="174"/>
      <c r="AO140" s="174"/>
      <c r="AP140" s="174"/>
      <c r="AR140" s="174"/>
      <c r="AS140" s="174"/>
      <c r="AT140" s="174"/>
      <c r="AU140" s="174"/>
      <c r="AV140" s="174"/>
      <c r="AW140" s="174"/>
      <c r="AX140" s="174"/>
      <c r="AY140" s="174"/>
      <c r="BC140" s="174"/>
      <c r="BD140" s="174"/>
      <c r="BE140" s="174"/>
      <c r="BG140" s="174"/>
      <c r="BI140" s="174"/>
      <c r="BJ140" s="174"/>
      <c r="BK140" s="174"/>
      <c r="BM140" s="174">
        <v>64.507999999999996</v>
      </c>
      <c r="BN140" s="174"/>
      <c r="BO140" s="174"/>
      <c r="BP140" s="174"/>
      <c r="BR140" s="174"/>
      <c r="BS140" s="174">
        <v>47.938000000000002</v>
      </c>
      <c r="BT140" s="174"/>
      <c r="BU140" s="190">
        <v>21.047794342041016</v>
      </c>
      <c r="BV140" s="159"/>
      <c r="BW140" s="174">
        <v>12.192</v>
      </c>
      <c r="BX140" s="159"/>
      <c r="BY140" s="159"/>
      <c r="CB140" s="165"/>
      <c r="CC140" s="174">
        <v>7.1689999999999996</v>
      </c>
      <c r="CD140" s="165"/>
      <c r="CE140" s="174">
        <v>7.1</v>
      </c>
      <c r="CF140" s="165"/>
      <c r="CH140" s="165"/>
      <c r="CJ140" s="165"/>
      <c r="CL140" s="165"/>
      <c r="CN140" s="165"/>
      <c r="CO140" s="130"/>
      <c r="CP140" s="165"/>
      <c r="CQ140" s="130"/>
      <c r="CR140" s="165"/>
      <c r="CS140" s="130"/>
      <c r="CT140" s="130"/>
      <c r="CU140" s="130"/>
      <c r="CV140" s="130"/>
      <c r="CW140" s="130"/>
      <c r="CX140" s="165"/>
      <c r="CY140" s="130"/>
      <c r="CZ140" s="130"/>
      <c r="DA140" s="130"/>
      <c r="DB140" s="130"/>
      <c r="DC140" s="130"/>
      <c r="DD140" s="130"/>
      <c r="DE140" s="130"/>
      <c r="DF140" s="130"/>
      <c r="DG140" s="130"/>
      <c r="DH140" s="130"/>
    </row>
    <row r="141" spans="1:112" ht="15">
      <c r="A141" s="169" t="s">
        <v>7701</v>
      </c>
      <c r="B141" s="175"/>
      <c r="C141" s="174">
        <v>2</v>
      </c>
      <c r="D141" s="174">
        <v>24</v>
      </c>
      <c r="E141" s="174">
        <v>2</v>
      </c>
      <c r="F141" s="174">
        <v>3</v>
      </c>
      <c r="I141" s="174"/>
      <c r="K141" s="188">
        <v>7</v>
      </c>
      <c r="L141" s="146">
        <v>42430</v>
      </c>
      <c r="M141" s="174">
        <v>6.83</v>
      </c>
      <c r="N141" s="189">
        <v>42580</v>
      </c>
      <c r="S141" s="174">
        <v>18.54</v>
      </c>
      <c r="U141" s="159">
        <v>18.5</v>
      </c>
      <c r="AE141" s="174">
        <v>37.89</v>
      </c>
      <c r="AG141" s="174">
        <v>4.3600000000000003</v>
      </c>
      <c r="AI141" s="174">
        <v>155</v>
      </c>
      <c r="AJ141" s="160">
        <v>42520</v>
      </c>
      <c r="AK141" s="174"/>
      <c r="AL141" s="174"/>
      <c r="AM141" s="174">
        <v>92</v>
      </c>
      <c r="AN141" s="174"/>
      <c r="AO141" s="174"/>
      <c r="AP141" s="174"/>
      <c r="AR141" s="174"/>
      <c r="AS141" s="174"/>
      <c r="AT141" s="174"/>
      <c r="AU141" s="174"/>
      <c r="AV141" s="174"/>
      <c r="AW141" s="174"/>
      <c r="AX141" s="174"/>
      <c r="AY141" s="174"/>
      <c r="BC141" s="174"/>
      <c r="BD141" s="174"/>
      <c r="BE141" s="174"/>
      <c r="BG141" s="174"/>
      <c r="BI141" s="174"/>
      <c r="BJ141" s="174"/>
      <c r="BK141" s="174"/>
      <c r="BM141" s="174">
        <v>64.507999999999996</v>
      </c>
      <c r="BN141" s="174"/>
      <c r="BO141" s="174"/>
      <c r="BP141" s="174"/>
      <c r="BR141" s="174"/>
      <c r="BS141" s="174">
        <v>48.92</v>
      </c>
      <c r="BT141" s="174"/>
      <c r="BU141" s="190">
        <v>19.77092170715332</v>
      </c>
      <c r="BV141" s="159"/>
      <c r="BW141" s="174">
        <v>11.486000000000001</v>
      </c>
      <c r="BX141" s="159"/>
      <c r="BY141" s="159"/>
      <c r="CB141" s="165"/>
      <c r="CC141" s="174">
        <v>8.4</v>
      </c>
      <c r="CD141" s="165"/>
      <c r="CE141" s="174">
        <v>8.1</v>
      </c>
      <c r="CF141" s="165"/>
      <c r="CH141" s="165"/>
      <c r="CJ141" s="165"/>
      <c r="CL141" s="165"/>
      <c r="CN141" s="165"/>
      <c r="CO141" s="130"/>
      <c r="CP141" s="165"/>
      <c r="CQ141" s="130"/>
      <c r="CR141" s="165"/>
      <c r="CS141" s="130"/>
      <c r="CT141" s="130"/>
      <c r="CU141" s="130"/>
      <c r="CV141" s="130"/>
      <c r="CW141" s="130"/>
      <c r="CX141" s="165"/>
      <c r="CY141" s="130"/>
      <c r="CZ141" s="130"/>
      <c r="DA141" s="130"/>
      <c r="DB141" s="130"/>
      <c r="DC141" s="130"/>
      <c r="DD141" s="130"/>
      <c r="DE141" s="130"/>
      <c r="DF141" s="130"/>
      <c r="DG141" s="130"/>
      <c r="DH141" s="130"/>
    </row>
    <row r="142" spans="1:112" ht="15">
      <c r="A142" s="169" t="s">
        <v>7701</v>
      </c>
      <c r="B142" s="175"/>
      <c r="C142" s="174">
        <v>3</v>
      </c>
      <c r="D142" s="174">
        <v>24</v>
      </c>
      <c r="E142" s="174">
        <v>3</v>
      </c>
      <c r="F142" s="174">
        <v>8</v>
      </c>
      <c r="I142" s="174"/>
      <c r="K142" s="188">
        <v>3</v>
      </c>
      <c r="L142" s="146">
        <v>42430</v>
      </c>
      <c r="M142" s="174">
        <v>6.55</v>
      </c>
      <c r="N142" s="189">
        <v>42580</v>
      </c>
      <c r="S142" s="174">
        <v>17.63</v>
      </c>
      <c r="U142" s="159">
        <v>18.5</v>
      </c>
      <c r="AE142" s="174">
        <v>36.33</v>
      </c>
      <c r="AG142" s="174">
        <v>4.2699999999999996</v>
      </c>
      <c r="AI142" s="174">
        <v>160</v>
      </c>
      <c r="AJ142" s="160">
        <v>42520</v>
      </c>
      <c r="AK142" s="174"/>
      <c r="AL142" s="174"/>
      <c r="AM142" s="174">
        <v>95</v>
      </c>
      <c r="AN142" s="174"/>
      <c r="AO142" s="174"/>
      <c r="AP142" s="174"/>
      <c r="AR142" s="174"/>
      <c r="AS142" s="174"/>
      <c r="AT142" s="174"/>
      <c r="AU142" s="174"/>
      <c r="AV142" s="174"/>
      <c r="AW142" s="174"/>
      <c r="AX142" s="174"/>
      <c r="AY142" s="174"/>
      <c r="BC142" s="174"/>
      <c r="BD142" s="174"/>
      <c r="BE142" s="174"/>
      <c r="BG142" s="174"/>
      <c r="BI142" s="174"/>
      <c r="BJ142" s="174"/>
      <c r="BK142" s="174"/>
      <c r="BM142" s="174">
        <v>63.703000000000003</v>
      </c>
      <c r="BN142" s="174"/>
      <c r="BO142" s="174"/>
      <c r="BP142" s="174"/>
      <c r="BR142" s="174"/>
      <c r="BS142" s="174">
        <v>48.537999999999997</v>
      </c>
      <c r="BT142" s="174"/>
      <c r="BU142" s="190">
        <v>20.114830017089844</v>
      </c>
      <c r="BV142" s="159"/>
      <c r="BW142" s="174">
        <v>12.125</v>
      </c>
      <c r="BX142" s="159"/>
      <c r="BY142" s="159"/>
      <c r="CB142" s="165"/>
      <c r="CC142" s="174">
        <v>8.3960000000000008</v>
      </c>
      <c r="CD142" s="165"/>
      <c r="CE142" s="174">
        <v>7.9</v>
      </c>
      <c r="CF142" s="165"/>
      <c r="CH142" s="165"/>
      <c r="CJ142" s="165"/>
      <c r="CL142" s="165"/>
      <c r="CN142" s="165"/>
      <c r="CO142" s="130"/>
      <c r="CP142" s="165"/>
      <c r="CQ142" s="130"/>
      <c r="CR142" s="165"/>
      <c r="CS142" s="130"/>
      <c r="CT142" s="130"/>
      <c r="CU142" s="130"/>
      <c r="CV142" s="130"/>
      <c r="CW142" s="130"/>
      <c r="CX142" s="165"/>
      <c r="CY142" s="130"/>
      <c r="CZ142" s="130"/>
      <c r="DA142" s="130"/>
      <c r="DB142" s="130"/>
      <c r="DC142" s="130"/>
      <c r="DD142" s="130"/>
      <c r="DE142" s="130"/>
      <c r="DF142" s="130"/>
      <c r="DG142" s="130"/>
      <c r="DH142" s="130"/>
    </row>
    <row r="143" spans="1:112" ht="15">
      <c r="A143" s="169" t="s">
        <v>7701</v>
      </c>
      <c r="B143" s="175"/>
      <c r="C143" s="174">
        <v>4</v>
      </c>
      <c r="D143" s="174">
        <v>24</v>
      </c>
      <c r="E143" s="174">
        <v>4</v>
      </c>
      <c r="F143" s="174">
        <v>32</v>
      </c>
      <c r="I143" s="174"/>
      <c r="K143" s="188">
        <v>3</v>
      </c>
      <c r="L143" s="146">
        <v>42430</v>
      </c>
      <c r="M143" s="174">
        <v>5.61</v>
      </c>
      <c r="N143" s="189">
        <v>42580</v>
      </c>
      <c r="S143" s="174">
        <v>15.66</v>
      </c>
      <c r="U143" s="159">
        <v>18.5</v>
      </c>
      <c r="AE143" s="174">
        <v>31.33</v>
      </c>
      <c r="AG143" s="174">
        <v>4.2699999999999996</v>
      </c>
      <c r="AI143" s="174">
        <v>150</v>
      </c>
      <c r="AJ143" s="160">
        <v>42520</v>
      </c>
      <c r="AK143" s="174"/>
      <c r="AL143" s="174"/>
      <c r="AM143" s="174">
        <v>98</v>
      </c>
      <c r="AN143" s="174"/>
      <c r="AO143" s="174"/>
      <c r="AP143" s="174"/>
      <c r="AR143" s="174"/>
      <c r="AS143" s="174"/>
      <c r="AT143" s="174"/>
      <c r="AU143" s="174"/>
      <c r="AV143" s="174"/>
      <c r="AW143" s="174"/>
      <c r="AX143" s="174"/>
      <c r="AY143" s="174"/>
      <c r="BC143" s="174"/>
      <c r="BD143" s="174"/>
      <c r="BE143" s="174"/>
      <c r="BG143" s="174"/>
      <c r="BI143" s="174"/>
      <c r="BJ143" s="174"/>
      <c r="BK143" s="174"/>
      <c r="BM143" s="174">
        <v>65.555000000000007</v>
      </c>
      <c r="BN143" s="174"/>
      <c r="BO143" s="174"/>
      <c r="BP143" s="174"/>
      <c r="BR143" s="174"/>
      <c r="BS143" s="174">
        <v>49.973999999999997</v>
      </c>
      <c r="BT143" s="174"/>
      <c r="BU143" s="190">
        <v>18.551570892333984</v>
      </c>
      <c r="BV143" s="159"/>
      <c r="BW143" s="174">
        <v>11.521000000000001</v>
      </c>
      <c r="BX143" s="159"/>
      <c r="BY143" s="159"/>
      <c r="CB143" s="165"/>
      <c r="CC143" s="174">
        <v>7.7770000000000001</v>
      </c>
      <c r="CD143" s="165"/>
      <c r="CE143" s="174">
        <v>7.2</v>
      </c>
      <c r="CF143" s="165"/>
      <c r="CH143" s="165"/>
      <c r="CJ143" s="165"/>
      <c r="CL143" s="165"/>
      <c r="CN143" s="165"/>
      <c r="CO143" s="130"/>
      <c r="CP143" s="165"/>
      <c r="CQ143" s="130"/>
      <c r="CR143" s="165"/>
      <c r="CS143" s="130"/>
      <c r="CT143" s="130"/>
      <c r="CU143" s="130"/>
      <c r="CV143" s="130"/>
      <c r="CW143" s="130"/>
      <c r="CX143" s="165"/>
      <c r="CY143" s="130"/>
      <c r="CZ143" s="130"/>
      <c r="DA143" s="130"/>
      <c r="DB143" s="130"/>
      <c r="DC143" s="130"/>
      <c r="DD143" s="130"/>
      <c r="DE143" s="130"/>
      <c r="DF143" s="130"/>
      <c r="DG143" s="130"/>
      <c r="DH143" s="130"/>
    </row>
    <row r="144" spans="1:112" ht="15">
      <c r="A144" s="169" t="s">
        <v>7701</v>
      </c>
      <c r="B144" s="175"/>
      <c r="C144" s="174">
        <v>5</v>
      </c>
      <c r="D144" s="174">
        <v>24</v>
      </c>
      <c r="E144" s="174">
        <v>5</v>
      </c>
      <c r="F144" s="174">
        <v>23</v>
      </c>
      <c r="I144" s="174"/>
      <c r="K144" s="188">
        <v>3</v>
      </c>
      <c r="L144" s="146">
        <v>42430</v>
      </c>
      <c r="M144" s="174">
        <v>5.83</v>
      </c>
      <c r="N144" s="189">
        <v>42580</v>
      </c>
      <c r="S144" s="174">
        <v>16.38</v>
      </c>
      <c r="U144" s="159">
        <v>18.5</v>
      </c>
      <c r="AE144" s="174">
        <v>32.57</v>
      </c>
      <c r="AG144" s="174">
        <v>4.1500000000000004</v>
      </c>
      <c r="AI144" s="174">
        <v>150</v>
      </c>
      <c r="AJ144" s="160">
        <v>42520</v>
      </c>
      <c r="AK144" s="174"/>
      <c r="AL144" s="174"/>
      <c r="AM144" s="174">
        <v>95</v>
      </c>
      <c r="AN144" s="174"/>
      <c r="AO144" s="174"/>
      <c r="AP144" s="174"/>
      <c r="AR144" s="174"/>
      <c r="AS144" s="174"/>
      <c r="AT144" s="174"/>
      <c r="AU144" s="174"/>
      <c r="AV144" s="174"/>
      <c r="AW144" s="174"/>
      <c r="AX144" s="174"/>
      <c r="AY144" s="174"/>
      <c r="BC144" s="174"/>
      <c r="BD144" s="174"/>
      <c r="BE144" s="174"/>
      <c r="BG144" s="174"/>
      <c r="BI144" s="174"/>
      <c r="BJ144" s="174"/>
      <c r="BK144" s="174"/>
      <c r="BM144" s="174">
        <v>65.448999999999998</v>
      </c>
      <c r="BN144" s="174"/>
      <c r="BO144" s="174"/>
      <c r="BP144" s="174"/>
      <c r="BR144" s="174"/>
      <c r="BS144" s="174">
        <v>50.289000000000001</v>
      </c>
      <c r="BT144" s="174"/>
      <c r="BU144" s="190">
        <v>18.292991638183594</v>
      </c>
      <c r="BV144" s="159"/>
      <c r="BW144" s="174">
        <v>11.976000000000001</v>
      </c>
      <c r="BX144" s="159"/>
      <c r="BY144" s="159"/>
      <c r="CB144" s="165"/>
      <c r="CC144" s="174">
        <v>7.7350000000000003</v>
      </c>
      <c r="CD144" s="165"/>
      <c r="CE144" s="174">
        <v>7.3</v>
      </c>
      <c r="CF144" s="165"/>
      <c r="CH144" s="165"/>
      <c r="CJ144" s="165"/>
      <c r="CL144" s="165"/>
      <c r="CN144" s="165"/>
      <c r="CO144" s="130"/>
      <c r="CP144" s="165"/>
      <c r="CQ144" s="130"/>
      <c r="CR144" s="165"/>
      <c r="CS144" s="130"/>
      <c r="CT144" s="130"/>
      <c r="CU144" s="130"/>
      <c r="CV144" s="130"/>
      <c r="CW144" s="130"/>
      <c r="CX144" s="165"/>
      <c r="CY144" s="130"/>
      <c r="CZ144" s="130"/>
      <c r="DA144" s="130"/>
      <c r="DB144" s="130"/>
      <c r="DC144" s="130"/>
      <c r="DD144" s="130"/>
      <c r="DE144" s="130"/>
      <c r="DF144" s="130"/>
      <c r="DG144" s="130"/>
      <c r="DH144" s="130"/>
    </row>
    <row r="145" spans="1:112" ht="15">
      <c r="A145" s="169" t="s">
        <v>7701</v>
      </c>
      <c r="B145" s="175"/>
      <c r="C145" s="174">
        <v>6</v>
      </c>
      <c r="D145" s="174">
        <v>24</v>
      </c>
      <c r="E145" s="174">
        <v>6</v>
      </c>
      <c r="F145" s="174">
        <v>24</v>
      </c>
      <c r="I145" s="174"/>
      <c r="K145" s="188">
        <v>5</v>
      </c>
      <c r="L145" s="146">
        <v>42430</v>
      </c>
      <c r="M145" s="174">
        <v>5.55</v>
      </c>
      <c r="N145" s="189">
        <v>42580</v>
      </c>
      <c r="S145" s="174">
        <v>15.32</v>
      </c>
      <c r="U145" s="159">
        <v>18.5</v>
      </c>
      <c r="AE145" s="174">
        <v>31.01</v>
      </c>
      <c r="AG145" s="174">
        <v>4.0999999999999996</v>
      </c>
      <c r="AI145" s="174">
        <v>160</v>
      </c>
      <c r="AJ145" s="160">
        <v>42520</v>
      </c>
      <c r="AK145" s="174"/>
      <c r="AL145" s="174"/>
      <c r="AM145" s="174">
        <v>95</v>
      </c>
      <c r="AN145" s="174"/>
      <c r="AO145" s="174"/>
      <c r="AP145" s="174"/>
      <c r="AR145" s="174"/>
      <c r="AS145" s="174"/>
      <c r="AT145" s="174"/>
      <c r="AU145" s="174"/>
      <c r="AV145" s="174"/>
      <c r="AW145" s="174"/>
      <c r="AX145" s="174"/>
      <c r="AY145" s="174"/>
      <c r="BC145" s="174"/>
      <c r="BD145" s="174"/>
      <c r="BE145" s="174"/>
      <c r="BG145" s="174"/>
      <c r="BI145" s="174"/>
      <c r="BJ145" s="174"/>
      <c r="BK145" s="174"/>
      <c r="BM145" s="174">
        <v>65.78</v>
      </c>
      <c r="BN145" s="174"/>
      <c r="BO145" s="174"/>
      <c r="BP145" s="174"/>
      <c r="BR145" s="174"/>
      <c r="BS145" s="174">
        <v>49.393000000000001</v>
      </c>
      <c r="BT145" s="174"/>
      <c r="BU145" s="190">
        <v>19.386180877685547</v>
      </c>
      <c r="BV145" s="159"/>
      <c r="BW145" s="174">
        <v>10.864000000000001</v>
      </c>
      <c r="BX145" s="159"/>
      <c r="BY145" s="159"/>
      <c r="CB145" s="165"/>
      <c r="CC145" s="174">
        <v>7.7220000000000004</v>
      </c>
      <c r="CD145" s="165"/>
      <c r="CE145" s="174">
        <v>7.1</v>
      </c>
      <c r="CF145" s="165"/>
      <c r="CH145" s="165"/>
      <c r="CJ145" s="165"/>
      <c r="CL145" s="165"/>
      <c r="CN145" s="165"/>
      <c r="CO145" s="130"/>
      <c r="CP145" s="165"/>
      <c r="CQ145" s="130"/>
      <c r="CR145" s="165"/>
      <c r="CS145" s="130"/>
      <c r="CT145" s="130"/>
      <c r="CU145" s="130"/>
      <c r="CV145" s="130"/>
      <c r="CW145" s="130"/>
      <c r="CX145" s="165"/>
      <c r="CY145" s="130"/>
      <c r="CZ145" s="130"/>
      <c r="DA145" s="130"/>
      <c r="DB145" s="130"/>
      <c r="DC145" s="130"/>
      <c r="DD145" s="130"/>
      <c r="DE145" s="130"/>
      <c r="DF145" s="130"/>
      <c r="DG145" s="130"/>
      <c r="DH145" s="130"/>
    </row>
    <row r="146" spans="1:112" ht="15">
      <c r="A146" s="169" t="s">
        <v>7436</v>
      </c>
      <c r="B146" s="175"/>
      <c r="C146" s="174">
        <v>1</v>
      </c>
      <c r="D146" s="174">
        <v>25</v>
      </c>
      <c r="E146" s="174">
        <v>1</v>
      </c>
      <c r="F146" s="174">
        <v>12</v>
      </c>
      <c r="I146" s="174"/>
      <c r="K146" s="188">
        <v>8</v>
      </c>
      <c r="L146" s="146">
        <v>42430</v>
      </c>
      <c r="M146" s="174">
        <v>9.9600000000000009</v>
      </c>
      <c r="N146" s="189">
        <v>42580</v>
      </c>
      <c r="S146" s="174">
        <v>26.27</v>
      </c>
      <c r="U146" s="159">
        <v>18.5</v>
      </c>
      <c r="AE146" s="174">
        <v>54.9</v>
      </c>
      <c r="AG146" s="174">
        <v>5.3</v>
      </c>
      <c r="AI146" s="174">
        <v>200</v>
      </c>
      <c r="AJ146" s="160">
        <v>42520</v>
      </c>
      <c r="AK146" s="174"/>
      <c r="AL146" s="174"/>
      <c r="AM146" s="174">
        <v>102</v>
      </c>
      <c r="AN146" s="174"/>
      <c r="AO146" s="174"/>
      <c r="AP146" s="174"/>
      <c r="AR146" s="174"/>
      <c r="AS146" s="174"/>
      <c r="AT146" s="174"/>
      <c r="AU146" s="174"/>
      <c r="AV146" s="174"/>
      <c r="AW146" s="174"/>
      <c r="AX146" s="174"/>
      <c r="AY146" s="174"/>
      <c r="BC146" s="174"/>
      <c r="BD146" s="174"/>
      <c r="BE146" s="174"/>
      <c r="BG146" s="174"/>
      <c r="BI146" s="174"/>
      <c r="BJ146" s="174"/>
      <c r="BK146" s="174"/>
      <c r="BM146" s="174">
        <v>62.488</v>
      </c>
      <c r="BN146" s="174"/>
      <c r="BO146" s="174"/>
      <c r="BP146" s="174"/>
      <c r="BR146" s="174"/>
      <c r="BS146" s="174">
        <v>47.847000000000001</v>
      </c>
      <c r="BT146" s="174"/>
      <c r="BU146" s="190">
        <v>18.661949157714844</v>
      </c>
      <c r="BV146" s="159"/>
      <c r="BW146" s="174">
        <v>10.79</v>
      </c>
      <c r="BX146" s="159"/>
      <c r="BY146" s="159"/>
      <c r="CB146" s="165"/>
      <c r="CC146" s="174">
        <v>8.9809999999999999</v>
      </c>
      <c r="CD146" s="165"/>
      <c r="CE146" s="174">
        <v>8.6</v>
      </c>
      <c r="CF146" s="165"/>
      <c r="CH146" s="165"/>
      <c r="CJ146" s="165"/>
      <c r="CL146" s="165"/>
      <c r="CN146" s="165"/>
      <c r="CO146" s="130"/>
      <c r="CP146" s="165"/>
      <c r="CQ146" s="130"/>
      <c r="CR146" s="165"/>
      <c r="CS146" s="130"/>
      <c r="CT146" s="130"/>
      <c r="CU146" s="130"/>
      <c r="CV146" s="130"/>
      <c r="CW146" s="130"/>
      <c r="CX146" s="165"/>
      <c r="CY146" s="130"/>
      <c r="CZ146" s="130"/>
      <c r="DA146" s="130"/>
      <c r="DB146" s="130"/>
      <c r="DC146" s="130"/>
      <c r="DD146" s="130"/>
      <c r="DE146" s="130"/>
      <c r="DF146" s="130"/>
      <c r="DG146" s="130"/>
      <c r="DH146" s="130"/>
    </row>
    <row r="147" spans="1:112" ht="15">
      <c r="A147" s="169" t="s">
        <v>7436</v>
      </c>
      <c r="B147" s="175"/>
      <c r="C147" s="174">
        <v>2</v>
      </c>
      <c r="D147" s="174">
        <v>25</v>
      </c>
      <c r="E147" s="174">
        <v>2</v>
      </c>
      <c r="F147" s="174">
        <v>31</v>
      </c>
      <c r="I147" s="174"/>
      <c r="K147" s="188">
        <v>9</v>
      </c>
      <c r="L147" s="146">
        <v>42430</v>
      </c>
      <c r="M147" s="174">
        <v>9.76</v>
      </c>
      <c r="N147" s="189">
        <v>42580</v>
      </c>
      <c r="S147" s="174">
        <v>25.48</v>
      </c>
      <c r="U147" s="159">
        <v>18.5</v>
      </c>
      <c r="AE147" s="174">
        <v>54.28</v>
      </c>
      <c r="AG147" s="174">
        <v>4.46</v>
      </c>
      <c r="AI147" s="174">
        <v>190</v>
      </c>
      <c r="AJ147" s="160">
        <v>42520</v>
      </c>
      <c r="AK147" s="174"/>
      <c r="AL147" s="174"/>
      <c r="AM147" s="174">
        <v>100</v>
      </c>
      <c r="AN147" s="174"/>
      <c r="AO147" s="174"/>
      <c r="AP147" s="174"/>
      <c r="AR147" s="174"/>
      <c r="AS147" s="174"/>
      <c r="AT147" s="174"/>
      <c r="AU147" s="174"/>
      <c r="AV147" s="174"/>
      <c r="AW147" s="174"/>
      <c r="AX147" s="174"/>
      <c r="AY147" s="174"/>
      <c r="BC147" s="174"/>
      <c r="BD147" s="174"/>
      <c r="BE147" s="174"/>
      <c r="BG147" s="174"/>
      <c r="BI147" s="174"/>
      <c r="BJ147" s="174"/>
      <c r="BK147" s="174"/>
      <c r="BM147" s="174">
        <v>61.878</v>
      </c>
      <c r="BN147" s="174"/>
      <c r="BO147" s="174"/>
      <c r="BP147" s="174"/>
      <c r="BR147" s="174"/>
      <c r="BS147" s="174">
        <v>46.948</v>
      </c>
      <c r="BT147" s="174"/>
      <c r="BU147" s="190">
        <v>19.750225067138672</v>
      </c>
      <c r="BV147" s="159"/>
      <c r="BW147" s="174">
        <v>12.923</v>
      </c>
      <c r="BX147" s="159"/>
      <c r="BY147" s="159"/>
      <c r="CB147" s="165"/>
      <c r="CC147" s="174">
        <v>8.1590000000000007</v>
      </c>
      <c r="CD147" s="165"/>
      <c r="CE147" s="174">
        <v>7.9</v>
      </c>
      <c r="CF147" s="165"/>
      <c r="CH147" s="165"/>
      <c r="CJ147" s="165"/>
      <c r="CL147" s="165"/>
      <c r="CN147" s="165"/>
      <c r="CO147" s="130"/>
      <c r="CP147" s="165"/>
      <c r="CQ147" s="130"/>
      <c r="CR147" s="165"/>
      <c r="CS147" s="130"/>
      <c r="CT147" s="130"/>
      <c r="CU147" s="130"/>
      <c r="CV147" s="130"/>
      <c r="CW147" s="130"/>
      <c r="CX147" s="165"/>
      <c r="CY147" s="130"/>
      <c r="CZ147" s="130"/>
      <c r="DA147" s="130"/>
      <c r="DB147" s="130"/>
      <c r="DC147" s="130"/>
      <c r="DD147" s="130"/>
      <c r="DE147" s="130"/>
      <c r="DF147" s="130"/>
      <c r="DG147" s="130"/>
      <c r="DH147" s="130"/>
    </row>
    <row r="148" spans="1:112" ht="15">
      <c r="A148" s="169" t="s">
        <v>7436</v>
      </c>
      <c r="B148" s="175"/>
      <c r="C148" s="174">
        <v>3</v>
      </c>
      <c r="D148" s="174">
        <v>25</v>
      </c>
      <c r="E148" s="174">
        <v>3</v>
      </c>
      <c r="F148" s="174">
        <v>18</v>
      </c>
      <c r="I148" s="174"/>
      <c r="K148" s="188">
        <v>5</v>
      </c>
      <c r="L148" s="146">
        <v>42430</v>
      </c>
      <c r="M148" s="174">
        <v>9.77</v>
      </c>
      <c r="N148" s="189">
        <v>42580</v>
      </c>
      <c r="S148" s="174">
        <v>25.5</v>
      </c>
      <c r="U148" s="159">
        <v>18.5</v>
      </c>
      <c r="AE148" s="174">
        <v>53.88</v>
      </c>
      <c r="AG148" s="174">
        <v>4.91</v>
      </c>
      <c r="AI148" s="174">
        <v>180</v>
      </c>
      <c r="AJ148" s="160">
        <v>42520</v>
      </c>
      <c r="AK148" s="174"/>
      <c r="AL148" s="174"/>
      <c r="AM148" s="174">
        <v>95</v>
      </c>
      <c r="AN148" s="174"/>
      <c r="AO148" s="174"/>
      <c r="AP148" s="174"/>
      <c r="AR148" s="174"/>
      <c r="AS148" s="174"/>
      <c r="AT148" s="174"/>
      <c r="AU148" s="174"/>
      <c r="AV148" s="174"/>
      <c r="AW148" s="174"/>
      <c r="AX148" s="174"/>
      <c r="AY148" s="174"/>
      <c r="BC148" s="174"/>
      <c r="BD148" s="174"/>
      <c r="BE148" s="174"/>
      <c r="BG148" s="174"/>
      <c r="BI148" s="174"/>
      <c r="BJ148" s="174"/>
      <c r="BK148" s="174"/>
      <c r="BM148" s="174">
        <v>61.994</v>
      </c>
      <c r="BN148" s="174"/>
      <c r="BO148" s="174"/>
      <c r="BP148" s="174"/>
      <c r="BR148" s="174"/>
      <c r="BS148" s="174">
        <v>47.33</v>
      </c>
      <c r="BT148" s="174"/>
      <c r="BU148" s="190">
        <v>19.905206680297852</v>
      </c>
      <c r="BV148" s="159"/>
      <c r="BW148" s="174">
        <v>10.978</v>
      </c>
      <c r="BX148" s="159"/>
      <c r="BY148" s="159"/>
      <c r="CB148" s="165"/>
      <c r="CC148" s="174">
        <v>8.9329999999999998</v>
      </c>
      <c r="CD148" s="165"/>
      <c r="CE148" s="174">
        <v>8.4</v>
      </c>
      <c r="CF148" s="165"/>
      <c r="CH148" s="165"/>
      <c r="CJ148" s="165"/>
      <c r="CL148" s="165"/>
      <c r="CN148" s="165"/>
      <c r="CO148" s="130"/>
      <c r="CP148" s="165"/>
      <c r="CQ148" s="130"/>
      <c r="CR148" s="165"/>
      <c r="CS148" s="130"/>
      <c r="CT148" s="130"/>
      <c r="CU148" s="130"/>
      <c r="CV148" s="130"/>
      <c r="CW148" s="130"/>
      <c r="CX148" s="165"/>
      <c r="CY148" s="130"/>
      <c r="CZ148" s="130"/>
      <c r="DA148" s="130"/>
      <c r="DB148" s="130"/>
      <c r="DC148" s="130"/>
      <c r="DD148" s="130"/>
      <c r="DE148" s="130"/>
      <c r="DF148" s="130"/>
      <c r="DG148" s="130"/>
      <c r="DH148" s="130"/>
    </row>
    <row r="149" spans="1:112" ht="15">
      <c r="A149" s="169" t="s">
        <v>7436</v>
      </c>
      <c r="B149" s="175"/>
      <c r="C149" s="174">
        <v>4</v>
      </c>
      <c r="D149" s="174">
        <v>25</v>
      </c>
      <c r="E149" s="174">
        <v>4</v>
      </c>
      <c r="F149" s="174">
        <v>34</v>
      </c>
      <c r="I149" s="174"/>
      <c r="K149" s="188">
        <v>7</v>
      </c>
      <c r="L149" s="146">
        <v>42430</v>
      </c>
      <c r="M149" s="174">
        <v>8.52</v>
      </c>
      <c r="N149" s="189">
        <v>42580</v>
      </c>
      <c r="S149" s="174">
        <v>23.19</v>
      </c>
      <c r="U149" s="159">
        <v>18.5</v>
      </c>
      <c r="AE149" s="174">
        <v>47.25</v>
      </c>
      <c r="AG149" s="174">
        <v>4.3099999999999996</v>
      </c>
      <c r="AI149" s="174">
        <v>180</v>
      </c>
      <c r="AJ149" s="160">
        <v>42520</v>
      </c>
      <c r="AK149" s="174"/>
      <c r="AL149" s="174"/>
      <c r="AM149" s="174">
        <v>104</v>
      </c>
      <c r="AN149" s="174"/>
      <c r="AO149" s="174"/>
      <c r="AP149" s="174"/>
      <c r="AR149" s="174"/>
      <c r="AS149" s="174"/>
      <c r="AT149" s="174"/>
      <c r="AU149" s="174"/>
      <c r="AV149" s="174"/>
      <c r="AW149" s="174"/>
      <c r="AX149" s="174"/>
      <c r="AY149" s="174"/>
      <c r="BC149" s="174"/>
      <c r="BD149" s="174"/>
      <c r="BE149" s="174"/>
      <c r="BG149" s="174"/>
      <c r="BI149" s="174"/>
      <c r="BJ149" s="174"/>
      <c r="BK149" s="174"/>
      <c r="BM149" s="174">
        <v>63.679000000000002</v>
      </c>
      <c r="BN149" s="174"/>
      <c r="BO149" s="174"/>
      <c r="BP149" s="174"/>
      <c r="BR149" s="174"/>
      <c r="BS149" s="174">
        <v>49.081000000000003</v>
      </c>
      <c r="BT149" s="174"/>
      <c r="BU149" s="190">
        <v>18.2598876953125</v>
      </c>
      <c r="BV149" s="159"/>
      <c r="BW149" s="174">
        <v>11.227</v>
      </c>
      <c r="BX149" s="159"/>
      <c r="BY149" s="159"/>
      <c r="CB149" s="165"/>
      <c r="CC149" s="174">
        <v>8.4179999999999993</v>
      </c>
      <c r="CD149" s="165"/>
      <c r="CE149" s="174">
        <v>7.9</v>
      </c>
      <c r="CF149" s="165"/>
      <c r="CH149" s="165"/>
      <c r="CJ149" s="165"/>
      <c r="CL149" s="165"/>
      <c r="CN149" s="165"/>
      <c r="CO149" s="130"/>
      <c r="CP149" s="165"/>
      <c r="CQ149" s="130"/>
      <c r="CR149" s="165"/>
      <c r="CS149" s="130"/>
      <c r="CT149" s="130"/>
      <c r="CU149" s="130"/>
      <c r="CV149" s="130"/>
      <c r="CW149" s="130"/>
      <c r="CX149" s="165"/>
      <c r="CY149" s="130"/>
      <c r="CZ149" s="130"/>
      <c r="DA149" s="130"/>
      <c r="DB149" s="130"/>
      <c r="DC149" s="130"/>
      <c r="DD149" s="130"/>
      <c r="DE149" s="130"/>
      <c r="DF149" s="130"/>
      <c r="DG149" s="130"/>
      <c r="DH149" s="130"/>
    </row>
    <row r="150" spans="1:112" ht="15">
      <c r="A150" s="169" t="s">
        <v>7436</v>
      </c>
      <c r="B150" s="175"/>
      <c r="C150" s="174">
        <v>5</v>
      </c>
      <c r="D150" s="174">
        <v>25</v>
      </c>
      <c r="E150" s="174">
        <v>5</v>
      </c>
      <c r="F150" s="174">
        <v>2</v>
      </c>
      <c r="I150" s="174"/>
      <c r="K150" s="188">
        <v>9</v>
      </c>
      <c r="L150" s="146">
        <v>42430</v>
      </c>
      <c r="M150" s="174">
        <v>9.01</v>
      </c>
      <c r="N150" s="189">
        <v>42580</v>
      </c>
      <c r="S150" s="174">
        <v>24.49</v>
      </c>
      <c r="U150" s="159">
        <v>18.5</v>
      </c>
      <c r="AE150" s="174">
        <v>49.98</v>
      </c>
      <c r="AG150" s="174">
        <v>4.4000000000000004</v>
      </c>
      <c r="AI150" s="174">
        <v>180</v>
      </c>
      <c r="AJ150" s="160">
        <v>42520</v>
      </c>
      <c r="AK150" s="174"/>
      <c r="AL150" s="174"/>
      <c r="AM150" s="174">
        <v>98</v>
      </c>
      <c r="AN150" s="174"/>
      <c r="AO150" s="174"/>
      <c r="AP150" s="174"/>
      <c r="AR150" s="174"/>
      <c r="AS150" s="174"/>
      <c r="AT150" s="174"/>
      <c r="AU150" s="174"/>
      <c r="AV150" s="174"/>
      <c r="AW150" s="174"/>
      <c r="AX150" s="174"/>
      <c r="AY150" s="175"/>
      <c r="BC150" s="174"/>
      <c r="BD150" s="174"/>
      <c r="BE150" s="174"/>
      <c r="BG150" s="174"/>
      <c r="BI150" s="174"/>
      <c r="BJ150" s="174"/>
      <c r="BK150" s="174"/>
      <c r="BM150" s="174">
        <v>63.731999999999999</v>
      </c>
      <c r="BN150" s="174"/>
      <c r="BO150" s="174"/>
      <c r="BP150" s="174"/>
      <c r="BR150" s="174"/>
      <c r="BS150" s="174">
        <v>49.003</v>
      </c>
      <c r="BT150" s="174"/>
      <c r="BU150" s="190">
        <v>17.598764419555664</v>
      </c>
      <c r="BV150" s="159"/>
      <c r="BW150" s="174">
        <v>11.781000000000001</v>
      </c>
      <c r="BX150" s="159"/>
      <c r="BY150" s="159"/>
      <c r="CB150" s="165"/>
      <c r="CC150" s="174">
        <v>8.3960000000000008</v>
      </c>
      <c r="CD150" s="165"/>
      <c r="CE150" s="174">
        <v>7.7</v>
      </c>
      <c r="CF150" s="165"/>
      <c r="CH150" s="165"/>
      <c r="CJ150" s="165"/>
      <c r="CL150" s="165"/>
      <c r="CN150" s="165"/>
      <c r="CO150" s="130"/>
      <c r="CP150" s="165"/>
      <c r="CQ150" s="130"/>
      <c r="CR150" s="165"/>
      <c r="CS150" s="130"/>
      <c r="CT150" s="130"/>
      <c r="CU150" s="130"/>
      <c r="CV150" s="130"/>
      <c r="CW150" s="130"/>
      <c r="CX150" s="165"/>
      <c r="CY150" s="130"/>
      <c r="CZ150" s="130"/>
      <c r="DA150" s="130"/>
      <c r="DB150" s="130"/>
      <c r="DC150" s="130"/>
      <c r="DD150" s="130"/>
      <c r="DE150" s="130"/>
      <c r="DF150" s="130"/>
      <c r="DG150" s="130"/>
      <c r="DH150" s="130"/>
    </row>
    <row r="151" spans="1:112" ht="15">
      <c r="A151" s="169" t="s">
        <v>7436</v>
      </c>
      <c r="B151" s="175"/>
      <c r="C151" s="174">
        <v>6</v>
      </c>
      <c r="D151" s="174">
        <v>25</v>
      </c>
      <c r="E151" s="174">
        <v>6</v>
      </c>
      <c r="F151" s="174">
        <v>5</v>
      </c>
      <c r="I151" s="174"/>
      <c r="K151" s="188">
        <v>7</v>
      </c>
      <c r="L151" s="146">
        <v>42430</v>
      </c>
      <c r="M151" s="174">
        <v>8.7899999999999991</v>
      </c>
      <c r="N151" s="189">
        <v>42580</v>
      </c>
      <c r="S151" s="174">
        <v>24.01</v>
      </c>
      <c r="U151" s="159">
        <v>18.5</v>
      </c>
      <c r="AE151" s="174">
        <v>48.86</v>
      </c>
      <c r="AG151" s="174">
        <v>4.4000000000000004</v>
      </c>
      <c r="AI151" s="174">
        <v>190</v>
      </c>
      <c r="AJ151" s="160">
        <v>42520</v>
      </c>
      <c r="AK151" s="174"/>
      <c r="AL151" s="174"/>
      <c r="AM151" s="174">
        <v>98</v>
      </c>
      <c r="AN151" s="174"/>
      <c r="AO151" s="174"/>
      <c r="AP151" s="174"/>
      <c r="AR151" s="174"/>
      <c r="AS151" s="174"/>
      <c r="AT151" s="174"/>
      <c r="AU151" s="174"/>
      <c r="AV151" s="174"/>
      <c r="AW151" s="174"/>
      <c r="AX151" s="174"/>
      <c r="AY151" s="174"/>
      <c r="BC151" s="174"/>
      <c r="BD151" s="174"/>
      <c r="BE151" s="174"/>
      <c r="BG151" s="174"/>
      <c r="BI151" s="174"/>
      <c r="BJ151" s="174"/>
      <c r="BK151" s="174"/>
      <c r="BM151" s="174">
        <v>62.29</v>
      </c>
      <c r="BN151" s="174"/>
      <c r="BO151" s="174"/>
      <c r="BP151" s="174"/>
      <c r="BR151" s="174"/>
      <c r="BS151" s="174">
        <v>49.143999999999998</v>
      </c>
      <c r="BT151" s="174"/>
      <c r="BU151" s="190">
        <v>17.899765014648438</v>
      </c>
      <c r="BV151" s="159"/>
      <c r="BW151" s="174">
        <v>12.25</v>
      </c>
      <c r="BX151" s="159"/>
      <c r="BY151" s="159"/>
      <c r="CB151" s="165"/>
      <c r="CC151" s="174">
        <v>8.1989999999999998</v>
      </c>
      <c r="CD151" s="165"/>
      <c r="CE151" s="174">
        <v>7.7</v>
      </c>
      <c r="CF151" s="165"/>
      <c r="CH151" s="165"/>
      <c r="CJ151" s="165"/>
      <c r="CL151" s="165"/>
      <c r="CN151" s="165"/>
      <c r="CO151" s="130"/>
      <c r="CP151" s="165"/>
      <c r="CQ151" s="130"/>
      <c r="CR151" s="165"/>
      <c r="CS151" s="130"/>
      <c r="CT151" s="130"/>
      <c r="CU151" s="130"/>
      <c r="CV151" s="130"/>
      <c r="CW151" s="130"/>
      <c r="CX151" s="165"/>
      <c r="CY151" s="130"/>
      <c r="CZ151" s="130"/>
      <c r="DA151" s="130"/>
      <c r="DB151" s="130"/>
      <c r="DC151" s="130"/>
      <c r="DD151" s="130"/>
      <c r="DE151" s="130"/>
      <c r="DF151" s="130"/>
      <c r="DG151" s="130"/>
      <c r="DH151" s="130"/>
    </row>
    <row r="152" spans="1:112" ht="15">
      <c r="A152" s="169" t="s">
        <v>7702</v>
      </c>
      <c r="B152" s="175"/>
      <c r="C152" s="174">
        <v>1</v>
      </c>
      <c r="D152" s="174">
        <v>26</v>
      </c>
      <c r="E152" s="174">
        <v>1</v>
      </c>
      <c r="F152" s="174">
        <v>24</v>
      </c>
      <c r="I152" s="174"/>
      <c r="K152" s="188">
        <v>9</v>
      </c>
      <c r="L152" s="146">
        <v>42430</v>
      </c>
      <c r="M152" s="174">
        <v>8.02</v>
      </c>
      <c r="N152" s="189">
        <v>42580</v>
      </c>
      <c r="S152" s="174">
        <v>22.14</v>
      </c>
      <c r="U152" s="159">
        <v>18.5</v>
      </c>
      <c r="AE152" s="174">
        <v>44.52</v>
      </c>
      <c r="AG152" s="174">
        <v>4.63</v>
      </c>
      <c r="AI152" s="174">
        <v>180</v>
      </c>
      <c r="AJ152" s="160">
        <v>42520</v>
      </c>
      <c r="AK152" s="174"/>
      <c r="AL152" s="174"/>
      <c r="AM152" s="174">
        <v>95</v>
      </c>
      <c r="AN152" s="174"/>
      <c r="AO152" s="174"/>
      <c r="AP152" s="174"/>
      <c r="AR152" s="174"/>
      <c r="AS152" s="174"/>
      <c r="AT152" s="174"/>
      <c r="AU152" s="174"/>
      <c r="AV152" s="174"/>
      <c r="AW152" s="174"/>
      <c r="AX152" s="174"/>
      <c r="AY152" s="174"/>
      <c r="BC152" s="174"/>
      <c r="BD152" s="174"/>
      <c r="BE152" s="174"/>
      <c r="BG152" s="174"/>
      <c r="BI152" s="174"/>
      <c r="BJ152" s="174"/>
      <c r="BK152" s="174"/>
      <c r="BM152" s="174">
        <v>61.923000000000002</v>
      </c>
      <c r="BN152" s="174"/>
      <c r="BO152" s="174"/>
      <c r="BP152" s="174"/>
      <c r="BR152" s="174"/>
      <c r="BS152" s="174">
        <v>49.731999999999999</v>
      </c>
      <c r="BT152" s="174"/>
      <c r="BU152" s="190">
        <v>18.45472526550293</v>
      </c>
      <c r="BV152" s="159"/>
      <c r="BW152" s="174">
        <v>11.926</v>
      </c>
      <c r="BX152" s="159"/>
      <c r="BY152" s="159"/>
      <c r="CB152" s="165"/>
      <c r="CC152" s="174">
        <v>8.3279999999999994</v>
      </c>
      <c r="CD152" s="165"/>
      <c r="CE152" s="174">
        <v>8</v>
      </c>
      <c r="CF152" s="165"/>
      <c r="CH152" s="165"/>
      <c r="CJ152" s="165"/>
      <c r="CL152" s="165"/>
      <c r="CN152" s="165"/>
      <c r="CO152" s="130"/>
      <c r="CP152" s="165"/>
      <c r="CQ152" s="130"/>
      <c r="CR152" s="165"/>
      <c r="CS152" s="130"/>
      <c r="CT152" s="130"/>
      <c r="CU152" s="130"/>
      <c r="CV152" s="130"/>
      <c r="CW152" s="130"/>
      <c r="CX152" s="165"/>
      <c r="CY152" s="130"/>
      <c r="CZ152" s="130"/>
      <c r="DA152" s="130"/>
      <c r="DB152" s="130"/>
      <c r="DC152" s="130"/>
      <c r="DD152" s="130"/>
      <c r="DE152" s="130"/>
      <c r="DF152" s="130"/>
      <c r="DG152" s="130"/>
      <c r="DH152" s="130"/>
    </row>
    <row r="153" spans="1:112" ht="15">
      <c r="A153" s="169" t="s">
        <v>7702</v>
      </c>
      <c r="B153" s="175"/>
      <c r="C153" s="174">
        <v>2</v>
      </c>
      <c r="D153" s="174">
        <v>26</v>
      </c>
      <c r="E153" s="174">
        <v>2</v>
      </c>
      <c r="F153" s="174">
        <v>24</v>
      </c>
      <c r="I153" s="174"/>
      <c r="K153" s="188">
        <v>9</v>
      </c>
      <c r="L153" s="146">
        <v>42430</v>
      </c>
      <c r="M153" s="174">
        <v>8.25</v>
      </c>
      <c r="N153" s="189">
        <v>42580</v>
      </c>
      <c r="S153" s="174">
        <v>22.36</v>
      </c>
      <c r="U153" s="159">
        <v>18.5</v>
      </c>
      <c r="AE153" s="174">
        <v>45.78</v>
      </c>
      <c r="AG153" s="174">
        <v>4.5599999999999996</v>
      </c>
      <c r="AI153" s="174">
        <v>190</v>
      </c>
      <c r="AJ153" s="160">
        <v>42520</v>
      </c>
      <c r="AK153" s="174"/>
      <c r="AL153" s="174"/>
      <c r="AM153" s="174">
        <v>95</v>
      </c>
      <c r="AN153" s="174"/>
      <c r="AO153" s="174"/>
      <c r="AP153" s="174"/>
      <c r="AR153" s="174"/>
      <c r="AS153" s="174"/>
      <c r="AT153" s="174"/>
      <c r="AU153" s="174"/>
      <c r="AV153" s="174"/>
      <c r="AW153" s="174"/>
      <c r="AX153" s="174"/>
      <c r="AY153" s="174"/>
      <c r="BC153" s="174"/>
      <c r="BD153" s="174"/>
      <c r="BE153" s="174"/>
      <c r="BG153" s="174"/>
      <c r="BI153" s="174"/>
      <c r="BJ153" s="174"/>
      <c r="BK153" s="174"/>
      <c r="BM153" s="174">
        <v>63.328000000000003</v>
      </c>
      <c r="BN153" s="174"/>
      <c r="BO153" s="174"/>
      <c r="BP153" s="174"/>
      <c r="BR153" s="174"/>
      <c r="BS153" s="174">
        <v>48.843000000000004</v>
      </c>
      <c r="BT153" s="174"/>
      <c r="BU153" s="190">
        <v>19.072208404541016</v>
      </c>
      <c r="BV153" s="159"/>
      <c r="BW153" s="174">
        <v>12.178000000000001</v>
      </c>
      <c r="BX153" s="159"/>
      <c r="BY153" s="159"/>
      <c r="CB153" s="165"/>
      <c r="CC153" s="174">
        <v>8.3740000000000006</v>
      </c>
      <c r="CD153" s="165"/>
      <c r="CE153" s="174">
        <v>7.9</v>
      </c>
      <c r="CF153" s="165"/>
      <c r="CH153" s="165"/>
      <c r="CJ153" s="165"/>
      <c r="CL153" s="165"/>
      <c r="CN153" s="165"/>
      <c r="CO153" s="130"/>
      <c r="CP153" s="165"/>
      <c r="CQ153" s="130"/>
      <c r="CR153" s="165"/>
      <c r="CS153" s="130"/>
      <c r="CT153" s="130"/>
      <c r="CU153" s="130"/>
      <c r="CV153" s="130"/>
      <c r="CW153" s="130"/>
      <c r="CX153" s="165"/>
      <c r="CY153" s="130"/>
      <c r="CZ153" s="130"/>
      <c r="DA153" s="130"/>
      <c r="DB153" s="130"/>
      <c r="DC153" s="130"/>
      <c r="DD153" s="130"/>
      <c r="DE153" s="130"/>
      <c r="DF153" s="130"/>
      <c r="DG153" s="130"/>
      <c r="DH153" s="130"/>
    </row>
    <row r="154" spans="1:112" ht="15">
      <c r="A154" s="169" t="s">
        <v>7702</v>
      </c>
      <c r="B154" s="175"/>
      <c r="C154" s="174">
        <v>3</v>
      </c>
      <c r="D154" s="174">
        <v>26</v>
      </c>
      <c r="E154" s="174">
        <v>3</v>
      </c>
      <c r="F154" s="174">
        <v>6</v>
      </c>
      <c r="I154" s="174"/>
      <c r="K154" s="188">
        <v>5</v>
      </c>
      <c r="L154" s="146">
        <v>42430</v>
      </c>
      <c r="M154" s="174">
        <v>7.85</v>
      </c>
      <c r="N154" s="189">
        <v>42580</v>
      </c>
      <c r="S154" s="174">
        <v>21.47</v>
      </c>
      <c r="U154" s="159">
        <v>18.5</v>
      </c>
      <c r="AE154" s="174">
        <v>43.48</v>
      </c>
      <c r="AG154" s="174">
        <v>4.0199999999999996</v>
      </c>
      <c r="AI154" s="174">
        <v>190</v>
      </c>
      <c r="AJ154" s="160">
        <v>42520</v>
      </c>
      <c r="AK154" s="174"/>
      <c r="AL154" s="174"/>
      <c r="AM154" s="174">
        <v>90</v>
      </c>
      <c r="AN154" s="174"/>
      <c r="AO154" s="174"/>
      <c r="AP154" s="174"/>
      <c r="AR154" s="174"/>
      <c r="AS154" s="174"/>
      <c r="AT154" s="174"/>
      <c r="AU154" s="174"/>
      <c r="AV154" s="174"/>
      <c r="AW154" s="174"/>
      <c r="AX154" s="174"/>
      <c r="AY154" s="174"/>
      <c r="BC154" s="174"/>
      <c r="BD154" s="174"/>
      <c r="BE154" s="174"/>
      <c r="BG154" s="174"/>
      <c r="BI154" s="174"/>
      <c r="BJ154" s="174"/>
      <c r="BK154" s="174"/>
      <c r="BM154" s="174">
        <v>63.868000000000002</v>
      </c>
      <c r="BN154" s="174"/>
      <c r="BO154" s="174"/>
      <c r="BP154" s="174"/>
      <c r="BR154" s="174"/>
      <c r="BS154" s="174">
        <v>49.39</v>
      </c>
      <c r="BT154" s="174"/>
      <c r="BU154" s="190">
        <v>18.352514266967773</v>
      </c>
      <c r="BV154" s="159"/>
      <c r="BW154" s="174">
        <v>11.031000000000001</v>
      </c>
      <c r="BX154" s="159"/>
      <c r="BY154" s="159"/>
      <c r="CB154" s="165"/>
      <c r="CC154" s="174">
        <v>8.5299999999999994</v>
      </c>
      <c r="CD154" s="165"/>
      <c r="CE154" s="174">
        <v>8.1999999999999993</v>
      </c>
      <c r="CF154" s="165"/>
      <c r="CH154" s="165"/>
      <c r="CJ154" s="165"/>
      <c r="CL154" s="165"/>
      <c r="CN154" s="165"/>
      <c r="CO154" s="130"/>
      <c r="CP154" s="165"/>
      <c r="CQ154" s="130"/>
      <c r="CR154" s="165"/>
      <c r="CS154" s="130"/>
      <c r="CT154" s="130"/>
      <c r="CU154" s="130"/>
      <c r="CV154" s="130"/>
      <c r="CW154" s="130"/>
      <c r="CX154" s="165"/>
      <c r="CY154" s="130"/>
      <c r="CZ154" s="130"/>
      <c r="DA154" s="130"/>
      <c r="DB154" s="130"/>
      <c r="DC154" s="130"/>
      <c r="DD154" s="130"/>
      <c r="DE154" s="130"/>
      <c r="DF154" s="130"/>
      <c r="DG154" s="130"/>
      <c r="DH154" s="130"/>
    </row>
    <row r="155" spans="1:112" ht="15">
      <c r="A155" s="169" t="s">
        <v>7702</v>
      </c>
      <c r="B155" s="175"/>
      <c r="C155" s="174">
        <v>4</v>
      </c>
      <c r="D155" s="174">
        <v>26</v>
      </c>
      <c r="E155" s="174">
        <v>4</v>
      </c>
      <c r="F155" s="174">
        <v>16</v>
      </c>
      <c r="I155" s="174"/>
      <c r="K155" s="188">
        <v>8</v>
      </c>
      <c r="L155" s="146">
        <v>42430</v>
      </c>
      <c r="M155" s="174">
        <v>8.48</v>
      </c>
      <c r="N155" s="189">
        <v>42580</v>
      </c>
      <c r="S155" s="174">
        <v>23.43</v>
      </c>
      <c r="U155" s="159">
        <v>18.5</v>
      </c>
      <c r="AE155" s="174">
        <v>47.19</v>
      </c>
      <c r="AG155" s="174">
        <v>4.17</v>
      </c>
      <c r="AI155" s="174">
        <v>170</v>
      </c>
      <c r="AJ155" s="160">
        <v>42520</v>
      </c>
      <c r="AK155" s="174"/>
      <c r="AL155" s="174"/>
      <c r="AM155" s="174">
        <v>95</v>
      </c>
      <c r="AN155" s="174"/>
      <c r="AO155" s="174"/>
      <c r="AP155" s="174"/>
      <c r="AR155" s="174"/>
      <c r="AS155" s="174"/>
      <c r="AT155" s="174"/>
      <c r="AU155" s="174"/>
      <c r="AV155" s="174"/>
      <c r="AW155" s="174"/>
      <c r="AX155" s="174"/>
      <c r="AY155" s="174"/>
      <c r="BC155" s="174"/>
      <c r="BD155" s="174"/>
      <c r="BE155" s="174"/>
      <c r="BG155" s="174"/>
      <c r="BI155" s="174"/>
      <c r="BJ155" s="174"/>
      <c r="BK155" s="174"/>
      <c r="BM155" s="174">
        <v>63.96</v>
      </c>
      <c r="BN155" s="174"/>
      <c r="BO155" s="174"/>
      <c r="BP155" s="174"/>
      <c r="BR155" s="174"/>
      <c r="BS155" s="174">
        <v>49.64</v>
      </c>
      <c r="BT155" s="174"/>
      <c r="BU155" s="190">
        <v>18.063098907470703</v>
      </c>
      <c r="BV155" s="159"/>
      <c r="BW155" s="174">
        <v>11.96</v>
      </c>
      <c r="BX155" s="159"/>
      <c r="BY155" s="159"/>
      <c r="CB155" s="165"/>
      <c r="CC155" s="174">
        <v>8.0969999999999995</v>
      </c>
      <c r="CD155" s="165"/>
      <c r="CE155" s="174">
        <v>7.6</v>
      </c>
      <c r="CF155" s="165"/>
      <c r="CH155" s="165"/>
      <c r="CJ155" s="165"/>
      <c r="CL155" s="165"/>
      <c r="CN155" s="165"/>
      <c r="CO155" s="130"/>
      <c r="CP155" s="165"/>
      <c r="CQ155" s="130"/>
      <c r="CR155" s="165"/>
      <c r="CS155" s="130"/>
      <c r="CT155" s="130"/>
      <c r="CU155" s="130"/>
      <c r="CV155" s="130"/>
      <c r="CW155" s="130"/>
      <c r="CX155" s="165"/>
      <c r="CY155" s="130"/>
      <c r="CZ155" s="130"/>
      <c r="DA155" s="130"/>
      <c r="DB155" s="130"/>
      <c r="DC155" s="130"/>
      <c r="DD155" s="130"/>
      <c r="DE155" s="130"/>
      <c r="DF155" s="130"/>
      <c r="DG155" s="130"/>
      <c r="DH155" s="130"/>
    </row>
    <row r="156" spans="1:112" ht="15">
      <c r="A156" s="169" t="s">
        <v>7702</v>
      </c>
      <c r="B156" s="175"/>
      <c r="C156" s="174">
        <v>5</v>
      </c>
      <c r="D156" s="174">
        <v>26</v>
      </c>
      <c r="E156" s="174">
        <v>5</v>
      </c>
      <c r="F156" s="174">
        <v>27</v>
      </c>
      <c r="I156" s="174"/>
      <c r="K156" s="188">
        <v>3</v>
      </c>
      <c r="L156" s="146">
        <v>42430</v>
      </c>
      <c r="M156" s="174">
        <v>7.23</v>
      </c>
      <c r="N156" s="189">
        <v>42580</v>
      </c>
      <c r="S156" s="174">
        <v>20.61</v>
      </c>
      <c r="U156" s="159">
        <v>18.5</v>
      </c>
      <c r="AE156" s="174">
        <v>40.4</v>
      </c>
      <c r="AG156" s="174">
        <v>4.13</v>
      </c>
      <c r="AI156" s="174">
        <v>160</v>
      </c>
      <c r="AJ156" s="160">
        <v>42520</v>
      </c>
      <c r="AK156" s="174"/>
      <c r="AL156" s="174"/>
      <c r="AM156" s="174">
        <v>95</v>
      </c>
      <c r="AN156" s="174"/>
      <c r="AO156" s="174"/>
      <c r="AP156" s="174"/>
      <c r="AR156" s="174"/>
      <c r="AS156" s="174"/>
      <c r="AT156" s="174"/>
      <c r="AU156" s="174"/>
      <c r="AV156" s="174"/>
      <c r="AW156" s="174"/>
      <c r="AX156" s="174"/>
      <c r="AY156" s="174"/>
      <c r="BC156" s="174"/>
      <c r="BD156" s="174"/>
      <c r="BE156" s="174"/>
      <c r="BG156" s="174"/>
      <c r="BI156" s="174"/>
      <c r="BJ156" s="174"/>
      <c r="BK156" s="174"/>
      <c r="BM156" s="174">
        <v>63.64</v>
      </c>
      <c r="BN156" s="174"/>
      <c r="BO156" s="174"/>
      <c r="BP156" s="174"/>
      <c r="BR156" s="174"/>
      <c r="BS156" s="174">
        <v>51.026000000000003</v>
      </c>
      <c r="BT156" s="174"/>
      <c r="BU156" s="190">
        <v>16.881025314331055</v>
      </c>
      <c r="BV156" s="159"/>
      <c r="BW156" s="174">
        <v>10.853999999999999</v>
      </c>
      <c r="BX156" s="159"/>
      <c r="BY156" s="159"/>
      <c r="CB156" s="165"/>
      <c r="CC156" s="174">
        <v>7.7240000000000002</v>
      </c>
      <c r="CD156" s="165"/>
      <c r="CE156" s="174">
        <v>7.5</v>
      </c>
      <c r="CF156" s="165"/>
      <c r="CH156" s="165"/>
      <c r="CJ156" s="165"/>
      <c r="CL156" s="165"/>
      <c r="CN156" s="165"/>
      <c r="CO156" s="130"/>
      <c r="CP156" s="165"/>
      <c r="CQ156" s="130"/>
      <c r="CR156" s="165"/>
      <c r="CS156" s="130"/>
      <c r="CT156" s="130"/>
      <c r="CU156" s="130"/>
      <c r="CV156" s="130"/>
      <c r="CW156" s="130"/>
      <c r="CX156" s="165"/>
      <c r="CY156" s="130"/>
      <c r="CZ156" s="130"/>
      <c r="DA156" s="130"/>
      <c r="DB156" s="130"/>
      <c r="DC156" s="130"/>
      <c r="DD156" s="130"/>
      <c r="DE156" s="130"/>
      <c r="DF156" s="130"/>
      <c r="DG156" s="130"/>
      <c r="DH156" s="130"/>
    </row>
    <row r="157" spans="1:112" ht="15">
      <c r="A157" s="169" t="s">
        <v>7702</v>
      </c>
      <c r="B157" s="175"/>
      <c r="C157" s="174">
        <v>6</v>
      </c>
      <c r="D157" s="174">
        <v>26</v>
      </c>
      <c r="E157" s="174">
        <v>6</v>
      </c>
      <c r="F157" s="174">
        <v>3</v>
      </c>
      <c r="I157" s="174"/>
      <c r="K157" s="188">
        <v>7</v>
      </c>
      <c r="L157" s="146">
        <v>42430</v>
      </c>
      <c r="M157" s="174">
        <v>8.89</v>
      </c>
      <c r="N157" s="189">
        <v>42580</v>
      </c>
      <c r="S157" s="174">
        <v>23.95</v>
      </c>
      <c r="U157" s="159">
        <v>18.5</v>
      </c>
      <c r="AE157" s="174">
        <v>49.55</v>
      </c>
      <c r="AG157" s="174">
        <v>4.0999999999999996</v>
      </c>
      <c r="AI157" s="174">
        <v>170</v>
      </c>
      <c r="AJ157" s="160">
        <v>42520</v>
      </c>
      <c r="AK157" s="174"/>
      <c r="AL157" s="174"/>
      <c r="AM157" s="174">
        <v>95</v>
      </c>
      <c r="AN157" s="174"/>
      <c r="AO157" s="174"/>
      <c r="AP157" s="174"/>
      <c r="AR157" s="174"/>
      <c r="AS157" s="174"/>
      <c r="AT157" s="174"/>
      <c r="AU157" s="174"/>
      <c r="AV157" s="174"/>
      <c r="AW157" s="174"/>
      <c r="AX157" s="174"/>
      <c r="AY157" s="174"/>
      <c r="BC157" s="174"/>
      <c r="BD157" s="174"/>
      <c r="BE157" s="174"/>
      <c r="BG157" s="174"/>
      <c r="BI157" s="174"/>
      <c r="BJ157" s="174"/>
      <c r="BK157" s="174"/>
      <c r="BM157" s="174">
        <v>61.75</v>
      </c>
      <c r="BN157" s="174"/>
      <c r="BO157" s="174"/>
      <c r="BP157" s="174"/>
      <c r="BR157" s="174"/>
      <c r="BS157" s="174">
        <v>48.338999999999999</v>
      </c>
      <c r="BT157" s="174"/>
      <c r="BU157" s="190">
        <v>19.292537689208984</v>
      </c>
      <c r="BV157" s="159"/>
      <c r="BW157" s="174">
        <v>11.942</v>
      </c>
      <c r="BX157" s="159"/>
      <c r="BY157" s="159"/>
      <c r="CB157" s="165"/>
      <c r="CC157" s="174">
        <v>7.9580000000000002</v>
      </c>
      <c r="CD157" s="165"/>
      <c r="CE157" s="174">
        <v>7.6</v>
      </c>
      <c r="CF157" s="165"/>
      <c r="CH157" s="165"/>
      <c r="CJ157" s="165"/>
      <c r="CL157" s="165"/>
      <c r="CN157" s="165"/>
      <c r="CO157" s="130"/>
      <c r="CP157" s="165"/>
      <c r="CQ157" s="130"/>
      <c r="CR157" s="165"/>
      <c r="CS157" s="130"/>
      <c r="CT157" s="130"/>
      <c r="CU157" s="130"/>
      <c r="CV157" s="130"/>
      <c r="CW157" s="130"/>
      <c r="CX157" s="165"/>
      <c r="CY157" s="130"/>
      <c r="CZ157" s="130"/>
      <c r="DA157" s="130"/>
      <c r="DB157" s="130"/>
      <c r="DC157" s="130"/>
      <c r="DD157" s="130"/>
      <c r="DE157" s="130"/>
      <c r="DF157" s="130"/>
      <c r="DG157" s="130"/>
      <c r="DH157" s="130"/>
    </row>
    <row r="158" spans="1:112" ht="15">
      <c r="A158" s="169" t="s">
        <v>7703</v>
      </c>
      <c r="B158" s="175"/>
      <c r="C158" s="174">
        <v>1</v>
      </c>
      <c r="D158" s="174">
        <v>27</v>
      </c>
      <c r="E158" s="174">
        <v>1</v>
      </c>
      <c r="F158" s="174">
        <v>21</v>
      </c>
      <c r="I158" s="174"/>
      <c r="K158" s="188">
        <v>7</v>
      </c>
      <c r="L158" s="146">
        <v>42430</v>
      </c>
      <c r="M158" s="174">
        <v>8.2799999999999994</v>
      </c>
      <c r="N158" s="189">
        <v>42580</v>
      </c>
      <c r="S158" s="174">
        <v>22.51</v>
      </c>
      <c r="U158" s="159">
        <v>18.5</v>
      </c>
      <c r="AE158" s="174">
        <v>45.99</v>
      </c>
      <c r="AG158" s="174">
        <v>4.57</v>
      </c>
      <c r="AI158" s="174">
        <v>180</v>
      </c>
      <c r="AJ158" s="160">
        <v>42520</v>
      </c>
      <c r="AK158" s="174"/>
      <c r="AL158" s="174"/>
      <c r="AM158" s="174">
        <v>92</v>
      </c>
      <c r="AN158" s="174"/>
      <c r="AO158" s="174"/>
      <c r="AP158" s="174"/>
      <c r="AR158" s="174"/>
      <c r="AS158" s="174"/>
      <c r="AT158" s="174"/>
      <c r="AU158" s="174"/>
      <c r="AV158" s="174"/>
      <c r="AW158" s="174"/>
      <c r="AX158" s="174"/>
      <c r="AY158" s="174"/>
      <c r="BC158" s="174"/>
      <c r="BD158" s="174"/>
      <c r="BE158" s="174"/>
      <c r="BG158" s="174"/>
      <c r="BI158" s="174"/>
      <c r="BJ158" s="174"/>
      <c r="BK158" s="174"/>
      <c r="BM158" s="174">
        <v>64.096000000000004</v>
      </c>
      <c r="BN158" s="174"/>
      <c r="BO158" s="174"/>
      <c r="BP158" s="174"/>
      <c r="BR158" s="174"/>
      <c r="BS158" s="174">
        <v>48.954000000000001</v>
      </c>
      <c r="BT158" s="174"/>
      <c r="BU158" s="190">
        <v>19.280241012573242</v>
      </c>
      <c r="BV158" s="159"/>
      <c r="BW158" s="174">
        <v>11.345000000000001</v>
      </c>
      <c r="BX158" s="159"/>
      <c r="BY158" s="159"/>
      <c r="CB158" s="165"/>
      <c r="CC158" s="174">
        <v>8.2810000000000006</v>
      </c>
      <c r="CD158" s="165"/>
      <c r="CE158" s="174">
        <v>8</v>
      </c>
      <c r="CF158" s="165"/>
      <c r="CH158" s="165"/>
      <c r="CJ158" s="165"/>
      <c r="CL158" s="165"/>
      <c r="CN158" s="165"/>
      <c r="CO158" s="130"/>
      <c r="CP158" s="165"/>
      <c r="CQ158" s="130"/>
      <c r="CR158" s="165"/>
      <c r="CS158" s="130"/>
      <c r="CT158" s="130"/>
      <c r="CU158" s="130"/>
      <c r="CV158" s="130"/>
      <c r="CW158" s="130"/>
      <c r="CX158" s="165"/>
      <c r="CY158" s="130"/>
      <c r="CZ158" s="130"/>
      <c r="DA158" s="130"/>
      <c r="DB158" s="130"/>
      <c r="DC158" s="130"/>
      <c r="DD158" s="130"/>
      <c r="DE158" s="130"/>
      <c r="DF158" s="130"/>
      <c r="DG158" s="130"/>
      <c r="DH158" s="130"/>
    </row>
    <row r="159" spans="1:112" ht="15">
      <c r="A159" s="169" t="s">
        <v>7703</v>
      </c>
      <c r="B159" s="175"/>
      <c r="C159" s="174">
        <v>2</v>
      </c>
      <c r="D159" s="174">
        <v>27</v>
      </c>
      <c r="E159" s="174">
        <v>2</v>
      </c>
      <c r="F159" s="174">
        <v>1</v>
      </c>
      <c r="I159" s="174"/>
      <c r="K159" s="188">
        <v>5</v>
      </c>
      <c r="L159" s="146">
        <v>42430</v>
      </c>
      <c r="M159" s="174">
        <v>8.32</v>
      </c>
      <c r="N159" s="189">
        <v>42580</v>
      </c>
      <c r="S159" s="174">
        <v>22.42</v>
      </c>
      <c r="U159" s="159">
        <v>18.5</v>
      </c>
      <c r="AE159" s="174">
        <v>46.14</v>
      </c>
      <c r="AG159" s="174">
        <v>4.43</v>
      </c>
      <c r="AI159" s="174">
        <v>190</v>
      </c>
      <c r="AJ159" s="160">
        <v>42520</v>
      </c>
      <c r="AK159" s="174"/>
      <c r="AL159" s="174"/>
      <c r="AM159" s="174">
        <v>95</v>
      </c>
      <c r="AN159" s="174"/>
      <c r="AO159" s="174"/>
      <c r="AP159" s="174"/>
      <c r="AR159" s="174"/>
      <c r="AS159" s="174"/>
      <c r="AT159" s="174"/>
      <c r="AU159" s="174"/>
      <c r="AV159" s="174"/>
      <c r="AW159" s="174"/>
      <c r="AX159" s="174"/>
      <c r="AY159" s="174"/>
      <c r="BC159" s="174"/>
      <c r="BD159" s="174"/>
      <c r="BE159" s="174"/>
      <c r="BG159" s="174"/>
      <c r="BI159" s="174"/>
      <c r="BJ159" s="174"/>
      <c r="BK159" s="174"/>
      <c r="BM159" s="174">
        <v>63.779000000000003</v>
      </c>
      <c r="BN159" s="174"/>
      <c r="BO159" s="174"/>
      <c r="BP159" s="174"/>
      <c r="BR159" s="174"/>
      <c r="BS159" s="174">
        <v>48.600999999999999</v>
      </c>
      <c r="BT159" s="174"/>
      <c r="BU159" s="190">
        <v>19.691116333007813</v>
      </c>
      <c r="BV159" s="159"/>
      <c r="BW159" s="174">
        <v>11.778</v>
      </c>
      <c r="BX159" s="159"/>
      <c r="BY159" s="159"/>
      <c r="CB159" s="165"/>
      <c r="CC159" s="174">
        <v>8.4179999999999993</v>
      </c>
      <c r="CD159" s="165"/>
      <c r="CE159" s="174">
        <v>8.3000000000000007</v>
      </c>
      <c r="CF159" s="165"/>
      <c r="CH159" s="165"/>
      <c r="CJ159" s="165"/>
      <c r="CL159" s="165"/>
      <c r="CN159" s="165"/>
      <c r="CO159" s="130"/>
      <c r="CP159" s="165"/>
      <c r="CQ159" s="130"/>
      <c r="CR159" s="165"/>
      <c r="CS159" s="130"/>
      <c r="CT159" s="130"/>
      <c r="CU159" s="130"/>
      <c r="CV159" s="130"/>
      <c r="CW159" s="130"/>
      <c r="CX159" s="165"/>
      <c r="CY159" s="130"/>
      <c r="CZ159" s="130"/>
      <c r="DA159" s="130"/>
      <c r="DB159" s="130"/>
      <c r="DC159" s="130"/>
      <c r="DD159" s="130"/>
      <c r="DE159" s="130"/>
      <c r="DF159" s="130"/>
      <c r="DG159" s="130"/>
      <c r="DH159" s="130"/>
    </row>
    <row r="160" spans="1:112" ht="15">
      <c r="A160" s="169" t="s">
        <v>7703</v>
      </c>
      <c r="B160" s="175"/>
      <c r="C160" s="174">
        <v>3</v>
      </c>
      <c r="D160" s="174">
        <v>27</v>
      </c>
      <c r="E160" s="174">
        <v>3</v>
      </c>
      <c r="F160" s="174">
        <v>5</v>
      </c>
      <c r="I160" s="174"/>
      <c r="K160" s="188">
        <v>7</v>
      </c>
      <c r="L160" s="146">
        <v>42430</v>
      </c>
      <c r="M160" s="174">
        <v>8.07</v>
      </c>
      <c r="N160" s="189">
        <v>42580</v>
      </c>
      <c r="S160" s="174">
        <v>21.92</v>
      </c>
      <c r="U160" s="159">
        <v>18.5</v>
      </c>
      <c r="AE160" s="174">
        <v>44.61</v>
      </c>
      <c r="AG160" s="174">
        <v>4.18</v>
      </c>
      <c r="AI160" s="174">
        <v>180</v>
      </c>
      <c r="AJ160" s="160">
        <v>42520</v>
      </c>
      <c r="AK160" s="174"/>
      <c r="AL160" s="174"/>
      <c r="AM160" s="174">
        <v>92</v>
      </c>
      <c r="AN160" s="174"/>
      <c r="AO160" s="174"/>
      <c r="AP160" s="174"/>
      <c r="AR160" s="174"/>
      <c r="AS160" s="174"/>
      <c r="AT160" s="174"/>
      <c r="AU160" s="174"/>
      <c r="AV160" s="174"/>
      <c r="AW160" s="174"/>
      <c r="AX160" s="174"/>
      <c r="AY160" s="174"/>
      <c r="BC160" s="174"/>
      <c r="BD160" s="174"/>
      <c r="BE160" s="174"/>
      <c r="BG160" s="174"/>
      <c r="BI160" s="174"/>
      <c r="BJ160" s="174"/>
      <c r="BK160" s="174"/>
      <c r="BM160" s="174">
        <v>63.594000000000001</v>
      </c>
      <c r="BN160" s="174"/>
      <c r="BO160" s="174"/>
      <c r="BP160" s="174"/>
      <c r="BR160" s="174"/>
      <c r="BS160" s="174">
        <v>49.128999999999998</v>
      </c>
      <c r="BT160" s="174"/>
      <c r="BU160" s="190">
        <v>19.063518524169922</v>
      </c>
      <c r="BV160" s="159"/>
      <c r="BW160" s="174">
        <v>10.381</v>
      </c>
      <c r="BX160" s="159"/>
      <c r="BY160" s="159"/>
      <c r="CB160" s="165"/>
      <c r="CC160" s="174">
        <v>8.7140000000000004</v>
      </c>
      <c r="CD160" s="165"/>
      <c r="CE160" s="174">
        <v>8.4</v>
      </c>
      <c r="CF160" s="165"/>
      <c r="CH160" s="165"/>
      <c r="CJ160" s="165"/>
      <c r="CL160" s="165"/>
      <c r="CN160" s="165"/>
      <c r="CO160" s="130"/>
      <c r="CP160" s="165"/>
      <c r="CQ160" s="130"/>
      <c r="CR160" s="165"/>
      <c r="CS160" s="130"/>
      <c r="CT160" s="130"/>
      <c r="CU160" s="130"/>
      <c r="CV160" s="130"/>
      <c r="CW160" s="130"/>
      <c r="CX160" s="165"/>
      <c r="CY160" s="130"/>
      <c r="CZ160" s="130"/>
      <c r="DA160" s="130"/>
      <c r="DB160" s="130"/>
      <c r="DC160" s="130"/>
      <c r="DD160" s="130"/>
      <c r="DE160" s="130"/>
      <c r="DF160" s="130"/>
      <c r="DG160" s="130"/>
      <c r="DH160" s="130"/>
    </row>
    <row r="161" spans="1:112" ht="15">
      <c r="A161" s="169" t="s">
        <v>7703</v>
      </c>
      <c r="B161" s="175"/>
      <c r="C161" s="174">
        <v>4</v>
      </c>
      <c r="D161" s="174">
        <v>27</v>
      </c>
      <c r="E161" s="174">
        <v>4</v>
      </c>
      <c r="F161" s="174">
        <v>10</v>
      </c>
      <c r="I161" s="174"/>
      <c r="K161" s="188">
        <v>8</v>
      </c>
      <c r="L161" s="146">
        <v>42430</v>
      </c>
      <c r="M161" s="174">
        <v>7.52</v>
      </c>
      <c r="N161" s="189">
        <v>42580</v>
      </c>
      <c r="S161" s="174">
        <v>21.06</v>
      </c>
      <c r="U161" s="159">
        <v>18.5</v>
      </c>
      <c r="AE161" s="174">
        <v>41.88</v>
      </c>
      <c r="AG161" s="174">
        <v>4.58</v>
      </c>
      <c r="AI161" s="174">
        <v>160</v>
      </c>
      <c r="AJ161" s="160">
        <v>42520</v>
      </c>
      <c r="AK161" s="174"/>
      <c r="AL161" s="174"/>
      <c r="AM161" s="174">
        <v>92</v>
      </c>
      <c r="AN161" s="174"/>
      <c r="AO161" s="174"/>
      <c r="AP161" s="174"/>
      <c r="AR161" s="174"/>
      <c r="AS161" s="174"/>
      <c r="AT161" s="174"/>
      <c r="AU161" s="174"/>
      <c r="AV161" s="174"/>
      <c r="AW161" s="174"/>
      <c r="AX161" s="174"/>
      <c r="AY161" s="174"/>
      <c r="BC161" s="174"/>
      <c r="BD161" s="174"/>
      <c r="BE161" s="174"/>
      <c r="BG161" s="174"/>
      <c r="BI161" s="174"/>
      <c r="BJ161" s="174"/>
      <c r="BK161" s="174"/>
      <c r="BM161" s="174">
        <v>64.31</v>
      </c>
      <c r="BN161" s="174"/>
      <c r="BO161" s="174"/>
      <c r="BP161" s="174"/>
      <c r="BR161" s="174"/>
      <c r="BS161" s="174">
        <v>50.279000000000003</v>
      </c>
      <c r="BT161" s="174"/>
      <c r="BU161" s="190">
        <v>17.630807876586914</v>
      </c>
      <c r="BV161" s="159"/>
      <c r="BW161" s="174">
        <v>9.5879999999999992</v>
      </c>
      <c r="BX161" s="159"/>
      <c r="BY161" s="159"/>
      <c r="CB161" s="165"/>
      <c r="CC161" s="174">
        <v>8.0359999999999996</v>
      </c>
      <c r="CD161" s="165"/>
      <c r="CE161" s="174">
        <v>7.5</v>
      </c>
      <c r="CF161" s="165"/>
      <c r="CH161" s="165"/>
      <c r="CJ161" s="165"/>
      <c r="CL161" s="165"/>
      <c r="CN161" s="165"/>
      <c r="CO161" s="130"/>
      <c r="CP161" s="165"/>
      <c r="CQ161" s="130"/>
      <c r="CR161" s="165"/>
      <c r="CS161" s="130"/>
      <c r="CT161" s="130"/>
      <c r="CU161" s="130"/>
      <c r="CV161" s="130"/>
      <c r="CW161" s="130"/>
      <c r="CX161" s="165"/>
      <c r="CY161" s="130"/>
      <c r="CZ161" s="130"/>
      <c r="DA161" s="130"/>
      <c r="DB161" s="130"/>
      <c r="DC161" s="130"/>
      <c r="DD161" s="130"/>
      <c r="DE161" s="130"/>
      <c r="DF161" s="130"/>
      <c r="DG161" s="130"/>
      <c r="DH161" s="130"/>
    </row>
    <row r="162" spans="1:112" ht="15">
      <c r="A162" s="169" t="s">
        <v>7703</v>
      </c>
      <c r="B162" s="175"/>
      <c r="C162" s="174">
        <v>5</v>
      </c>
      <c r="D162" s="174">
        <v>27</v>
      </c>
      <c r="E162" s="174">
        <v>5</v>
      </c>
      <c r="F162" s="174">
        <v>15</v>
      </c>
      <c r="I162" s="174"/>
      <c r="K162" s="188">
        <v>5</v>
      </c>
      <c r="L162" s="146">
        <v>42430</v>
      </c>
      <c r="M162" s="174">
        <v>7.48</v>
      </c>
      <c r="N162" s="189">
        <v>42580</v>
      </c>
      <c r="S162" s="174">
        <v>20.77</v>
      </c>
      <c r="U162" s="159">
        <v>18.5</v>
      </c>
      <c r="AE162" s="174">
        <v>41.76</v>
      </c>
      <c r="AG162" s="174">
        <v>4.16</v>
      </c>
      <c r="AI162" s="174">
        <v>160</v>
      </c>
      <c r="AJ162" s="160">
        <v>42520</v>
      </c>
      <c r="AK162" s="174"/>
      <c r="AL162" s="174"/>
      <c r="AM162" s="174">
        <v>92</v>
      </c>
      <c r="AN162" s="174"/>
      <c r="AO162" s="174"/>
      <c r="AP162" s="174"/>
      <c r="AR162" s="174"/>
      <c r="AS162" s="174"/>
      <c r="AT162" s="174"/>
      <c r="AU162" s="174"/>
      <c r="AV162" s="174"/>
      <c r="AW162" s="174"/>
      <c r="AX162" s="174"/>
      <c r="AY162" s="175"/>
      <c r="BC162" s="174"/>
      <c r="BD162" s="174"/>
      <c r="BE162" s="174"/>
      <c r="BG162" s="174"/>
      <c r="BI162" s="174"/>
      <c r="BJ162" s="174"/>
      <c r="BK162" s="174"/>
      <c r="BM162" s="174">
        <v>63.408999999999999</v>
      </c>
      <c r="BN162" s="174"/>
      <c r="BO162" s="174"/>
      <c r="BP162" s="174"/>
      <c r="BR162" s="174"/>
      <c r="BS162" s="174">
        <v>49.732999999999997</v>
      </c>
      <c r="BT162" s="174"/>
      <c r="BU162" s="190">
        <v>18.365720748901367</v>
      </c>
      <c r="BV162" s="159"/>
      <c r="BW162" s="174">
        <v>12.583</v>
      </c>
      <c r="BX162" s="159"/>
      <c r="BY162" s="159"/>
      <c r="CB162" s="165"/>
      <c r="CC162" s="174">
        <v>7.8090000000000002</v>
      </c>
      <c r="CD162" s="165"/>
      <c r="CE162" s="174">
        <v>7.4</v>
      </c>
      <c r="CF162" s="165"/>
      <c r="CH162" s="165"/>
      <c r="CJ162" s="165"/>
      <c r="CL162" s="165"/>
      <c r="CN162" s="165"/>
      <c r="CO162" s="130"/>
      <c r="CP162" s="165"/>
      <c r="CQ162" s="130"/>
      <c r="CR162" s="165"/>
      <c r="CS162" s="130"/>
      <c r="CT162" s="130"/>
      <c r="CU162" s="130"/>
      <c r="CV162" s="130"/>
      <c r="CW162" s="130"/>
      <c r="CX162" s="165"/>
      <c r="CY162" s="130"/>
      <c r="CZ162" s="130"/>
      <c r="DA162" s="130"/>
      <c r="DB162" s="130"/>
      <c r="DC162" s="130"/>
      <c r="DD162" s="130"/>
      <c r="DE162" s="130"/>
      <c r="DF162" s="130"/>
      <c r="DG162" s="130"/>
      <c r="DH162" s="130"/>
    </row>
    <row r="163" spans="1:112" ht="15">
      <c r="A163" s="169" t="s">
        <v>7703</v>
      </c>
      <c r="B163" s="175"/>
      <c r="C163" s="174">
        <v>6</v>
      </c>
      <c r="D163" s="174">
        <v>27</v>
      </c>
      <c r="E163" s="174">
        <v>6</v>
      </c>
      <c r="F163" s="174">
        <v>23</v>
      </c>
      <c r="I163" s="174"/>
      <c r="K163" s="188">
        <v>5</v>
      </c>
      <c r="L163" s="146">
        <v>42430</v>
      </c>
      <c r="M163" s="174">
        <v>7.84</v>
      </c>
      <c r="N163" s="189">
        <v>42580</v>
      </c>
      <c r="S163" s="174">
        <v>22.39</v>
      </c>
      <c r="U163" s="159">
        <v>18.5</v>
      </c>
      <c r="AE163" s="174">
        <v>43.71</v>
      </c>
      <c r="AG163" s="174">
        <v>3.93</v>
      </c>
      <c r="AI163" s="174">
        <v>170</v>
      </c>
      <c r="AJ163" s="160">
        <v>42520</v>
      </c>
      <c r="AK163" s="174"/>
      <c r="AL163" s="174"/>
      <c r="AM163" s="174">
        <v>95</v>
      </c>
      <c r="AN163" s="174"/>
      <c r="AO163" s="174"/>
      <c r="AP163" s="174"/>
      <c r="AR163" s="174"/>
      <c r="AS163" s="174"/>
      <c r="AT163" s="174"/>
      <c r="AU163" s="174"/>
      <c r="AV163" s="174"/>
      <c r="AW163" s="174"/>
      <c r="AX163" s="174"/>
      <c r="AY163" s="174"/>
      <c r="BC163" s="174"/>
      <c r="BD163" s="174"/>
      <c r="BE163" s="174"/>
      <c r="BG163" s="174"/>
      <c r="BI163" s="174"/>
      <c r="BJ163" s="174"/>
      <c r="BK163" s="174"/>
      <c r="BM163" s="174">
        <v>64.233999999999995</v>
      </c>
      <c r="BN163" s="174"/>
      <c r="BO163" s="174"/>
      <c r="BP163" s="174"/>
      <c r="BR163" s="174"/>
      <c r="BS163" s="174">
        <v>51.228000000000002</v>
      </c>
      <c r="BT163" s="174"/>
      <c r="BU163" s="190">
        <v>17.810998916625977</v>
      </c>
      <c r="BV163" s="159"/>
      <c r="BW163" s="174">
        <v>9.0510000000000002</v>
      </c>
      <c r="BX163" s="159"/>
      <c r="BY163" s="159"/>
      <c r="CB163" s="165"/>
      <c r="CC163" s="174">
        <v>7.9390000000000001</v>
      </c>
      <c r="CD163" s="165"/>
      <c r="CE163" s="174">
        <v>7.4</v>
      </c>
      <c r="CF163" s="165"/>
      <c r="CH163" s="165"/>
      <c r="CJ163" s="165"/>
      <c r="CL163" s="165"/>
      <c r="CN163" s="165"/>
      <c r="CO163" s="130"/>
      <c r="CP163" s="165"/>
      <c r="CQ163" s="130"/>
      <c r="CR163" s="165"/>
      <c r="CS163" s="130"/>
      <c r="CT163" s="130"/>
      <c r="CU163" s="130"/>
      <c r="CV163" s="130"/>
      <c r="CW163" s="130"/>
      <c r="CX163" s="165"/>
      <c r="CY163" s="130"/>
      <c r="CZ163" s="130"/>
      <c r="DA163" s="130"/>
      <c r="DB163" s="130"/>
      <c r="DC163" s="130"/>
      <c r="DD163" s="130"/>
      <c r="DE163" s="130"/>
      <c r="DF163" s="130"/>
      <c r="DG163" s="130"/>
      <c r="DH163" s="130"/>
    </row>
    <row r="164" spans="1:112" ht="15">
      <c r="A164" s="169" t="s">
        <v>7437</v>
      </c>
      <c r="B164" s="175"/>
      <c r="C164" s="174">
        <v>1</v>
      </c>
      <c r="D164" s="174">
        <v>28</v>
      </c>
      <c r="E164" s="174">
        <v>1</v>
      </c>
      <c r="F164" s="174">
        <v>16</v>
      </c>
      <c r="I164" s="174"/>
      <c r="K164" s="188">
        <v>7</v>
      </c>
      <c r="L164" s="146">
        <v>42430</v>
      </c>
      <c r="M164" s="174">
        <v>8.1300000000000008</v>
      </c>
      <c r="N164" s="189">
        <v>42580</v>
      </c>
      <c r="S164" s="174">
        <v>22.11</v>
      </c>
      <c r="U164" s="159">
        <v>18.5</v>
      </c>
      <c r="AE164" s="174">
        <v>45.14</v>
      </c>
      <c r="AG164" s="174">
        <v>4.5</v>
      </c>
      <c r="AI164" s="174">
        <v>190</v>
      </c>
      <c r="AJ164" s="160">
        <v>42520</v>
      </c>
      <c r="AK164" s="174"/>
      <c r="AL164" s="174"/>
      <c r="AM164" s="174">
        <v>98</v>
      </c>
      <c r="AN164" s="174"/>
      <c r="AO164" s="174"/>
      <c r="AP164" s="174"/>
      <c r="AR164" s="174"/>
      <c r="AS164" s="174"/>
      <c r="AT164" s="174"/>
      <c r="AU164" s="174"/>
      <c r="AV164" s="174"/>
      <c r="AW164" s="174"/>
      <c r="AX164" s="174"/>
      <c r="AY164" s="174"/>
      <c r="BC164" s="174"/>
      <c r="BD164" s="174"/>
      <c r="BE164" s="174"/>
      <c r="BG164" s="174"/>
      <c r="BI164" s="174"/>
      <c r="BJ164" s="174"/>
      <c r="BK164" s="174"/>
      <c r="BM164" s="174">
        <v>64.486000000000004</v>
      </c>
      <c r="BN164" s="174"/>
      <c r="BO164" s="174"/>
      <c r="BP164" s="174"/>
      <c r="BR164" s="174"/>
      <c r="BS164" s="174">
        <v>48.984000000000002</v>
      </c>
      <c r="BT164" s="174"/>
      <c r="BU164" s="190">
        <v>19.043807983398437</v>
      </c>
      <c r="BV164" s="159"/>
      <c r="BW164" s="174">
        <v>14.912000000000001</v>
      </c>
      <c r="BX164" s="159"/>
      <c r="BY164" s="159"/>
      <c r="CB164" s="165"/>
      <c r="CC164" s="174">
        <v>8.3079999999999998</v>
      </c>
      <c r="CD164" s="165"/>
      <c r="CE164" s="174">
        <v>8</v>
      </c>
      <c r="CF164" s="165"/>
      <c r="CH164" s="165"/>
      <c r="CJ164" s="165"/>
      <c r="CL164" s="165"/>
      <c r="CN164" s="165"/>
      <c r="CO164" s="130"/>
      <c r="CP164" s="165"/>
      <c r="CQ164" s="130"/>
      <c r="CR164" s="165"/>
      <c r="CS164" s="130"/>
      <c r="CT164" s="130"/>
      <c r="CU164" s="130"/>
      <c r="CV164" s="130"/>
      <c r="CW164" s="130"/>
      <c r="CX164" s="165"/>
      <c r="CY164" s="130"/>
      <c r="CZ164" s="130"/>
      <c r="DA164" s="130"/>
      <c r="DB164" s="130"/>
      <c r="DC164" s="130"/>
      <c r="DD164" s="130"/>
      <c r="DE164" s="130"/>
      <c r="DF164" s="130"/>
      <c r="DG164" s="130"/>
      <c r="DH164" s="130"/>
    </row>
    <row r="165" spans="1:112" ht="15">
      <c r="A165" s="169" t="s">
        <v>7437</v>
      </c>
      <c r="B165" s="175"/>
      <c r="C165" s="174">
        <v>2</v>
      </c>
      <c r="D165" s="174">
        <v>28</v>
      </c>
      <c r="E165" s="174">
        <v>2</v>
      </c>
      <c r="F165" s="174">
        <v>23</v>
      </c>
      <c r="I165" s="174"/>
      <c r="K165" s="188">
        <v>8</v>
      </c>
      <c r="L165" s="146">
        <v>42430</v>
      </c>
      <c r="M165" s="174">
        <v>7.56</v>
      </c>
      <c r="N165" s="189">
        <v>42580</v>
      </c>
      <c r="S165" s="174">
        <v>20.440000000000001</v>
      </c>
      <c r="U165" s="159">
        <v>18.5</v>
      </c>
      <c r="AE165" s="174">
        <v>42.09</v>
      </c>
      <c r="AG165" s="174">
        <v>4.1100000000000003</v>
      </c>
      <c r="AI165" s="174">
        <v>180</v>
      </c>
      <c r="AJ165" s="160">
        <v>42520</v>
      </c>
      <c r="AK165" s="174"/>
      <c r="AL165" s="174"/>
      <c r="AM165" s="174">
        <v>98</v>
      </c>
      <c r="AN165" s="174"/>
      <c r="AO165" s="174"/>
      <c r="AP165" s="174"/>
      <c r="AR165" s="174"/>
      <c r="AS165" s="174"/>
      <c r="AT165" s="174"/>
      <c r="AU165" s="174"/>
      <c r="AV165" s="174"/>
      <c r="AW165" s="174"/>
      <c r="AX165" s="174"/>
      <c r="AY165" s="174"/>
      <c r="BC165" s="174"/>
      <c r="BD165" s="174"/>
      <c r="BE165" s="174"/>
      <c r="BG165" s="174"/>
      <c r="BI165" s="174"/>
      <c r="BJ165" s="174"/>
      <c r="BK165" s="174"/>
      <c r="BM165" s="174">
        <v>64.376000000000005</v>
      </c>
      <c r="BN165" s="174"/>
      <c r="BO165" s="174"/>
      <c r="BP165" s="174"/>
      <c r="BR165" s="174"/>
      <c r="BS165" s="174">
        <v>48.573</v>
      </c>
      <c r="BT165" s="174"/>
      <c r="BU165" s="190">
        <v>19.497451782226562</v>
      </c>
      <c r="BV165" s="159"/>
      <c r="BW165" s="174">
        <v>14.359</v>
      </c>
      <c r="BX165" s="159"/>
      <c r="BY165" s="159"/>
      <c r="CB165" s="165"/>
      <c r="CC165" s="174">
        <v>8.0679999999999996</v>
      </c>
      <c r="CD165" s="165"/>
      <c r="CE165" s="174">
        <v>7.7</v>
      </c>
      <c r="CF165" s="165"/>
      <c r="CH165" s="165"/>
      <c r="CJ165" s="165"/>
      <c r="CL165" s="165"/>
      <c r="CN165" s="165"/>
      <c r="CO165" s="130"/>
      <c r="CP165" s="165"/>
      <c r="CQ165" s="130"/>
      <c r="CR165" s="165"/>
      <c r="CS165" s="130"/>
      <c r="CT165" s="130"/>
      <c r="CU165" s="130"/>
      <c r="CV165" s="130"/>
      <c r="CW165" s="130"/>
      <c r="CX165" s="165"/>
      <c r="CY165" s="130"/>
      <c r="CZ165" s="130"/>
      <c r="DA165" s="130"/>
      <c r="DB165" s="130"/>
      <c r="DC165" s="130"/>
      <c r="DD165" s="130"/>
      <c r="DE165" s="130"/>
      <c r="DF165" s="130"/>
      <c r="DG165" s="130"/>
      <c r="DH165" s="130"/>
    </row>
    <row r="166" spans="1:112" ht="15">
      <c r="A166" s="169" t="s">
        <v>7437</v>
      </c>
      <c r="B166" s="175"/>
      <c r="C166" s="174">
        <v>3</v>
      </c>
      <c r="D166" s="174">
        <v>28</v>
      </c>
      <c r="E166" s="174">
        <v>3</v>
      </c>
      <c r="F166" s="174">
        <v>24</v>
      </c>
      <c r="I166" s="174"/>
      <c r="K166" s="188">
        <v>5</v>
      </c>
      <c r="L166" s="146">
        <v>42430</v>
      </c>
      <c r="M166" s="174">
        <v>7.52</v>
      </c>
      <c r="N166" s="189">
        <v>42580</v>
      </c>
      <c r="S166" s="174">
        <v>19.93</v>
      </c>
      <c r="U166" s="159">
        <v>18.5</v>
      </c>
      <c r="AE166" s="174">
        <v>41.79</v>
      </c>
      <c r="AG166" s="174">
        <v>4.13</v>
      </c>
      <c r="AI166" s="174">
        <v>170</v>
      </c>
      <c r="AJ166" s="160">
        <v>42520</v>
      </c>
      <c r="AK166" s="174"/>
      <c r="AL166" s="174"/>
      <c r="AM166" s="174">
        <v>100</v>
      </c>
      <c r="AN166" s="174"/>
      <c r="AO166" s="174"/>
      <c r="AP166" s="174"/>
      <c r="AR166" s="174"/>
      <c r="AS166" s="174"/>
      <c r="AT166" s="174"/>
      <c r="AU166" s="174"/>
      <c r="AV166" s="174"/>
      <c r="AW166" s="174"/>
      <c r="AX166" s="174"/>
      <c r="AY166" s="174"/>
      <c r="BC166" s="174"/>
      <c r="BD166" s="174"/>
      <c r="BE166" s="174"/>
      <c r="BG166" s="174"/>
      <c r="BI166" s="174"/>
      <c r="BJ166" s="174"/>
      <c r="BK166" s="174"/>
      <c r="BM166" s="174">
        <v>63.57</v>
      </c>
      <c r="BN166" s="174"/>
      <c r="BO166" s="174"/>
      <c r="BP166" s="174"/>
      <c r="BR166" s="174"/>
      <c r="BS166" s="174">
        <v>47.698</v>
      </c>
      <c r="BT166" s="174"/>
      <c r="BU166" s="190">
        <v>19.567329406738281</v>
      </c>
      <c r="BV166" s="159"/>
      <c r="BW166" s="174">
        <v>12.599</v>
      </c>
      <c r="BX166" s="159"/>
      <c r="BY166" s="159"/>
      <c r="CB166" s="165"/>
      <c r="CC166" s="174">
        <v>8.2390000000000008</v>
      </c>
      <c r="CD166" s="165"/>
      <c r="CE166" s="174">
        <v>7.8</v>
      </c>
      <c r="CF166" s="165"/>
      <c r="CH166" s="165"/>
      <c r="CJ166" s="165"/>
      <c r="CL166" s="165"/>
      <c r="CN166" s="165"/>
      <c r="CO166" s="130"/>
      <c r="CP166" s="165"/>
      <c r="CQ166" s="130"/>
      <c r="CR166" s="165"/>
      <c r="CS166" s="130"/>
      <c r="CT166" s="130"/>
      <c r="CU166" s="130"/>
      <c r="CV166" s="130"/>
      <c r="CW166" s="130"/>
      <c r="CX166" s="165"/>
      <c r="CY166" s="130"/>
      <c r="CZ166" s="130"/>
      <c r="DA166" s="130"/>
      <c r="DB166" s="130"/>
      <c r="DC166" s="130"/>
      <c r="DD166" s="130"/>
      <c r="DE166" s="130"/>
      <c r="DF166" s="130"/>
      <c r="DG166" s="130"/>
      <c r="DH166" s="130"/>
    </row>
    <row r="167" spans="1:112" ht="15">
      <c r="A167" s="169" t="s">
        <v>7437</v>
      </c>
      <c r="B167" s="175"/>
      <c r="C167" s="174">
        <v>4</v>
      </c>
      <c r="D167" s="174">
        <v>28</v>
      </c>
      <c r="E167" s="174">
        <v>4</v>
      </c>
      <c r="F167" s="174">
        <v>17</v>
      </c>
      <c r="I167" s="174"/>
      <c r="K167" s="188">
        <v>7</v>
      </c>
      <c r="L167" s="146">
        <v>42430</v>
      </c>
      <c r="M167" s="174">
        <v>7.51</v>
      </c>
      <c r="N167" s="189">
        <v>42580</v>
      </c>
      <c r="S167" s="174">
        <v>20.61</v>
      </c>
      <c r="U167" s="159">
        <v>18.5</v>
      </c>
      <c r="AE167" s="174">
        <v>41.89</v>
      </c>
      <c r="AG167" s="174">
        <v>4.2300000000000004</v>
      </c>
      <c r="AI167" s="174">
        <v>175</v>
      </c>
      <c r="AJ167" s="160">
        <v>42520</v>
      </c>
      <c r="AK167" s="174"/>
      <c r="AL167" s="174"/>
      <c r="AM167" s="174">
        <v>92</v>
      </c>
      <c r="AN167" s="174"/>
      <c r="AO167" s="174"/>
      <c r="AP167" s="174"/>
      <c r="AR167" s="174"/>
      <c r="AS167" s="174"/>
      <c r="AT167" s="174"/>
      <c r="AU167" s="174"/>
      <c r="AV167" s="174"/>
      <c r="AW167" s="174"/>
      <c r="AX167" s="174"/>
      <c r="AY167" s="174"/>
      <c r="BC167" s="174"/>
      <c r="BD167" s="174"/>
      <c r="BE167" s="174"/>
      <c r="BG167" s="174"/>
      <c r="BI167" s="174"/>
      <c r="BJ167" s="174"/>
      <c r="BK167" s="174"/>
      <c r="BM167" s="174">
        <v>64.89</v>
      </c>
      <c r="BN167" s="174"/>
      <c r="BO167" s="174"/>
      <c r="BP167" s="174"/>
      <c r="BR167" s="174"/>
      <c r="BS167" s="174">
        <v>49.201999999999998</v>
      </c>
      <c r="BT167" s="174"/>
      <c r="BU167" s="190">
        <v>17.908086776733398</v>
      </c>
      <c r="BV167" s="159"/>
      <c r="BW167" s="174">
        <v>14.833</v>
      </c>
      <c r="BX167" s="159"/>
      <c r="BY167" s="159"/>
      <c r="CB167" s="165"/>
      <c r="CC167" s="174">
        <v>7.8920000000000003</v>
      </c>
      <c r="CD167" s="165"/>
      <c r="CE167" s="174">
        <v>7.3</v>
      </c>
      <c r="CF167" s="165"/>
      <c r="CH167" s="165"/>
      <c r="CJ167" s="165"/>
      <c r="CL167" s="165"/>
      <c r="CN167" s="165"/>
      <c r="CO167" s="130"/>
      <c r="CP167" s="165"/>
      <c r="CQ167" s="130"/>
      <c r="CR167" s="165"/>
      <c r="CS167" s="130"/>
      <c r="CT167" s="130"/>
      <c r="CU167" s="130"/>
      <c r="CV167" s="130"/>
      <c r="CW167" s="130"/>
      <c r="CX167" s="165"/>
      <c r="CY167" s="130"/>
      <c r="CZ167" s="130"/>
      <c r="DA167" s="130"/>
      <c r="DB167" s="130"/>
      <c r="DC167" s="130"/>
      <c r="DD167" s="130"/>
      <c r="DE167" s="130"/>
      <c r="DF167" s="130"/>
      <c r="DG167" s="130"/>
      <c r="DH167" s="130"/>
    </row>
    <row r="168" spans="1:112" ht="15">
      <c r="A168" s="169" t="s">
        <v>7437</v>
      </c>
      <c r="B168" s="175"/>
      <c r="C168" s="174">
        <v>5</v>
      </c>
      <c r="D168" s="174">
        <v>28</v>
      </c>
      <c r="E168" s="174">
        <v>5</v>
      </c>
      <c r="F168" s="174">
        <v>30</v>
      </c>
      <c r="I168" s="174"/>
      <c r="K168" s="188">
        <v>7</v>
      </c>
      <c r="L168" s="146">
        <v>42430</v>
      </c>
      <c r="M168" s="174">
        <v>7.32</v>
      </c>
      <c r="N168" s="189">
        <v>42580</v>
      </c>
      <c r="S168" s="174">
        <v>20.62</v>
      </c>
      <c r="U168" s="159">
        <v>18.5</v>
      </c>
      <c r="AE168" s="174">
        <v>40.76</v>
      </c>
      <c r="AG168" s="174">
        <v>4.32</v>
      </c>
      <c r="AI168" s="174">
        <v>160</v>
      </c>
      <c r="AJ168" s="160">
        <v>42520</v>
      </c>
      <c r="AK168" s="174"/>
      <c r="AL168" s="174"/>
      <c r="AM168" s="174">
        <v>98</v>
      </c>
      <c r="AN168" s="174"/>
      <c r="AO168" s="174"/>
      <c r="AP168" s="174"/>
      <c r="AR168" s="174"/>
      <c r="AS168" s="174"/>
      <c r="AT168" s="174"/>
      <c r="AU168" s="174"/>
      <c r="AV168" s="174"/>
      <c r="AW168" s="174"/>
      <c r="AX168" s="174"/>
      <c r="AY168" s="174"/>
      <c r="BC168" s="174"/>
      <c r="BD168" s="174"/>
      <c r="BE168" s="174"/>
      <c r="BG168" s="174"/>
      <c r="BI168" s="174"/>
      <c r="BJ168" s="174"/>
      <c r="BK168" s="174"/>
      <c r="BM168" s="174">
        <v>65.290999999999997</v>
      </c>
      <c r="BN168" s="174"/>
      <c r="BO168" s="174"/>
      <c r="BP168" s="174"/>
      <c r="BR168" s="174"/>
      <c r="BS168" s="174">
        <v>50.594999999999999</v>
      </c>
      <c r="BT168" s="174"/>
      <c r="BU168" s="190">
        <v>16.880542755126953</v>
      </c>
      <c r="BV168" s="159"/>
      <c r="BW168" s="174">
        <v>14.023</v>
      </c>
      <c r="BX168" s="159"/>
      <c r="BY168" s="159"/>
      <c r="CB168" s="165"/>
      <c r="CC168" s="174">
        <v>8.048</v>
      </c>
      <c r="CD168" s="165"/>
      <c r="CE168" s="174">
        <v>7.5</v>
      </c>
      <c r="CF168" s="165"/>
      <c r="CH168" s="165"/>
      <c r="CJ168" s="165"/>
      <c r="CL168" s="165"/>
      <c r="CN168" s="165"/>
      <c r="CO168" s="130"/>
      <c r="CP168" s="165"/>
      <c r="CQ168" s="130"/>
      <c r="CR168" s="165"/>
      <c r="CS168" s="130"/>
      <c r="CT168" s="130"/>
      <c r="CU168" s="130"/>
      <c r="CV168" s="130"/>
      <c r="CW168" s="130"/>
      <c r="CX168" s="165"/>
      <c r="CY168" s="130"/>
      <c r="CZ168" s="130"/>
      <c r="DA168" s="130"/>
      <c r="DB168" s="130"/>
      <c r="DC168" s="130"/>
      <c r="DD168" s="130"/>
      <c r="DE168" s="130"/>
      <c r="DF168" s="130"/>
      <c r="DG168" s="130"/>
      <c r="DH168" s="130"/>
    </row>
    <row r="169" spans="1:112" ht="15">
      <c r="A169" s="169" t="s">
        <v>7437</v>
      </c>
      <c r="B169" s="175"/>
      <c r="C169" s="174">
        <v>6</v>
      </c>
      <c r="D169" s="174">
        <v>28</v>
      </c>
      <c r="E169" s="174">
        <v>6</v>
      </c>
      <c r="F169" s="174">
        <v>21</v>
      </c>
      <c r="I169" s="174"/>
      <c r="K169" s="188">
        <v>7</v>
      </c>
      <c r="L169" s="146">
        <v>42430</v>
      </c>
      <c r="M169" s="174">
        <v>7.19</v>
      </c>
      <c r="N169" s="189">
        <v>42580</v>
      </c>
      <c r="S169" s="174">
        <v>19.97</v>
      </c>
      <c r="U169" s="159">
        <v>18.5</v>
      </c>
      <c r="AE169" s="174">
        <v>40.18</v>
      </c>
      <c r="AG169" s="174">
        <v>3.92</v>
      </c>
      <c r="AI169" s="174">
        <v>170</v>
      </c>
      <c r="AJ169" s="160">
        <v>42520</v>
      </c>
      <c r="AK169" s="174"/>
      <c r="AL169" s="174"/>
      <c r="AM169" s="174">
        <v>100</v>
      </c>
      <c r="AN169" s="174"/>
      <c r="AO169" s="174"/>
      <c r="AP169" s="174"/>
      <c r="AR169" s="174"/>
      <c r="AS169" s="174"/>
      <c r="AT169" s="174"/>
      <c r="AU169" s="174"/>
      <c r="AV169" s="174"/>
      <c r="AW169" s="174"/>
      <c r="AX169" s="174"/>
      <c r="AY169" s="174"/>
      <c r="BC169" s="174"/>
      <c r="BD169" s="174"/>
      <c r="BE169" s="174"/>
      <c r="BG169" s="174"/>
      <c r="BI169" s="174"/>
      <c r="BJ169" s="174"/>
      <c r="BK169" s="174"/>
      <c r="BM169" s="174">
        <v>64.850999999999999</v>
      </c>
      <c r="BN169" s="174"/>
      <c r="BO169" s="174"/>
      <c r="BP169" s="174"/>
      <c r="BR169" s="174"/>
      <c r="BS169" s="174">
        <v>49.689</v>
      </c>
      <c r="BT169" s="174"/>
      <c r="BU169" s="190">
        <v>17.404895782470703</v>
      </c>
      <c r="BV169" s="159"/>
      <c r="BW169" s="174">
        <v>13.601000000000001</v>
      </c>
      <c r="BX169" s="159"/>
      <c r="BY169" s="159"/>
      <c r="CB169" s="165"/>
      <c r="CC169" s="174">
        <v>7.7080000000000002</v>
      </c>
      <c r="CD169" s="165"/>
      <c r="CE169" s="174">
        <v>7.3</v>
      </c>
      <c r="CF169" s="165"/>
      <c r="CH169" s="165"/>
      <c r="CJ169" s="165"/>
      <c r="CL169" s="165"/>
      <c r="CN169" s="165"/>
      <c r="CO169" s="130"/>
      <c r="CP169" s="165"/>
      <c r="CQ169" s="130"/>
      <c r="CR169" s="165"/>
      <c r="CS169" s="130"/>
      <c r="CT169" s="130"/>
      <c r="CU169" s="130"/>
      <c r="CV169" s="130"/>
      <c r="CW169" s="130"/>
      <c r="CX169" s="165"/>
      <c r="CY169" s="130"/>
      <c r="CZ169" s="130"/>
      <c r="DA169" s="130"/>
      <c r="DB169" s="130"/>
      <c r="DC169" s="130"/>
      <c r="DD169" s="130"/>
      <c r="DE169" s="130"/>
      <c r="DF169" s="130"/>
      <c r="DG169" s="130"/>
      <c r="DH169" s="130"/>
    </row>
    <row r="170" spans="1:112" ht="15">
      <c r="A170" s="169" t="s">
        <v>7704</v>
      </c>
      <c r="B170" s="175"/>
      <c r="C170" s="174">
        <v>1</v>
      </c>
      <c r="D170" s="174">
        <v>29</v>
      </c>
      <c r="E170" s="174">
        <v>1</v>
      </c>
      <c r="F170" s="174">
        <v>32</v>
      </c>
      <c r="I170" s="174"/>
      <c r="K170" s="188">
        <v>8</v>
      </c>
      <c r="L170" s="146">
        <v>42430</v>
      </c>
      <c r="M170" s="174">
        <v>6.29</v>
      </c>
      <c r="N170" s="189">
        <v>42580</v>
      </c>
      <c r="S170" s="174">
        <v>16.66</v>
      </c>
      <c r="U170" s="159">
        <v>18.5</v>
      </c>
      <c r="AE170" s="174">
        <v>35.15</v>
      </c>
      <c r="AG170" s="174">
        <v>3.98</v>
      </c>
      <c r="AI170" s="174">
        <v>170</v>
      </c>
      <c r="AJ170" s="160">
        <v>42520</v>
      </c>
      <c r="AK170" s="174"/>
      <c r="AL170" s="174"/>
      <c r="AM170" s="174">
        <v>95</v>
      </c>
      <c r="AN170" s="174"/>
      <c r="AO170" s="174"/>
      <c r="AP170" s="174"/>
      <c r="AR170" s="174"/>
      <c r="AS170" s="174"/>
      <c r="AT170" s="174"/>
      <c r="AU170" s="174"/>
      <c r="AV170" s="174"/>
      <c r="AW170" s="174"/>
      <c r="AX170" s="174"/>
      <c r="AY170" s="174"/>
      <c r="BC170" s="174"/>
      <c r="BD170" s="174"/>
      <c r="BE170" s="174"/>
      <c r="BG170" s="174"/>
      <c r="BI170" s="174"/>
      <c r="BJ170" s="174"/>
      <c r="BK170" s="174"/>
      <c r="BM170" s="174">
        <v>63.139000000000003</v>
      </c>
      <c r="BN170" s="174"/>
      <c r="BO170" s="174"/>
      <c r="BP170" s="174"/>
      <c r="BR170" s="174"/>
      <c r="BS170" s="174">
        <v>47.399000000000001</v>
      </c>
      <c r="BT170" s="174"/>
      <c r="BU170" s="190">
        <v>19.371467590332031</v>
      </c>
      <c r="BV170" s="159"/>
      <c r="BW170" s="174">
        <v>13.794</v>
      </c>
      <c r="BX170" s="159"/>
      <c r="BY170" s="159"/>
      <c r="CB170" s="165"/>
      <c r="CC170" s="174">
        <v>7.7119999999999997</v>
      </c>
      <c r="CD170" s="165"/>
      <c r="CE170" s="174">
        <v>7.4</v>
      </c>
      <c r="CF170" s="165"/>
      <c r="CH170" s="165"/>
      <c r="CJ170" s="165"/>
      <c r="CL170" s="165"/>
      <c r="CN170" s="165"/>
      <c r="CO170" s="130"/>
      <c r="CP170" s="165"/>
      <c r="CQ170" s="130"/>
      <c r="CR170" s="165"/>
      <c r="CS170" s="130"/>
      <c r="CT170" s="130"/>
      <c r="CU170" s="130"/>
      <c r="CV170" s="130"/>
      <c r="CW170" s="130"/>
      <c r="CX170" s="165"/>
      <c r="CY170" s="130"/>
      <c r="CZ170" s="130"/>
      <c r="DA170" s="130"/>
      <c r="DB170" s="130"/>
      <c r="DC170" s="130"/>
      <c r="DD170" s="130"/>
      <c r="DE170" s="130"/>
      <c r="DF170" s="130"/>
      <c r="DG170" s="130"/>
      <c r="DH170" s="130"/>
    </row>
    <row r="171" spans="1:112" ht="15">
      <c r="A171" s="169" t="s">
        <v>7704</v>
      </c>
      <c r="B171" s="175"/>
      <c r="C171" s="174">
        <v>2</v>
      </c>
      <c r="D171" s="174">
        <v>29</v>
      </c>
      <c r="E171" s="174">
        <v>2</v>
      </c>
      <c r="F171" s="174">
        <v>2</v>
      </c>
      <c r="I171" s="174"/>
      <c r="K171" s="188">
        <v>7</v>
      </c>
      <c r="L171" s="146">
        <v>42430</v>
      </c>
      <c r="M171" s="174">
        <v>6.69</v>
      </c>
      <c r="N171" s="189">
        <v>42580</v>
      </c>
      <c r="S171" s="174">
        <v>17.760000000000002</v>
      </c>
      <c r="U171" s="159">
        <v>18.5</v>
      </c>
      <c r="AE171" s="174">
        <v>37.1</v>
      </c>
      <c r="AG171" s="174">
        <v>4.54</v>
      </c>
      <c r="AI171" s="174">
        <v>170</v>
      </c>
      <c r="AJ171" s="160">
        <v>42520</v>
      </c>
      <c r="AK171" s="174"/>
      <c r="AL171" s="174"/>
      <c r="AM171" s="174">
        <v>92</v>
      </c>
      <c r="AN171" s="174"/>
      <c r="AO171" s="174"/>
      <c r="AP171" s="174"/>
      <c r="AR171" s="174"/>
      <c r="AS171" s="174"/>
      <c r="AT171" s="174"/>
      <c r="AU171" s="174"/>
      <c r="AV171" s="174"/>
      <c r="AW171" s="174"/>
      <c r="AX171" s="174"/>
      <c r="AY171" s="175"/>
      <c r="BC171" s="174"/>
      <c r="BD171" s="174"/>
      <c r="BE171" s="174"/>
      <c r="BG171" s="174"/>
      <c r="BI171" s="174"/>
      <c r="BJ171" s="174"/>
      <c r="BK171" s="174"/>
      <c r="BM171" s="174">
        <v>62.146000000000001</v>
      </c>
      <c r="BN171" s="174"/>
      <c r="BO171" s="174"/>
      <c r="BP171" s="174"/>
      <c r="BR171" s="174"/>
      <c r="BS171" s="174">
        <v>47.872</v>
      </c>
      <c r="BT171" s="174"/>
      <c r="BU171" s="190">
        <v>19.80695915222168</v>
      </c>
      <c r="BV171" s="159"/>
      <c r="BW171" s="174">
        <v>12.035</v>
      </c>
      <c r="BX171" s="159"/>
      <c r="BY171" s="159"/>
      <c r="CB171" s="165"/>
      <c r="CC171" s="174">
        <v>8.4060000000000006</v>
      </c>
      <c r="CD171" s="165"/>
      <c r="CE171" s="174">
        <v>7.9</v>
      </c>
      <c r="CF171" s="165"/>
      <c r="CH171" s="165"/>
      <c r="CJ171" s="165"/>
      <c r="CL171" s="165"/>
      <c r="CN171" s="165"/>
      <c r="CO171" s="130"/>
      <c r="CP171" s="165"/>
      <c r="CQ171" s="130"/>
      <c r="CR171" s="165"/>
      <c r="CS171" s="130"/>
      <c r="CT171" s="130"/>
      <c r="CU171" s="130"/>
      <c r="CV171" s="130"/>
      <c r="CW171" s="130"/>
      <c r="CX171" s="165"/>
      <c r="CY171" s="130"/>
      <c r="CZ171" s="130"/>
      <c r="DA171" s="130"/>
      <c r="DB171" s="130"/>
      <c r="DC171" s="130"/>
      <c r="DD171" s="130"/>
      <c r="DE171" s="130"/>
      <c r="DF171" s="130"/>
      <c r="DG171" s="130"/>
      <c r="DH171" s="130"/>
    </row>
    <row r="172" spans="1:112" ht="15">
      <c r="A172" s="169" t="s">
        <v>7704</v>
      </c>
      <c r="B172" s="175"/>
      <c r="C172" s="174">
        <v>3</v>
      </c>
      <c r="D172" s="174">
        <v>29</v>
      </c>
      <c r="E172" s="174">
        <v>3</v>
      </c>
      <c r="F172" s="174">
        <v>27</v>
      </c>
      <c r="I172" s="174"/>
      <c r="K172" s="188">
        <v>5</v>
      </c>
      <c r="L172" s="146">
        <v>42430</v>
      </c>
      <c r="M172" s="174">
        <v>6.85</v>
      </c>
      <c r="N172" s="189">
        <v>42580</v>
      </c>
      <c r="S172" s="174">
        <v>18.78</v>
      </c>
      <c r="U172" s="159">
        <v>18.5</v>
      </c>
      <c r="AE172" s="174">
        <v>38.24</v>
      </c>
      <c r="AG172" s="174">
        <v>3.68</v>
      </c>
      <c r="AI172" s="174">
        <v>180</v>
      </c>
      <c r="AJ172" s="160">
        <v>42520</v>
      </c>
      <c r="AK172" s="174"/>
      <c r="AL172" s="174"/>
      <c r="AM172" s="174">
        <v>95</v>
      </c>
      <c r="AN172" s="174"/>
      <c r="AO172" s="174"/>
      <c r="AP172" s="174"/>
      <c r="AR172" s="174"/>
      <c r="AS172" s="174"/>
      <c r="AT172" s="174"/>
      <c r="AU172" s="174"/>
      <c r="AV172" s="174"/>
      <c r="AW172" s="174"/>
      <c r="AX172" s="174"/>
      <c r="AY172" s="174"/>
      <c r="BC172" s="174"/>
      <c r="BD172" s="174"/>
      <c r="BE172" s="174"/>
      <c r="BG172" s="174"/>
      <c r="BI172" s="174"/>
      <c r="BJ172" s="174"/>
      <c r="BK172" s="174"/>
      <c r="BM172" s="174">
        <v>66.251999999999995</v>
      </c>
      <c r="BN172" s="174"/>
      <c r="BO172" s="174"/>
      <c r="BP172" s="174"/>
      <c r="BR172" s="174"/>
      <c r="BS172" s="174">
        <v>49.100999999999999</v>
      </c>
      <c r="BT172" s="174"/>
      <c r="BU172" s="190">
        <v>18.928617477416992</v>
      </c>
      <c r="BV172" s="159"/>
      <c r="BW172" s="174">
        <v>12.792</v>
      </c>
      <c r="BX172" s="159"/>
      <c r="BY172" s="159"/>
      <c r="CB172" s="165"/>
      <c r="CC172" s="174">
        <v>7.8079999999999998</v>
      </c>
      <c r="CD172" s="165"/>
      <c r="CE172" s="174">
        <v>7.8</v>
      </c>
      <c r="CF172" s="165"/>
      <c r="CH172" s="165"/>
      <c r="CJ172" s="165"/>
      <c r="CL172" s="165"/>
      <c r="CN172" s="165"/>
      <c r="CO172" s="130"/>
      <c r="CP172" s="165"/>
      <c r="CQ172" s="130"/>
      <c r="CR172" s="165"/>
      <c r="CS172" s="130"/>
      <c r="CT172" s="130"/>
      <c r="CU172" s="130"/>
      <c r="CV172" s="130"/>
      <c r="CW172" s="130"/>
      <c r="CX172" s="165"/>
      <c r="CY172" s="130"/>
      <c r="CZ172" s="130"/>
      <c r="DA172" s="130"/>
      <c r="DB172" s="130"/>
      <c r="DC172" s="130"/>
      <c r="DD172" s="130"/>
      <c r="DE172" s="130"/>
      <c r="DF172" s="130"/>
      <c r="DG172" s="130"/>
      <c r="DH172" s="130"/>
    </row>
    <row r="173" spans="1:112" ht="15">
      <c r="A173" s="169" t="s">
        <v>7704</v>
      </c>
      <c r="B173" s="175"/>
      <c r="C173" s="174">
        <v>4</v>
      </c>
      <c r="D173" s="174">
        <v>29</v>
      </c>
      <c r="E173" s="174">
        <v>4</v>
      </c>
      <c r="F173" s="174">
        <v>15</v>
      </c>
      <c r="I173" s="174"/>
      <c r="K173" s="188">
        <v>3</v>
      </c>
      <c r="L173" s="146">
        <v>42430</v>
      </c>
      <c r="M173" s="174">
        <v>5.9</v>
      </c>
      <c r="N173" s="189">
        <v>42580</v>
      </c>
      <c r="S173" s="174">
        <v>16.13</v>
      </c>
      <c r="U173" s="159">
        <v>18.5</v>
      </c>
      <c r="AE173" s="174">
        <v>33.04</v>
      </c>
      <c r="AG173" s="174">
        <v>4.5599999999999996</v>
      </c>
      <c r="AI173" s="174">
        <v>150</v>
      </c>
      <c r="AJ173" s="160">
        <v>42520</v>
      </c>
      <c r="AK173" s="174"/>
      <c r="AL173" s="174"/>
      <c r="AM173" s="174">
        <v>92</v>
      </c>
      <c r="AN173" s="174"/>
      <c r="AO173" s="174"/>
      <c r="AP173" s="174"/>
      <c r="AR173" s="174"/>
      <c r="AS173" s="174"/>
      <c r="AT173" s="174"/>
      <c r="AU173" s="174"/>
      <c r="AV173" s="174"/>
      <c r="AW173" s="174"/>
      <c r="AX173" s="174"/>
      <c r="AY173" s="175"/>
      <c r="BC173" s="174"/>
      <c r="BD173" s="174"/>
      <c r="BE173" s="174"/>
      <c r="BG173" s="174"/>
      <c r="BI173" s="174"/>
      <c r="BJ173" s="174"/>
      <c r="BK173" s="174"/>
      <c r="BM173" s="174">
        <v>63.968000000000004</v>
      </c>
      <c r="BN173" s="174"/>
      <c r="BO173" s="174"/>
      <c r="BP173" s="174"/>
      <c r="BR173" s="174"/>
      <c r="BS173" s="174">
        <v>48.823</v>
      </c>
      <c r="BT173" s="174"/>
      <c r="BU173" s="190">
        <v>18.999822616577148</v>
      </c>
      <c r="BV173" s="159"/>
      <c r="BW173" s="174">
        <v>14.644</v>
      </c>
      <c r="BX173" s="159"/>
      <c r="BY173" s="159"/>
      <c r="CB173" s="165"/>
      <c r="CC173" s="174">
        <v>7.5339999999999998</v>
      </c>
      <c r="CD173" s="165"/>
      <c r="CE173" s="174">
        <v>7.4</v>
      </c>
      <c r="CF173" s="165"/>
      <c r="CH173" s="165"/>
      <c r="CJ173" s="165"/>
      <c r="CL173" s="165"/>
      <c r="CN173" s="165"/>
      <c r="CO173" s="130"/>
      <c r="CP173" s="165"/>
      <c r="CQ173" s="130"/>
      <c r="CR173" s="165"/>
      <c r="CS173" s="130"/>
      <c r="CT173" s="130"/>
      <c r="CU173" s="130"/>
      <c r="CV173" s="130"/>
      <c r="CW173" s="130"/>
      <c r="CX173" s="165"/>
      <c r="CY173" s="130"/>
      <c r="CZ173" s="130"/>
      <c r="DA173" s="130"/>
      <c r="DB173" s="130"/>
      <c r="DC173" s="130"/>
      <c r="DD173" s="130"/>
      <c r="DE173" s="130"/>
      <c r="DF173" s="130"/>
      <c r="DG173" s="130"/>
      <c r="DH173" s="130"/>
    </row>
    <row r="174" spans="1:112" ht="15">
      <c r="A174" s="169" t="s">
        <v>7704</v>
      </c>
      <c r="B174" s="175"/>
      <c r="C174" s="174">
        <v>5</v>
      </c>
      <c r="D174" s="174">
        <v>29</v>
      </c>
      <c r="E174" s="174">
        <v>5</v>
      </c>
      <c r="F174" s="174">
        <v>11</v>
      </c>
      <c r="I174" s="174"/>
      <c r="K174" s="188">
        <v>3</v>
      </c>
      <c r="L174" s="146">
        <v>42430</v>
      </c>
      <c r="M174" s="174">
        <v>6.78</v>
      </c>
      <c r="N174" s="189">
        <v>42580</v>
      </c>
      <c r="S174" s="174">
        <v>18.170000000000002</v>
      </c>
      <c r="U174" s="159">
        <v>18.5</v>
      </c>
      <c r="AE174" s="174">
        <v>37.880000000000003</v>
      </c>
      <c r="AG174" s="174">
        <v>3.94</v>
      </c>
      <c r="AI174" s="174">
        <v>160</v>
      </c>
      <c r="AJ174" s="160">
        <v>42520</v>
      </c>
      <c r="AK174" s="174"/>
      <c r="AL174" s="174"/>
      <c r="AM174" s="174">
        <v>92</v>
      </c>
      <c r="AN174" s="174"/>
      <c r="AO174" s="174"/>
      <c r="AP174" s="174"/>
      <c r="AR174" s="174"/>
      <c r="AS174" s="174"/>
      <c r="AT174" s="174"/>
      <c r="AU174" s="174"/>
      <c r="AV174" s="174"/>
      <c r="AW174" s="174"/>
      <c r="AX174" s="174"/>
      <c r="AY174" s="174"/>
      <c r="BC174" s="174"/>
      <c r="BD174" s="174"/>
      <c r="BE174" s="174"/>
      <c r="BG174" s="174"/>
      <c r="BI174" s="174"/>
      <c r="BJ174" s="174"/>
      <c r="BK174" s="174"/>
      <c r="BM174" s="174">
        <v>63.933</v>
      </c>
      <c r="BN174" s="174"/>
      <c r="BO174" s="174"/>
      <c r="BP174" s="174"/>
      <c r="BR174" s="174"/>
      <c r="BS174" s="174">
        <v>47.976999999999997</v>
      </c>
      <c r="BT174" s="174"/>
      <c r="BU174" s="190">
        <v>18.997636795043945</v>
      </c>
      <c r="BV174" s="159"/>
      <c r="BW174" s="174">
        <v>10.286</v>
      </c>
      <c r="BX174" s="159"/>
      <c r="BY174" s="159"/>
      <c r="CB174" s="165"/>
      <c r="CC174" s="174">
        <v>7.7249999999999996</v>
      </c>
      <c r="CD174" s="165"/>
      <c r="CE174" s="174">
        <v>7.4</v>
      </c>
      <c r="CF174" s="165"/>
      <c r="CH174" s="165"/>
      <c r="CJ174" s="165"/>
      <c r="CL174" s="165"/>
      <c r="CN174" s="165"/>
      <c r="CO174" s="130"/>
      <c r="CP174" s="165"/>
      <c r="CQ174" s="130"/>
      <c r="CR174" s="165"/>
      <c r="CS174" s="130"/>
      <c r="CT174" s="130"/>
      <c r="CU174" s="130"/>
      <c r="CV174" s="130"/>
      <c r="CW174" s="130"/>
      <c r="CX174" s="165"/>
      <c r="CY174" s="130"/>
      <c r="CZ174" s="130"/>
      <c r="DA174" s="130"/>
      <c r="DB174" s="130"/>
      <c r="DC174" s="130"/>
      <c r="DD174" s="130"/>
      <c r="DE174" s="130"/>
      <c r="DF174" s="130"/>
      <c r="DG174" s="130"/>
      <c r="DH174" s="130"/>
    </row>
    <row r="175" spans="1:112" ht="15">
      <c r="A175" s="169" t="s">
        <v>7704</v>
      </c>
      <c r="B175" s="175"/>
      <c r="C175" s="174">
        <v>6</v>
      </c>
      <c r="D175" s="174">
        <v>29</v>
      </c>
      <c r="E175" s="174">
        <v>6</v>
      </c>
      <c r="F175" s="174">
        <v>13</v>
      </c>
      <c r="I175" s="174"/>
      <c r="K175" s="188">
        <v>5</v>
      </c>
      <c r="L175" s="146">
        <v>42430</v>
      </c>
      <c r="M175" s="174">
        <v>7.04</v>
      </c>
      <c r="N175" s="189">
        <v>42580</v>
      </c>
      <c r="S175" s="174">
        <v>19.75</v>
      </c>
      <c r="U175" s="159">
        <v>18.5</v>
      </c>
      <c r="AE175" s="174">
        <v>39.42</v>
      </c>
      <c r="AG175" s="174">
        <v>4.07</v>
      </c>
      <c r="AI175" s="174">
        <v>150</v>
      </c>
      <c r="AJ175" s="160">
        <v>42520</v>
      </c>
      <c r="AK175" s="174"/>
      <c r="AL175" s="174"/>
      <c r="AM175" s="174">
        <v>95</v>
      </c>
      <c r="AN175" s="174"/>
      <c r="AO175" s="174"/>
      <c r="AP175" s="174"/>
      <c r="AR175" s="174"/>
      <c r="AS175" s="174"/>
      <c r="AT175" s="174"/>
      <c r="AU175" s="174"/>
      <c r="AV175" s="174"/>
      <c r="AW175" s="174"/>
      <c r="AX175" s="174"/>
      <c r="AY175" s="174"/>
      <c r="BC175" s="174"/>
      <c r="BD175" s="174"/>
      <c r="BE175" s="174"/>
      <c r="BG175" s="174"/>
      <c r="BI175" s="174"/>
      <c r="BJ175" s="174"/>
      <c r="BK175" s="174"/>
      <c r="BM175" s="174">
        <v>65.12</v>
      </c>
      <c r="BN175" s="174"/>
      <c r="BO175" s="174"/>
      <c r="BP175" s="174"/>
      <c r="BR175" s="174"/>
      <c r="BS175" s="174">
        <v>50.091000000000001</v>
      </c>
      <c r="BT175" s="174"/>
      <c r="BU175" s="190">
        <v>18.38099479675293</v>
      </c>
      <c r="BV175" s="159"/>
      <c r="BW175" s="174">
        <v>10.01</v>
      </c>
      <c r="BX175" s="159"/>
      <c r="BY175" s="159"/>
      <c r="CB175" s="165"/>
      <c r="CC175" s="174">
        <v>7.5309999999999997</v>
      </c>
      <c r="CD175" s="165"/>
      <c r="CE175" s="174">
        <v>7.2</v>
      </c>
      <c r="CF175" s="165"/>
      <c r="CH175" s="165"/>
      <c r="CJ175" s="165"/>
      <c r="CL175" s="165"/>
      <c r="CN175" s="165"/>
      <c r="CO175" s="130"/>
      <c r="CP175" s="165"/>
      <c r="CQ175" s="130"/>
      <c r="CR175" s="165"/>
      <c r="CS175" s="130"/>
      <c r="CT175" s="130"/>
      <c r="CU175" s="130"/>
      <c r="CV175" s="130"/>
      <c r="CW175" s="130"/>
      <c r="CX175" s="165"/>
      <c r="CY175" s="130"/>
      <c r="CZ175" s="130"/>
      <c r="DA175" s="130"/>
      <c r="DB175" s="130"/>
      <c r="DC175" s="130"/>
      <c r="DD175" s="130"/>
      <c r="DE175" s="130"/>
      <c r="DF175" s="130"/>
      <c r="DG175" s="130"/>
      <c r="DH175" s="130"/>
    </row>
    <row r="176" spans="1:112" ht="15">
      <c r="A176" s="169" t="s">
        <v>7705</v>
      </c>
      <c r="B176" s="175"/>
      <c r="C176" s="174">
        <v>1</v>
      </c>
      <c r="D176" s="174">
        <v>30</v>
      </c>
      <c r="E176" s="174">
        <v>1</v>
      </c>
      <c r="F176" s="174">
        <v>13</v>
      </c>
      <c r="I176" s="174"/>
      <c r="K176" s="188">
        <v>5</v>
      </c>
      <c r="L176" s="146">
        <v>42430</v>
      </c>
      <c r="M176" s="174">
        <v>6.3</v>
      </c>
      <c r="N176" s="189">
        <v>42580</v>
      </c>
      <c r="S176" s="174">
        <v>16.75</v>
      </c>
      <c r="U176" s="159">
        <v>18.5</v>
      </c>
      <c r="AE176" s="174">
        <v>34.32</v>
      </c>
      <c r="AG176" s="174">
        <v>4.32</v>
      </c>
      <c r="AI176" s="174">
        <v>170</v>
      </c>
      <c r="AJ176" s="160">
        <v>42520</v>
      </c>
      <c r="AK176" s="174"/>
      <c r="AL176" s="174"/>
      <c r="AM176" s="174">
        <v>95</v>
      </c>
      <c r="AN176" s="174"/>
      <c r="AO176" s="174"/>
      <c r="AP176" s="174"/>
      <c r="AR176" s="174"/>
      <c r="AS176" s="174"/>
      <c r="AT176" s="174"/>
      <c r="AU176" s="174"/>
      <c r="AV176" s="174"/>
      <c r="AW176" s="174"/>
      <c r="AX176" s="174"/>
      <c r="AY176" s="175"/>
      <c r="BC176" s="174"/>
      <c r="BD176" s="174"/>
      <c r="BE176" s="174"/>
      <c r="BG176" s="174"/>
      <c r="BI176" s="174"/>
      <c r="BJ176" s="174"/>
      <c r="BK176" s="174"/>
      <c r="BM176" s="174">
        <v>64.414000000000001</v>
      </c>
      <c r="BN176" s="174"/>
      <c r="BO176" s="174"/>
      <c r="BP176" s="174"/>
      <c r="BR176" s="174"/>
      <c r="BS176" s="174">
        <v>48.805</v>
      </c>
      <c r="BT176" s="174"/>
      <c r="BU176" s="190">
        <v>20.106649398803711</v>
      </c>
      <c r="BV176" s="159"/>
      <c r="BW176" s="174">
        <v>14.753</v>
      </c>
      <c r="BX176" s="159"/>
      <c r="BY176" s="159"/>
      <c r="CB176" s="165"/>
      <c r="CC176" s="174">
        <v>10.029999999999999</v>
      </c>
      <c r="CD176" s="165"/>
      <c r="CE176" s="174">
        <v>7.8</v>
      </c>
      <c r="CF176" s="165"/>
      <c r="CH176" s="165"/>
      <c r="CJ176" s="165"/>
      <c r="CL176" s="165"/>
      <c r="CN176" s="165"/>
      <c r="CO176" s="130"/>
      <c r="CP176" s="165"/>
      <c r="CQ176" s="130"/>
      <c r="CR176" s="165"/>
      <c r="CS176" s="130"/>
      <c r="CT176" s="130"/>
      <c r="CU176" s="130"/>
      <c r="CV176" s="130"/>
      <c r="CW176" s="130"/>
      <c r="CX176" s="165"/>
      <c r="CY176" s="130"/>
      <c r="CZ176" s="130"/>
      <c r="DA176" s="130"/>
      <c r="DB176" s="130"/>
      <c r="DC176" s="130"/>
      <c r="DD176" s="130"/>
      <c r="DE176" s="130"/>
      <c r="DF176" s="130"/>
      <c r="DG176" s="130"/>
      <c r="DH176" s="130"/>
    </row>
    <row r="177" spans="1:112" ht="15">
      <c r="A177" s="169" t="s">
        <v>7705</v>
      </c>
      <c r="B177" s="175"/>
      <c r="C177" s="174">
        <v>2</v>
      </c>
      <c r="D177" s="174">
        <v>30</v>
      </c>
      <c r="E177" s="174">
        <v>2</v>
      </c>
      <c r="F177" s="174">
        <v>20</v>
      </c>
      <c r="I177" s="174"/>
      <c r="K177" s="188">
        <v>9</v>
      </c>
      <c r="L177" s="146">
        <v>42430</v>
      </c>
      <c r="M177" s="174">
        <v>6.25</v>
      </c>
      <c r="N177" s="189">
        <v>42580</v>
      </c>
      <c r="S177" s="174">
        <v>16.93</v>
      </c>
      <c r="U177" s="159">
        <v>18.5</v>
      </c>
      <c r="AE177" s="174">
        <v>34.85</v>
      </c>
      <c r="AG177" s="174">
        <v>4.09</v>
      </c>
      <c r="AI177" s="174">
        <v>160</v>
      </c>
      <c r="AJ177" s="160">
        <v>42520</v>
      </c>
      <c r="AK177" s="174"/>
      <c r="AL177" s="174"/>
      <c r="AM177" s="174">
        <v>95</v>
      </c>
      <c r="AN177" s="174"/>
      <c r="AO177" s="174"/>
      <c r="AP177" s="174"/>
      <c r="AR177" s="174"/>
      <c r="AS177" s="174"/>
      <c r="AT177" s="174"/>
      <c r="AU177" s="174"/>
      <c r="AV177" s="174"/>
      <c r="AW177" s="174"/>
      <c r="AX177" s="174"/>
      <c r="AY177" s="174"/>
      <c r="BC177" s="174"/>
      <c r="BD177" s="174"/>
      <c r="BE177" s="174"/>
      <c r="BG177" s="174"/>
      <c r="BI177" s="174"/>
      <c r="BJ177" s="174"/>
      <c r="BK177" s="174"/>
      <c r="BM177" s="174">
        <v>64.162000000000006</v>
      </c>
      <c r="BN177" s="174"/>
      <c r="BO177" s="174"/>
      <c r="BP177" s="174"/>
      <c r="BR177" s="174"/>
      <c r="BS177" s="174">
        <v>48.570999999999998</v>
      </c>
      <c r="BT177" s="174"/>
      <c r="BU177" s="190">
        <v>19.547143936157227</v>
      </c>
      <c r="BV177" s="159"/>
      <c r="BW177" s="174">
        <v>12.843999999999999</v>
      </c>
      <c r="BX177" s="159"/>
      <c r="BY177" s="159"/>
      <c r="CB177" s="165"/>
      <c r="CC177" s="174">
        <v>7.9180000000000001</v>
      </c>
      <c r="CD177" s="165"/>
      <c r="CE177" s="174">
        <v>7.7</v>
      </c>
      <c r="CF177" s="165"/>
      <c r="CH177" s="165"/>
      <c r="CJ177" s="165"/>
      <c r="CL177" s="165"/>
      <c r="CN177" s="165"/>
      <c r="CO177" s="130"/>
      <c r="CP177" s="165"/>
      <c r="CQ177" s="130"/>
      <c r="CR177" s="165"/>
      <c r="CS177" s="130"/>
      <c r="CT177" s="130"/>
      <c r="CU177" s="130"/>
      <c r="CV177" s="130"/>
      <c r="CW177" s="130"/>
      <c r="CX177" s="165"/>
      <c r="CY177" s="130"/>
      <c r="CZ177" s="130"/>
      <c r="DA177" s="130"/>
      <c r="DB177" s="130"/>
      <c r="DC177" s="130"/>
      <c r="DD177" s="130"/>
      <c r="DE177" s="130"/>
      <c r="DF177" s="130"/>
      <c r="DG177" s="130"/>
      <c r="DH177" s="130"/>
    </row>
    <row r="178" spans="1:112" ht="15">
      <c r="A178" s="169" t="s">
        <v>7705</v>
      </c>
      <c r="B178" s="175"/>
      <c r="C178" s="174">
        <v>3</v>
      </c>
      <c r="D178" s="174">
        <v>30</v>
      </c>
      <c r="E178" s="174">
        <v>3</v>
      </c>
      <c r="F178" s="174">
        <v>20</v>
      </c>
      <c r="I178" s="174"/>
      <c r="K178" s="188">
        <v>7</v>
      </c>
      <c r="L178" s="146">
        <v>42430</v>
      </c>
      <c r="M178" s="174">
        <v>6.47</v>
      </c>
      <c r="N178" s="189">
        <v>42580</v>
      </c>
      <c r="S178" s="174">
        <v>17.239999999999998</v>
      </c>
      <c r="U178" s="159">
        <v>18.5</v>
      </c>
      <c r="AE178" s="174">
        <v>36.049999999999997</v>
      </c>
      <c r="AG178" s="174">
        <v>3.7</v>
      </c>
      <c r="AI178" s="174">
        <v>165</v>
      </c>
      <c r="AJ178" s="160">
        <v>42520</v>
      </c>
      <c r="AK178" s="174"/>
      <c r="AL178" s="174"/>
      <c r="AM178" s="174">
        <v>95</v>
      </c>
      <c r="AN178" s="174"/>
      <c r="AO178" s="174"/>
      <c r="AP178" s="174"/>
      <c r="AR178" s="174"/>
      <c r="AS178" s="174"/>
      <c r="AT178" s="174"/>
      <c r="AU178" s="174"/>
      <c r="AV178" s="174"/>
      <c r="AW178" s="174"/>
      <c r="AX178" s="174"/>
      <c r="AY178" s="174"/>
      <c r="BC178" s="174"/>
      <c r="BD178" s="174"/>
      <c r="BE178" s="174"/>
      <c r="BG178" s="174"/>
      <c r="BI178" s="174"/>
      <c r="BJ178" s="174"/>
      <c r="BK178" s="174"/>
      <c r="BM178" s="174">
        <v>63.719000000000001</v>
      </c>
      <c r="BN178" s="174"/>
      <c r="BO178" s="174"/>
      <c r="BP178" s="174"/>
      <c r="BR178" s="174"/>
      <c r="BS178" s="174">
        <v>47.808999999999997</v>
      </c>
      <c r="BT178" s="174"/>
      <c r="BU178" s="190">
        <v>20.16911506652832</v>
      </c>
      <c r="BV178" s="159"/>
      <c r="BW178" s="174">
        <v>14.129</v>
      </c>
      <c r="BX178" s="159"/>
      <c r="BY178" s="159"/>
      <c r="CB178" s="165"/>
      <c r="CC178" s="174">
        <v>7.98</v>
      </c>
      <c r="CD178" s="165"/>
      <c r="CE178" s="174">
        <v>7.7</v>
      </c>
      <c r="CF178" s="165"/>
      <c r="CH178" s="165"/>
      <c r="CJ178" s="165"/>
      <c r="CL178" s="165"/>
      <c r="CN178" s="165"/>
      <c r="CO178" s="130"/>
      <c r="CP178" s="165"/>
      <c r="CQ178" s="130"/>
      <c r="CR178" s="165"/>
      <c r="CS178" s="130"/>
      <c r="CT178" s="130"/>
      <c r="CU178" s="130"/>
      <c r="CV178" s="130"/>
      <c r="CW178" s="130"/>
      <c r="CX178" s="165"/>
      <c r="CY178" s="130"/>
      <c r="CZ178" s="130"/>
      <c r="DA178" s="130"/>
      <c r="DB178" s="130"/>
      <c r="DC178" s="130"/>
      <c r="DD178" s="130"/>
      <c r="DE178" s="130"/>
      <c r="DF178" s="130"/>
      <c r="DG178" s="130"/>
      <c r="DH178" s="130"/>
    </row>
    <row r="179" spans="1:112" ht="15">
      <c r="A179" s="169" t="s">
        <v>7705</v>
      </c>
      <c r="B179" s="175"/>
      <c r="C179" s="174">
        <v>4</v>
      </c>
      <c r="D179" s="174">
        <v>30</v>
      </c>
      <c r="E179" s="174">
        <v>4</v>
      </c>
      <c r="F179" s="174">
        <v>26</v>
      </c>
      <c r="I179" s="174"/>
      <c r="K179" s="188">
        <v>5</v>
      </c>
      <c r="L179" s="146">
        <v>42430</v>
      </c>
      <c r="M179" s="174">
        <v>6.78</v>
      </c>
      <c r="N179" s="189">
        <v>42580</v>
      </c>
      <c r="S179" s="174">
        <v>18.88</v>
      </c>
      <c r="U179" s="159">
        <v>18.5</v>
      </c>
      <c r="AE179" s="174">
        <v>37.83</v>
      </c>
      <c r="AG179" s="174">
        <v>4.25</v>
      </c>
      <c r="AI179" s="174">
        <v>160</v>
      </c>
      <c r="AJ179" s="160">
        <v>42520</v>
      </c>
      <c r="AK179" s="174"/>
      <c r="AL179" s="174"/>
      <c r="AM179" s="174">
        <v>95</v>
      </c>
      <c r="AN179" s="174"/>
      <c r="AO179" s="174"/>
      <c r="AP179" s="174"/>
      <c r="AR179" s="174"/>
      <c r="AS179" s="174"/>
      <c r="AT179" s="174"/>
      <c r="AU179" s="174"/>
      <c r="AV179" s="174"/>
      <c r="AW179" s="174"/>
      <c r="AX179" s="174"/>
      <c r="AY179" s="174"/>
      <c r="BC179" s="174"/>
      <c r="BD179" s="174"/>
      <c r="BE179" s="174"/>
      <c r="BG179" s="174"/>
      <c r="BI179" s="174"/>
      <c r="BJ179" s="174"/>
      <c r="BK179" s="174"/>
      <c r="BM179" s="174">
        <v>63.816000000000003</v>
      </c>
      <c r="BN179" s="174"/>
      <c r="BO179" s="174"/>
      <c r="BP179" s="174"/>
      <c r="BR179" s="174"/>
      <c r="BS179" s="174">
        <v>49.915999999999997</v>
      </c>
      <c r="BT179" s="174"/>
      <c r="BU179" s="190">
        <v>18.294462203979492</v>
      </c>
      <c r="BV179" s="159"/>
      <c r="BW179" s="174">
        <v>13.691000000000001</v>
      </c>
      <c r="BX179" s="159"/>
      <c r="BY179" s="159"/>
      <c r="CB179" s="165"/>
      <c r="CC179" s="174">
        <v>7.8470000000000004</v>
      </c>
      <c r="CD179" s="165"/>
      <c r="CE179" s="174">
        <v>7.3</v>
      </c>
      <c r="CF179" s="165"/>
      <c r="CH179" s="165"/>
      <c r="CJ179" s="165"/>
      <c r="CL179" s="165"/>
      <c r="CN179" s="165"/>
      <c r="CO179" s="130"/>
      <c r="CP179" s="165"/>
      <c r="CQ179" s="130"/>
      <c r="CR179" s="165"/>
      <c r="CS179" s="130"/>
      <c r="CT179" s="130"/>
      <c r="CU179" s="130"/>
      <c r="CV179" s="130"/>
      <c r="CW179" s="130"/>
      <c r="CX179" s="165"/>
      <c r="CY179" s="130"/>
      <c r="CZ179" s="130"/>
      <c r="DA179" s="130"/>
      <c r="DB179" s="130"/>
      <c r="DC179" s="130"/>
      <c r="DD179" s="130"/>
      <c r="DE179" s="130"/>
      <c r="DF179" s="130"/>
      <c r="DG179" s="130"/>
      <c r="DH179" s="130"/>
    </row>
    <row r="180" spans="1:112" ht="15">
      <c r="A180" s="169" t="s">
        <v>7705</v>
      </c>
      <c r="B180" s="175"/>
      <c r="C180" s="174">
        <v>5</v>
      </c>
      <c r="D180" s="174">
        <v>30</v>
      </c>
      <c r="E180" s="174">
        <v>5</v>
      </c>
      <c r="F180" s="174">
        <v>12</v>
      </c>
      <c r="I180" s="174"/>
      <c r="K180" s="188">
        <v>3</v>
      </c>
      <c r="L180" s="146">
        <v>42430</v>
      </c>
      <c r="M180" s="174">
        <v>6.01</v>
      </c>
      <c r="N180" s="189">
        <v>42580</v>
      </c>
      <c r="S180" s="174">
        <v>16.48</v>
      </c>
      <c r="U180" s="159">
        <v>18.5</v>
      </c>
      <c r="AE180" s="174">
        <v>33.54</v>
      </c>
      <c r="AG180" s="174">
        <v>3.85</v>
      </c>
      <c r="AI180" s="174">
        <v>150</v>
      </c>
      <c r="AJ180" s="160">
        <v>42520</v>
      </c>
      <c r="AK180" s="174"/>
      <c r="AL180" s="174"/>
      <c r="AM180" s="174">
        <v>92</v>
      </c>
      <c r="AN180" s="174"/>
      <c r="AO180" s="174"/>
      <c r="AP180" s="174"/>
      <c r="AR180" s="174"/>
      <c r="AS180" s="174"/>
      <c r="AT180" s="174"/>
      <c r="AU180" s="174"/>
      <c r="AV180" s="174"/>
      <c r="AW180" s="174"/>
      <c r="AX180" s="174"/>
      <c r="AY180" s="174"/>
      <c r="BC180" s="174"/>
      <c r="BD180" s="174"/>
      <c r="BE180" s="174"/>
      <c r="BG180" s="174"/>
      <c r="BI180" s="174"/>
      <c r="BJ180" s="174"/>
      <c r="BK180" s="174"/>
      <c r="BM180" s="174">
        <v>64.198999999999998</v>
      </c>
      <c r="BN180" s="174"/>
      <c r="BO180" s="174"/>
      <c r="BP180" s="174"/>
      <c r="BR180" s="174"/>
      <c r="BS180" s="174">
        <v>49.146999999999998</v>
      </c>
      <c r="BT180" s="174"/>
      <c r="BU180" s="190">
        <v>18.553737640380859</v>
      </c>
      <c r="BV180" s="159"/>
      <c r="BW180" s="174">
        <v>12.087</v>
      </c>
      <c r="BX180" s="159"/>
      <c r="BY180" s="159"/>
      <c r="CB180" s="165"/>
      <c r="CC180" s="174">
        <v>7.84</v>
      </c>
      <c r="CD180" s="165"/>
      <c r="CE180" s="174">
        <v>7.4</v>
      </c>
      <c r="CF180" s="165"/>
      <c r="CH180" s="165"/>
      <c r="CJ180" s="165"/>
      <c r="CL180" s="165"/>
      <c r="CN180" s="165"/>
      <c r="CO180" s="130"/>
      <c r="CP180" s="165"/>
      <c r="CQ180" s="130"/>
      <c r="CR180" s="165"/>
      <c r="CS180" s="130"/>
      <c r="CT180" s="130"/>
      <c r="CU180" s="130"/>
      <c r="CV180" s="130"/>
      <c r="CW180" s="130"/>
      <c r="CX180" s="165"/>
      <c r="CY180" s="130"/>
      <c r="CZ180" s="130"/>
      <c r="DA180" s="130"/>
      <c r="DB180" s="130"/>
      <c r="DC180" s="130"/>
      <c r="DD180" s="130"/>
      <c r="DE180" s="130"/>
      <c r="DF180" s="130"/>
      <c r="DG180" s="130"/>
      <c r="DH180" s="130"/>
    </row>
    <row r="181" spans="1:112" ht="15">
      <c r="A181" s="169" t="s">
        <v>7705</v>
      </c>
      <c r="B181" s="175"/>
      <c r="C181" s="174">
        <v>6</v>
      </c>
      <c r="D181" s="174">
        <v>30</v>
      </c>
      <c r="E181" s="174">
        <v>6</v>
      </c>
      <c r="F181" s="174">
        <v>29</v>
      </c>
      <c r="I181" s="174"/>
      <c r="K181" s="188">
        <v>3</v>
      </c>
      <c r="L181" s="146">
        <v>42430</v>
      </c>
      <c r="M181" s="174">
        <v>5.55</v>
      </c>
      <c r="N181" s="189">
        <v>42580</v>
      </c>
      <c r="S181" s="174">
        <v>15.61</v>
      </c>
      <c r="U181" s="159">
        <v>18.5</v>
      </c>
      <c r="AE181" s="174">
        <v>30.96</v>
      </c>
      <c r="AG181" s="174">
        <v>4.16</v>
      </c>
      <c r="AI181" s="174">
        <v>150</v>
      </c>
      <c r="AJ181" s="160">
        <v>42520</v>
      </c>
      <c r="AK181" s="174"/>
      <c r="AL181" s="174"/>
      <c r="AM181" s="174">
        <v>92</v>
      </c>
      <c r="AN181" s="174"/>
      <c r="AO181" s="174"/>
      <c r="AP181" s="174"/>
      <c r="AR181" s="174"/>
      <c r="AS181" s="174"/>
      <c r="AT181" s="174"/>
      <c r="AU181" s="174"/>
      <c r="AV181" s="174"/>
      <c r="AW181" s="174"/>
      <c r="AX181" s="174"/>
      <c r="AY181" s="174"/>
      <c r="BC181" s="174"/>
      <c r="BD181" s="174"/>
      <c r="BE181" s="174"/>
      <c r="BG181" s="174"/>
      <c r="BI181" s="174"/>
      <c r="BJ181" s="174"/>
      <c r="BK181" s="174"/>
      <c r="BM181" s="174">
        <v>64.462000000000003</v>
      </c>
      <c r="BN181" s="174"/>
      <c r="BO181" s="174"/>
      <c r="BP181" s="174"/>
      <c r="BR181" s="174"/>
      <c r="BS181" s="174">
        <v>50.415999999999997</v>
      </c>
      <c r="BT181" s="174"/>
      <c r="BU181" s="190">
        <v>17.738620758056641</v>
      </c>
      <c r="BV181" s="159"/>
      <c r="BW181" s="174">
        <v>11.702999999999999</v>
      </c>
      <c r="BX181" s="159"/>
      <c r="BY181" s="159"/>
      <c r="CB181" s="165"/>
      <c r="CC181" s="174">
        <v>7.883</v>
      </c>
      <c r="CD181" s="165"/>
      <c r="CE181" s="174">
        <v>7.3</v>
      </c>
      <c r="CF181" s="165"/>
      <c r="CH181" s="165"/>
      <c r="CJ181" s="165"/>
      <c r="CL181" s="165"/>
      <c r="CN181" s="165"/>
      <c r="CO181" s="130"/>
      <c r="CP181" s="165"/>
      <c r="CQ181" s="130"/>
      <c r="CR181" s="165"/>
      <c r="CS181" s="130"/>
      <c r="CT181" s="130"/>
      <c r="CU181" s="130"/>
      <c r="CV181" s="130"/>
      <c r="CW181" s="130"/>
      <c r="CX181" s="165"/>
      <c r="CY181" s="130"/>
      <c r="CZ181" s="130"/>
      <c r="DA181" s="130"/>
      <c r="DB181" s="130"/>
      <c r="DC181" s="130"/>
      <c r="DD181" s="130"/>
      <c r="DE181" s="130"/>
      <c r="DF181" s="130"/>
      <c r="DG181" s="130"/>
      <c r="DH181" s="130"/>
    </row>
    <row r="182" spans="1:112" ht="15">
      <c r="A182" s="168" t="s">
        <v>7434</v>
      </c>
      <c r="B182" s="175"/>
      <c r="C182" s="174">
        <v>1</v>
      </c>
      <c r="D182" s="174">
        <v>31</v>
      </c>
      <c r="E182" s="174">
        <v>1</v>
      </c>
      <c r="F182" s="174">
        <v>33</v>
      </c>
      <c r="I182" s="174"/>
      <c r="K182" s="188">
        <v>8</v>
      </c>
      <c r="L182" s="146">
        <v>42430</v>
      </c>
      <c r="M182" s="174">
        <v>7.3</v>
      </c>
      <c r="N182" s="189">
        <v>42580</v>
      </c>
      <c r="S182" s="174">
        <v>18.899999999999999</v>
      </c>
      <c r="U182" s="159">
        <v>18.5</v>
      </c>
      <c r="AE182" s="174">
        <v>40.729999999999997</v>
      </c>
      <c r="AG182" s="174">
        <v>4.17</v>
      </c>
      <c r="AI182" s="174">
        <v>160</v>
      </c>
      <c r="AJ182" s="160">
        <v>42520</v>
      </c>
      <c r="AK182" s="174"/>
      <c r="AL182" s="174"/>
      <c r="AM182" s="174">
        <v>104</v>
      </c>
      <c r="AN182" s="174"/>
      <c r="AO182" s="174"/>
      <c r="AP182" s="174"/>
      <c r="AR182" s="174"/>
      <c r="AS182" s="174"/>
      <c r="AT182" s="174"/>
      <c r="AU182" s="174"/>
      <c r="AV182" s="174"/>
      <c r="AW182" s="174"/>
      <c r="AX182" s="174"/>
      <c r="AY182" s="174"/>
      <c r="BC182" s="174"/>
      <c r="BD182" s="174"/>
      <c r="BE182" s="174"/>
      <c r="BG182" s="174"/>
      <c r="BI182" s="174"/>
      <c r="BJ182" s="174"/>
      <c r="BK182" s="174"/>
      <c r="BM182" s="174">
        <v>59.534999999999997</v>
      </c>
      <c r="BN182" s="174"/>
      <c r="BO182" s="174"/>
      <c r="BP182" s="174"/>
      <c r="BR182" s="174"/>
      <c r="BS182" s="174">
        <v>46.396999999999998</v>
      </c>
      <c r="BT182" s="174"/>
      <c r="BU182" s="190">
        <v>21.180259704589844</v>
      </c>
      <c r="BV182" s="159"/>
      <c r="BW182" s="174">
        <v>15.157999999999999</v>
      </c>
      <c r="BX182" s="159"/>
      <c r="BY182" s="159"/>
      <c r="CB182" s="165"/>
      <c r="CC182" s="174">
        <v>7.8680000000000003</v>
      </c>
      <c r="CD182" s="165"/>
      <c r="CE182" s="174">
        <v>7.8</v>
      </c>
      <c r="CF182" s="165"/>
      <c r="CH182" s="165"/>
      <c r="CJ182" s="165"/>
      <c r="CL182" s="165"/>
      <c r="CN182" s="165"/>
      <c r="CO182" s="130"/>
      <c r="CP182" s="165"/>
      <c r="CQ182" s="130"/>
      <c r="CR182" s="165"/>
      <c r="CS182" s="130"/>
      <c r="CT182" s="130"/>
      <c r="CU182" s="130"/>
      <c r="CV182" s="130"/>
      <c r="CW182" s="130"/>
      <c r="CX182" s="165"/>
      <c r="CY182" s="130"/>
      <c r="CZ182" s="130"/>
      <c r="DA182" s="130"/>
      <c r="DB182" s="130"/>
      <c r="DC182" s="130"/>
      <c r="DD182" s="130"/>
      <c r="DE182" s="130"/>
      <c r="DF182" s="130"/>
      <c r="DG182" s="130"/>
      <c r="DH182" s="130"/>
    </row>
    <row r="183" spans="1:112" ht="15">
      <c r="A183" s="168" t="s">
        <v>7434</v>
      </c>
      <c r="B183" s="175"/>
      <c r="C183" s="174">
        <v>2</v>
      </c>
      <c r="D183" s="174">
        <v>31</v>
      </c>
      <c r="E183" s="174">
        <v>2</v>
      </c>
      <c r="F183" s="174">
        <v>9</v>
      </c>
      <c r="I183" s="174"/>
      <c r="K183" s="188">
        <v>7</v>
      </c>
      <c r="L183" s="146">
        <v>42430</v>
      </c>
      <c r="M183" s="174">
        <v>8.24</v>
      </c>
      <c r="N183" s="189">
        <v>42580</v>
      </c>
      <c r="S183" s="174">
        <v>21.36</v>
      </c>
      <c r="U183" s="159">
        <v>18.5</v>
      </c>
      <c r="AE183" s="174">
        <v>45.7</v>
      </c>
      <c r="AG183" s="174">
        <v>4.32</v>
      </c>
      <c r="AI183" s="174">
        <v>160</v>
      </c>
      <c r="AJ183" s="160">
        <v>42520</v>
      </c>
      <c r="AK183" s="174"/>
      <c r="AL183" s="174"/>
      <c r="AM183" s="174">
        <v>106</v>
      </c>
      <c r="AN183" s="174"/>
      <c r="AO183" s="174"/>
      <c r="AP183" s="174"/>
      <c r="AR183" s="174"/>
      <c r="AS183" s="174"/>
      <c r="AT183" s="174"/>
      <c r="AU183" s="174"/>
      <c r="AV183" s="174"/>
      <c r="AW183" s="174"/>
      <c r="AX183" s="174"/>
      <c r="AY183" s="174"/>
      <c r="BC183" s="174"/>
      <c r="BD183" s="174"/>
      <c r="BE183" s="174"/>
      <c r="BG183" s="174"/>
      <c r="BI183" s="174"/>
      <c r="BJ183" s="174"/>
      <c r="BK183" s="174"/>
      <c r="BM183" s="174">
        <v>60.639000000000003</v>
      </c>
      <c r="BN183" s="174"/>
      <c r="BO183" s="174"/>
      <c r="BP183" s="174"/>
      <c r="BR183" s="174"/>
      <c r="BS183" s="174">
        <v>46.741999999999997</v>
      </c>
      <c r="BT183" s="174"/>
      <c r="BU183" s="190">
        <v>22.093057632446289</v>
      </c>
      <c r="BV183" s="159"/>
      <c r="BW183" s="174">
        <v>14.131</v>
      </c>
      <c r="BX183" s="159"/>
      <c r="BY183" s="159"/>
      <c r="CB183" s="165"/>
      <c r="CC183" s="174">
        <v>8.4109999999999996</v>
      </c>
      <c r="CD183" s="165"/>
      <c r="CE183" s="174">
        <v>8.3000000000000007</v>
      </c>
      <c r="CF183" s="165"/>
      <c r="CH183" s="165"/>
      <c r="CJ183" s="165"/>
      <c r="CL183" s="165"/>
      <c r="CN183" s="165"/>
      <c r="CO183" s="130"/>
      <c r="CP183" s="165"/>
      <c r="CQ183" s="130"/>
      <c r="CR183" s="165"/>
      <c r="CS183" s="130"/>
      <c r="CT183" s="130"/>
      <c r="CU183" s="130"/>
      <c r="CV183" s="130"/>
      <c r="CW183" s="130"/>
      <c r="CX183" s="165"/>
      <c r="CY183" s="130"/>
      <c r="CZ183" s="130"/>
      <c r="DA183" s="130"/>
      <c r="DB183" s="130"/>
      <c r="DC183" s="130"/>
      <c r="DD183" s="130"/>
      <c r="DE183" s="130"/>
      <c r="DF183" s="130"/>
      <c r="DG183" s="130"/>
      <c r="DH183" s="130"/>
    </row>
    <row r="184" spans="1:112" ht="15">
      <c r="A184" s="168" t="s">
        <v>7434</v>
      </c>
      <c r="B184" s="175"/>
      <c r="C184" s="174">
        <v>3</v>
      </c>
      <c r="D184" s="174">
        <v>31</v>
      </c>
      <c r="E184" s="174">
        <v>3</v>
      </c>
      <c r="F184" s="174">
        <v>13</v>
      </c>
      <c r="I184" s="174"/>
      <c r="K184" s="188">
        <v>7</v>
      </c>
      <c r="L184" s="146">
        <v>42430</v>
      </c>
      <c r="M184" s="174">
        <v>7.13</v>
      </c>
      <c r="N184" s="189">
        <v>42580</v>
      </c>
      <c r="S184" s="174">
        <v>18.399999999999999</v>
      </c>
      <c r="U184" s="159">
        <v>18.5</v>
      </c>
      <c r="AE184" s="174">
        <v>39.659999999999997</v>
      </c>
      <c r="AG184" s="174">
        <v>4.72</v>
      </c>
      <c r="AI184" s="174">
        <v>170</v>
      </c>
      <c r="AJ184" s="160">
        <v>42520</v>
      </c>
      <c r="AK184" s="174"/>
      <c r="AL184" s="174"/>
      <c r="AM184" s="174">
        <v>92</v>
      </c>
      <c r="AN184" s="174"/>
      <c r="AO184" s="174"/>
      <c r="AP184" s="174"/>
      <c r="AR184" s="174"/>
      <c r="AS184" s="174"/>
      <c r="AT184" s="174"/>
      <c r="AU184" s="174"/>
      <c r="AV184" s="174"/>
      <c r="AW184" s="174"/>
      <c r="AX184" s="174"/>
      <c r="AY184" s="174"/>
      <c r="BC184" s="174"/>
      <c r="BD184" s="174"/>
      <c r="BE184" s="174"/>
      <c r="BG184" s="174"/>
      <c r="BI184" s="174"/>
      <c r="BJ184" s="174"/>
      <c r="BK184" s="174"/>
      <c r="BM184" s="174">
        <v>61.716999999999999</v>
      </c>
      <c r="BN184" s="174"/>
      <c r="BO184" s="174"/>
      <c r="BP184" s="174"/>
      <c r="BR184" s="174"/>
      <c r="BS184" s="174">
        <v>46.398000000000003</v>
      </c>
      <c r="BT184" s="174"/>
      <c r="BU184" s="190">
        <v>22.845643997192383</v>
      </c>
      <c r="BV184" s="159"/>
      <c r="BW184" s="174">
        <v>14.939</v>
      </c>
      <c r="BX184" s="159"/>
      <c r="BY184" s="159"/>
      <c r="CB184" s="165"/>
      <c r="CC184" s="174">
        <v>8.1489999999999991</v>
      </c>
      <c r="CD184" s="165"/>
      <c r="CE184" s="174">
        <v>8.4</v>
      </c>
      <c r="CF184" s="165"/>
      <c r="CH184" s="165"/>
      <c r="CJ184" s="165"/>
      <c r="CL184" s="165"/>
      <c r="CN184" s="165"/>
      <c r="CO184" s="130"/>
      <c r="CP184" s="165"/>
      <c r="CQ184" s="130"/>
      <c r="CR184" s="165"/>
      <c r="CS184" s="130"/>
      <c r="CT184" s="130"/>
      <c r="CU184" s="130"/>
      <c r="CV184" s="130"/>
      <c r="CW184" s="130"/>
      <c r="CX184" s="165"/>
      <c r="CY184" s="130"/>
      <c r="CZ184" s="130"/>
      <c r="DA184" s="130"/>
      <c r="DB184" s="130"/>
      <c r="DC184" s="130"/>
      <c r="DD184" s="130"/>
      <c r="DE184" s="130"/>
      <c r="DF184" s="130"/>
      <c r="DG184" s="130"/>
      <c r="DH184" s="130"/>
    </row>
    <row r="185" spans="1:112" ht="15">
      <c r="A185" s="168" t="s">
        <v>7434</v>
      </c>
      <c r="B185" s="175"/>
      <c r="C185" s="174">
        <v>4</v>
      </c>
      <c r="D185" s="174">
        <v>31</v>
      </c>
      <c r="E185" s="174">
        <v>4</v>
      </c>
      <c r="F185" s="174">
        <v>11</v>
      </c>
      <c r="I185" s="174"/>
      <c r="K185" s="188">
        <v>3</v>
      </c>
      <c r="L185" s="146">
        <v>42430</v>
      </c>
      <c r="M185" s="174">
        <v>6.66</v>
      </c>
      <c r="N185" s="189">
        <v>42580</v>
      </c>
      <c r="S185" s="174">
        <v>17.600000000000001</v>
      </c>
      <c r="U185" s="159">
        <v>18.5</v>
      </c>
      <c r="AE185" s="174">
        <v>37.15</v>
      </c>
      <c r="AG185" s="174">
        <v>4.25</v>
      </c>
      <c r="AI185" s="174">
        <v>155</v>
      </c>
      <c r="AJ185" s="160">
        <v>42520</v>
      </c>
      <c r="AK185" s="174"/>
      <c r="AL185" s="174"/>
      <c r="AM185" s="174">
        <v>98</v>
      </c>
      <c r="AN185" s="174"/>
      <c r="AO185" s="174"/>
      <c r="AP185" s="174"/>
      <c r="AR185" s="174"/>
      <c r="AS185" s="174"/>
      <c r="AT185" s="174"/>
      <c r="AU185" s="174"/>
      <c r="AV185" s="174"/>
      <c r="AW185" s="174"/>
      <c r="AX185" s="174"/>
      <c r="AY185" s="174"/>
      <c r="BC185" s="174"/>
      <c r="BD185" s="174"/>
      <c r="BE185" s="174"/>
      <c r="BG185" s="174"/>
      <c r="BI185" s="174"/>
      <c r="BJ185" s="174"/>
      <c r="BK185" s="174"/>
      <c r="BM185" s="174">
        <v>60.595999999999997</v>
      </c>
      <c r="BN185" s="174"/>
      <c r="BO185" s="174"/>
      <c r="BP185" s="174"/>
      <c r="BR185" s="174"/>
      <c r="BS185" s="174">
        <v>47.384999999999998</v>
      </c>
      <c r="BT185" s="174"/>
      <c r="BU185" s="190">
        <v>20.374076843261719</v>
      </c>
      <c r="BV185" s="159"/>
      <c r="BW185" s="174">
        <v>14.544</v>
      </c>
      <c r="BX185" s="159"/>
      <c r="BY185" s="159"/>
      <c r="CB185" s="165"/>
      <c r="CC185" s="174">
        <v>7.88</v>
      </c>
      <c r="CD185" s="165"/>
      <c r="CE185" s="174">
        <v>7.7</v>
      </c>
      <c r="CF185" s="165"/>
      <c r="CH185" s="165"/>
      <c r="CJ185" s="165"/>
      <c r="CL185" s="165"/>
      <c r="CN185" s="165"/>
      <c r="CO185" s="130"/>
      <c r="CP185" s="165"/>
      <c r="CQ185" s="130"/>
      <c r="CR185" s="165"/>
      <c r="CS185" s="130"/>
      <c r="CT185" s="130"/>
      <c r="CU185" s="130"/>
      <c r="CV185" s="130"/>
      <c r="CW185" s="130"/>
      <c r="CX185" s="165"/>
      <c r="CY185" s="130"/>
      <c r="CZ185" s="130"/>
      <c r="DA185" s="130"/>
      <c r="DB185" s="130"/>
      <c r="DC185" s="130"/>
      <c r="DD185" s="130"/>
      <c r="DE185" s="130"/>
      <c r="DF185" s="130"/>
      <c r="DG185" s="130"/>
      <c r="DH185" s="130"/>
    </row>
    <row r="186" spans="1:112" ht="15">
      <c r="A186" s="168" t="s">
        <v>7434</v>
      </c>
      <c r="B186" s="175"/>
      <c r="C186" s="174">
        <v>5</v>
      </c>
      <c r="D186" s="174">
        <v>31</v>
      </c>
      <c r="E186" s="174">
        <v>5</v>
      </c>
      <c r="F186" s="174">
        <v>28</v>
      </c>
      <c r="I186" s="174"/>
      <c r="K186" s="188">
        <v>7</v>
      </c>
      <c r="L186" s="146">
        <v>42430</v>
      </c>
      <c r="M186" s="174">
        <v>6.82</v>
      </c>
      <c r="N186" s="189">
        <v>42580</v>
      </c>
      <c r="S186" s="174">
        <v>18.68</v>
      </c>
      <c r="U186" s="159">
        <v>18.5</v>
      </c>
      <c r="AE186" s="174">
        <v>38.119999999999997</v>
      </c>
      <c r="AG186" s="174">
        <v>4.6399999999999997</v>
      </c>
      <c r="AI186" s="174">
        <v>150</v>
      </c>
      <c r="AJ186" s="160">
        <v>42520</v>
      </c>
      <c r="AK186" s="174"/>
      <c r="AL186" s="174"/>
      <c r="AM186" s="174">
        <v>104</v>
      </c>
      <c r="AN186" s="174"/>
      <c r="AO186" s="174"/>
      <c r="AP186" s="174"/>
      <c r="AR186" s="174"/>
      <c r="AS186" s="174"/>
      <c r="AT186" s="174"/>
      <c r="AU186" s="174"/>
      <c r="AV186" s="174"/>
      <c r="AW186" s="174"/>
      <c r="AX186" s="174"/>
      <c r="AY186" s="174"/>
      <c r="BC186" s="174"/>
      <c r="BD186" s="174"/>
      <c r="BE186" s="174"/>
      <c r="BG186" s="174"/>
      <c r="BI186" s="174"/>
      <c r="BJ186" s="174"/>
      <c r="BK186" s="174"/>
      <c r="BM186" s="174">
        <v>61.539000000000001</v>
      </c>
      <c r="BN186" s="174"/>
      <c r="BO186" s="174"/>
      <c r="BP186" s="174"/>
      <c r="BR186" s="174"/>
      <c r="BS186" s="174">
        <v>49.015000000000001</v>
      </c>
      <c r="BT186" s="174"/>
      <c r="BU186" s="190">
        <v>19.75300407409668</v>
      </c>
      <c r="BV186" s="159"/>
      <c r="BW186" s="174">
        <v>11.683999999999999</v>
      </c>
      <c r="BX186" s="159"/>
      <c r="BY186" s="159"/>
      <c r="CB186" s="165"/>
      <c r="CC186" s="174">
        <v>7.7039999999999997</v>
      </c>
      <c r="CD186" s="165"/>
      <c r="CE186" s="174">
        <v>7.5</v>
      </c>
      <c r="CF186" s="165"/>
      <c r="CH186" s="165"/>
      <c r="CJ186" s="165"/>
      <c r="CL186" s="165"/>
      <c r="CN186" s="165"/>
      <c r="CO186" s="130"/>
      <c r="CP186" s="165"/>
      <c r="CQ186" s="130"/>
      <c r="CR186" s="165"/>
      <c r="CS186" s="130"/>
      <c r="CT186" s="130"/>
      <c r="CU186" s="130"/>
      <c r="CV186" s="130"/>
      <c r="CW186" s="130"/>
      <c r="CX186" s="165"/>
      <c r="CY186" s="130"/>
      <c r="CZ186" s="130"/>
      <c r="DA186" s="130"/>
      <c r="DB186" s="130"/>
      <c r="DC186" s="130"/>
      <c r="DD186" s="130"/>
      <c r="DE186" s="130"/>
      <c r="DF186" s="130"/>
      <c r="DG186" s="130"/>
      <c r="DH186" s="130"/>
    </row>
    <row r="187" spans="1:112" ht="15">
      <c r="A187" s="168" t="s">
        <v>7434</v>
      </c>
      <c r="B187" s="175"/>
      <c r="C187" s="174">
        <v>6</v>
      </c>
      <c r="D187" s="174">
        <v>31</v>
      </c>
      <c r="E187" s="174">
        <v>6</v>
      </c>
      <c r="F187" s="174">
        <v>16</v>
      </c>
      <c r="I187" s="174"/>
      <c r="K187" s="188">
        <v>7</v>
      </c>
      <c r="L187" s="146">
        <v>42430</v>
      </c>
      <c r="M187" s="174">
        <v>7.62</v>
      </c>
      <c r="N187" s="189">
        <v>42580</v>
      </c>
      <c r="S187" s="174">
        <v>20.65</v>
      </c>
      <c r="U187" s="159">
        <v>18.5</v>
      </c>
      <c r="AE187" s="174">
        <v>42.58</v>
      </c>
      <c r="AG187" s="174">
        <v>4.46</v>
      </c>
      <c r="AI187" s="174">
        <v>160</v>
      </c>
      <c r="AJ187" s="160">
        <v>42520</v>
      </c>
      <c r="AK187" s="174"/>
      <c r="AL187" s="174"/>
      <c r="AM187" s="174">
        <v>104</v>
      </c>
      <c r="AN187" s="174"/>
      <c r="AO187" s="174"/>
      <c r="AP187" s="174"/>
      <c r="AR187" s="174"/>
      <c r="AS187" s="174"/>
      <c r="AT187" s="174"/>
      <c r="AU187" s="174"/>
      <c r="AV187" s="174"/>
      <c r="AW187" s="174"/>
      <c r="AX187" s="174"/>
      <c r="AY187" s="175"/>
      <c r="BC187" s="174"/>
      <c r="BD187" s="174"/>
      <c r="BE187" s="174"/>
      <c r="BG187" s="174"/>
      <c r="BI187" s="174"/>
      <c r="BJ187" s="174"/>
      <c r="BK187" s="174"/>
      <c r="BM187" s="174">
        <v>60.619</v>
      </c>
      <c r="BN187" s="174"/>
      <c r="BO187" s="174"/>
      <c r="BP187" s="174"/>
      <c r="BR187" s="174"/>
      <c r="BS187" s="174">
        <v>48.506</v>
      </c>
      <c r="BT187" s="174"/>
      <c r="BU187" s="190">
        <v>19.607942581176758</v>
      </c>
      <c r="BV187" s="159"/>
      <c r="BW187" s="174">
        <v>13.786</v>
      </c>
      <c r="BX187" s="159"/>
      <c r="BY187" s="159"/>
      <c r="CB187" s="165"/>
      <c r="CC187" s="174">
        <v>7.7229999999999999</v>
      </c>
      <c r="CD187" s="165"/>
      <c r="CE187" s="174">
        <v>7.4</v>
      </c>
      <c r="CF187" s="165"/>
      <c r="CH187" s="165"/>
      <c r="CJ187" s="165"/>
      <c r="CL187" s="165"/>
      <c r="CN187" s="165"/>
      <c r="CO187" s="130"/>
      <c r="CP187" s="165"/>
      <c r="CQ187" s="130"/>
      <c r="CR187" s="165"/>
      <c r="CS187" s="130"/>
      <c r="CT187" s="130"/>
      <c r="CU187" s="130"/>
      <c r="CV187" s="130"/>
      <c r="CW187" s="130"/>
      <c r="CX187" s="165"/>
      <c r="CY187" s="130"/>
      <c r="CZ187" s="130"/>
      <c r="DA187" s="130"/>
      <c r="DB187" s="130"/>
      <c r="DC187" s="130"/>
      <c r="DD187" s="130"/>
      <c r="DE187" s="130"/>
      <c r="DF187" s="130"/>
      <c r="DG187" s="130"/>
      <c r="DH187" s="130"/>
    </row>
    <row r="188" spans="1:112" ht="15">
      <c r="A188" s="168" t="s">
        <v>7432</v>
      </c>
      <c r="B188" s="175"/>
      <c r="C188" s="174">
        <v>1</v>
      </c>
      <c r="D188" s="174">
        <v>32</v>
      </c>
      <c r="E188" s="174">
        <v>1</v>
      </c>
      <c r="F188" s="174">
        <v>14</v>
      </c>
      <c r="I188" s="174"/>
      <c r="K188" s="188">
        <v>5</v>
      </c>
      <c r="L188" s="146">
        <v>42430</v>
      </c>
      <c r="M188" s="174">
        <v>6.62</v>
      </c>
      <c r="N188" s="189">
        <v>42580</v>
      </c>
      <c r="S188" s="174">
        <v>16.55</v>
      </c>
      <c r="U188" s="159">
        <v>18.5</v>
      </c>
      <c r="AE188" s="174">
        <v>36.36</v>
      </c>
      <c r="AG188" s="174">
        <v>4.0599999999999996</v>
      </c>
      <c r="AI188" s="174">
        <v>155</v>
      </c>
      <c r="AJ188" s="160">
        <v>42520</v>
      </c>
      <c r="AK188" s="174"/>
      <c r="AL188" s="174"/>
      <c r="AM188" s="174">
        <v>95</v>
      </c>
      <c r="AN188" s="174"/>
      <c r="AO188" s="174"/>
      <c r="AP188" s="174"/>
      <c r="AR188" s="174"/>
      <c r="AS188" s="174"/>
      <c r="AT188" s="174"/>
      <c r="AU188" s="174"/>
      <c r="AV188" s="174"/>
      <c r="AW188" s="174"/>
      <c r="AX188" s="174"/>
      <c r="AY188" s="174"/>
      <c r="BC188" s="174"/>
      <c r="BD188" s="174"/>
      <c r="BE188" s="174"/>
      <c r="BG188" s="174"/>
      <c r="BI188" s="174"/>
      <c r="BJ188" s="174"/>
      <c r="BK188" s="174"/>
      <c r="BM188" s="174">
        <v>60.417999999999999</v>
      </c>
      <c r="BN188" s="174"/>
      <c r="BO188" s="174"/>
      <c r="BP188" s="174"/>
      <c r="BR188" s="174"/>
      <c r="BS188" s="174">
        <v>45.527000000000001</v>
      </c>
      <c r="BT188" s="174"/>
      <c r="BU188" s="190">
        <v>22.188026428222656</v>
      </c>
      <c r="BV188" s="159"/>
      <c r="BW188" s="174">
        <v>10.186999999999999</v>
      </c>
      <c r="BX188" s="159"/>
      <c r="BY188" s="159"/>
      <c r="CB188" s="165"/>
      <c r="CC188" s="174">
        <v>9.2919999999999998</v>
      </c>
      <c r="CD188" s="165"/>
      <c r="CE188" s="174">
        <v>8.3000000000000007</v>
      </c>
      <c r="CF188" s="165"/>
      <c r="CH188" s="165"/>
      <c r="CJ188" s="165"/>
      <c r="CL188" s="165"/>
      <c r="CN188" s="165"/>
      <c r="CO188" s="130"/>
      <c r="CP188" s="165"/>
      <c r="CQ188" s="130"/>
      <c r="CR188" s="165"/>
      <c r="CS188" s="130"/>
      <c r="CT188" s="130"/>
      <c r="CU188" s="130"/>
      <c r="CV188" s="130"/>
      <c r="CW188" s="130"/>
      <c r="CX188" s="165"/>
      <c r="CY188" s="130"/>
      <c r="CZ188" s="130"/>
      <c r="DA188" s="130"/>
      <c r="DB188" s="130"/>
      <c r="DC188" s="130"/>
      <c r="DD188" s="130"/>
      <c r="DE188" s="130"/>
      <c r="DF188" s="130"/>
      <c r="DG188" s="130"/>
      <c r="DH188" s="130"/>
    </row>
    <row r="189" spans="1:112" ht="15">
      <c r="A189" s="168" t="s">
        <v>7432</v>
      </c>
      <c r="B189" s="175"/>
      <c r="C189" s="174">
        <v>2</v>
      </c>
      <c r="D189" s="174">
        <v>32</v>
      </c>
      <c r="E189" s="174">
        <v>2</v>
      </c>
      <c r="F189" s="174">
        <v>5</v>
      </c>
      <c r="I189" s="174"/>
      <c r="K189" s="188">
        <v>5</v>
      </c>
      <c r="L189" s="146">
        <v>42430</v>
      </c>
      <c r="M189" s="174">
        <v>6.8</v>
      </c>
      <c r="N189" s="189">
        <v>42580</v>
      </c>
      <c r="S189" s="174">
        <v>17.670000000000002</v>
      </c>
      <c r="U189" s="159">
        <v>18.5</v>
      </c>
      <c r="AE189" s="174">
        <v>37.54</v>
      </c>
      <c r="AG189" s="174">
        <v>4.41</v>
      </c>
      <c r="AI189" s="174">
        <v>155</v>
      </c>
      <c r="AJ189" s="160">
        <v>42520</v>
      </c>
      <c r="AK189" s="174"/>
      <c r="AL189" s="174"/>
      <c r="AM189" s="174">
        <v>98</v>
      </c>
      <c r="AN189" s="174"/>
      <c r="AO189" s="174"/>
      <c r="AP189" s="174"/>
      <c r="AR189" s="174"/>
      <c r="AS189" s="174"/>
      <c r="AT189" s="174"/>
      <c r="AU189" s="174"/>
      <c r="AV189" s="174"/>
      <c r="AW189" s="174"/>
      <c r="AX189" s="174"/>
      <c r="AY189" s="174"/>
      <c r="BC189" s="174"/>
      <c r="BD189" s="174"/>
      <c r="BE189" s="174"/>
      <c r="BG189" s="174"/>
      <c r="BI189" s="174"/>
      <c r="BJ189" s="174"/>
      <c r="BK189" s="174"/>
      <c r="BM189" s="174">
        <v>61.975999999999999</v>
      </c>
      <c r="BN189" s="174"/>
      <c r="BO189" s="174"/>
      <c r="BP189" s="174"/>
      <c r="BR189" s="174"/>
      <c r="BS189" s="174">
        <v>47.078000000000003</v>
      </c>
      <c r="BT189" s="174"/>
      <c r="BU189" s="190">
        <v>21.371261596679688</v>
      </c>
      <c r="BV189" s="159"/>
      <c r="BW189" s="174">
        <v>9.5389999999999997</v>
      </c>
      <c r="BX189" s="159"/>
      <c r="BY189" s="159"/>
      <c r="CB189" s="165"/>
      <c r="CC189" s="174">
        <v>8.8360000000000003</v>
      </c>
      <c r="CD189" s="165"/>
      <c r="CE189" s="174">
        <v>8.5</v>
      </c>
      <c r="CF189" s="165"/>
      <c r="CH189" s="165"/>
      <c r="CJ189" s="165"/>
      <c r="CL189" s="165"/>
      <c r="CN189" s="165"/>
      <c r="CO189" s="130"/>
      <c r="CP189" s="165"/>
      <c r="CQ189" s="130"/>
      <c r="CR189" s="165"/>
      <c r="CS189" s="130"/>
      <c r="CT189" s="130"/>
      <c r="CU189" s="130"/>
      <c r="CV189" s="130"/>
      <c r="CW189" s="130"/>
      <c r="CX189" s="165"/>
      <c r="CY189" s="130"/>
      <c r="CZ189" s="130"/>
      <c r="DA189" s="130"/>
      <c r="DB189" s="130"/>
      <c r="DC189" s="130"/>
      <c r="DD189" s="130"/>
      <c r="DE189" s="130"/>
      <c r="DF189" s="130"/>
      <c r="DG189" s="130"/>
      <c r="DH189" s="130"/>
    </row>
    <row r="190" spans="1:112" ht="15">
      <c r="A190" s="168" t="s">
        <v>7432</v>
      </c>
      <c r="B190" s="175"/>
      <c r="C190" s="174">
        <v>3</v>
      </c>
      <c r="D190" s="174">
        <v>32</v>
      </c>
      <c r="E190" s="174">
        <v>3</v>
      </c>
      <c r="F190" s="174">
        <v>29</v>
      </c>
      <c r="I190" s="174"/>
      <c r="K190" s="188">
        <v>8</v>
      </c>
      <c r="L190" s="146">
        <v>42430</v>
      </c>
      <c r="M190" s="174">
        <v>7.11</v>
      </c>
      <c r="N190" s="189">
        <v>42580</v>
      </c>
      <c r="S190" s="174">
        <v>18.82</v>
      </c>
      <c r="U190" s="159">
        <v>18.5</v>
      </c>
      <c r="AE190" s="174">
        <v>39.64</v>
      </c>
      <c r="AG190" s="174">
        <v>3.93</v>
      </c>
      <c r="AI190" s="174">
        <v>160</v>
      </c>
      <c r="AJ190" s="160">
        <v>42520</v>
      </c>
      <c r="AK190" s="174"/>
      <c r="AL190" s="174"/>
      <c r="AM190" s="174">
        <v>98</v>
      </c>
      <c r="AN190" s="174"/>
      <c r="AO190" s="174"/>
      <c r="AP190" s="174"/>
      <c r="AR190" s="174"/>
      <c r="AS190" s="174"/>
      <c r="AT190" s="174"/>
      <c r="AU190" s="174"/>
      <c r="AV190" s="174"/>
      <c r="AW190" s="174"/>
      <c r="AX190" s="174"/>
      <c r="AY190" s="174"/>
      <c r="BC190" s="174"/>
      <c r="BD190" s="174"/>
      <c r="BE190" s="174"/>
      <c r="BG190" s="174"/>
      <c r="BI190" s="174"/>
      <c r="BJ190" s="174"/>
      <c r="BK190" s="174"/>
      <c r="BM190" s="174">
        <v>62.49</v>
      </c>
      <c r="BN190" s="174"/>
      <c r="BO190" s="174"/>
      <c r="BP190" s="174"/>
      <c r="BR190" s="174"/>
      <c r="BS190" s="174">
        <v>47.482999999999997</v>
      </c>
      <c r="BT190" s="174"/>
      <c r="BU190" s="190">
        <v>20.976263046264648</v>
      </c>
      <c r="BV190" s="159"/>
      <c r="BW190" s="174">
        <v>10.32</v>
      </c>
      <c r="BX190" s="159"/>
      <c r="BY190" s="159"/>
      <c r="CB190" s="165"/>
      <c r="CC190" s="174">
        <v>7.93</v>
      </c>
      <c r="CD190" s="165"/>
      <c r="CE190" s="174">
        <v>7.8</v>
      </c>
      <c r="CF190" s="165"/>
      <c r="CH190" s="165"/>
      <c r="CJ190" s="165"/>
      <c r="CL190" s="165"/>
      <c r="CN190" s="165"/>
      <c r="CO190" s="130"/>
      <c r="CP190" s="165"/>
      <c r="CQ190" s="130"/>
      <c r="CR190" s="165"/>
      <c r="CS190" s="130"/>
      <c r="CT190" s="130"/>
      <c r="CU190" s="130"/>
      <c r="CV190" s="130"/>
      <c r="CW190" s="130"/>
      <c r="CX190" s="165"/>
      <c r="CY190" s="130"/>
      <c r="CZ190" s="130"/>
      <c r="DA190" s="130"/>
      <c r="DB190" s="130"/>
      <c r="DC190" s="130"/>
      <c r="DD190" s="130"/>
      <c r="DE190" s="130"/>
      <c r="DF190" s="130"/>
      <c r="DG190" s="130"/>
      <c r="DH190" s="130"/>
    </row>
    <row r="191" spans="1:112" ht="15">
      <c r="A191" s="168" t="s">
        <v>7432</v>
      </c>
      <c r="B191" s="175"/>
      <c r="C191" s="174">
        <v>4</v>
      </c>
      <c r="D191" s="174">
        <v>32</v>
      </c>
      <c r="E191" s="174">
        <v>4</v>
      </c>
      <c r="F191" s="174">
        <v>22</v>
      </c>
      <c r="I191" s="174"/>
      <c r="K191" s="188">
        <v>7</v>
      </c>
      <c r="L191" s="146">
        <v>42430</v>
      </c>
      <c r="M191" s="174">
        <v>6.35</v>
      </c>
      <c r="N191" s="189">
        <v>42580</v>
      </c>
      <c r="S191" s="174">
        <v>16.829999999999998</v>
      </c>
      <c r="U191" s="159">
        <v>18.5</v>
      </c>
      <c r="AE191" s="174">
        <v>35.33</v>
      </c>
      <c r="AG191" s="174">
        <v>4.21</v>
      </c>
      <c r="AI191" s="174">
        <v>145</v>
      </c>
      <c r="AJ191" s="160">
        <v>42520</v>
      </c>
      <c r="AK191" s="174"/>
      <c r="AL191" s="174"/>
      <c r="AM191" s="174">
        <v>95</v>
      </c>
      <c r="AN191" s="174"/>
      <c r="AO191" s="174"/>
      <c r="AP191" s="174"/>
      <c r="AR191" s="174"/>
      <c r="AS191" s="174"/>
      <c r="AT191" s="174"/>
      <c r="AU191" s="174"/>
      <c r="AV191" s="174"/>
      <c r="AW191" s="174"/>
      <c r="AX191" s="174"/>
      <c r="AY191" s="174"/>
      <c r="BC191" s="174"/>
      <c r="BD191" s="174"/>
      <c r="BE191" s="174"/>
      <c r="BG191" s="174"/>
      <c r="BI191" s="174"/>
      <c r="BJ191" s="174"/>
      <c r="BK191" s="174"/>
      <c r="BM191" s="174">
        <v>63.64</v>
      </c>
      <c r="BN191" s="174"/>
      <c r="BO191" s="174"/>
      <c r="BP191" s="174"/>
      <c r="BR191" s="174"/>
      <c r="BS191" s="174">
        <v>47.63</v>
      </c>
      <c r="BT191" s="174"/>
      <c r="BU191" s="190">
        <v>20.414621353149414</v>
      </c>
      <c r="BV191" s="159"/>
      <c r="BW191" s="174">
        <v>9.6539999999999999</v>
      </c>
      <c r="BX191" s="159"/>
      <c r="BY191" s="159"/>
      <c r="CB191" s="165"/>
      <c r="CC191" s="174">
        <v>8.1129999999999995</v>
      </c>
      <c r="CD191" s="165"/>
      <c r="CE191" s="174">
        <v>7.8</v>
      </c>
      <c r="CF191" s="165"/>
      <c r="CH191" s="165"/>
      <c r="CJ191" s="165"/>
      <c r="CL191" s="165"/>
      <c r="CN191" s="165"/>
      <c r="CO191" s="130"/>
      <c r="CP191" s="165"/>
      <c r="CQ191" s="130"/>
      <c r="CR191" s="165"/>
      <c r="CS191" s="130"/>
      <c r="CT191" s="130"/>
      <c r="CU191" s="130"/>
      <c r="CV191" s="130"/>
      <c r="CW191" s="130"/>
      <c r="CX191" s="165"/>
      <c r="CY191" s="130"/>
      <c r="CZ191" s="130"/>
      <c r="DA191" s="130"/>
      <c r="DB191" s="130"/>
      <c r="DC191" s="130"/>
      <c r="DD191" s="130"/>
      <c r="DE191" s="130"/>
      <c r="DF191" s="130"/>
      <c r="DG191" s="130"/>
      <c r="DH191" s="130"/>
    </row>
    <row r="192" spans="1:112" ht="15">
      <c r="A192" s="168" t="s">
        <v>7432</v>
      </c>
      <c r="B192" s="175"/>
      <c r="C192" s="174">
        <v>5</v>
      </c>
      <c r="D192" s="174">
        <v>32</v>
      </c>
      <c r="E192" s="174">
        <v>5</v>
      </c>
      <c r="F192" s="174">
        <v>29</v>
      </c>
      <c r="I192" s="174"/>
      <c r="K192" s="188">
        <v>7</v>
      </c>
      <c r="L192" s="146">
        <v>42430</v>
      </c>
      <c r="M192" s="174">
        <v>6.99</v>
      </c>
      <c r="N192" s="189">
        <v>42580</v>
      </c>
      <c r="S192" s="174">
        <v>19.149999999999999</v>
      </c>
      <c r="U192" s="159">
        <v>18.5</v>
      </c>
      <c r="AE192" s="174">
        <v>38.97</v>
      </c>
      <c r="AG192" s="174">
        <v>4.0199999999999996</v>
      </c>
      <c r="AI192" s="174">
        <v>150</v>
      </c>
      <c r="AJ192" s="160">
        <v>42520</v>
      </c>
      <c r="AK192" s="174"/>
      <c r="AL192" s="174"/>
      <c r="AM192" s="174">
        <v>95</v>
      </c>
      <c r="AN192" s="174"/>
      <c r="AO192" s="174"/>
      <c r="AP192" s="174"/>
      <c r="AR192" s="174"/>
      <c r="AS192" s="174"/>
      <c r="AT192" s="174"/>
      <c r="AU192" s="174"/>
      <c r="AV192" s="174"/>
      <c r="AW192" s="174"/>
      <c r="AX192" s="174"/>
      <c r="AY192" s="175"/>
      <c r="BC192" s="174"/>
      <c r="BD192" s="174"/>
      <c r="BE192" s="174"/>
      <c r="BG192" s="174"/>
      <c r="BI192" s="174"/>
      <c r="BJ192" s="174"/>
      <c r="BK192" s="174"/>
      <c r="BM192" s="174">
        <v>62.804000000000002</v>
      </c>
      <c r="BN192" s="174"/>
      <c r="BO192" s="174"/>
      <c r="BP192" s="174"/>
      <c r="BR192" s="174"/>
      <c r="BS192" s="174">
        <v>49.139000000000003</v>
      </c>
      <c r="BT192" s="174"/>
      <c r="BU192" s="190">
        <v>18.945159912109375</v>
      </c>
      <c r="BV192" s="159"/>
      <c r="BW192" s="174">
        <v>9.0380000000000003</v>
      </c>
      <c r="BX192" s="159"/>
      <c r="BY192" s="159"/>
      <c r="CB192" s="165"/>
      <c r="CC192" s="174">
        <v>7.9260000000000002</v>
      </c>
      <c r="CD192" s="165"/>
      <c r="CE192" s="174">
        <v>7.7</v>
      </c>
      <c r="CF192" s="165"/>
      <c r="CH192" s="165"/>
      <c r="CJ192" s="165"/>
      <c r="CL192" s="165"/>
      <c r="CN192" s="165"/>
      <c r="CO192" s="130"/>
      <c r="CP192" s="165"/>
      <c r="CQ192" s="130"/>
      <c r="CR192" s="165"/>
      <c r="CS192" s="130"/>
      <c r="CT192" s="130"/>
      <c r="CU192" s="130"/>
      <c r="CV192" s="130"/>
      <c r="CW192" s="130"/>
      <c r="CX192" s="165"/>
      <c r="CY192" s="130"/>
      <c r="CZ192" s="130"/>
      <c r="DA192" s="130"/>
      <c r="DB192" s="130"/>
      <c r="DC192" s="130"/>
      <c r="DD192" s="130"/>
      <c r="DE192" s="130"/>
      <c r="DF192" s="130"/>
      <c r="DG192" s="130"/>
      <c r="DH192" s="130"/>
    </row>
    <row r="193" spans="1:112" ht="15">
      <c r="A193" s="168" t="s">
        <v>7432</v>
      </c>
      <c r="B193" s="175"/>
      <c r="C193" s="174">
        <v>6</v>
      </c>
      <c r="D193" s="174">
        <v>32</v>
      </c>
      <c r="E193" s="174">
        <v>6</v>
      </c>
      <c r="F193" s="174">
        <v>17</v>
      </c>
      <c r="I193" s="174"/>
      <c r="K193" s="188">
        <v>7</v>
      </c>
      <c r="L193" s="146">
        <v>42430</v>
      </c>
      <c r="M193" s="174">
        <v>6.6</v>
      </c>
      <c r="N193" s="189">
        <v>42580</v>
      </c>
      <c r="S193" s="174">
        <v>17.66</v>
      </c>
      <c r="U193" s="159">
        <v>18.5</v>
      </c>
      <c r="AE193" s="174">
        <v>36.81</v>
      </c>
      <c r="AG193" s="174">
        <v>4.21</v>
      </c>
      <c r="AI193" s="174">
        <v>140</v>
      </c>
      <c r="AJ193" s="160">
        <v>42520</v>
      </c>
      <c r="AK193" s="174"/>
      <c r="AL193" s="174"/>
      <c r="AM193" s="174">
        <v>95</v>
      </c>
      <c r="AN193" s="174"/>
      <c r="AO193" s="174"/>
      <c r="AP193" s="174"/>
      <c r="AR193" s="174"/>
      <c r="AS193" s="174"/>
      <c r="AT193" s="174"/>
      <c r="AU193" s="174"/>
      <c r="AV193" s="174"/>
      <c r="AW193" s="174"/>
      <c r="AX193" s="174"/>
      <c r="AY193" s="174"/>
      <c r="BC193" s="174"/>
      <c r="BD193" s="174"/>
      <c r="BE193" s="174"/>
      <c r="BG193" s="174"/>
      <c r="BI193" s="174"/>
      <c r="BJ193" s="174"/>
      <c r="BK193" s="174"/>
      <c r="BM193" s="174">
        <v>61.935000000000002</v>
      </c>
      <c r="BN193" s="174"/>
      <c r="BO193" s="174"/>
      <c r="BP193" s="174"/>
      <c r="BR193" s="174"/>
      <c r="BS193" s="174">
        <v>47.975999999999999</v>
      </c>
      <c r="BT193" s="174"/>
      <c r="BU193" s="190">
        <v>19.955223083496094</v>
      </c>
      <c r="BV193" s="159"/>
      <c r="BW193" s="174">
        <v>9.4440000000000008</v>
      </c>
      <c r="BX193" s="159"/>
      <c r="BY193" s="159"/>
      <c r="CB193" s="165"/>
      <c r="CC193" s="174">
        <v>7.9109999999999996</v>
      </c>
      <c r="CD193" s="165"/>
      <c r="CE193" s="174">
        <v>7.7</v>
      </c>
      <c r="CF193" s="165"/>
      <c r="CH193" s="165"/>
      <c r="CJ193" s="165"/>
      <c r="CL193" s="165"/>
      <c r="CN193" s="165"/>
      <c r="CO193" s="130"/>
      <c r="CP193" s="165"/>
      <c r="CQ193" s="130"/>
      <c r="CR193" s="165"/>
      <c r="CS193" s="130"/>
      <c r="CT193" s="130"/>
      <c r="CU193" s="130"/>
      <c r="CV193" s="130"/>
      <c r="CW193" s="130"/>
      <c r="CX193" s="165"/>
      <c r="CY193" s="130"/>
      <c r="CZ193" s="130"/>
      <c r="DA193" s="130"/>
      <c r="DB193" s="130"/>
      <c r="DC193" s="130"/>
      <c r="DD193" s="130"/>
      <c r="DE193" s="130"/>
      <c r="DF193" s="130"/>
      <c r="DG193" s="130"/>
      <c r="DH193" s="130"/>
    </row>
    <row r="194" spans="1:112" ht="15">
      <c r="A194" s="168" t="s">
        <v>7433</v>
      </c>
      <c r="B194" s="175"/>
      <c r="C194" s="174">
        <v>1</v>
      </c>
      <c r="D194" s="174">
        <v>33</v>
      </c>
      <c r="E194" s="174">
        <v>1</v>
      </c>
      <c r="F194" s="174">
        <v>28</v>
      </c>
      <c r="I194" s="174"/>
      <c r="K194" s="188">
        <v>7</v>
      </c>
      <c r="L194" s="146">
        <v>42430</v>
      </c>
      <c r="M194" s="174">
        <v>6.93</v>
      </c>
      <c r="N194" s="189">
        <v>42580</v>
      </c>
      <c r="S194" s="174">
        <v>18.79</v>
      </c>
      <c r="U194" s="159">
        <v>18.5</v>
      </c>
      <c r="AE194" s="174">
        <v>38.65</v>
      </c>
      <c r="AG194" s="174">
        <v>4.1900000000000004</v>
      </c>
      <c r="AI194" s="174">
        <v>160</v>
      </c>
      <c r="AJ194" s="160">
        <v>42520</v>
      </c>
      <c r="AK194" s="174"/>
      <c r="AL194" s="174"/>
      <c r="AM194" s="174">
        <v>95</v>
      </c>
      <c r="AN194" s="174"/>
      <c r="AO194" s="174"/>
      <c r="AP194" s="174"/>
      <c r="AR194" s="174"/>
      <c r="AS194" s="174"/>
      <c r="AT194" s="174"/>
      <c r="AU194" s="174"/>
      <c r="AV194" s="174"/>
      <c r="AW194" s="174"/>
      <c r="AX194" s="174"/>
      <c r="AY194" s="175"/>
      <c r="BC194" s="174"/>
      <c r="BD194" s="174"/>
      <c r="BE194" s="174"/>
      <c r="BG194" s="174"/>
      <c r="BI194" s="174"/>
      <c r="BJ194" s="174"/>
      <c r="BK194" s="174"/>
      <c r="BM194" s="174">
        <v>62.814</v>
      </c>
      <c r="BN194" s="174"/>
      <c r="BO194" s="174"/>
      <c r="BP194" s="174"/>
      <c r="BR194" s="174"/>
      <c r="BS194" s="174">
        <v>48.628</v>
      </c>
      <c r="BT194" s="174"/>
      <c r="BU194" s="190">
        <v>20.67155647277832</v>
      </c>
      <c r="BV194" s="159"/>
      <c r="BW194" s="174">
        <v>14.007</v>
      </c>
      <c r="BX194" s="159"/>
      <c r="BY194" s="159"/>
      <c r="CB194" s="165"/>
      <c r="CC194" s="174">
        <v>7.8879999999999999</v>
      </c>
      <c r="CD194" s="165"/>
      <c r="CE194" s="174">
        <v>7.5</v>
      </c>
      <c r="CF194" s="165"/>
      <c r="CH194" s="165"/>
      <c r="CJ194" s="165"/>
      <c r="CL194" s="165"/>
      <c r="CN194" s="165"/>
      <c r="CO194" s="130"/>
      <c r="CP194" s="165"/>
      <c r="CQ194" s="130"/>
      <c r="CR194" s="165"/>
      <c r="CS194" s="130"/>
      <c r="CT194" s="130"/>
      <c r="CU194" s="130"/>
      <c r="CV194" s="130"/>
      <c r="CW194" s="130"/>
      <c r="CX194" s="165"/>
      <c r="CY194" s="130"/>
      <c r="CZ194" s="130"/>
      <c r="DA194" s="130"/>
      <c r="DB194" s="130"/>
      <c r="DC194" s="130"/>
      <c r="DD194" s="130"/>
      <c r="DE194" s="130"/>
      <c r="DF194" s="130"/>
      <c r="DG194" s="130"/>
      <c r="DH194" s="130"/>
    </row>
    <row r="195" spans="1:112" ht="15">
      <c r="A195" s="168" t="s">
        <v>7433</v>
      </c>
      <c r="B195" s="175"/>
      <c r="C195" s="174">
        <v>2</v>
      </c>
      <c r="D195" s="174">
        <v>33</v>
      </c>
      <c r="E195" s="174">
        <v>2</v>
      </c>
      <c r="F195" s="174">
        <v>8</v>
      </c>
      <c r="I195" s="174"/>
      <c r="K195" s="188">
        <v>7</v>
      </c>
      <c r="L195" s="146">
        <v>42430</v>
      </c>
      <c r="M195" s="174">
        <v>6.93</v>
      </c>
      <c r="N195" s="189">
        <v>42580</v>
      </c>
      <c r="S195" s="174">
        <v>18.62</v>
      </c>
      <c r="U195" s="159">
        <v>18.5</v>
      </c>
      <c r="AE195" s="174">
        <v>38.380000000000003</v>
      </c>
      <c r="AG195" s="174">
        <v>3.38</v>
      </c>
      <c r="AI195" s="174">
        <v>140</v>
      </c>
      <c r="AJ195" s="160">
        <v>42520</v>
      </c>
      <c r="AK195" s="174"/>
      <c r="AL195" s="174"/>
      <c r="AM195" s="174">
        <v>95</v>
      </c>
      <c r="AN195" s="174"/>
      <c r="AO195" s="174"/>
      <c r="AP195" s="174"/>
      <c r="AR195" s="174"/>
      <c r="AS195" s="174"/>
      <c r="AT195" s="174"/>
      <c r="AU195" s="174"/>
      <c r="AV195" s="174"/>
      <c r="AW195" s="174"/>
      <c r="AX195" s="174"/>
      <c r="AY195" s="174"/>
      <c r="BC195" s="174"/>
      <c r="BD195" s="174"/>
      <c r="BE195" s="174"/>
      <c r="BG195" s="174"/>
      <c r="BI195" s="174"/>
      <c r="BJ195" s="174"/>
      <c r="BK195" s="174"/>
      <c r="BM195" s="174">
        <v>61.851999999999997</v>
      </c>
      <c r="BN195" s="174"/>
      <c r="BO195" s="174"/>
      <c r="BP195" s="174"/>
      <c r="BR195" s="174"/>
      <c r="BS195" s="174">
        <v>48.509</v>
      </c>
      <c r="BT195" s="174"/>
      <c r="BU195" s="190">
        <v>20.328475952148437</v>
      </c>
      <c r="BV195" s="159"/>
      <c r="BW195" s="174">
        <v>15.693</v>
      </c>
      <c r="BX195" s="159"/>
      <c r="BY195" s="159"/>
      <c r="CB195" s="165"/>
      <c r="CC195" s="174">
        <v>8.5500000000000007</v>
      </c>
      <c r="CD195" s="165"/>
      <c r="CE195" s="174">
        <v>7.9</v>
      </c>
      <c r="CF195" s="165"/>
      <c r="CH195" s="165"/>
      <c r="CJ195" s="165"/>
      <c r="CL195" s="165"/>
      <c r="CN195" s="165"/>
      <c r="CO195" s="130"/>
      <c r="CP195" s="165"/>
      <c r="CQ195" s="130"/>
      <c r="CR195" s="165"/>
      <c r="CS195" s="130"/>
      <c r="CT195" s="130"/>
      <c r="CU195" s="130"/>
      <c r="CV195" s="130"/>
      <c r="CW195" s="130"/>
      <c r="CX195" s="165"/>
      <c r="CY195" s="130"/>
      <c r="CZ195" s="130"/>
      <c r="DA195" s="130"/>
      <c r="DB195" s="130"/>
      <c r="DC195" s="130"/>
      <c r="DD195" s="130"/>
      <c r="DE195" s="130"/>
      <c r="DF195" s="130"/>
      <c r="DG195" s="130"/>
      <c r="DH195" s="130"/>
    </row>
    <row r="196" spans="1:112" ht="15">
      <c r="A196" s="168" t="s">
        <v>7433</v>
      </c>
      <c r="B196" s="175"/>
      <c r="C196" s="174">
        <v>3</v>
      </c>
      <c r="D196" s="174">
        <v>33</v>
      </c>
      <c r="E196" s="174">
        <v>3</v>
      </c>
      <c r="F196" s="174">
        <v>19</v>
      </c>
      <c r="I196" s="174"/>
      <c r="K196" s="188">
        <v>7</v>
      </c>
      <c r="L196" s="146">
        <v>42430</v>
      </c>
      <c r="M196" s="174">
        <v>5.94</v>
      </c>
      <c r="N196" s="189">
        <v>42580</v>
      </c>
      <c r="S196" s="174">
        <v>15.96</v>
      </c>
      <c r="U196" s="159">
        <v>18.5</v>
      </c>
      <c r="AE196" s="174">
        <v>33.119999999999997</v>
      </c>
      <c r="AG196" s="174">
        <v>4.1399999999999997</v>
      </c>
      <c r="AI196" s="174">
        <v>160</v>
      </c>
      <c r="AJ196" s="160">
        <v>42520</v>
      </c>
      <c r="AK196" s="174"/>
      <c r="AL196" s="174"/>
      <c r="AM196" s="174">
        <v>92</v>
      </c>
      <c r="AN196" s="174"/>
      <c r="AO196" s="174"/>
      <c r="AP196" s="174"/>
      <c r="AR196" s="174"/>
      <c r="AS196" s="174"/>
      <c r="AT196" s="174"/>
      <c r="AU196" s="174"/>
      <c r="AV196" s="174"/>
      <c r="AW196" s="174"/>
      <c r="AX196" s="174"/>
      <c r="AY196" s="174"/>
      <c r="BC196" s="174"/>
      <c r="BD196" s="174"/>
      <c r="BE196" s="174"/>
      <c r="BG196" s="174"/>
      <c r="BI196" s="174"/>
      <c r="BJ196" s="174"/>
      <c r="BK196" s="174"/>
      <c r="BM196" s="174">
        <v>62.42</v>
      </c>
      <c r="BN196" s="174"/>
      <c r="BO196" s="174"/>
      <c r="BP196" s="174"/>
      <c r="BR196" s="174"/>
      <c r="BS196" s="174">
        <v>48.195999999999998</v>
      </c>
      <c r="BT196" s="174"/>
      <c r="BU196" s="190">
        <v>20.69108772277832</v>
      </c>
      <c r="BV196" s="159"/>
      <c r="BW196" s="174">
        <v>13.574999999999999</v>
      </c>
      <c r="BX196" s="159"/>
      <c r="BY196" s="159"/>
      <c r="CB196" s="165"/>
      <c r="CC196" s="174">
        <v>7.9329999999999998</v>
      </c>
      <c r="CD196" s="165"/>
      <c r="CE196" s="174">
        <v>7.8</v>
      </c>
      <c r="CF196" s="165"/>
      <c r="CH196" s="165"/>
      <c r="CJ196" s="165"/>
      <c r="CL196" s="165"/>
      <c r="CN196" s="165"/>
      <c r="CO196" s="130"/>
      <c r="CP196" s="165"/>
      <c r="CQ196" s="130"/>
      <c r="CR196" s="165"/>
      <c r="CS196" s="130"/>
      <c r="CT196" s="130"/>
      <c r="CU196" s="130"/>
      <c r="CV196" s="130"/>
      <c r="CW196" s="130"/>
      <c r="CX196" s="165"/>
      <c r="CY196" s="130"/>
      <c r="CZ196" s="130"/>
      <c r="DA196" s="130"/>
      <c r="DB196" s="130"/>
      <c r="DC196" s="130"/>
      <c r="DD196" s="130"/>
      <c r="DE196" s="130"/>
      <c r="DF196" s="130"/>
      <c r="DG196" s="130"/>
      <c r="DH196" s="130"/>
    </row>
    <row r="197" spans="1:112" ht="15">
      <c r="A197" s="168" t="s">
        <v>7433</v>
      </c>
      <c r="B197" s="175"/>
      <c r="C197" s="174">
        <v>4</v>
      </c>
      <c r="D197" s="174">
        <v>33</v>
      </c>
      <c r="E197" s="174">
        <v>4</v>
      </c>
      <c r="F197" s="174">
        <v>18</v>
      </c>
      <c r="I197" s="174"/>
      <c r="K197" s="188">
        <v>5</v>
      </c>
      <c r="L197" s="146">
        <v>42430</v>
      </c>
      <c r="M197" s="174">
        <v>6.59</v>
      </c>
      <c r="N197" s="189">
        <v>42580</v>
      </c>
      <c r="S197" s="174">
        <v>18.27</v>
      </c>
      <c r="U197" s="159">
        <v>18.5</v>
      </c>
      <c r="AE197" s="174">
        <v>36.799999999999997</v>
      </c>
      <c r="AG197" s="174">
        <v>4.18</v>
      </c>
      <c r="AI197" s="174">
        <v>160</v>
      </c>
      <c r="AJ197" s="160">
        <v>42520</v>
      </c>
      <c r="AK197" s="174"/>
      <c r="AL197" s="174"/>
      <c r="AM197" s="174">
        <v>95</v>
      </c>
      <c r="AN197" s="174"/>
      <c r="AO197" s="174"/>
      <c r="AP197" s="174"/>
      <c r="AR197" s="174"/>
      <c r="AS197" s="174"/>
      <c r="AT197" s="174"/>
      <c r="AU197" s="174"/>
      <c r="AV197" s="174"/>
      <c r="AW197" s="174"/>
      <c r="AX197" s="174"/>
      <c r="AY197" s="175"/>
      <c r="BC197" s="174"/>
      <c r="BD197" s="174"/>
      <c r="BE197" s="174"/>
      <c r="BG197" s="174"/>
      <c r="BI197" s="174"/>
      <c r="BJ197" s="174"/>
      <c r="BK197" s="174"/>
      <c r="BM197" s="174">
        <v>62.712000000000003</v>
      </c>
      <c r="BN197" s="174"/>
      <c r="BO197" s="174"/>
      <c r="BP197" s="174"/>
      <c r="BR197" s="174"/>
      <c r="BS197" s="174">
        <v>49.636000000000003</v>
      </c>
      <c r="BT197" s="174"/>
      <c r="BU197" s="190">
        <v>19.637008666992188</v>
      </c>
      <c r="BV197" s="159"/>
      <c r="BW197" s="174">
        <v>15.292</v>
      </c>
      <c r="BX197" s="159"/>
      <c r="BY197" s="159"/>
      <c r="CB197" s="165"/>
      <c r="CC197" s="174">
        <v>7.7859999999999996</v>
      </c>
      <c r="CD197" s="165"/>
      <c r="CE197" s="174">
        <v>7.2</v>
      </c>
      <c r="CF197" s="165"/>
      <c r="CH197" s="165"/>
      <c r="CJ197" s="165"/>
      <c r="CL197" s="165"/>
      <c r="CN197" s="165"/>
      <c r="CO197" s="130"/>
      <c r="CP197" s="165"/>
      <c r="CQ197" s="130"/>
      <c r="CR197" s="165"/>
      <c r="CS197" s="130"/>
      <c r="CT197" s="130"/>
      <c r="CU197" s="130"/>
      <c r="CV197" s="130"/>
      <c r="CW197" s="130"/>
      <c r="CX197" s="165"/>
      <c r="CY197" s="130"/>
      <c r="CZ197" s="130"/>
      <c r="DA197" s="130"/>
      <c r="DB197" s="130"/>
      <c r="DC197" s="130"/>
      <c r="DD197" s="130"/>
      <c r="DE197" s="130"/>
      <c r="DF197" s="130"/>
      <c r="DG197" s="130"/>
      <c r="DH197" s="130"/>
    </row>
    <row r="198" spans="1:112" ht="15">
      <c r="A198" s="168" t="s">
        <v>7433</v>
      </c>
      <c r="B198" s="175"/>
      <c r="C198" s="174">
        <v>5</v>
      </c>
      <c r="D198" s="174">
        <v>33</v>
      </c>
      <c r="E198" s="174">
        <v>5</v>
      </c>
      <c r="F198" s="174">
        <v>22</v>
      </c>
      <c r="I198" s="174"/>
      <c r="K198" s="188">
        <v>3</v>
      </c>
      <c r="L198" s="146">
        <v>42430</v>
      </c>
      <c r="M198" s="174">
        <v>5.84</v>
      </c>
      <c r="N198" s="189">
        <v>42580</v>
      </c>
      <c r="S198" s="174">
        <v>16.16</v>
      </c>
      <c r="U198" s="159">
        <v>18.5</v>
      </c>
      <c r="AE198" s="174">
        <v>32.61</v>
      </c>
      <c r="AG198" s="174">
        <v>4.13</v>
      </c>
      <c r="AI198" s="174">
        <v>160</v>
      </c>
      <c r="AJ198" s="160">
        <v>42520</v>
      </c>
      <c r="AK198" s="174"/>
      <c r="AL198" s="174"/>
      <c r="AM198" s="174">
        <v>95</v>
      </c>
      <c r="AN198" s="174"/>
      <c r="AO198" s="174"/>
      <c r="AP198" s="174"/>
      <c r="AR198" s="174"/>
      <c r="AS198" s="174"/>
      <c r="AT198" s="174"/>
      <c r="AU198" s="174"/>
      <c r="AV198" s="174"/>
      <c r="AW198" s="174"/>
      <c r="AX198" s="174"/>
      <c r="AY198" s="174"/>
      <c r="BC198" s="174"/>
      <c r="BD198" s="174"/>
      <c r="BE198" s="174"/>
      <c r="BG198" s="174"/>
      <c r="BI198" s="174"/>
      <c r="BJ198" s="174"/>
      <c r="BK198" s="174"/>
      <c r="BM198" s="174">
        <v>63.854999999999997</v>
      </c>
      <c r="BN198" s="174"/>
      <c r="BO198" s="174"/>
      <c r="BP198" s="174"/>
      <c r="BR198" s="174"/>
      <c r="BS198" s="174">
        <v>49.545999999999999</v>
      </c>
      <c r="BT198" s="174"/>
      <c r="BU198" s="190">
        <v>19.014442443847656</v>
      </c>
      <c r="BV198" s="159"/>
      <c r="BW198" s="174">
        <v>16.181999999999999</v>
      </c>
      <c r="BX198" s="159"/>
      <c r="BY198" s="159"/>
      <c r="CB198" s="165"/>
      <c r="CC198" s="174">
        <v>7.7869999999999999</v>
      </c>
      <c r="CD198" s="165"/>
      <c r="CE198" s="174">
        <v>7.1</v>
      </c>
      <c r="CF198" s="165"/>
      <c r="CH198" s="165"/>
      <c r="CJ198" s="165"/>
      <c r="CL198" s="165"/>
      <c r="CN198" s="165"/>
      <c r="CO198" s="130"/>
      <c r="CP198" s="165"/>
      <c r="CQ198" s="130"/>
      <c r="CR198" s="165"/>
      <c r="CS198" s="130"/>
      <c r="CT198" s="130"/>
      <c r="CU198" s="130"/>
      <c r="CV198" s="130"/>
      <c r="CW198" s="130"/>
      <c r="CX198" s="165"/>
      <c r="CY198" s="130"/>
      <c r="CZ198" s="130"/>
      <c r="DA198" s="130"/>
      <c r="DB198" s="130"/>
      <c r="DC198" s="130"/>
      <c r="DD198" s="130"/>
      <c r="DE198" s="130"/>
      <c r="DF198" s="130"/>
      <c r="DG198" s="130"/>
      <c r="DH198" s="130"/>
    </row>
    <row r="199" spans="1:112" ht="15">
      <c r="A199" s="168" t="s">
        <v>7433</v>
      </c>
      <c r="B199" s="175"/>
      <c r="C199" s="174">
        <v>6</v>
      </c>
      <c r="D199" s="174">
        <v>33</v>
      </c>
      <c r="E199" s="174">
        <v>6</v>
      </c>
      <c r="F199" s="174">
        <v>9</v>
      </c>
      <c r="I199" s="174"/>
      <c r="K199" s="188">
        <v>5</v>
      </c>
      <c r="L199" s="146">
        <v>42430</v>
      </c>
      <c r="M199" s="174">
        <v>6.97</v>
      </c>
      <c r="N199" s="189">
        <v>42580</v>
      </c>
      <c r="S199" s="174">
        <v>19.89</v>
      </c>
      <c r="U199" s="159">
        <v>18.5</v>
      </c>
      <c r="AE199" s="174">
        <v>39</v>
      </c>
      <c r="AG199" s="174">
        <v>4.0999999999999996</v>
      </c>
      <c r="AI199" s="174">
        <v>160</v>
      </c>
      <c r="AJ199" s="160">
        <v>42520</v>
      </c>
      <c r="AK199" s="174"/>
      <c r="AL199" s="174"/>
      <c r="AM199" s="174">
        <v>95</v>
      </c>
      <c r="AN199" s="174"/>
      <c r="AO199" s="174"/>
      <c r="AP199" s="174"/>
      <c r="AR199" s="174"/>
      <c r="AS199" s="174"/>
      <c r="AT199" s="174"/>
      <c r="AU199" s="174"/>
      <c r="AV199" s="174"/>
      <c r="AW199" s="174"/>
      <c r="AX199" s="174"/>
      <c r="AY199" s="174"/>
      <c r="BC199" s="174"/>
      <c r="BD199" s="174"/>
      <c r="BE199" s="174"/>
      <c r="BG199" s="174"/>
      <c r="BI199" s="174"/>
      <c r="BJ199" s="174"/>
      <c r="BK199" s="174"/>
      <c r="BM199" s="174">
        <v>62.595999999999997</v>
      </c>
      <c r="BN199" s="174"/>
      <c r="BO199" s="174"/>
      <c r="BP199" s="174"/>
      <c r="BR199" s="174"/>
      <c r="BS199" s="174">
        <v>51.006</v>
      </c>
      <c r="BT199" s="174"/>
      <c r="BU199" s="190">
        <v>18.958221435546875</v>
      </c>
      <c r="BV199" s="159"/>
      <c r="BW199" s="174">
        <v>17.981999999999999</v>
      </c>
      <c r="BX199" s="159"/>
      <c r="BY199" s="159"/>
      <c r="CB199" s="165"/>
      <c r="CC199" s="174">
        <v>7.6070000000000002</v>
      </c>
      <c r="CD199" s="165"/>
      <c r="CE199" s="174">
        <v>7.1</v>
      </c>
      <c r="CF199" s="165"/>
      <c r="CH199" s="165"/>
      <c r="CJ199" s="165"/>
      <c r="CL199" s="165"/>
      <c r="CN199" s="165"/>
      <c r="CO199" s="130"/>
      <c r="CP199" s="165"/>
      <c r="CQ199" s="130"/>
      <c r="CR199" s="165"/>
      <c r="CS199" s="130"/>
      <c r="CT199" s="130"/>
      <c r="CU199" s="130"/>
      <c r="CV199" s="130"/>
      <c r="CW199" s="130"/>
      <c r="CX199" s="165"/>
      <c r="CY199" s="130"/>
      <c r="CZ199" s="130"/>
      <c r="DA199" s="130"/>
      <c r="DB199" s="130"/>
      <c r="DC199" s="130"/>
      <c r="DD199" s="130"/>
      <c r="DE199" s="130"/>
      <c r="DF199" s="130"/>
      <c r="DG199" s="130"/>
      <c r="DH199" s="130"/>
    </row>
    <row r="200" spans="1:112" ht="15">
      <c r="A200" s="168" t="s">
        <v>256</v>
      </c>
      <c r="B200" s="175"/>
      <c r="C200" s="174">
        <v>1</v>
      </c>
      <c r="D200" s="174">
        <v>34</v>
      </c>
      <c r="E200" s="174">
        <v>1</v>
      </c>
      <c r="F200" s="174">
        <v>26</v>
      </c>
      <c r="I200" s="174"/>
      <c r="K200" s="188">
        <v>5</v>
      </c>
      <c r="L200" s="146">
        <v>42430</v>
      </c>
      <c r="M200" s="174">
        <v>6.07</v>
      </c>
      <c r="N200" s="189">
        <v>42580</v>
      </c>
      <c r="S200" s="174">
        <v>15.27</v>
      </c>
      <c r="U200" s="159">
        <v>18.5</v>
      </c>
      <c r="AE200" s="174">
        <v>33.32</v>
      </c>
      <c r="AG200" s="174">
        <v>3.29</v>
      </c>
      <c r="AI200" s="174">
        <v>150</v>
      </c>
      <c r="AJ200" s="160">
        <v>42520</v>
      </c>
      <c r="AK200" s="174"/>
      <c r="AL200" s="174"/>
      <c r="AM200" s="174">
        <v>95</v>
      </c>
      <c r="AN200" s="174"/>
      <c r="AO200" s="174"/>
      <c r="AP200" s="174"/>
      <c r="AR200" s="174"/>
      <c r="AS200" s="174"/>
      <c r="AT200" s="174"/>
      <c r="AU200" s="174"/>
      <c r="AV200" s="174"/>
      <c r="AW200" s="174"/>
      <c r="AX200" s="174"/>
      <c r="AY200" s="175"/>
      <c r="BC200" s="174"/>
      <c r="BD200" s="174"/>
      <c r="BE200" s="174"/>
      <c r="BG200" s="174"/>
      <c r="BI200" s="174"/>
      <c r="BJ200" s="174"/>
      <c r="BK200" s="174"/>
      <c r="BM200" s="174">
        <v>61.606000000000002</v>
      </c>
      <c r="BN200" s="174"/>
      <c r="BO200" s="174"/>
      <c r="BP200" s="174"/>
      <c r="BR200" s="174"/>
      <c r="BS200" s="174">
        <v>45.837000000000003</v>
      </c>
      <c r="BT200" s="174"/>
      <c r="BU200" s="190">
        <v>21.217111587524414</v>
      </c>
      <c r="BV200" s="159"/>
      <c r="BW200" s="174">
        <v>16.651</v>
      </c>
      <c r="BX200" s="159"/>
      <c r="BY200" s="159"/>
      <c r="CB200" s="165"/>
      <c r="CC200" s="174">
        <v>9.359</v>
      </c>
      <c r="CD200" s="165"/>
      <c r="CE200" s="174">
        <v>8.1999999999999993</v>
      </c>
      <c r="CF200" s="165"/>
      <c r="CH200" s="165"/>
      <c r="CJ200" s="165"/>
      <c r="CL200" s="165"/>
      <c r="CN200" s="165"/>
      <c r="CO200" s="130"/>
      <c r="CP200" s="165"/>
      <c r="CQ200" s="130"/>
      <c r="CR200" s="165"/>
      <c r="CS200" s="130"/>
      <c r="CT200" s="130"/>
      <c r="CU200" s="130"/>
      <c r="CV200" s="130"/>
      <c r="CW200" s="130"/>
      <c r="CX200" s="165"/>
      <c r="CY200" s="130"/>
      <c r="CZ200" s="130"/>
      <c r="DA200" s="130"/>
      <c r="DB200" s="130"/>
      <c r="DC200" s="130"/>
      <c r="DD200" s="130"/>
      <c r="DE200" s="130"/>
      <c r="DF200" s="130"/>
      <c r="DG200" s="130"/>
      <c r="DH200" s="130"/>
    </row>
    <row r="201" spans="1:112" ht="15">
      <c r="A201" s="168" t="s">
        <v>256</v>
      </c>
      <c r="B201" s="175"/>
      <c r="C201" s="174">
        <v>2</v>
      </c>
      <c r="D201" s="174">
        <v>34</v>
      </c>
      <c r="E201" s="174">
        <v>2</v>
      </c>
      <c r="F201" s="174">
        <v>27</v>
      </c>
      <c r="I201" s="174"/>
      <c r="K201" s="188">
        <v>7</v>
      </c>
      <c r="L201" s="146">
        <v>42430</v>
      </c>
      <c r="M201" s="174">
        <v>5.81</v>
      </c>
      <c r="N201" s="189">
        <v>42580</v>
      </c>
      <c r="S201" s="174">
        <v>15.14</v>
      </c>
      <c r="U201" s="159">
        <v>18.5</v>
      </c>
      <c r="AE201" s="174">
        <v>32.29</v>
      </c>
      <c r="AG201" s="174">
        <v>4.25</v>
      </c>
      <c r="AI201" s="174">
        <v>150</v>
      </c>
      <c r="AJ201" s="160">
        <v>42520</v>
      </c>
      <c r="AK201" s="174"/>
      <c r="AL201" s="174"/>
      <c r="AM201" s="174">
        <v>95</v>
      </c>
      <c r="AN201" s="174"/>
      <c r="AO201" s="174"/>
      <c r="AP201" s="174"/>
      <c r="AR201" s="174"/>
      <c r="AS201" s="174"/>
      <c r="AT201" s="174"/>
      <c r="AU201" s="174"/>
      <c r="AV201" s="174"/>
      <c r="AW201" s="174"/>
      <c r="AX201" s="174"/>
      <c r="AY201" s="174"/>
      <c r="BC201" s="174"/>
      <c r="BD201" s="174"/>
      <c r="BE201" s="174"/>
      <c r="BG201" s="174"/>
      <c r="BI201" s="174"/>
      <c r="BJ201" s="174"/>
      <c r="BK201" s="174"/>
      <c r="BM201" s="174">
        <v>62.784999999999997</v>
      </c>
      <c r="BN201" s="174"/>
      <c r="BO201" s="174"/>
      <c r="BP201" s="174"/>
      <c r="BR201" s="174"/>
      <c r="BS201" s="174">
        <v>46.895000000000003</v>
      </c>
      <c r="BT201" s="174"/>
      <c r="BU201" s="190">
        <v>21.070941925048828</v>
      </c>
      <c r="BV201" s="159"/>
      <c r="BW201" s="174">
        <v>14.037000000000001</v>
      </c>
      <c r="BX201" s="159"/>
      <c r="BY201" s="159"/>
      <c r="CB201" s="165"/>
      <c r="CC201" s="174">
        <v>8.2170000000000005</v>
      </c>
      <c r="CD201" s="165"/>
      <c r="CE201" s="174">
        <v>8.1</v>
      </c>
      <c r="CF201" s="165"/>
      <c r="CH201" s="165"/>
      <c r="CJ201" s="165"/>
      <c r="CL201" s="165"/>
      <c r="CN201" s="165"/>
      <c r="CO201" s="130"/>
      <c r="CP201" s="165"/>
      <c r="CQ201" s="130"/>
      <c r="CR201" s="165"/>
      <c r="CS201" s="130"/>
      <c r="CT201" s="130"/>
      <c r="CU201" s="130"/>
      <c r="CV201" s="130"/>
      <c r="CW201" s="130"/>
      <c r="CX201" s="165"/>
      <c r="CY201" s="130"/>
      <c r="CZ201" s="130"/>
      <c r="DA201" s="130"/>
      <c r="DB201" s="130"/>
      <c r="DC201" s="130"/>
      <c r="DD201" s="130"/>
      <c r="DE201" s="130"/>
      <c r="DF201" s="130"/>
      <c r="DG201" s="130"/>
      <c r="DH201" s="130"/>
    </row>
    <row r="202" spans="1:112" ht="15">
      <c r="A202" s="168" t="s">
        <v>256</v>
      </c>
      <c r="B202" s="175"/>
      <c r="C202" s="174">
        <v>3</v>
      </c>
      <c r="D202" s="174">
        <v>34</v>
      </c>
      <c r="E202" s="174">
        <v>3</v>
      </c>
      <c r="F202" s="174">
        <v>22</v>
      </c>
      <c r="I202" s="174"/>
      <c r="K202" s="188">
        <v>7</v>
      </c>
      <c r="L202" s="146">
        <v>42430</v>
      </c>
      <c r="M202" s="174">
        <v>5.68</v>
      </c>
      <c r="N202" s="189">
        <v>42580</v>
      </c>
      <c r="S202" s="174">
        <v>14.76</v>
      </c>
      <c r="U202" s="159">
        <v>18.5</v>
      </c>
      <c r="AE202" s="174">
        <v>31.43</v>
      </c>
      <c r="AG202" s="174">
        <v>3.51</v>
      </c>
      <c r="AI202" s="174">
        <v>160</v>
      </c>
      <c r="AJ202" s="160">
        <v>42520</v>
      </c>
      <c r="AK202" s="174"/>
      <c r="AL202" s="174"/>
      <c r="AM202" s="174">
        <v>95</v>
      </c>
      <c r="AN202" s="174"/>
      <c r="AO202" s="174"/>
      <c r="AP202" s="174"/>
      <c r="AR202" s="174"/>
      <c r="AS202" s="174"/>
      <c r="AT202" s="174"/>
      <c r="AU202" s="174"/>
      <c r="AV202" s="174"/>
      <c r="AW202" s="174"/>
      <c r="AX202" s="174"/>
      <c r="AY202" s="175"/>
      <c r="BC202" s="174"/>
      <c r="BD202" s="174"/>
      <c r="BE202" s="174"/>
      <c r="BG202" s="174"/>
      <c r="BI202" s="174"/>
      <c r="BJ202" s="174"/>
      <c r="BK202" s="174"/>
      <c r="BM202" s="174">
        <v>63.552999999999997</v>
      </c>
      <c r="BN202" s="174"/>
      <c r="BO202" s="174"/>
      <c r="BP202" s="174"/>
      <c r="BR202" s="174"/>
      <c r="BS202" s="174">
        <v>46.966000000000001</v>
      </c>
      <c r="BT202" s="174"/>
      <c r="BU202" s="190">
        <v>20.605377197265625</v>
      </c>
      <c r="BV202" s="159"/>
      <c r="BW202" s="174">
        <v>14.993</v>
      </c>
      <c r="BX202" s="159"/>
      <c r="BY202" s="159"/>
      <c r="CB202" s="165"/>
      <c r="CC202" s="174">
        <v>8.625</v>
      </c>
      <c r="CD202" s="165"/>
      <c r="CE202" s="174">
        <v>8</v>
      </c>
      <c r="CF202" s="165"/>
      <c r="CH202" s="165"/>
      <c r="CJ202" s="165"/>
      <c r="CL202" s="165"/>
      <c r="CN202" s="165"/>
      <c r="CO202" s="130"/>
      <c r="CP202" s="165"/>
      <c r="CQ202" s="130"/>
      <c r="CR202" s="165"/>
      <c r="CS202" s="130"/>
      <c r="CT202" s="130"/>
      <c r="CU202" s="130"/>
      <c r="CV202" s="130"/>
      <c r="CW202" s="130"/>
      <c r="CX202" s="165"/>
      <c r="CY202" s="130"/>
      <c r="CZ202" s="130"/>
      <c r="DA202" s="130"/>
      <c r="DB202" s="130"/>
      <c r="DC202" s="130"/>
      <c r="DD202" s="130"/>
      <c r="DE202" s="130"/>
      <c r="DF202" s="130"/>
      <c r="DG202" s="130"/>
      <c r="DH202" s="130"/>
    </row>
    <row r="203" spans="1:112" ht="15">
      <c r="A203" s="168" t="s">
        <v>256</v>
      </c>
      <c r="B203" s="175"/>
      <c r="C203" s="174">
        <v>4</v>
      </c>
      <c r="D203" s="174">
        <v>34</v>
      </c>
      <c r="E203" s="174">
        <v>4</v>
      </c>
      <c r="F203" s="174">
        <v>23</v>
      </c>
      <c r="I203" s="174"/>
      <c r="K203" s="188">
        <v>5</v>
      </c>
      <c r="L203" s="146">
        <v>42430</v>
      </c>
      <c r="M203" s="174">
        <v>5.68</v>
      </c>
      <c r="N203" s="189">
        <v>42580</v>
      </c>
      <c r="S203" s="174">
        <v>15.11</v>
      </c>
      <c r="U203" s="159">
        <v>18.5</v>
      </c>
      <c r="AE203" s="174">
        <v>31.59</v>
      </c>
      <c r="AG203" s="174">
        <v>4.2699999999999996</v>
      </c>
      <c r="AI203" s="174">
        <v>145</v>
      </c>
      <c r="AJ203" s="160">
        <v>42520</v>
      </c>
      <c r="AK203" s="174"/>
      <c r="AL203" s="174"/>
      <c r="AM203" s="174">
        <v>92</v>
      </c>
      <c r="AN203" s="174"/>
      <c r="AO203" s="174"/>
      <c r="AP203" s="174"/>
      <c r="AR203" s="174"/>
      <c r="AS203" s="174"/>
      <c r="AT203" s="174"/>
      <c r="AU203" s="174"/>
      <c r="AV203" s="174"/>
      <c r="AW203" s="174"/>
      <c r="AX203" s="174"/>
      <c r="AY203" s="174"/>
      <c r="BC203" s="174"/>
      <c r="BD203" s="174"/>
      <c r="BE203" s="174"/>
      <c r="BG203" s="174"/>
      <c r="BI203" s="174"/>
      <c r="BJ203" s="174"/>
      <c r="BK203" s="174"/>
      <c r="BM203" s="174">
        <v>64.691999999999993</v>
      </c>
      <c r="BN203" s="174"/>
      <c r="BO203" s="174"/>
      <c r="BP203" s="174"/>
      <c r="BR203" s="174"/>
      <c r="BS203" s="174">
        <v>47.83</v>
      </c>
      <c r="BT203" s="174"/>
      <c r="BU203" s="190">
        <v>19.366987228393555</v>
      </c>
      <c r="BV203" s="159"/>
      <c r="BW203" s="174">
        <v>13.99</v>
      </c>
      <c r="BX203" s="159"/>
      <c r="BY203" s="159"/>
      <c r="CB203" s="165"/>
      <c r="CC203" s="174">
        <v>8.15</v>
      </c>
      <c r="CD203" s="165"/>
      <c r="CE203" s="174">
        <v>7.8</v>
      </c>
      <c r="CF203" s="165"/>
      <c r="CH203" s="165"/>
      <c r="CJ203" s="165"/>
      <c r="CL203" s="165"/>
      <c r="CN203" s="165"/>
      <c r="CO203" s="130"/>
      <c r="CP203" s="165"/>
      <c r="CQ203" s="130"/>
      <c r="CR203" s="165"/>
      <c r="CS203" s="130"/>
      <c r="CT203" s="130"/>
      <c r="CU203" s="130"/>
      <c r="CV203" s="130"/>
      <c r="CW203" s="130"/>
      <c r="CX203" s="165"/>
      <c r="CY203" s="130"/>
      <c r="CZ203" s="130"/>
      <c r="DA203" s="130"/>
      <c r="DB203" s="130"/>
      <c r="DC203" s="130"/>
      <c r="DD203" s="130"/>
      <c r="DE203" s="130"/>
      <c r="DF203" s="130"/>
      <c r="DG203" s="130"/>
      <c r="DH203" s="130"/>
    </row>
    <row r="204" spans="1:112" ht="15">
      <c r="A204" s="168" t="s">
        <v>256</v>
      </c>
      <c r="B204" s="175"/>
      <c r="C204" s="174">
        <v>5</v>
      </c>
      <c r="D204" s="174">
        <v>34</v>
      </c>
      <c r="E204" s="174">
        <v>5</v>
      </c>
      <c r="F204" s="174">
        <v>26</v>
      </c>
      <c r="I204" s="174"/>
      <c r="K204" s="188">
        <v>8</v>
      </c>
      <c r="L204" s="146">
        <v>42430</v>
      </c>
      <c r="M204" s="174">
        <v>5.83</v>
      </c>
      <c r="N204" s="189">
        <v>42580</v>
      </c>
      <c r="S204" s="174">
        <v>15.63</v>
      </c>
      <c r="U204" s="159">
        <v>18.5</v>
      </c>
      <c r="AE204" s="174">
        <v>32.51</v>
      </c>
      <c r="AG204" s="174">
        <v>3.44</v>
      </c>
      <c r="AI204" s="174">
        <v>130</v>
      </c>
      <c r="AJ204" s="160">
        <v>42520</v>
      </c>
      <c r="AK204" s="174"/>
      <c r="AL204" s="174"/>
      <c r="AM204" s="174">
        <v>95</v>
      </c>
      <c r="AN204" s="174"/>
      <c r="AO204" s="174"/>
      <c r="AP204" s="174"/>
      <c r="AR204" s="174"/>
      <c r="AS204" s="174"/>
      <c r="AT204" s="174"/>
      <c r="AU204" s="174"/>
      <c r="AV204" s="174"/>
      <c r="AW204" s="174"/>
      <c r="AX204" s="174"/>
      <c r="AY204" s="174"/>
      <c r="BC204" s="174"/>
      <c r="BD204" s="174"/>
      <c r="BE204" s="174"/>
      <c r="BG204" s="174"/>
      <c r="BI204" s="174"/>
      <c r="BJ204" s="174"/>
      <c r="BK204" s="174"/>
      <c r="BM204" s="174">
        <v>62.584000000000003</v>
      </c>
      <c r="BN204" s="174"/>
      <c r="BO204" s="174"/>
      <c r="BP204" s="174"/>
      <c r="BR204" s="174"/>
      <c r="BS204" s="174">
        <v>48.063000000000002</v>
      </c>
      <c r="BT204" s="174"/>
      <c r="BU204" s="190">
        <v>18.891809463500977</v>
      </c>
      <c r="BV204" s="159"/>
      <c r="BW204" s="174">
        <v>13.391</v>
      </c>
      <c r="BX204" s="159"/>
      <c r="BY204" s="159"/>
      <c r="CB204" s="165"/>
      <c r="CC204" s="174">
        <v>7.9039999999999999</v>
      </c>
      <c r="CD204" s="165"/>
      <c r="CE204" s="174">
        <v>7.5</v>
      </c>
      <c r="CF204" s="165"/>
      <c r="CH204" s="165"/>
      <c r="CJ204" s="165"/>
      <c r="CL204" s="165"/>
      <c r="CN204" s="165"/>
      <c r="CO204" s="130"/>
      <c r="CP204" s="165"/>
      <c r="CQ204" s="130"/>
      <c r="CR204" s="165"/>
      <c r="CS204" s="130"/>
      <c r="CT204" s="130"/>
      <c r="CU204" s="130"/>
      <c r="CV204" s="130"/>
      <c r="CW204" s="130"/>
      <c r="CX204" s="165"/>
      <c r="CY204" s="130"/>
      <c r="CZ204" s="130"/>
      <c r="DA204" s="130"/>
      <c r="DB204" s="130"/>
      <c r="DC204" s="130"/>
      <c r="DD204" s="130"/>
      <c r="DE204" s="130"/>
      <c r="DF204" s="130"/>
      <c r="DG204" s="130"/>
      <c r="DH204" s="130"/>
    </row>
    <row r="205" spans="1:112" ht="15">
      <c r="A205" s="168" t="s">
        <v>256</v>
      </c>
      <c r="B205" s="175"/>
      <c r="C205" s="174">
        <v>6</v>
      </c>
      <c r="D205" s="174">
        <v>34</v>
      </c>
      <c r="E205" s="174">
        <v>6</v>
      </c>
      <c r="F205" s="174">
        <v>10</v>
      </c>
      <c r="I205" s="174"/>
      <c r="K205" s="188">
        <v>9</v>
      </c>
      <c r="L205" s="146">
        <v>42430</v>
      </c>
      <c r="M205" s="174">
        <v>5.99</v>
      </c>
      <c r="N205" s="189">
        <v>42580</v>
      </c>
      <c r="S205" s="174">
        <v>15.95</v>
      </c>
      <c r="U205" s="159">
        <v>18.5</v>
      </c>
      <c r="AE205" s="174">
        <v>33.35</v>
      </c>
      <c r="AG205" s="174">
        <v>4.33</v>
      </c>
      <c r="AI205" s="174">
        <v>150</v>
      </c>
      <c r="AJ205" s="160">
        <v>42520</v>
      </c>
      <c r="AK205" s="174"/>
      <c r="AL205" s="174"/>
      <c r="AM205" s="174">
        <v>92</v>
      </c>
      <c r="AN205" s="174"/>
      <c r="AO205" s="174"/>
      <c r="AP205" s="174"/>
      <c r="AR205" s="174"/>
      <c r="AS205" s="174"/>
      <c r="AT205" s="174"/>
      <c r="AU205" s="174"/>
      <c r="AV205" s="174"/>
      <c r="AW205" s="174"/>
      <c r="AX205" s="174"/>
      <c r="AY205" s="174"/>
      <c r="BC205" s="174"/>
      <c r="BD205" s="174"/>
      <c r="BE205" s="174"/>
      <c r="BG205" s="174"/>
      <c r="BI205" s="174"/>
      <c r="BJ205" s="174"/>
      <c r="BK205" s="174"/>
      <c r="BM205" s="174">
        <v>62.573999999999998</v>
      </c>
      <c r="BN205" s="174"/>
      <c r="BO205" s="174"/>
      <c r="BP205" s="174"/>
      <c r="BR205" s="174"/>
      <c r="BS205" s="174">
        <v>47.838000000000001</v>
      </c>
      <c r="BT205" s="174"/>
      <c r="BU205" s="190">
        <v>19.537984848022461</v>
      </c>
      <c r="BV205" s="159"/>
      <c r="BW205" s="174">
        <v>14.57</v>
      </c>
      <c r="BX205" s="159"/>
      <c r="BY205" s="159"/>
      <c r="CB205" s="165"/>
      <c r="CC205" s="174">
        <v>8.0690000000000008</v>
      </c>
      <c r="CD205" s="165"/>
      <c r="CE205" s="174">
        <v>7.7</v>
      </c>
      <c r="CF205" s="165"/>
      <c r="CH205" s="165"/>
      <c r="CJ205" s="165"/>
      <c r="CL205" s="165"/>
      <c r="CN205" s="165"/>
      <c r="CO205" s="130"/>
      <c r="CP205" s="165"/>
      <c r="CQ205" s="130"/>
      <c r="CR205" s="165"/>
      <c r="CS205" s="130"/>
      <c r="CT205" s="130"/>
      <c r="CU205" s="130"/>
      <c r="CV205" s="130"/>
      <c r="CW205" s="130"/>
      <c r="CX205" s="165"/>
      <c r="CY205" s="130"/>
      <c r="CZ205" s="130"/>
      <c r="DA205" s="130"/>
      <c r="DB205" s="130"/>
      <c r="DC205" s="130"/>
      <c r="DD205" s="130"/>
      <c r="DE205" s="130"/>
      <c r="DF205" s="130"/>
      <c r="DG205" s="130"/>
      <c r="DH205" s="130"/>
    </row>
    <row r="206" spans="1:112" ht="15">
      <c r="C206" s="157"/>
      <c r="D206" s="157"/>
      <c r="M206" s="112"/>
      <c r="N206" s="131"/>
      <c r="AG206" s="146"/>
      <c r="AH206" s="158"/>
      <c r="AI206" s="146"/>
      <c r="AJ206" s="159"/>
      <c r="AK206" s="160"/>
      <c r="AL206" s="159"/>
      <c r="AM206" s="160"/>
      <c r="AN206" s="159"/>
      <c r="AO206" s="160"/>
      <c r="AQ206" s="160"/>
      <c r="AS206" s="160"/>
      <c r="AU206" s="160"/>
      <c r="AW206" s="160"/>
      <c r="AY206" s="160"/>
      <c r="BC206" s="160"/>
      <c r="BD206" s="165"/>
      <c r="BE206" s="160"/>
      <c r="BG206" s="160"/>
      <c r="BI206" s="160"/>
      <c r="BJ206" s="159"/>
      <c r="BK206" s="159"/>
      <c r="BM206" s="159"/>
      <c r="BN206" s="159"/>
      <c r="BO206" s="159"/>
      <c r="BP206" s="159"/>
      <c r="BR206" s="159"/>
      <c r="BS206" s="159"/>
      <c r="BT206" s="159"/>
      <c r="BU206" s="193"/>
      <c r="BV206" s="159"/>
      <c r="BW206" s="159"/>
      <c r="BX206" s="159"/>
      <c r="BY206" s="159"/>
      <c r="CB206" s="165"/>
      <c r="CC206" s="164"/>
      <c r="CD206" s="165"/>
      <c r="CE206" s="160"/>
      <c r="CF206" s="165"/>
      <c r="CH206" s="165"/>
      <c r="CJ206" s="165"/>
      <c r="CL206" s="165"/>
      <c r="CN206" s="165"/>
      <c r="CO206" s="130"/>
      <c r="CP206" s="165"/>
      <c r="CQ206" s="130"/>
      <c r="CR206" s="165"/>
      <c r="CS206" s="130"/>
      <c r="CT206" s="130"/>
      <c r="CU206" s="130"/>
      <c r="CV206" s="130"/>
      <c r="CW206" s="130"/>
      <c r="CX206" s="165"/>
      <c r="CY206" s="130"/>
      <c r="CZ206" s="130"/>
      <c r="DA206" s="130"/>
      <c r="DB206" s="130"/>
      <c r="DC206" s="130"/>
      <c r="DD206" s="130"/>
      <c r="DE206" s="130"/>
      <c r="DF206" s="130"/>
      <c r="DG206" s="130"/>
      <c r="DH206" s="130"/>
    </row>
    <row r="207" spans="1:112" ht="15">
      <c r="C207" s="157"/>
      <c r="D207" s="157"/>
      <c r="M207" s="112"/>
      <c r="N207" s="131"/>
      <c r="AG207" s="146"/>
      <c r="AH207" s="158"/>
      <c r="AI207" s="146"/>
      <c r="AJ207" s="159"/>
      <c r="AK207" s="160"/>
      <c r="AL207" s="159"/>
      <c r="AM207" s="160"/>
      <c r="AN207" s="159"/>
      <c r="AO207" s="160"/>
      <c r="AQ207" s="160"/>
      <c r="AS207" s="160"/>
      <c r="AU207" s="160"/>
      <c r="AW207" s="160"/>
      <c r="AY207" s="160"/>
      <c r="BC207" s="160"/>
      <c r="BD207" s="165"/>
      <c r="BE207" s="160"/>
      <c r="BG207" s="160"/>
      <c r="BI207" s="160"/>
      <c r="BJ207" s="159"/>
      <c r="BK207" s="159"/>
      <c r="BM207" s="159"/>
      <c r="BN207" s="159"/>
      <c r="BO207" s="159"/>
      <c r="BP207" s="159"/>
      <c r="BR207" s="159"/>
      <c r="BS207" s="159"/>
      <c r="BT207" s="159"/>
      <c r="BU207" s="193"/>
      <c r="BV207" s="159"/>
      <c r="BW207" s="159"/>
      <c r="BX207" s="159"/>
      <c r="BY207" s="159"/>
      <c r="CB207" s="165"/>
      <c r="CC207" s="164"/>
      <c r="CD207" s="165"/>
      <c r="CE207" s="160"/>
      <c r="CF207" s="165"/>
      <c r="CH207" s="165"/>
      <c r="CJ207" s="165"/>
      <c r="CL207" s="165"/>
      <c r="CN207" s="165"/>
      <c r="CO207" s="130"/>
      <c r="CP207" s="165"/>
      <c r="CQ207" s="130"/>
      <c r="CR207" s="165"/>
      <c r="CS207" s="130"/>
      <c r="CT207" s="130"/>
      <c r="CU207" s="130"/>
      <c r="CV207" s="130"/>
      <c r="CW207" s="130"/>
      <c r="CX207" s="165"/>
      <c r="CY207" s="130"/>
      <c r="CZ207" s="130"/>
      <c r="DA207" s="130"/>
      <c r="DB207" s="130"/>
      <c r="DC207" s="130"/>
      <c r="DD207" s="130"/>
      <c r="DE207" s="130"/>
      <c r="DF207" s="130"/>
      <c r="DG207" s="130"/>
      <c r="DH207" s="130"/>
    </row>
    <row r="208" spans="1:112" ht="15">
      <c r="C208" s="157"/>
      <c r="D208" s="157"/>
      <c r="M208" s="112"/>
      <c r="N208" s="131"/>
      <c r="AG208" s="146"/>
      <c r="AH208" s="158"/>
      <c r="AI208" s="146"/>
      <c r="AJ208" s="159"/>
      <c r="AK208" s="160"/>
      <c r="AL208" s="159"/>
      <c r="AM208" s="160"/>
      <c r="AN208" s="159"/>
      <c r="AO208" s="160"/>
      <c r="AQ208" s="160"/>
      <c r="AS208" s="160"/>
      <c r="AU208" s="160"/>
      <c r="AW208" s="160"/>
      <c r="AY208" s="160"/>
      <c r="BC208" s="160"/>
      <c r="BD208" s="165"/>
      <c r="BE208" s="160"/>
      <c r="BG208" s="160"/>
      <c r="BI208" s="160"/>
      <c r="BJ208" s="159"/>
      <c r="BK208" s="159"/>
      <c r="BM208" s="159"/>
      <c r="BN208" s="159"/>
      <c r="BO208" s="159"/>
      <c r="BP208" s="159"/>
      <c r="BR208" s="159"/>
      <c r="BS208" s="159"/>
      <c r="BT208" s="159"/>
      <c r="BU208" s="193"/>
      <c r="BV208" s="159"/>
      <c r="BW208" s="159"/>
      <c r="BX208" s="159"/>
      <c r="BY208" s="159"/>
      <c r="CB208" s="165"/>
      <c r="CC208" s="164"/>
      <c r="CD208" s="165"/>
      <c r="CE208" s="160"/>
      <c r="CF208" s="165"/>
      <c r="CH208" s="165"/>
      <c r="CJ208" s="165"/>
      <c r="CL208" s="165"/>
      <c r="CN208" s="165"/>
      <c r="CO208" s="130"/>
      <c r="CP208" s="165"/>
      <c r="CQ208" s="130"/>
      <c r="CR208" s="165"/>
      <c r="CS208" s="130"/>
      <c r="CT208" s="130"/>
      <c r="CU208" s="130"/>
      <c r="CV208" s="130"/>
      <c r="CW208" s="130"/>
      <c r="CX208" s="165"/>
      <c r="CY208" s="130"/>
      <c r="CZ208" s="130"/>
      <c r="DA208" s="130"/>
      <c r="DB208" s="130"/>
      <c r="DC208" s="130"/>
      <c r="DD208" s="130"/>
      <c r="DE208" s="130"/>
      <c r="DF208" s="130"/>
      <c r="DG208" s="130"/>
      <c r="DH208" s="130"/>
    </row>
    <row r="209" spans="3:112" ht="15">
      <c r="C209" s="157"/>
      <c r="D209" s="157"/>
      <c r="M209" s="112"/>
      <c r="N209" s="131"/>
      <c r="AG209" s="146"/>
      <c r="AH209" s="158"/>
      <c r="AI209" s="146"/>
      <c r="AJ209" s="159"/>
      <c r="AK209" s="160"/>
      <c r="AL209" s="159"/>
      <c r="AM209" s="160"/>
      <c r="AN209" s="159"/>
      <c r="AO209" s="160"/>
      <c r="AQ209" s="160"/>
      <c r="AS209" s="160"/>
      <c r="AU209" s="160"/>
      <c r="AW209" s="160"/>
      <c r="AY209" s="160"/>
      <c r="BC209" s="160"/>
      <c r="BD209" s="165"/>
      <c r="BE209" s="160"/>
      <c r="BG209" s="160"/>
      <c r="BI209" s="160"/>
      <c r="BJ209" s="159"/>
      <c r="BK209" s="159"/>
      <c r="BM209" s="159"/>
      <c r="BN209" s="159"/>
      <c r="BO209" s="159"/>
      <c r="BP209" s="159"/>
      <c r="BR209" s="159"/>
      <c r="BS209" s="159"/>
      <c r="BT209" s="159"/>
      <c r="BU209" s="193"/>
      <c r="BV209" s="159"/>
      <c r="BW209" s="159"/>
      <c r="BX209" s="159"/>
      <c r="BY209" s="159"/>
      <c r="CB209" s="165"/>
      <c r="CC209" s="164"/>
      <c r="CD209" s="165"/>
      <c r="CE209" s="160"/>
      <c r="CF209" s="165"/>
      <c r="CH209" s="165"/>
      <c r="CJ209" s="165"/>
      <c r="CL209" s="165"/>
      <c r="CN209" s="165"/>
      <c r="CO209" s="130"/>
      <c r="CP209" s="165"/>
      <c r="CQ209" s="130"/>
      <c r="CR209" s="165"/>
      <c r="CS209" s="130"/>
      <c r="CT209" s="130"/>
      <c r="CU209" s="130"/>
      <c r="CV209" s="130"/>
      <c r="CW209" s="130"/>
      <c r="CX209" s="165"/>
      <c r="CY209" s="130"/>
      <c r="CZ209" s="130"/>
      <c r="DA209" s="130"/>
      <c r="DB209" s="130"/>
      <c r="DC209" s="130"/>
      <c r="DD209" s="130"/>
      <c r="DE209" s="130"/>
      <c r="DF209" s="130"/>
      <c r="DG209" s="130"/>
      <c r="DH209" s="130"/>
    </row>
    <row r="210" spans="3:112" ht="15">
      <c r="C210" s="157"/>
      <c r="D210" s="157"/>
      <c r="M210" s="112"/>
      <c r="N210" s="131"/>
      <c r="AG210" s="146"/>
      <c r="AH210" s="158"/>
      <c r="AI210" s="146"/>
      <c r="AJ210" s="159"/>
      <c r="AK210" s="160"/>
      <c r="AL210" s="159"/>
      <c r="AM210" s="160"/>
      <c r="AN210" s="159"/>
      <c r="AO210" s="160"/>
      <c r="AQ210" s="160"/>
      <c r="AS210" s="160"/>
      <c r="AU210" s="160"/>
      <c r="AW210" s="160"/>
      <c r="AY210" s="160"/>
      <c r="BC210" s="160"/>
      <c r="BD210" s="165"/>
      <c r="BE210" s="160"/>
      <c r="BG210" s="160"/>
      <c r="BI210" s="160"/>
      <c r="BJ210" s="159"/>
      <c r="BK210" s="159"/>
      <c r="BM210" s="159"/>
      <c r="BN210" s="159"/>
      <c r="BO210" s="159"/>
      <c r="BP210" s="159"/>
      <c r="BR210" s="159"/>
      <c r="BS210" s="159"/>
      <c r="BT210" s="159"/>
      <c r="BU210" s="193"/>
      <c r="BV210" s="159"/>
      <c r="BW210" s="159"/>
      <c r="BX210" s="159"/>
      <c r="BY210" s="159"/>
      <c r="CB210" s="165"/>
      <c r="CC210" s="164"/>
      <c r="CD210" s="165"/>
      <c r="CE210" s="160"/>
      <c r="CF210" s="165"/>
      <c r="CH210" s="165"/>
      <c r="CJ210" s="165"/>
      <c r="CL210" s="165"/>
      <c r="CN210" s="165"/>
      <c r="CO210" s="130"/>
      <c r="CP210" s="165"/>
      <c r="CQ210" s="130"/>
      <c r="CR210" s="165"/>
      <c r="CS210" s="130"/>
      <c r="CT210" s="130"/>
      <c r="CU210" s="130"/>
      <c r="CV210" s="130"/>
      <c r="CW210" s="130"/>
      <c r="CX210" s="165"/>
      <c r="CY210" s="130"/>
      <c r="CZ210" s="130"/>
      <c r="DA210" s="130"/>
      <c r="DB210" s="130"/>
      <c r="DC210" s="130"/>
      <c r="DD210" s="130"/>
      <c r="DE210" s="130"/>
      <c r="DF210" s="130"/>
      <c r="DG210" s="130"/>
      <c r="DH210" s="130"/>
    </row>
    <row r="211" spans="3:112" ht="15">
      <c r="C211" s="157"/>
      <c r="D211" s="157"/>
      <c r="M211" s="112"/>
      <c r="N211" s="131"/>
      <c r="AG211" s="146"/>
      <c r="AH211" s="158"/>
      <c r="AI211" s="146"/>
      <c r="AJ211" s="159"/>
      <c r="AK211" s="160"/>
      <c r="AL211" s="159"/>
      <c r="AM211" s="160"/>
      <c r="AN211" s="159"/>
      <c r="AO211" s="160"/>
      <c r="AQ211" s="160"/>
      <c r="AS211" s="160"/>
      <c r="AU211" s="160"/>
      <c r="AW211" s="160"/>
      <c r="AY211" s="160"/>
      <c r="BC211" s="160"/>
      <c r="BD211" s="165"/>
      <c r="BE211" s="160"/>
      <c r="BG211" s="160"/>
      <c r="BI211" s="160"/>
      <c r="BJ211" s="159"/>
      <c r="BK211" s="159"/>
      <c r="BM211" s="159"/>
      <c r="BN211" s="159"/>
      <c r="BO211" s="159"/>
      <c r="BP211" s="159"/>
      <c r="BR211" s="159"/>
      <c r="BS211" s="159"/>
      <c r="BT211" s="159"/>
      <c r="BU211" s="193"/>
      <c r="BV211" s="159"/>
      <c r="BW211" s="159"/>
      <c r="BX211" s="159"/>
      <c r="BY211" s="159"/>
      <c r="CB211" s="165"/>
      <c r="CC211" s="164"/>
      <c r="CD211" s="165"/>
      <c r="CE211" s="160"/>
      <c r="CF211" s="165"/>
      <c r="CH211" s="165"/>
      <c r="CJ211" s="165"/>
      <c r="CL211" s="165"/>
      <c r="CN211" s="165"/>
      <c r="CO211" s="130"/>
      <c r="CP211" s="165"/>
      <c r="CQ211" s="130"/>
      <c r="CR211" s="165"/>
      <c r="CS211" s="130"/>
      <c r="CT211" s="130"/>
      <c r="CU211" s="130"/>
      <c r="CV211" s="130"/>
      <c r="CW211" s="130"/>
      <c r="CX211" s="165"/>
      <c r="CY211" s="130"/>
      <c r="CZ211" s="130"/>
      <c r="DA211" s="130"/>
      <c r="DB211" s="130"/>
      <c r="DC211" s="130"/>
      <c r="DD211" s="130"/>
      <c r="DE211" s="130"/>
      <c r="DF211" s="130"/>
      <c r="DG211" s="130"/>
      <c r="DH211" s="130"/>
    </row>
    <row r="212" spans="3:112" ht="15">
      <c r="C212" s="157"/>
      <c r="D212" s="157"/>
      <c r="M212" s="112"/>
      <c r="N212" s="131"/>
      <c r="AG212" s="146"/>
      <c r="AH212" s="158"/>
      <c r="AI212" s="146"/>
      <c r="AJ212" s="159"/>
      <c r="AK212" s="160"/>
      <c r="AL212" s="159"/>
      <c r="AM212" s="160"/>
      <c r="AN212" s="159"/>
      <c r="AO212" s="160"/>
      <c r="AQ212" s="160"/>
      <c r="AS212" s="160"/>
      <c r="AU212" s="160"/>
      <c r="AW212" s="160"/>
      <c r="AY212" s="160"/>
      <c r="BC212" s="160"/>
      <c r="BD212" s="165"/>
      <c r="BE212" s="160"/>
      <c r="BG212" s="160"/>
      <c r="BI212" s="160"/>
      <c r="BJ212" s="159"/>
      <c r="BK212" s="159"/>
      <c r="BM212" s="159"/>
      <c r="BN212" s="159"/>
      <c r="BO212" s="159"/>
      <c r="BP212" s="159"/>
      <c r="BR212" s="159"/>
      <c r="BS212" s="159"/>
      <c r="BT212" s="159"/>
      <c r="BU212" s="193"/>
      <c r="BV212" s="159"/>
      <c r="BW212" s="159"/>
      <c r="BX212" s="159"/>
      <c r="BY212" s="159"/>
      <c r="CB212" s="165"/>
      <c r="CC212" s="164"/>
      <c r="CD212" s="165"/>
      <c r="CE212" s="160"/>
      <c r="CF212" s="165"/>
      <c r="CH212" s="165"/>
      <c r="CJ212" s="165"/>
      <c r="CL212" s="165"/>
      <c r="CN212" s="165"/>
      <c r="CO212" s="130"/>
      <c r="CP212" s="165"/>
      <c r="CQ212" s="130"/>
      <c r="CR212" s="165"/>
      <c r="CS212" s="130"/>
      <c r="CT212" s="130"/>
      <c r="CU212" s="130"/>
      <c r="CV212" s="130"/>
      <c r="CW212" s="130"/>
      <c r="CX212" s="165"/>
      <c r="CY212" s="130"/>
      <c r="CZ212" s="130"/>
      <c r="DA212" s="130"/>
      <c r="DB212" s="130"/>
      <c r="DC212" s="130"/>
      <c r="DD212" s="130"/>
      <c r="DE212" s="130"/>
      <c r="DF212" s="130"/>
      <c r="DG212" s="130"/>
      <c r="DH212" s="130"/>
    </row>
    <row r="213" spans="3:112" ht="15">
      <c r="C213" s="157"/>
      <c r="D213" s="157"/>
      <c r="M213" s="112"/>
      <c r="N213" s="131"/>
      <c r="AG213" s="146"/>
      <c r="AH213" s="158"/>
      <c r="AI213" s="146"/>
      <c r="AJ213" s="159"/>
      <c r="AK213" s="160"/>
      <c r="AL213" s="159"/>
      <c r="AM213" s="160"/>
      <c r="AN213" s="159"/>
      <c r="AO213" s="160"/>
      <c r="AQ213" s="160"/>
      <c r="AS213" s="160"/>
      <c r="AU213" s="160"/>
      <c r="AW213" s="160"/>
      <c r="AY213" s="160"/>
      <c r="BC213" s="160"/>
      <c r="BD213" s="165"/>
      <c r="BE213" s="160"/>
      <c r="BG213" s="160"/>
      <c r="BI213" s="160"/>
      <c r="BJ213" s="159"/>
      <c r="BK213" s="159"/>
      <c r="BM213" s="159"/>
      <c r="BN213" s="159"/>
      <c r="BO213" s="159"/>
      <c r="BP213" s="159"/>
      <c r="BR213" s="159"/>
      <c r="BS213" s="159"/>
      <c r="BT213" s="159"/>
      <c r="BU213" s="193"/>
      <c r="BV213" s="159"/>
      <c r="BW213" s="159"/>
      <c r="BX213" s="159"/>
      <c r="BY213" s="159"/>
      <c r="CB213" s="165"/>
      <c r="CC213" s="164"/>
      <c r="CD213" s="165"/>
      <c r="CE213" s="160"/>
      <c r="CF213" s="165"/>
      <c r="CH213" s="165"/>
      <c r="CJ213" s="165"/>
      <c r="CL213" s="165"/>
      <c r="CN213" s="165"/>
      <c r="CO213" s="130"/>
      <c r="CP213" s="165"/>
      <c r="CQ213" s="130"/>
      <c r="CR213" s="165"/>
      <c r="CS213" s="130"/>
      <c r="CT213" s="130"/>
      <c r="CU213" s="130"/>
      <c r="CV213" s="130"/>
      <c r="CW213" s="130"/>
      <c r="CX213" s="165"/>
      <c r="CY213" s="130"/>
      <c r="CZ213" s="130"/>
      <c r="DA213" s="130"/>
      <c r="DB213" s="130"/>
      <c r="DC213" s="130"/>
      <c r="DD213" s="130"/>
      <c r="DE213" s="130"/>
      <c r="DF213" s="130"/>
      <c r="DG213" s="130"/>
      <c r="DH213" s="130"/>
    </row>
    <row r="214" spans="3:112" ht="15">
      <c r="C214" s="157"/>
      <c r="D214" s="157"/>
      <c r="M214" s="112"/>
      <c r="N214" s="131"/>
      <c r="AG214" s="146"/>
      <c r="AH214" s="158"/>
      <c r="AI214" s="146"/>
      <c r="AJ214" s="159"/>
      <c r="AK214" s="160"/>
      <c r="AL214" s="159"/>
      <c r="AM214" s="160"/>
      <c r="AN214" s="159"/>
      <c r="AO214" s="160"/>
      <c r="AQ214" s="160"/>
      <c r="AS214" s="160"/>
      <c r="AU214" s="160"/>
      <c r="AW214" s="160"/>
      <c r="AY214" s="160"/>
      <c r="BC214" s="160"/>
      <c r="BD214" s="165"/>
      <c r="BE214" s="160"/>
      <c r="BG214" s="160"/>
      <c r="BI214" s="160"/>
      <c r="BJ214" s="159"/>
      <c r="BK214" s="159"/>
      <c r="BM214" s="159"/>
      <c r="BN214" s="159"/>
      <c r="BO214" s="159"/>
      <c r="BP214" s="159"/>
      <c r="BR214" s="159"/>
      <c r="BS214" s="159"/>
      <c r="BT214" s="159"/>
      <c r="BU214" s="193"/>
      <c r="BV214" s="159"/>
      <c r="BW214" s="159"/>
      <c r="BX214" s="159"/>
      <c r="BY214" s="159"/>
      <c r="CB214" s="165"/>
      <c r="CC214" s="164"/>
      <c r="CD214" s="165"/>
      <c r="CE214" s="160"/>
      <c r="CF214" s="165"/>
      <c r="CH214" s="165"/>
      <c r="CJ214" s="165"/>
      <c r="CL214" s="165"/>
      <c r="CN214" s="165"/>
      <c r="CO214" s="130"/>
      <c r="CP214" s="165"/>
      <c r="CQ214" s="130"/>
      <c r="CR214" s="165"/>
      <c r="CS214" s="130"/>
      <c r="CT214" s="130"/>
      <c r="CU214" s="130"/>
      <c r="CV214" s="130"/>
      <c r="CW214" s="130"/>
      <c r="CX214" s="165"/>
      <c r="CY214" s="130"/>
      <c r="CZ214" s="130"/>
      <c r="DA214" s="130"/>
      <c r="DB214" s="130"/>
      <c r="DC214" s="130"/>
      <c r="DD214" s="130"/>
      <c r="DE214" s="130"/>
      <c r="DF214" s="130"/>
      <c r="DG214" s="130"/>
      <c r="DH214" s="130"/>
    </row>
    <row r="215" spans="3:112" ht="15">
      <c r="C215" s="157"/>
      <c r="D215" s="157"/>
      <c r="M215" s="112"/>
      <c r="N215" s="131"/>
      <c r="AG215" s="146"/>
      <c r="AH215" s="158"/>
      <c r="AI215" s="146"/>
      <c r="AJ215" s="159"/>
      <c r="AK215" s="160"/>
      <c r="AL215" s="159"/>
      <c r="AM215" s="160"/>
      <c r="AN215" s="159"/>
      <c r="AO215" s="160"/>
      <c r="AQ215" s="160"/>
      <c r="AS215" s="160"/>
      <c r="AU215" s="160"/>
      <c r="AW215" s="160"/>
      <c r="AY215" s="160"/>
      <c r="BC215" s="160"/>
      <c r="BD215" s="165"/>
      <c r="BE215" s="160"/>
      <c r="BG215" s="160"/>
      <c r="BI215" s="160"/>
      <c r="BJ215" s="159"/>
      <c r="BK215" s="159"/>
      <c r="BM215" s="159"/>
      <c r="BN215" s="159"/>
      <c r="BO215" s="159"/>
      <c r="BP215" s="159"/>
      <c r="BR215" s="159"/>
      <c r="BS215" s="159"/>
      <c r="BT215" s="159"/>
      <c r="BU215" s="193"/>
      <c r="BV215" s="159"/>
      <c r="BW215" s="159"/>
      <c r="BX215" s="159"/>
      <c r="BY215" s="159"/>
      <c r="CB215" s="165"/>
      <c r="CC215" s="164"/>
      <c r="CD215" s="165"/>
      <c r="CE215" s="160"/>
      <c r="CF215" s="165"/>
      <c r="CH215" s="165"/>
      <c r="CJ215" s="165"/>
      <c r="CL215" s="165"/>
      <c r="CN215" s="165"/>
      <c r="CO215" s="130"/>
      <c r="CP215" s="165"/>
      <c r="CQ215" s="130"/>
      <c r="CR215" s="165"/>
      <c r="CS215" s="130"/>
      <c r="CT215" s="130"/>
      <c r="CU215" s="130"/>
      <c r="CV215" s="130"/>
      <c r="CW215" s="130"/>
      <c r="CX215" s="165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</row>
    <row r="216" spans="3:112" ht="15">
      <c r="C216" s="157"/>
      <c r="D216" s="157"/>
      <c r="M216" s="112"/>
      <c r="N216" s="131"/>
      <c r="AG216" s="146"/>
      <c r="AH216" s="158"/>
      <c r="AI216" s="146"/>
      <c r="AJ216" s="159"/>
      <c r="AK216" s="160"/>
      <c r="AL216" s="159"/>
      <c r="AM216" s="160"/>
      <c r="AN216" s="159"/>
      <c r="AO216" s="160"/>
      <c r="AQ216" s="160"/>
      <c r="AS216" s="160"/>
      <c r="AU216" s="160"/>
      <c r="AW216" s="160"/>
      <c r="AY216" s="160"/>
      <c r="BC216" s="160"/>
      <c r="BD216" s="165"/>
      <c r="BE216" s="160"/>
      <c r="BG216" s="160"/>
      <c r="BI216" s="160"/>
      <c r="BJ216" s="159"/>
      <c r="BK216" s="159"/>
      <c r="BM216" s="159"/>
      <c r="BN216" s="159"/>
      <c r="BO216" s="159"/>
      <c r="BP216" s="159"/>
      <c r="BR216" s="159"/>
      <c r="BS216" s="159"/>
      <c r="BT216" s="159"/>
      <c r="BU216" s="193"/>
      <c r="BV216" s="159"/>
      <c r="BW216" s="159"/>
      <c r="BX216" s="159"/>
      <c r="BY216" s="159"/>
      <c r="CB216" s="165"/>
      <c r="CC216" s="164"/>
      <c r="CD216" s="165"/>
      <c r="CE216" s="160"/>
      <c r="CF216" s="165"/>
      <c r="CH216" s="165"/>
      <c r="CJ216" s="165"/>
      <c r="CL216" s="165"/>
      <c r="CN216" s="165"/>
      <c r="CO216" s="130"/>
      <c r="CP216" s="165"/>
      <c r="CQ216" s="130"/>
      <c r="CR216" s="165"/>
      <c r="CS216" s="130"/>
      <c r="CT216" s="130"/>
      <c r="CU216" s="130"/>
      <c r="CV216" s="130"/>
      <c r="CW216" s="130"/>
      <c r="CX216" s="165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</row>
    <row r="217" spans="3:112" ht="15">
      <c r="C217" s="157"/>
      <c r="D217" s="157"/>
      <c r="M217" s="112"/>
      <c r="N217" s="131"/>
      <c r="AG217" s="146"/>
      <c r="AH217" s="158"/>
      <c r="AI217" s="146"/>
      <c r="AJ217" s="159"/>
      <c r="AK217" s="160"/>
      <c r="AL217" s="159"/>
      <c r="AM217" s="160"/>
      <c r="AN217" s="159"/>
      <c r="AO217" s="160"/>
      <c r="AQ217" s="160"/>
      <c r="AS217" s="160"/>
      <c r="AU217" s="160"/>
      <c r="AW217" s="160"/>
      <c r="AY217" s="160"/>
      <c r="BC217" s="160"/>
      <c r="BD217" s="165"/>
      <c r="BE217" s="160"/>
      <c r="BG217" s="160"/>
      <c r="BI217" s="160"/>
      <c r="BJ217" s="159"/>
      <c r="BK217" s="159"/>
      <c r="BM217" s="159"/>
      <c r="BN217" s="159"/>
      <c r="BO217" s="159"/>
      <c r="BP217" s="159"/>
      <c r="BR217" s="159"/>
      <c r="BS217" s="159"/>
      <c r="BT217" s="159"/>
      <c r="BU217" s="193"/>
      <c r="BV217" s="159"/>
      <c r="BW217" s="159"/>
      <c r="BX217" s="159"/>
      <c r="BY217" s="159"/>
      <c r="CB217" s="165"/>
      <c r="CC217" s="164"/>
      <c r="CD217" s="165"/>
      <c r="CE217" s="160"/>
      <c r="CF217" s="165"/>
      <c r="CH217" s="165"/>
      <c r="CJ217" s="165"/>
      <c r="CL217" s="165"/>
      <c r="CN217" s="165"/>
      <c r="CO217" s="130"/>
      <c r="CP217" s="165"/>
      <c r="CQ217" s="130"/>
      <c r="CR217" s="165"/>
      <c r="CS217" s="130"/>
      <c r="CT217" s="130"/>
      <c r="CU217" s="130"/>
      <c r="CV217" s="130"/>
      <c r="CW217" s="130"/>
      <c r="CX217" s="165"/>
      <c r="CY217" s="130"/>
      <c r="CZ217" s="130"/>
      <c r="DA217" s="130"/>
      <c r="DB217" s="130"/>
      <c r="DC217" s="130"/>
      <c r="DD217" s="130"/>
      <c r="DE217" s="130"/>
      <c r="DF217" s="130"/>
      <c r="DG217" s="130"/>
      <c r="DH217" s="130"/>
    </row>
    <row r="218" spans="3:112" ht="15">
      <c r="C218" s="157"/>
      <c r="D218" s="157"/>
      <c r="M218" s="112"/>
      <c r="N218" s="131"/>
      <c r="AG218" s="146"/>
      <c r="AH218" s="158"/>
      <c r="AI218" s="146"/>
      <c r="AJ218" s="159"/>
      <c r="AK218" s="160"/>
      <c r="AL218" s="159"/>
      <c r="AM218" s="160"/>
      <c r="AN218" s="159"/>
      <c r="AO218" s="160"/>
      <c r="AQ218" s="160"/>
      <c r="AS218" s="160"/>
      <c r="AU218" s="160"/>
      <c r="AW218" s="160"/>
      <c r="AY218" s="160"/>
      <c r="BC218" s="160"/>
      <c r="BD218" s="165"/>
      <c r="BE218" s="160"/>
      <c r="BG218" s="160"/>
      <c r="BI218" s="160"/>
      <c r="BJ218" s="159"/>
      <c r="BK218" s="159"/>
      <c r="BM218" s="159"/>
      <c r="BN218" s="159"/>
      <c r="BO218" s="159"/>
      <c r="BP218" s="159"/>
      <c r="BR218" s="159"/>
      <c r="BS218" s="159"/>
      <c r="BT218" s="159"/>
      <c r="BU218" s="193"/>
      <c r="BV218" s="159"/>
      <c r="BW218" s="159"/>
      <c r="BX218" s="159"/>
      <c r="BY218" s="159"/>
      <c r="CB218" s="165"/>
      <c r="CC218" s="164"/>
      <c r="CD218" s="165"/>
      <c r="CE218" s="160"/>
      <c r="CF218" s="165"/>
      <c r="CH218" s="165"/>
      <c r="CJ218" s="165"/>
      <c r="CL218" s="165"/>
      <c r="CN218" s="165"/>
      <c r="CO218" s="130"/>
      <c r="CP218" s="165"/>
      <c r="CQ218" s="130"/>
      <c r="CR218" s="165"/>
      <c r="CS218" s="130"/>
      <c r="CT218" s="130"/>
      <c r="CU218" s="130"/>
      <c r="CV218" s="130"/>
      <c r="CW218" s="130"/>
      <c r="CX218" s="165"/>
      <c r="CY218" s="130"/>
      <c r="CZ218" s="130"/>
      <c r="DA218" s="130"/>
      <c r="DB218" s="130"/>
      <c r="DC218" s="130"/>
      <c r="DD218" s="130"/>
      <c r="DE218" s="130"/>
      <c r="DF218" s="130"/>
      <c r="DG218" s="130"/>
      <c r="DH218" s="130"/>
    </row>
    <row r="219" spans="3:112" ht="15">
      <c r="C219" s="157"/>
      <c r="D219" s="157"/>
      <c r="M219" s="112"/>
      <c r="N219" s="131"/>
      <c r="AG219" s="146"/>
      <c r="AH219" s="158"/>
      <c r="AI219" s="146"/>
      <c r="AJ219" s="159"/>
      <c r="AK219" s="160"/>
      <c r="AL219" s="159"/>
      <c r="AM219" s="160"/>
      <c r="AN219" s="159"/>
      <c r="AO219" s="160"/>
      <c r="AQ219" s="160"/>
      <c r="AS219" s="160"/>
      <c r="AU219" s="160"/>
      <c r="AW219" s="160"/>
      <c r="AY219" s="160"/>
      <c r="BC219" s="160"/>
      <c r="BD219" s="165"/>
      <c r="BE219" s="160"/>
      <c r="BG219" s="160"/>
      <c r="BI219" s="160"/>
      <c r="BJ219" s="159"/>
      <c r="BK219" s="159"/>
      <c r="BM219" s="159"/>
      <c r="BN219" s="159"/>
      <c r="BO219" s="159"/>
      <c r="BP219" s="159"/>
      <c r="BR219" s="159"/>
      <c r="BS219" s="159"/>
      <c r="BT219" s="159"/>
      <c r="BU219" s="193"/>
      <c r="BV219" s="159"/>
      <c r="BW219" s="159"/>
      <c r="BX219" s="159"/>
      <c r="BY219" s="159"/>
      <c r="CB219" s="165"/>
      <c r="CC219" s="164"/>
      <c r="CD219" s="165"/>
      <c r="CE219" s="160"/>
      <c r="CF219" s="165"/>
      <c r="CH219" s="165"/>
      <c r="CJ219" s="165"/>
      <c r="CL219" s="165"/>
      <c r="CN219" s="165"/>
      <c r="CO219" s="130"/>
      <c r="CP219" s="165"/>
      <c r="CQ219" s="130"/>
      <c r="CR219" s="165"/>
      <c r="CS219" s="130"/>
      <c r="CT219" s="130"/>
      <c r="CU219" s="130"/>
      <c r="CV219" s="130"/>
      <c r="CW219" s="130"/>
      <c r="CX219" s="165"/>
      <c r="CY219" s="130"/>
      <c r="CZ219" s="130"/>
      <c r="DA219" s="130"/>
      <c r="DB219" s="130"/>
      <c r="DC219" s="130"/>
      <c r="DD219" s="130"/>
      <c r="DE219" s="130"/>
      <c r="DF219" s="130"/>
      <c r="DG219" s="130"/>
      <c r="DH219" s="130"/>
    </row>
    <row r="220" spans="3:112" ht="15">
      <c r="C220" s="157"/>
      <c r="D220" s="157"/>
      <c r="M220" s="112"/>
      <c r="N220" s="131"/>
      <c r="AG220" s="146"/>
      <c r="AH220" s="158"/>
      <c r="AI220" s="146"/>
      <c r="AJ220" s="159"/>
      <c r="AK220" s="160"/>
      <c r="AL220" s="159"/>
      <c r="AM220" s="160"/>
      <c r="AN220" s="159"/>
      <c r="AO220" s="160"/>
      <c r="AQ220" s="160"/>
      <c r="AS220" s="160"/>
      <c r="AU220" s="160"/>
      <c r="AW220" s="160"/>
      <c r="AY220" s="160"/>
      <c r="BC220" s="160"/>
      <c r="BD220" s="165"/>
      <c r="BE220" s="160"/>
      <c r="BG220" s="160"/>
      <c r="BI220" s="160"/>
      <c r="BJ220" s="159"/>
      <c r="BK220" s="159"/>
      <c r="BM220" s="159"/>
      <c r="BN220" s="159"/>
      <c r="BO220" s="159"/>
      <c r="BP220" s="159"/>
      <c r="BR220" s="159"/>
      <c r="BS220" s="159"/>
      <c r="BT220" s="159"/>
      <c r="BU220" s="193"/>
      <c r="BV220" s="159"/>
      <c r="BW220" s="159"/>
      <c r="BX220" s="159"/>
      <c r="BY220" s="159"/>
      <c r="CB220" s="165"/>
      <c r="CC220" s="164"/>
      <c r="CD220" s="165"/>
      <c r="CE220" s="160"/>
      <c r="CF220" s="165"/>
      <c r="CH220" s="165"/>
      <c r="CJ220" s="165"/>
      <c r="CL220" s="165"/>
      <c r="CN220" s="165"/>
      <c r="CO220" s="130"/>
      <c r="CP220" s="165"/>
      <c r="CQ220" s="130"/>
      <c r="CR220" s="165"/>
      <c r="CS220" s="130"/>
      <c r="CT220" s="130"/>
      <c r="CU220" s="130"/>
      <c r="CV220" s="130"/>
      <c r="CW220" s="130"/>
      <c r="CX220" s="165"/>
      <c r="CY220" s="130"/>
      <c r="CZ220" s="130"/>
      <c r="DA220" s="130"/>
      <c r="DB220" s="130"/>
      <c r="DC220" s="130"/>
      <c r="DD220" s="130"/>
      <c r="DE220" s="130"/>
      <c r="DF220" s="130"/>
      <c r="DG220" s="130"/>
      <c r="DH220" s="130"/>
    </row>
    <row r="221" spans="3:112" ht="15">
      <c r="C221" s="157"/>
      <c r="D221" s="157"/>
      <c r="M221" s="112"/>
      <c r="N221" s="131"/>
      <c r="AG221" s="146"/>
      <c r="AH221" s="158"/>
      <c r="AI221" s="146"/>
      <c r="AJ221" s="159"/>
      <c r="AK221" s="160"/>
      <c r="AL221" s="159"/>
      <c r="AM221" s="160"/>
      <c r="AN221" s="159"/>
      <c r="AO221" s="160"/>
      <c r="AQ221" s="160"/>
      <c r="AS221" s="160"/>
      <c r="AU221" s="160"/>
      <c r="AW221" s="160"/>
      <c r="AY221" s="160"/>
      <c r="BC221" s="160"/>
      <c r="BD221" s="165"/>
      <c r="BE221" s="160"/>
      <c r="BG221" s="160"/>
      <c r="BI221" s="160"/>
      <c r="BJ221" s="159"/>
      <c r="BK221" s="159"/>
      <c r="BM221" s="159"/>
      <c r="BN221" s="159"/>
      <c r="BO221" s="159"/>
      <c r="BP221" s="159"/>
      <c r="BR221" s="159"/>
      <c r="BS221" s="159"/>
      <c r="BT221" s="159"/>
      <c r="BU221" s="193"/>
      <c r="BV221" s="159"/>
      <c r="BW221" s="159"/>
      <c r="BX221" s="159"/>
      <c r="BY221" s="159"/>
      <c r="CB221" s="165"/>
      <c r="CC221" s="164"/>
      <c r="CD221" s="165"/>
      <c r="CE221" s="160"/>
      <c r="CF221" s="165"/>
      <c r="CH221" s="165"/>
      <c r="CJ221" s="165"/>
      <c r="CL221" s="165"/>
      <c r="CN221" s="165"/>
      <c r="CO221" s="130"/>
      <c r="CP221" s="165"/>
      <c r="CQ221" s="130"/>
      <c r="CR221" s="165"/>
      <c r="CS221" s="130"/>
      <c r="CT221" s="130"/>
      <c r="CU221" s="130"/>
      <c r="CV221" s="130"/>
      <c r="CW221" s="130"/>
      <c r="CX221" s="165"/>
      <c r="CY221" s="130"/>
      <c r="CZ221" s="130"/>
      <c r="DA221" s="130"/>
      <c r="DB221" s="130"/>
      <c r="DC221" s="130"/>
      <c r="DD221" s="130"/>
      <c r="DE221" s="130"/>
      <c r="DF221" s="130"/>
      <c r="DG221" s="130"/>
      <c r="DH221" s="130"/>
    </row>
    <row r="222" spans="3:112" ht="15">
      <c r="C222" s="157"/>
      <c r="D222" s="157"/>
      <c r="M222" s="112"/>
      <c r="N222" s="131"/>
      <c r="AG222" s="146"/>
      <c r="AH222" s="158"/>
      <c r="AI222" s="146"/>
      <c r="AJ222" s="159"/>
      <c r="AK222" s="160"/>
      <c r="AL222" s="159"/>
      <c r="AM222" s="160"/>
      <c r="AN222" s="159"/>
      <c r="AO222" s="160"/>
      <c r="AQ222" s="160"/>
      <c r="AS222" s="160"/>
      <c r="AU222" s="160"/>
      <c r="AW222" s="160"/>
      <c r="AY222" s="160"/>
      <c r="BC222" s="160"/>
      <c r="BD222" s="165"/>
      <c r="BE222" s="160"/>
      <c r="BG222" s="160"/>
      <c r="BI222" s="160"/>
      <c r="BJ222" s="159"/>
      <c r="BK222" s="159"/>
      <c r="BM222" s="159"/>
      <c r="BN222" s="159"/>
      <c r="BO222" s="159"/>
      <c r="BP222" s="159"/>
      <c r="BR222" s="159"/>
      <c r="BS222" s="159"/>
      <c r="BT222" s="159"/>
      <c r="BU222" s="193"/>
      <c r="BV222" s="159"/>
      <c r="BW222" s="159"/>
      <c r="BX222" s="159"/>
      <c r="BY222" s="159"/>
      <c r="CB222" s="165"/>
      <c r="CC222" s="164"/>
      <c r="CD222" s="165"/>
      <c r="CE222" s="160"/>
      <c r="CF222" s="165"/>
      <c r="CH222" s="165"/>
      <c r="CJ222" s="165"/>
      <c r="CL222" s="165"/>
      <c r="CN222" s="165"/>
      <c r="CO222" s="130"/>
      <c r="CP222" s="165"/>
      <c r="CQ222" s="130"/>
      <c r="CR222" s="165"/>
      <c r="CS222" s="130"/>
      <c r="CT222" s="130"/>
      <c r="CU222" s="130"/>
      <c r="CV222" s="130"/>
      <c r="CW222" s="130"/>
      <c r="CX222" s="165"/>
      <c r="CY222" s="130"/>
      <c r="CZ222" s="130"/>
      <c r="DA222" s="130"/>
      <c r="DB222" s="130"/>
      <c r="DC222" s="130"/>
      <c r="DD222" s="130"/>
      <c r="DE222" s="130"/>
      <c r="DF222" s="130"/>
      <c r="DG222" s="130"/>
      <c r="DH222" s="130"/>
    </row>
    <row r="223" spans="3:112" ht="15">
      <c r="C223" s="157"/>
      <c r="D223" s="157"/>
      <c r="M223" s="112"/>
      <c r="N223" s="131"/>
      <c r="AG223" s="146"/>
      <c r="AH223" s="158"/>
      <c r="AI223" s="146"/>
      <c r="AJ223" s="159"/>
      <c r="AK223" s="160"/>
      <c r="AL223" s="159"/>
      <c r="AM223" s="160"/>
      <c r="AN223" s="159"/>
      <c r="AO223" s="160"/>
      <c r="AQ223" s="160"/>
      <c r="AS223" s="160"/>
      <c r="AU223" s="160"/>
      <c r="AW223" s="160"/>
      <c r="AY223" s="160"/>
      <c r="BA223" s="160"/>
      <c r="BB223" s="164"/>
      <c r="BC223" s="160"/>
      <c r="BD223" s="165"/>
      <c r="BE223" s="160"/>
      <c r="BF223" s="159"/>
      <c r="BG223" s="160"/>
      <c r="BH223" s="165"/>
      <c r="BI223" s="160"/>
      <c r="BJ223" s="159"/>
      <c r="BK223" s="159"/>
      <c r="BL223" s="159"/>
      <c r="BM223" s="159"/>
      <c r="BN223" s="159"/>
      <c r="BO223" s="159"/>
      <c r="BP223" s="159"/>
      <c r="BR223" s="159"/>
      <c r="BS223" s="159"/>
      <c r="BT223" s="159"/>
      <c r="BU223" s="193"/>
      <c r="BV223" s="159"/>
      <c r="BW223" s="159"/>
      <c r="BX223" s="159"/>
      <c r="BY223" s="159"/>
      <c r="CB223" s="165"/>
      <c r="CD223" s="165"/>
      <c r="CF223" s="165"/>
      <c r="CH223" s="165"/>
      <c r="CJ223" s="165"/>
      <c r="CL223" s="165"/>
      <c r="CN223" s="165"/>
      <c r="CO223" s="130"/>
      <c r="CP223" s="165"/>
      <c r="CQ223" s="130"/>
      <c r="CR223" s="165"/>
      <c r="CS223" s="130"/>
      <c r="CT223" s="130"/>
      <c r="CU223" s="130"/>
      <c r="CV223" s="130"/>
      <c r="CW223" s="130"/>
      <c r="CX223" s="165"/>
      <c r="CY223" s="130"/>
      <c r="CZ223" s="130"/>
      <c r="DA223" s="130"/>
      <c r="DB223" s="130"/>
      <c r="DC223" s="130"/>
      <c r="DD223" s="130"/>
      <c r="DE223" s="130"/>
      <c r="DF223" s="130"/>
      <c r="DG223" s="130"/>
      <c r="DH223" s="130"/>
    </row>
    <row r="224" spans="3:112" ht="15">
      <c r="C224" s="157"/>
      <c r="D224" s="157"/>
      <c r="M224" s="112"/>
      <c r="N224" s="131"/>
      <c r="AG224" s="146"/>
      <c r="AH224" s="158"/>
      <c r="AI224" s="146"/>
      <c r="AJ224" s="159"/>
      <c r="AK224" s="160"/>
      <c r="AL224" s="159"/>
      <c r="AM224" s="160"/>
      <c r="AN224" s="159"/>
      <c r="AO224" s="160"/>
      <c r="AQ224" s="160"/>
      <c r="AS224" s="160"/>
      <c r="AU224" s="160"/>
      <c r="AW224" s="160"/>
      <c r="AY224" s="160"/>
      <c r="BA224" s="160"/>
      <c r="BB224" s="164"/>
      <c r="BC224" s="160"/>
      <c r="BD224" s="165"/>
      <c r="BE224" s="160"/>
      <c r="BF224" s="159"/>
      <c r="BG224" s="160"/>
      <c r="BH224" s="165"/>
      <c r="BI224" s="160"/>
      <c r="BJ224" s="159"/>
      <c r="BK224" s="159"/>
      <c r="BL224" s="159"/>
      <c r="BM224" s="159"/>
      <c r="BN224" s="159"/>
      <c r="BO224" s="159"/>
      <c r="BP224" s="159"/>
      <c r="BR224" s="159"/>
      <c r="BS224" s="159"/>
      <c r="BT224" s="159"/>
      <c r="BU224" s="193"/>
      <c r="BV224" s="159"/>
      <c r="BW224" s="159"/>
      <c r="BX224" s="159"/>
      <c r="BY224" s="159"/>
      <c r="CB224" s="165"/>
      <c r="CD224" s="165"/>
      <c r="CF224" s="165"/>
      <c r="CH224" s="165"/>
      <c r="CJ224" s="165"/>
      <c r="CL224" s="165"/>
      <c r="CN224" s="165"/>
      <c r="CO224" s="130"/>
      <c r="CP224" s="165"/>
      <c r="CQ224" s="130"/>
      <c r="CR224" s="165"/>
      <c r="CS224" s="130"/>
      <c r="CT224" s="130"/>
      <c r="CU224" s="130"/>
      <c r="CV224" s="130"/>
      <c r="CW224" s="130"/>
      <c r="CX224" s="165"/>
      <c r="CY224" s="130"/>
      <c r="CZ224" s="130"/>
      <c r="DA224" s="130"/>
      <c r="DB224" s="130"/>
      <c r="DC224" s="130"/>
      <c r="DD224" s="130"/>
      <c r="DE224" s="130"/>
      <c r="DF224" s="130"/>
      <c r="DG224" s="130"/>
      <c r="DH224" s="130"/>
    </row>
    <row r="225" spans="3:112" ht="15">
      <c r="C225" s="157"/>
      <c r="D225" s="157"/>
      <c r="M225" s="112"/>
      <c r="N225" s="131"/>
      <c r="AG225" s="146"/>
      <c r="AH225" s="158"/>
      <c r="AI225" s="146"/>
      <c r="AJ225" s="159"/>
      <c r="AK225" s="160"/>
      <c r="AL225" s="159"/>
      <c r="AM225" s="160"/>
      <c r="AN225" s="159"/>
      <c r="AO225" s="160"/>
      <c r="AQ225" s="160"/>
      <c r="AS225" s="160"/>
      <c r="AU225" s="160"/>
      <c r="AW225" s="160"/>
      <c r="AY225" s="160"/>
      <c r="BA225" s="160"/>
      <c r="BB225" s="164"/>
      <c r="BC225" s="160"/>
      <c r="BD225" s="165"/>
      <c r="BE225" s="160"/>
      <c r="BF225" s="159"/>
      <c r="BG225" s="160"/>
      <c r="BH225" s="165"/>
      <c r="BI225" s="160"/>
      <c r="BJ225" s="159"/>
      <c r="BK225" s="159"/>
      <c r="BL225" s="159"/>
      <c r="BM225" s="159"/>
      <c r="BN225" s="159"/>
      <c r="BO225" s="159"/>
      <c r="BP225" s="159"/>
      <c r="BR225" s="159"/>
      <c r="BS225" s="159"/>
      <c r="BT225" s="159"/>
      <c r="BU225" s="193"/>
      <c r="BV225" s="159"/>
      <c r="BW225" s="159"/>
      <c r="BX225" s="159"/>
      <c r="BY225" s="159"/>
      <c r="CB225" s="165"/>
      <c r="CD225" s="165"/>
      <c r="CF225" s="165"/>
      <c r="CH225" s="165"/>
      <c r="CJ225" s="165"/>
      <c r="CL225" s="165"/>
      <c r="CN225" s="165"/>
      <c r="CO225" s="130"/>
      <c r="CP225" s="165"/>
      <c r="CQ225" s="130"/>
      <c r="CR225" s="165"/>
      <c r="CS225" s="130"/>
      <c r="CT225" s="130"/>
      <c r="CU225" s="130"/>
      <c r="CV225" s="130"/>
      <c r="CW225" s="130"/>
      <c r="CX225" s="165"/>
      <c r="CY225" s="130"/>
      <c r="CZ225" s="130"/>
      <c r="DA225" s="130"/>
      <c r="DB225" s="130"/>
      <c r="DC225" s="130"/>
      <c r="DD225" s="130"/>
      <c r="DE225" s="130"/>
      <c r="DF225" s="130"/>
      <c r="DG225" s="130"/>
      <c r="DH225" s="130"/>
    </row>
    <row r="226" spans="3:112" ht="15">
      <c r="C226" s="157"/>
      <c r="D226" s="157"/>
      <c r="M226" s="112"/>
      <c r="N226" s="131"/>
      <c r="AG226" s="146"/>
      <c r="AH226" s="158"/>
      <c r="AI226" s="146"/>
      <c r="AJ226" s="159"/>
      <c r="AK226" s="160"/>
      <c r="AL226" s="159"/>
      <c r="AM226" s="160"/>
      <c r="AN226" s="159"/>
      <c r="AO226" s="160"/>
      <c r="AQ226" s="160"/>
      <c r="AS226" s="160"/>
      <c r="AU226" s="160"/>
      <c r="AW226" s="160"/>
      <c r="AY226" s="160"/>
      <c r="BA226" s="160"/>
      <c r="BB226" s="164"/>
      <c r="BC226" s="160"/>
      <c r="BD226" s="165"/>
      <c r="BE226" s="160"/>
      <c r="BF226" s="159"/>
      <c r="BG226" s="160"/>
      <c r="BH226" s="165"/>
      <c r="BI226" s="160"/>
      <c r="BJ226" s="159"/>
      <c r="BK226" s="159"/>
      <c r="BL226" s="159"/>
      <c r="BM226" s="159"/>
      <c r="BN226" s="159"/>
      <c r="BO226" s="159"/>
      <c r="BP226" s="159"/>
      <c r="BR226" s="159"/>
      <c r="BS226" s="159"/>
      <c r="BT226" s="159"/>
      <c r="BU226" s="193"/>
      <c r="BV226" s="159"/>
      <c r="BW226" s="159"/>
      <c r="BX226" s="159"/>
      <c r="BY226" s="159"/>
      <c r="CB226" s="165"/>
      <c r="CD226" s="165"/>
      <c r="CF226" s="165"/>
      <c r="CH226" s="165"/>
      <c r="CJ226" s="165"/>
      <c r="CL226" s="165"/>
      <c r="CN226" s="165"/>
      <c r="CO226" s="130"/>
      <c r="CP226" s="165"/>
      <c r="CQ226" s="130"/>
      <c r="CR226" s="165"/>
      <c r="CS226" s="130"/>
      <c r="CT226" s="130"/>
      <c r="CU226" s="130"/>
      <c r="CV226" s="130"/>
      <c r="CW226" s="130"/>
      <c r="CX226" s="165"/>
      <c r="CY226" s="130"/>
      <c r="CZ226" s="130"/>
      <c r="DA226" s="130"/>
      <c r="DB226" s="130"/>
      <c r="DC226" s="130"/>
      <c r="DD226" s="130"/>
      <c r="DE226" s="130"/>
      <c r="DF226" s="130"/>
      <c r="DG226" s="130"/>
      <c r="DH226" s="130"/>
    </row>
    <row r="227" spans="3:112" ht="15">
      <c r="C227" s="157"/>
      <c r="D227" s="157"/>
      <c r="M227" s="112"/>
      <c r="N227" s="131"/>
      <c r="AG227" s="146"/>
      <c r="AH227" s="158"/>
      <c r="AI227" s="146"/>
      <c r="AJ227" s="159"/>
      <c r="AK227" s="160"/>
      <c r="AL227" s="159"/>
      <c r="AM227" s="160"/>
      <c r="AN227" s="159"/>
      <c r="AO227" s="160"/>
      <c r="AQ227" s="160"/>
      <c r="AS227" s="160"/>
      <c r="AU227" s="160"/>
      <c r="AW227" s="160"/>
      <c r="AY227" s="160"/>
      <c r="BA227" s="160"/>
      <c r="BB227" s="164"/>
      <c r="BC227" s="160"/>
      <c r="BD227" s="165"/>
      <c r="BE227" s="160"/>
      <c r="BF227" s="159"/>
      <c r="BG227" s="160"/>
      <c r="BH227" s="165"/>
      <c r="BI227" s="160"/>
      <c r="BJ227" s="159"/>
      <c r="BK227" s="159"/>
      <c r="BL227" s="159"/>
      <c r="BM227" s="159"/>
      <c r="BN227" s="159"/>
      <c r="BO227" s="159"/>
      <c r="BP227" s="159"/>
      <c r="BR227" s="159"/>
      <c r="BS227" s="159"/>
      <c r="BT227" s="159"/>
      <c r="BU227" s="193"/>
      <c r="BV227" s="159"/>
      <c r="BW227" s="159"/>
      <c r="BX227" s="159"/>
      <c r="BY227" s="159"/>
      <c r="CB227" s="165"/>
      <c r="CD227" s="165"/>
      <c r="CF227" s="165"/>
      <c r="CH227" s="165"/>
      <c r="CJ227" s="165"/>
      <c r="CL227" s="165"/>
      <c r="CN227" s="165"/>
      <c r="CO227" s="130"/>
      <c r="CP227" s="165"/>
      <c r="CQ227" s="130"/>
      <c r="CR227" s="165"/>
      <c r="CS227" s="130"/>
      <c r="CT227" s="130"/>
      <c r="CU227" s="130"/>
      <c r="CV227" s="130"/>
      <c r="CW227" s="130"/>
      <c r="CX227" s="165"/>
      <c r="CY227" s="130"/>
      <c r="CZ227" s="130"/>
      <c r="DA227" s="130"/>
      <c r="DB227" s="130"/>
      <c r="DC227" s="130"/>
      <c r="DD227" s="130"/>
      <c r="DE227" s="130"/>
      <c r="DF227" s="130"/>
      <c r="DG227" s="130"/>
      <c r="DH227" s="130"/>
    </row>
    <row r="228" spans="3:112" ht="15">
      <c r="C228" s="157"/>
      <c r="D228" s="157"/>
      <c r="M228" s="112"/>
      <c r="N228" s="131"/>
      <c r="AG228" s="146"/>
      <c r="AH228" s="158"/>
      <c r="AI228" s="146"/>
      <c r="AJ228" s="159"/>
      <c r="AK228" s="160"/>
      <c r="AL228" s="159"/>
      <c r="AM228" s="160"/>
      <c r="AN228" s="159"/>
      <c r="AO228" s="160"/>
      <c r="AQ228" s="160"/>
      <c r="AS228" s="160"/>
      <c r="AU228" s="160"/>
      <c r="AW228" s="160"/>
      <c r="AY228" s="160"/>
      <c r="BA228" s="160"/>
      <c r="BB228" s="164"/>
      <c r="BC228" s="160"/>
      <c r="BD228" s="165"/>
      <c r="BE228" s="160"/>
      <c r="BF228" s="159"/>
      <c r="BG228" s="160"/>
      <c r="BH228" s="165"/>
      <c r="BI228" s="160"/>
      <c r="BJ228" s="159"/>
      <c r="BK228" s="159"/>
      <c r="BL228" s="159"/>
      <c r="BM228" s="159"/>
      <c r="BN228" s="159"/>
      <c r="BO228" s="159"/>
      <c r="BP228" s="159"/>
      <c r="BR228" s="159"/>
      <c r="BS228" s="159"/>
      <c r="BT228" s="159"/>
      <c r="BU228" s="193"/>
      <c r="BV228" s="159"/>
      <c r="BW228" s="159"/>
      <c r="BX228" s="159"/>
      <c r="BY228" s="159"/>
      <c r="CB228" s="165"/>
      <c r="CD228" s="165"/>
      <c r="CF228" s="165"/>
      <c r="CH228" s="165"/>
      <c r="CJ228" s="165"/>
      <c r="CL228" s="165"/>
      <c r="CN228" s="165"/>
      <c r="CO228" s="130"/>
      <c r="CP228" s="165"/>
      <c r="CQ228" s="130"/>
      <c r="CR228" s="165"/>
      <c r="CS228" s="130"/>
      <c r="CT228" s="130"/>
      <c r="CU228" s="130"/>
      <c r="CV228" s="130"/>
      <c r="CW228" s="130"/>
      <c r="CX228" s="165"/>
      <c r="CY228" s="130"/>
      <c r="CZ228" s="130"/>
      <c r="DA228" s="130"/>
      <c r="DB228" s="130"/>
      <c r="DC228" s="130"/>
      <c r="DD228" s="130"/>
      <c r="DE228" s="130"/>
      <c r="DF228" s="130"/>
      <c r="DG228" s="130"/>
      <c r="DH228" s="130"/>
    </row>
    <row r="229" spans="3:112" ht="15">
      <c r="C229" s="157"/>
      <c r="D229" s="157"/>
      <c r="M229" s="112"/>
      <c r="N229" s="131"/>
      <c r="AG229" s="146"/>
      <c r="AH229" s="158"/>
      <c r="AI229" s="146"/>
      <c r="AJ229" s="159"/>
      <c r="AK229" s="160"/>
      <c r="AL229" s="159"/>
      <c r="AM229" s="160"/>
      <c r="AN229" s="159"/>
      <c r="AO229" s="160"/>
      <c r="AQ229" s="160"/>
      <c r="AS229" s="160"/>
      <c r="AU229" s="160"/>
      <c r="AW229" s="160"/>
      <c r="AY229" s="160"/>
      <c r="BA229" s="160"/>
      <c r="BB229" s="164"/>
      <c r="BC229" s="160"/>
      <c r="BD229" s="165"/>
      <c r="BE229" s="160"/>
      <c r="BF229" s="159"/>
      <c r="BG229" s="160"/>
      <c r="BH229" s="165"/>
      <c r="BI229" s="160"/>
      <c r="BJ229" s="159"/>
      <c r="BK229" s="159"/>
      <c r="BL229" s="159"/>
      <c r="BM229" s="159"/>
      <c r="BN229" s="159"/>
      <c r="BO229" s="159"/>
      <c r="BP229" s="159"/>
      <c r="BR229" s="159"/>
      <c r="BS229" s="159"/>
      <c r="BT229" s="159"/>
      <c r="BU229" s="193"/>
      <c r="BV229" s="159"/>
      <c r="BW229" s="159"/>
      <c r="BX229" s="159"/>
      <c r="BY229" s="159"/>
      <c r="CB229" s="165"/>
      <c r="CD229" s="165"/>
      <c r="CF229" s="165"/>
      <c r="CH229" s="165"/>
      <c r="CJ229" s="165"/>
      <c r="CL229" s="165"/>
      <c r="CN229" s="165"/>
      <c r="CO229" s="130"/>
      <c r="CP229" s="165"/>
      <c r="CQ229" s="130"/>
      <c r="CR229" s="165"/>
      <c r="CS229" s="130"/>
      <c r="CT229" s="130"/>
      <c r="CU229" s="130"/>
      <c r="CV229" s="130"/>
      <c r="CW229" s="130"/>
      <c r="CX229" s="165"/>
      <c r="CY229" s="130"/>
      <c r="CZ229" s="130"/>
      <c r="DA229" s="130"/>
      <c r="DB229" s="130"/>
      <c r="DC229" s="130"/>
      <c r="DD229" s="130"/>
      <c r="DE229" s="130"/>
      <c r="DF229" s="130"/>
      <c r="DG229" s="130"/>
      <c r="DH229" s="130"/>
    </row>
    <row r="230" spans="3:112" ht="15">
      <c r="C230" s="157"/>
      <c r="D230" s="157"/>
      <c r="M230" s="112"/>
      <c r="N230" s="131"/>
      <c r="AG230" s="146"/>
      <c r="AH230" s="158"/>
      <c r="AI230" s="146"/>
      <c r="AJ230" s="159"/>
      <c r="AK230" s="160"/>
      <c r="AL230" s="159"/>
      <c r="AM230" s="160"/>
      <c r="AN230" s="159"/>
      <c r="AO230" s="160"/>
      <c r="AQ230" s="160"/>
      <c r="AS230" s="160"/>
      <c r="AU230" s="160"/>
      <c r="AW230" s="160"/>
      <c r="AY230" s="160"/>
      <c r="BA230" s="160"/>
      <c r="BB230" s="164"/>
      <c r="BC230" s="160"/>
      <c r="BD230" s="165"/>
      <c r="BE230" s="160"/>
      <c r="BF230" s="159"/>
      <c r="BG230" s="160"/>
      <c r="BH230" s="165"/>
      <c r="BI230" s="160"/>
      <c r="BJ230" s="159"/>
      <c r="BK230" s="159"/>
      <c r="BL230" s="159"/>
      <c r="BM230" s="159"/>
      <c r="BN230" s="159"/>
      <c r="BO230" s="159"/>
      <c r="BP230" s="159"/>
      <c r="BR230" s="159"/>
      <c r="BS230" s="159"/>
      <c r="BT230" s="159"/>
      <c r="BU230" s="193"/>
      <c r="BV230" s="159"/>
      <c r="BW230" s="159"/>
      <c r="BX230" s="159"/>
      <c r="BY230" s="159"/>
      <c r="CB230" s="165"/>
      <c r="CD230" s="165"/>
      <c r="CF230" s="165"/>
      <c r="CH230" s="165"/>
      <c r="CJ230" s="165"/>
      <c r="CL230" s="165"/>
      <c r="CN230" s="165"/>
      <c r="CO230" s="130"/>
      <c r="CP230" s="165"/>
      <c r="CQ230" s="130"/>
      <c r="CR230" s="165"/>
      <c r="CS230" s="130"/>
      <c r="CT230" s="130"/>
      <c r="CU230" s="130"/>
      <c r="CV230" s="130"/>
      <c r="CW230" s="130"/>
      <c r="CX230" s="165"/>
      <c r="CY230" s="130"/>
      <c r="CZ230" s="130"/>
      <c r="DA230" s="130"/>
      <c r="DB230" s="130"/>
      <c r="DC230" s="130"/>
      <c r="DD230" s="130"/>
      <c r="DE230" s="130"/>
      <c r="DF230" s="130"/>
      <c r="DG230" s="130"/>
      <c r="DH230" s="130"/>
    </row>
    <row r="231" spans="3:112" ht="15">
      <c r="C231" s="157"/>
      <c r="D231" s="157"/>
      <c r="M231" s="112"/>
      <c r="N231" s="131"/>
      <c r="AG231" s="146"/>
      <c r="AH231" s="158"/>
      <c r="AI231" s="146"/>
      <c r="AJ231" s="159"/>
      <c r="AK231" s="160"/>
      <c r="AL231" s="159"/>
      <c r="AM231" s="160"/>
      <c r="AN231" s="159"/>
      <c r="AO231" s="160"/>
      <c r="AQ231" s="160"/>
      <c r="AS231" s="160"/>
      <c r="AU231" s="160"/>
      <c r="AW231" s="160"/>
      <c r="AY231" s="160"/>
      <c r="BA231" s="160"/>
      <c r="BB231" s="164"/>
      <c r="BC231" s="160"/>
      <c r="BD231" s="165"/>
      <c r="BE231" s="160"/>
      <c r="BF231" s="159"/>
      <c r="BG231" s="160"/>
      <c r="BH231" s="165"/>
      <c r="BI231" s="160"/>
      <c r="BJ231" s="159"/>
      <c r="BK231" s="159"/>
      <c r="BL231" s="159"/>
      <c r="BM231" s="159"/>
      <c r="BN231" s="159"/>
      <c r="BO231" s="159"/>
      <c r="BP231" s="159"/>
      <c r="BR231" s="159"/>
      <c r="BS231" s="159"/>
      <c r="BT231" s="159"/>
      <c r="BU231" s="193"/>
      <c r="BV231" s="159"/>
      <c r="BW231" s="159"/>
      <c r="BX231" s="159"/>
      <c r="BY231" s="159"/>
      <c r="CB231" s="165"/>
      <c r="CD231" s="165"/>
      <c r="CF231" s="165"/>
      <c r="CH231" s="165"/>
      <c r="CJ231" s="165"/>
      <c r="CL231" s="165"/>
      <c r="CN231" s="165"/>
      <c r="CO231" s="130"/>
      <c r="CP231" s="165"/>
      <c r="CQ231" s="130"/>
      <c r="CR231" s="165"/>
      <c r="CS231" s="130"/>
      <c r="CT231" s="130"/>
      <c r="CU231" s="130"/>
      <c r="CV231" s="130"/>
      <c r="CW231" s="130"/>
      <c r="CX231" s="165"/>
      <c r="CY231" s="130"/>
      <c r="CZ231" s="130"/>
      <c r="DA231" s="130"/>
      <c r="DB231" s="130"/>
      <c r="DC231" s="130"/>
      <c r="DD231" s="130"/>
      <c r="DE231" s="130"/>
      <c r="DF231" s="130"/>
      <c r="DG231" s="130"/>
      <c r="DH231" s="130"/>
    </row>
    <row r="232" spans="3:112" ht="15">
      <c r="C232" s="157"/>
      <c r="D232" s="157"/>
      <c r="M232" s="112"/>
      <c r="N232" s="131"/>
      <c r="AG232" s="146"/>
      <c r="AH232" s="158"/>
      <c r="AI232" s="146"/>
      <c r="AJ232" s="159"/>
      <c r="AK232" s="160"/>
      <c r="AL232" s="159"/>
      <c r="AM232" s="160"/>
      <c r="AN232" s="159"/>
      <c r="AO232" s="160"/>
      <c r="AQ232" s="160"/>
      <c r="AS232" s="160"/>
      <c r="AU232" s="160"/>
      <c r="AW232" s="160"/>
      <c r="AY232" s="160"/>
      <c r="BA232" s="160"/>
      <c r="BB232" s="164"/>
      <c r="BC232" s="160"/>
      <c r="BD232" s="165"/>
      <c r="BE232" s="160"/>
      <c r="BF232" s="159"/>
      <c r="BG232" s="160"/>
      <c r="BH232" s="165"/>
      <c r="BI232" s="160"/>
      <c r="BJ232" s="159"/>
      <c r="BK232" s="159"/>
      <c r="BL232" s="159"/>
      <c r="BM232" s="159"/>
      <c r="BN232" s="159"/>
      <c r="BO232" s="159"/>
      <c r="BP232" s="159"/>
      <c r="BR232" s="159"/>
      <c r="BS232" s="159"/>
      <c r="BT232" s="159"/>
      <c r="BU232" s="193"/>
      <c r="BV232" s="159"/>
      <c r="BW232" s="159"/>
      <c r="BX232" s="159"/>
      <c r="BY232" s="159"/>
      <c r="CB232" s="165"/>
      <c r="CD232" s="165"/>
      <c r="CF232" s="165"/>
      <c r="CH232" s="165"/>
      <c r="CJ232" s="165"/>
      <c r="CL232" s="165"/>
      <c r="CN232" s="165"/>
      <c r="CO232" s="130"/>
      <c r="CP232" s="165"/>
      <c r="CQ232" s="130"/>
      <c r="CR232" s="165"/>
      <c r="CS232" s="130"/>
      <c r="CT232" s="130"/>
      <c r="CU232" s="130"/>
      <c r="CV232" s="130"/>
      <c r="CW232" s="130"/>
      <c r="CX232" s="165"/>
      <c r="CY232" s="130"/>
      <c r="CZ232" s="130"/>
      <c r="DA232" s="130"/>
      <c r="DB232" s="130"/>
      <c r="DC232" s="130"/>
      <c r="DD232" s="130"/>
      <c r="DE232" s="130"/>
      <c r="DF232" s="130"/>
      <c r="DG232" s="130"/>
      <c r="DH232" s="130"/>
    </row>
    <row r="233" spans="3:112" ht="15">
      <c r="C233" s="157"/>
      <c r="D233" s="157"/>
      <c r="M233" s="112"/>
      <c r="N233" s="131"/>
      <c r="AG233" s="146"/>
      <c r="AH233" s="158"/>
      <c r="AI233" s="146"/>
      <c r="AJ233" s="159"/>
      <c r="AK233" s="160"/>
      <c r="AL233" s="159"/>
      <c r="AM233" s="160"/>
      <c r="AN233" s="159"/>
      <c r="AO233" s="160"/>
      <c r="AQ233" s="160"/>
      <c r="AS233" s="160"/>
      <c r="AU233" s="160"/>
      <c r="AW233" s="160"/>
      <c r="AY233" s="160"/>
      <c r="BA233" s="160"/>
      <c r="BB233" s="164"/>
      <c r="BC233" s="160"/>
      <c r="BD233" s="165"/>
      <c r="BE233" s="160"/>
      <c r="BF233" s="159"/>
      <c r="BG233" s="160"/>
      <c r="BH233" s="165"/>
      <c r="BI233" s="160"/>
      <c r="BJ233" s="159"/>
      <c r="BK233" s="159"/>
      <c r="BL233" s="159"/>
      <c r="BM233" s="159"/>
      <c r="BN233" s="159"/>
      <c r="BO233" s="159"/>
      <c r="BP233" s="159"/>
      <c r="BR233" s="159"/>
      <c r="BS233" s="159"/>
      <c r="BT233" s="159"/>
      <c r="BU233" s="193"/>
      <c r="BV233" s="159"/>
      <c r="BW233" s="159"/>
      <c r="BX233" s="159"/>
      <c r="BY233" s="159"/>
      <c r="CB233" s="165"/>
      <c r="CD233" s="165"/>
      <c r="CF233" s="165"/>
      <c r="CH233" s="165"/>
      <c r="CJ233" s="165"/>
      <c r="CL233" s="165"/>
      <c r="CN233" s="165"/>
      <c r="CO233" s="130"/>
      <c r="CP233" s="165"/>
      <c r="CQ233" s="130"/>
      <c r="CR233" s="165"/>
      <c r="CS233" s="130"/>
      <c r="CT233" s="130"/>
      <c r="CU233" s="130"/>
      <c r="CV233" s="130"/>
      <c r="CW233" s="130"/>
      <c r="CX233" s="165"/>
      <c r="CY233" s="130"/>
      <c r="CZ233" s="130"/>
      <c r="DA233" s="130"/>
      <c r="DB233" s="130"/>
      <c r="DC233" s="130"/>
      <c r="DD233" s="130"/>
      <c r="DE233" s="130"/>
      <c r="DF233" s="130"/>
      <c r="DG233" s="130"/>
      <c r="DH233" s="130"/>
    </row>
    <row r="234" spans="3:112" ht="15">
      <c r="C234" s="157"/>
      <c r="D234" s="157"/>
      <c r="M234" s="112"/>
      <c r="N234" s="131"/>
      <c r="AG234" s="146"/>
      <c r="AH234" s="158"/>
      <c r="AI234" s="146"/>
      <c r="AJ234" s="159"/>
      <c r="AK234" s="160"/>
      <c r="AL234" s="159"/>
      <c r="AM234" s="160"/>
      <c r="AN234" s="159"/>
      <c r="AO234" s="160"/>
      <c r="AQ234" s="160"/>
      <c r="AS234" s="160"/>
      <c r="AU234" s="160"/>
      <c r="AW234" s="160"/>
      <c r="AY234" s="160"/>
      <c r="BA234" s="160"/>
      <c r="BB234" s="164"/>
      <c r="BC234" s="160"/>
      <c r="BD234" s="165"/>
      <c r="BE234" s="160"/>
      <c r="BF234" s="159"/>
      <c r="BG234" s="160"/>
      <c r="BH234" s="165"/>
      <c r="BI234" s="160"/>
      <c r="BJ234" s="159"/>
      <c r="BK234" s="159"/>
      <c r="BL234" s="159"/>
      <c r="BM234" s="159"/>
      <c r="BN234" s="159"/>
      <c r="BO234" s="159"/>
      <c r="BP234" s="159"/>
      <c r="BR234" s="159"/>
      <c r="BS234" s="159"/>
      <c r="BT234" s="159"/>
      <c r="BU234" s="193"/>
      <c r="BV234" s="159"/>
      <c r="BW234" s="159"/>
      <c r="BX234" s="159"/>
      <c r="BY234" s="159"/>
      <c r="CB234" s="165"/>
      <c r="CD234" s="165"/>
      <c r="CF234" s="165"/>
      <c r="CH234" s="165"/>
      <c r="CJ234" s="165"/>
      <c r="CL234" s="165"/>
      <c r="CN234" s="165"/>
      <c r="CO234" s="130"/>
      <c r="CP234" s="165"/>
      <c r="CQ234" s="130"/>
      <c r="CR234" s="165"/>
      <c r="CS234" s="130"/>
      <c r="CT234" s="130"/>
      <c r="CU234" s="130"/>
      <c r="CV234" s="130"/>
      <c r="CW234" s="130"/>
      <c r="CX234" s="165"/>
      <c r="CY234" s="130"/>
      <c r="CZ234" s="130"/>
      <c r="DA234" s="130"/>
      <c r="DB234" s="130"/>
      <c r="DC234" s="130"/>
      <c r="DD234" s="130"/>
      <c r="DE234" s="130"/>
      <c r="DF234" s="130"/>
      <c r="DG234" s="130"/>
      <c r="DH234" s="130"/>
    </row>
    <row r="235" spans="3:112" ht="15">
      <c r="C235" s="157"/>
      <c r="D235" s="157"/>
      <c r="M235" s="112"/>
      <c r="N235" s="131"/>
      <c r="AG235" s="146"/>
      <c r="AH235" s="158"/>
      <c r="AI235" s="146"/>
      <c r="AJ235" s="159"/>
      <c r="AK235" s="160"/>
      <c r="AL235" s="159"/>
      <c r="AM235" s="160"/>
      <c r="AN235" s="159"/>
      <c r="AO235" s="160"/>
      <c r="AQ235" s="160"/>
      <c r="AS235" s="160"/>
      <c r="AU235" s="160"/>
      <c r="AW235" s="160"/>
      <c r="AY235" s="160"/>
      <c r="BA235" s="160"/>
      <c r="BB235" s="164"/>
      <c r="BC235" s="160"/>
      <c r="BD235" s="165"/>
      <c r="BE235" s="160"/>
      <c r="BF235" s="159"/>
      <c r="BG235" s="160"/>
      <c r="BH235" s="165"/>
      <c r="BI235" s="160"/>
      <c r="BJ235" s="159"/>
      <c r="BK235" s="159"/>
      <c r="BL235" s="159"/>
      <c r="BM235" s="159"/>
      <c r="BN235" s="159"/>
      <c r="BO235" s="159"/>
      <c r="BP235" s="159"/>
      <c r="BR235" s="159"/>
      <c r="BS235" s="159"/>
      <c r="BT235" s="159"/>
      <c r="BU235" s="193"/>
      <c r="BV235" s="159"/>
      <c r="BW235" s="159"/>
      <c r="BX235" s="159"/>
      <c r="BY235" s="159"/>
      <c r="CB235" s="165"/>
      <c r="CD235" s="165"/>
      <c r="CF235" s="165"/>
      <c r="CH235" s="165"/>
      <c r="CJ235" s="165"/>
      <c r="CL235" s="165"/>
      <c r="CN235" s="165"/>
      <c r="CO235" s="130"/>
      <c r="CP235" s="165"/>
      <c r="CQ235" s="130"/>
      <c r="CR235" s="165"/>
      <c r="CS235" s="130"/>
      <c r="CT235" s="130"/>
      <c r="CU235" s="130"/>
      <c r="CV235" s="130"/>
      <c r="CW235" s="130"/>
      <c r="CX235" s="165"/>
      <c r="CY235" s="130"/>
      <c r="CZ235" s="130"/>
      <c r="DA235" s="130"/>
      <c r="DB235" s="130"/>
      <c r="DC235" s="130"/>
      <c r="DD235" s="130"/>
      <c r="DE235" s="130"/>
      <c r="DF235" s="130"/>
      <c r="DG235" s="130"/>
      <c r="DH235" s="130"/>
    </row>
    <row r="236" spans="3:112" ht="15">
      <c r="C236" s="157"/>
      <c r="D236" s="157"/>
      <c r="M236" s="112"/>
      <c r="N236" s="131"/>
      <c r="AG236" s="146"/>
      <c r="AH236" s="158"/>
      <c r="AI236" s="146"/>
      <c r="AJ236" s="159"/>
      <c r="AK236" s="160"/>
      <c r="AL236" s="159"/>
      <c r="AM236" s="160"/>
      <c r="AN236" s="159"/>
      <c r="AO236" s="160"/>
      <c r="AQ236" s="160"/>
      <c r="AS236" s="160"/>
      <c r="AU236" s="160"/>
      <c r="AW236" s="160"/>
      <c r="AY236" s="160"/>
      <c r="BA236" s="160"/>
      <c r="BB236" s="164"/>
      <c r="BC236" s="160"/>
      <c r="BD236" s="165"/>
      <c r="BE236" s="160"/>
      <c r="BF236" s="159"/>
      <c r="BG236" s="160"/>
      <c r="BH236" s="165"/>
      <c r="BI236" s="160"/>
      <c r="BJ236" s="159"/>
      <c r="BK236" s="159"/>
      <c r="BL236" s="159"/>
      <c r="BM236" s="159"/>
      <c r="BN236" s="159"/>
      <c r="BO236" s="159"/>
      <c r="BP236" s="159"/>
      <c r="BR236" s="159"/>
      <c r="BS236" s="159"/>
      <c r="BT236" s="159"/>
      <c r="BU236" s="193"/>
      <c r="BV236" s="159"/>
      <c r="BW236" s="159"/>
      <c r="BX236" s="159"/>
      <c r="BY236" s="159"/>
      <c r="CB236" s="165"/>
      <c r="CD236" s="165"/>
      <c r="CF236" s="165"/>
      <c r="CH236" s="165"/>
      <c r="CJ236" s="165"/>
      <c r="CL236" s="165"/>
      <c r="CN236" s="165"/>
      <c r="CO236" s="130"/>
      <c r="CP236" s="165"/>
      <c r="CQ236" s="130"/>
      <c r="CR236" s="165"/>
      <c r="CS236" s="130"/>
      <c r="CT236" s="130"/>
      <c r="CU236" s="130"/>
      <c r="CV236" s="130"/>
      <c r="CW236" s="130"/>
      <c r="CX236" s="165"/>
      <c r="CY236" s="130"/>
      <c r="CZ236" s="130"/>
      <c r="DA236" s="130"/>
      <c r="DB236" s="130"/>
      <c r="DC236" s="130"/>
      <c r="DD236" s="130"/>
      <c r="DE236" s="130"/>
      <c r="DF236" s="130"/>
      <c r="DG236" s="130"/>
      <c r="DH236" s="130"/>
    </row>
    <row r="237" spans="3:112" ht="15">
      <c r="C237" s="157"/>
      <c r="D237" s="157"/>
      <c r="M237" s="112"/>
      <c r="N237" s="131"/>
      <c r="AG237" s="146"/>
      <c r="AH237" s="158"/>
      <c r="AI237" s="146"/>
      <c r="AJ237" s="159"/>
      <c r="AK237" s="160"/>
      <c r="AL237" s="159"/>
      <c r="AM237" s="160"/>
      <c r="AN237" s="159"/>
      <c r="AO237" s="160"/>
      <c r="AQ237" s="160"/>
      <c r="AS237" s="160"/>
      <c r="AU237" s="160"/>
      <c r="AW237" s="160"/>
      <c r="AY237" s="160"/>
      <c r="BA237" s="160"/>
      <c r="BB237" s="164"/>
      <c r="BC237" s="160"/>
      <c r="BD237" s="165"/>
      <c r="BE237" s="160"/>
      <c r="BF237" s="159"/>
      <c r="BG237" s="160"/>
      <c r="BH237" s="165"/>
      <c r="BI237" s="160"/>
      <c r="BJ237" s="159"/>
      <c r="BK237" s="159"/>
      <c r="BL237" s="159"/>
      <c r="BM237" s="159"/>
      <c r="BN237" s="159"/>
      <c r="BO237" s="159"/>
      <c r="BP237" s="159"/>
      <c r="BR237" s="159"/>
      <c r="BS237" s="159"/>
      <c r="BT237" s="159"/>
      <c r="BU237" s="193"/>
      <c r="BV237" s="159"/>
      <c r="BW237" s="159"/>
      <c r="BX237" s="159"/>
      <c r="BY237" s="159"/>
      <c r="CB237" s="165"/>
      <c r="CD237" s="165"/>
      <c r="CF237" s="165"/>
      <c r="CH237" s="165"/>
      <c r="CJ237" s="165"/>
      <c r="CL237" s="165"/>
      <c r="CN237" s="165"/>
      <c r="CO237" s="130"/>
      <c r="CP237" s="165"/>
      <c r="CQ237" s="130"/>
      <c r="CR237" s="165"/>
      <c r="CS237" s="130"/>
      <c r="CT237" s="130"/>
      <c r="CU237" s="130"/>
      <c r="CV237" s="130"/>
      <c r="CW237" s="130"/>
      <c r="CX237" s="165"/>
      <c r="CY237" s="130"/>
      <c r="CZ237" s="130"/>
      <c r="DA237" s="130"/>
      <c r="DB237" s="130"/>
      <c r="DC237" s="130"/>
      <c r="DD237" s="130"/>
      <c r="DE237" s="130"/>
      <c r="DF237" s="130"/>
      <c r="DG237" s="130"/>
      <c r="DH237" s="130"/>
    </row>
    <row r="238" spans="3:112" ht="15">
      <c r="C238" s="157"/>
      <c r="D238" s="157"/>
      <c r="M238" s="112"/>
      <c r="N238" s="131"/>
      <c r="AG238" s="146"/>
      <c r="AH238" s="158"/>
      <c r="AI238" s="146"/>
      <c r="AJ238" s="159"/>
      <c r="AK238" s="160"/>
      <c r="AL238" s="159"/>
      <c r="AM238" s="160"/>
      <c r="AN238" s="159"/>
      <c r="AO238" s="160"/>
      <c r="AQ238" s="160"/>
      <c r="AS238" s="160"/>
      <c r="AU238" s="160"/>
      <c r="AW238" s="160"/>
      <c r="AY238" s="160"/>
      <c r="BA238" s="160"/>
      <c r="BB238" s="164"/>
      <c r="BC238" s="160"/>
      <c r="BD238" s="165"/>
      <c r="BE238" s="160"/>
      <c r="BF238" s="159"/>
      <c r="BG238" s="160"/>
      <c r="BH238" s="165"/>
      <c r="BI238" s="160"/>
      <c r="BJ238" s="159"/>
      <c r="BK238" s="159"/>
      <c r="BL238" s="159"/>
      <c r="BM238" s="159"/>
      <c r="BN238" s="159"/>
      <c r="BO238" s="159"/>
      <c r="BP238" s="159"/>
      <c r="BR238" s="159"/>
      <c r="BS238" s="159"/>
      <c r="BT238" s="159"/>
      <c r="BU238" s="193"/>
      <c r="BV238" s="159"/>
      <c r="BW238" s="159"/>
      <c r="BX238" s="159"/>
      <c r="BY238" s="159"/>
      <c r="CB238" s="165"/>
      <c r="CD238" s="165"/>
      <c r="CF238" s="165"/>
      <c r="CH238" s="165"/>
      <c r="CJ238" s="165"/>
      <c r="CL238" s="165"/>
      <c r="CN238" s="165"/>
      <c r="CO238" s="130"/>
      <c r="CP238" s="165"/>
      <c r="CQ238" s="130"/>
      <c r="CR238" s="165"/>
      <c r="CS238" s="130"/>
      <c r="CT238" s="130"/>
      <c r="CU238" s="130"/>
      <c r="CV238" s="130"/>
      <c r="CW238" s="130"/>
      <c r="CX238" s="165"/>
      <c r="CY238" s="130"/>
      <c r="CZ238" s="130"/>
      <c r="DA238" s="130"/>
      <c r="DB238" s="130"/>
      <c r="DC238" s="130"/>
      <c r="DD238" s="130"/>
      <c r="DE238" s="130"/>
      <c r="DF238" s="130"/>
      <c r="DG238" s="130"/>
      <c r="DH238" s="130"/>
    </row>
    <row r="239" spans="3:112" ht="15">
      <c r="C239" s="157"/>
      <c r="D239" s="157"/>
      <c r="M239" s="112"/>
      <c r="N239" s="131"/>
      <c r="AG239" s="146"/>
      <c r="AH239" s="158"/>
      <c r="AI239" s="146"/>
      <c r="AJ239" s="159"/>
      <c r="AK239" s="160"/>
      <c r="AL239" s="159"/>
      <c r="AM239" s="160"/>
      <c r="AN239" s="159"/>
      <c r="AO239" s="160"/>
      <c r="AQ239" s="160"/>
      <c r="AS239" s="160"/>
      <c r="AU239" s="160"/>
      <c r="AW239" s="160"/>
      <c r="AY239" s="160"/>
      <c r="BA239" s="160"/>
      <c r="BB239" s="164"/>
      <c r="BC239" s="160"/>
      <c r="BD239" s="165"/>
      <c r="BE239" s="160"/>
      <c r="BF239" s="159"/>
      <c r="BG239" s="160"/>
      <c r="BH239" s="165"/>
      <c r="BI239" s="160"/>
      <c r="BJ239" s="159"/>
      <c r="BK239" s="159"/>
      <c r="BL239" s="159"/>
      <c r="BM239" s="159"/>
      <c r="BN239" s="159"/>
      <c r="BO239" s="159"/>
      <c r="BP239" s="159"/>
      <c r="BR239" s="159"/>
      <c r="BS239" s="159"/>
      <c r="BT239" s="159"/>
      <c r="BU239" s="193"/>
      <c r="BV239" s="159"/>
      <c r="BW239" s="159"/>
      <c r="BX239" s="159"/>
      <c r="BY239" s="159"/>
      <c r="CB239" s="165"/>
      <c r="CD239" s="165"/>
      <c r="CF239" s="165"/>
      <c r="CH239" s="165"/>
      <c r="CJ239" s="165"/>
      <c r="CL239" s="165"/>
      <c r="CN239" s="165"/>
      <c r="CO239" s="130"/>
      <c r="CP239" s="165"/>
      <c r="CQ239" s="130"/>
      <c r="CR239" s="165"/>
      <c r="CS239" s="130"/>
      <c r="CT239" s="130"/>
      <c r="CU239" s="130"/>
      <c r="CV239" s="130"/>
      <c r="CW239" s="130"/>
      <c r="CX239" s="165"/>
      <c r="CY239" s="130"/>
      <c r="CZ239" s="130"/>
      <c r="DA239" s="130"/>
      <c r="DB239" s="130"/>
      <c r="DC239" s="130"/>
      <c r="DD239" s="130"/>
      <c r="DE239" s="130"/>
      <c r="DF239" s="130"/>
      <c r="DG239" s="130"/>
      <c r="DH239" s="130"/>
    </row>
    <row r="240" spans="3:112" ht="15">
      <c r="C240" s="157"/>
      <c r="D240" s="157"/>
      <c r="M240" s="112"/>
      <c r="N240" s="131"/>
      <c r="AG240" s="146"/>
      <c r="AH240" s="158"/>
      <c r="AI240" s="146"/>
      <c r="AJ240" s="159"/>
      <c r="AK240" s="160"/>
      <c r="AL240" s="159"/>
      <c r="AM240" s="160"/>
      <c r="AN240" s="159"/>
      <c r="AO240" s="160"/>
      <c r="AQ240" s="160"/>
      <c r="AS240" s="160"/>
      <c r="AU240" s="160"/>
      <c r="AW240" s="160"/>
      <c r="AY240" s="160"/>
      <c r="BA240" s="160"/>
      <c r="BB240" s="164"/>
      <c r="BC240" s="160"/>
      <c r="BD240" s="165"/>
      <c r="BE240" s="160"/>
      <c r="BF240" s="159"/>
      <c r="BG240" s="160"/>
      <c r="BH240" s="165"/>
      <c r="BI240" s="160"/>
      <c r="BJ240" s="159"/>
      <c r="BK240" s="159"/>
      <c r="BL240" s="159"/>
      <c r="BM240" s="159"/>
      <c r="BN240" s="159"/>
      <c r="BO240" s="159"/>
      <c r="BP240" s="159"/>
      <c r="BR240" s="159"/>
      <c r="BS240" s="159"/>
      <c r="BT240" s="159"/>
      <c r="BU240" s="193"/>
      <c r="BV240" s="159"/>
      <c r="BW240" s="159"/>
      <c r="BX240" s="159"/>
      <c r="BY240" s="159"/>
      <c r="CB240" s="165"/>
      <c r="CD240" s="165"/>
      <c r="CF240" s="165"/>
      <c r="CH240" s="165"/>
      <c r="CJ240" s="165"/>
      <c r="CL240" s="165"/>
      <c r="CN240" s="165"/>
      <c r="CO240" s="130"/>
      <c r="CP240" s="165"/>
      <c r="CQ240" s="130"/>
      <c r="CR240" s="165"/>
      <c r="CS240" s="130"/>
      <c r="CT240" s="130"/>
      <c r="CU240" s="130"/>
      <c r="CV240" s="130"/>
      <c r="CW240" s="130"/>
      <c r="CX240" s="165"/>
      <c r="CY240" s="130"/>
      <c r="CZ240" s="130"/>
      <c r="DA240" s="130"/>
      <c r="DB240" s="130"/>
      <c r="DC240" s="130"/>
      <c r="DD240" s="130"/>
      <c r="DE240" s="130"/>
      <c r="DF240" s="130"/>
      <c r="DG240" s="130"/>
      <c r="DH240" s="130"/>
    </row>
    <row r="241" spans="3:112" ht="15">
      <c r="C241" s="157"/>
      <c r="D241" s="157"/>
      <c r="M241" s="112"/>
      <c r="N241" s="131"/>
      <c r="AG241" s="146"/>
      <c r="AH241" s="158"/>
      <c r="AI241" s="146"/>
      <c r="AJ241" s="159"/>
      <c r="AK241" s="160"/>
      <c r="AL241" s="159"/>
      <c r="AM241" s="160"/>
      <c r="AN241" s="159"/>
      <c r="AO241" s="160"/>
      <c r="AQ241" s="160"/>
      <c r="AS241" s="160"/>
      <c r="AU241" s="160"/>
      <c r="AW241" s="160"/>
      <c r="AY241" s="160"/>
      <c r="BA241" s="160"/>
      <c r="BB241" s="164"/>
      <c r="BC241" s="160"/>
      <c r="BD241" s="165"/>
      <c r="BE241" s="160"/>
      <c r="BF241" s="159"/>
      <c r="BG241" s="160"/>
      <c r="BH241" s="165"/>
      <c r="BI241" s="160"/>
      <c r="BJ241" s="159"/>
      <c r="BK241" s="159"/>
      <c r="BL241" s="159"/>
      <c r="BM241" s="159"/>
      <c r="BN241" s="159"/>
      <c r="BO241" s="159"/>
      <c r="BP241" s="159"/>
      <c r="BR241" s="159"/>
      <c r="BS241" s="159"/>
      <c r="BT241" s="159"/>
      <c r="BU241" s="193"/>
      <c r="BV241" s="159"/>
      <c r="BW241" s="159"/>
      <c r="BX241" s="159"/>
      <c r="BY241" s="159"/>
      <c r="CB241" s="165"/>
      <c r="CD241" s="165"/>
      <c r="CF241" s="165"/>
      <c r="CH241" s="165"/>
      <c r="CJ241" s="165"/>
      <c r="CL241" s="165"/>
      <c r="CN241" s="165"/>
      <c r="CO241" s="130"/>
      <c r="CP241" s="165"/>
      <c r="CQ241" s="130"/>
      <c r="CR241" s="165"/>
      <c r="CS241" s="130"/>
      <c r="CT241" s="130"/>
      <c r="CU241" s="130"/>
      <c r="CV241" s="130"/>
      <c r="CW241" s="130"/>
      <c r="CX241" s="165"/>
      <c r="CY241" s="130"/>
      <c r="CZ241" s="130"/>
      <c r="DA241" s="130"/>
      <c r="DB241" s="130"/>
      <c r="DC241" s="130"/>
      <c r="DD241" s="130"/>
      <c r="DE241" s="130"/>
      <c r="DF241" s="130"/>
      <c r="DG241" s="130"/>
      <c r="DH241" s="130"/>
    </row>
    <row r="242" spans="3:112" ht="15">
      <c r="C242" s="157"/>
      <c r="D242" s="157"/>
      <c r="M242" s="112"/>
      <c r="N242" s="131"/>
      <c r="AG242" s="146"/>
      <c r="AH242" s="158"/>
      <c r="AI242" s="146"/>
      <c r="AJ242" s="159"/>
      <c r="AK242" s="160"/>
      <c r="AL242" s="159"/>
      <c r="AM242" s="160"/>
      <c r="AN242" s="159"/>
      <c r="AO242" s="160"/>
      <c r="AQ242" s="160"/>
      <c r="AS242" s="160"/>
      <c r="AU242" s="160"/>
      <c r="AW242" s="160"/>
      <c r="AY242" s="160"/>
      <c r="BA242" s="160"/>
      <c r="BB242" s="164"/>
      <c r="BC242" s="160"/>
      <c r="BD242" s="165"/>
      <c r="BE242" s="160"/>
      <c r="BF242" s="159"/>
      <c r="BG242" s="160"/>
      <c r="BH242" s="165"/>
      <c r="BI242" s="160"/>
      <c r="BJ242" s="159"/>
      <c r="BK242" s="159"/>
      <c r="BL242" s="159"/>
      <c r="BM242" s="159"/>
      <c r="BN242" s="159"/>
      <c r="BO242" s="159"/>
      <c r="BP242" s="159"/>
      <c r="BR242" s="159"/>
      <c r="BS242" s="159"/>
      <c r="BT242" s="159"/>
      <c r="BU242" s="193"/>
      <c r="BV242" s="159"/>
      <c r="BW242" s="159"/>
      <c r="BX242" s="159"/>
      <c r="BY242" s="159"/>
      <c r="CB242" s="165"/>
      <c r="CD242" s="165"/>
      <c r="CF242" s="165"/>
      <c r="CH242" s="165"/>
      <c r="CJ242" s="165"/>
      <c r="CL242" s="165"/>
      <c r="CN242" s="165"/>
      <c r="CO242" s="130"/>
      <c r="CP242" s="165"/>
      <c r="CQ242" s="130"/>
      <c r="CR242" s="165"/>
      <c r="CS242" s="130"/>
      <c r="CT242" s="130"/>
      <c r="CU242" s="130"/>
      <c r="CV242" s="130"/>
      <c r="CW242" s="130"/>
      <c r="CX242" s="165"/>
      <c r="CY242" s="130"/>
      <c r="CZ242" s="130"/>
      <c r="DA242" s="130"/>
      <c r="DB242" s="130"/>
      <c r="DC242" s="130"/>
      <c r="DD242" s="130"/>
      <c r="DE242" s="130"/>
      <c r="DF242" s="130"/>
      <c r="DG242" s="130"/>
      <c r="DH242" s="130"/>
    </row>
    <row r="243" spans="3:112" ht="15">
      <c r="C243" s="157"/>
      <c r="D243" s="157"/>
      <c r="M243" s="112"/>
      <c r="N243" s="131"/>
      <c r="AG243" s="146"/>
      <c r="AH243" s="158"/>
      <c r="AI243" s="146"/>
      <c r="AJ243" s="159"/>
      <c r="AK243" s="160"/>
      <c r="AL243" s="159"/>
      <c r="AM243" s="160"/>
      <c r="AN243" s="159"/>
      <c r="AO243" s="160"/>
      <c r="AQ243" s="160"/>
      <c r="AS243" s="160"/>
      <c r="AU243" s="160"/>
      <c r="AW243" s="160"/>
      <c r="AY243" s="160"/>
      <c r="BA243" s="160"/>
      <c r="BB243" s="164"/>
      <c r="BC243" s="160"/>
      <c r="BD243" s="165"/>
      <c r="BE243" s="160"/>
      <c r="BF243" s="159"/>
      <c r="BG243" s="160"/>
      <c r="BH243" s="165"/>
      <c r="BI243" s="160"/>
      <c r="BJ243" s="159"/>
      <c r="BK243" s="159"/>
      <c r="BL243" s="159"/>
      <c r="BM243" s="159"/>
      <c r="BN243" s="159"/>
      <c r="BO243" s="159"/>
      <c r="BP243" s="159"/>
      <c r="BR243" s="159"/>
      <c r="BS243" s="159"/>
      <c r="BT243" s="159"/>
      <c r="BU243" s="193"/>
      <c r="BV243" s="159"/>
      <c r="BW243" s="159"/>
      <c r="BX243" s="159"/>
      <c r="BY243" s="159"/>
      <c r="CB243" s="165"/>
      <c r="CD243" s="165"/>
      <c r="CF243" s="165"/>
      <c r="CH243" s="165"/>
      <c r="CJ243" s="165"/>
      <c r="CL243" s="165"/>
      <c r="CN243" s="165"/>
      <c r="CO243" s="130"/>
      <c r="CP243" s="165"/>
      <c r="CQ243" s="130"/>
      <c r="CR243" s="165"/>
      <c r="CS243" s="130"/>
      <c r="CT243" s="130"/>
      <c r="CU243" s="130"/>
      <c r="CV243" s="130"/>
      <c r="CW243" s="130"/>
      <c r="CX243" s="165"/>
      <c r="CY243" s="130"/>
      <c r="CZ243" s="130"/>
      <c r="DA243" s="130"/>
      <c r="DB243" s="130"/>
      <c r="DC243" s="130"/>
      <c r="DD243" s="130"/>
      <c r="DE243" s="130"/>
      <c r="DF243" s="130"/>
      <c r="DG243" s="130"/>
      <c r="DH243" s="130"/>
    </row>
    <row r="244" spans="3:112" ht="15">
      <c r="C244" s="157"/>
      <c r="D244" s="157"/>
      <c r="M244" s="112"/>
      <c r="N244" s="131"/>
      <c r="AG244" s="146"/>
      <c r="AH244" s="158"/>
      <c r="AI244" s="146"/>
      <c r="AJ244" s="159"/>
      <c r="AK244" s="160"/>
      <c r="AL244" s="159"/>
      <c r="AM244" s="160"/>
      <c r="AN244" s="159"/>
      <c r="AO244" s="160"/>
      <c r="AQ244" s="160"/>
      <c r="AS244" s="160"/>
      <c r="AU244" s="160"/>
      <c r="AW244" s="160"/>
      <c r="AY244" s="160"/>
      <c r="BA244" s="160"/>
      <c r="BB244" s="164"/>
      <c r="BC244" s="160"/>
      <c r="BD244" s="165"/>
      <c r="BE244" s="160"/>
      <c r="BF244" s="159"/>
      <c r="BG244" s="160"/>
      <c r="BH244" s="165"/>
      <c r="BI244" s="160"/>
      <c r="BJ244" s="159"/>
      <c r="BK244" s="159"/>
      <c r="BL244" s="159"/>
      <c r="BM244" s="159"/>
      <c r="BN244" s="159"/>
      <c r="BO244" s="159"/>
      <c r="BP244" s="159"/>
      <c r="BR244" s="159"/>
      <c r="BS244" s="159"/>
      <c r="BT244" s="159"/>
      <c r="BU244" s="193"/>
      <c r="BV244" s="159"/>
      <c r="BW244" s="159"/>
      <c r="BX244" s="159"/>
      <c r="BY244" s="159"/>
      <c r="CB244" s="165"/>
      <c r="CD244" s="165"/>
      <c r="CF244" s="165"/>
      <c r="CH244" s="165"/>
      <c r="CJ244" s="165"/>
      <c r="CL244" s="165"/>
      <c r="CN244" s="165"/>
      <c r="CO244" s="130"/>
      <c r="CP244" s="165"/>
      <c r="CQ244" s="130"/>
      <c r="CR244" s="165"/>
      <c r="CS244" s="130"/>
      <c r="CT244" s="130"/>
      <c r="CU244" s="130"/>
      <c r="CV244" s="130"/>
      <c r="CW244" s="130"/>
      <c r="CX244" s="165"/>
      <c r="CY244" s="130"/>
      <c r="CZ244" s="130"/>
      <c r="DA244" s="130"/>
      <c r="DB244" s="130"/>
      <c r="DC244" s="130"/>
      <c r="DD244" s="130"/>
      <c r="DE244" s="130"/>
      <c r="DF244" s="130"/>
      <c r="DG244" s="130"/>
      <c r="DH244" s="130"/>
    </row>
    <row r="245" spans="3:112" ht="15">
      <c r="C245" s="157"/>
      <c r="D245" s="157"/>
      <c r="M245" s="112"/>
      <c r="N245" s="131"/>
      <c r="AG245" s="146"/>
      <c r="AH245" s="158"/>
      <c r="AI245" s="146"/>
      <c r="AJ245" s="159"/>
      <c r="AK245" s="160"/>
      <c r="AL245" s="159"/>
      <c r="AM245" s="160"/>
      <c r="AN245" s="159"/>
      <c r="AO245" s="160"/>
      <c r="AQ245" s="160"/>
      <c r="AS245" s="160"/>
      <c r="AU245" s="160"/>
      <c r="AW245" s="160"/>
      <c r="AY245" s="160"/>
      <c r="BA245" s="160"/>
      <c r="BB245" s="164"/>
      <c r="BC245" s="160"/>
      <c r="BD245" s="165"/>
      <c r="BE245" s="160"/>
      <c r="BF245" s="159"/>
      <c r="BG245" s="160"/>
      <c r="BH245" s="165"/>
      <c r="BI245" s="160"/>
      <c r="BJ245" s="159"/>
      <c r="BK245" s="159"/>
      <c r="BL245" s="159"/>
      <c r="BM245" s="159"/>
      <c r="BN245" s="159"/>
      <c r="BO245" s="159"/>
      <c r="BP245" s="159"/>
      <c r="BR245" s="159"/>
      <c r="BS245" s="159"/>
      <c r="BT245" s="159"/>
      <c r="BU245" s="193"/>
      <c r="BV245" s="159"/>
      <c r="BW245" s="159"/>
      <c r="BX245" s="159"/>
      <c r="BY245" s="159"/>
      <c r="CB245" s="165"/>
      <c r="CD245" s="165"/>
      <c r="CF245" s="165"/>
      <c r="CH245" s="165"/>
      <c r="CJ245" s="165"/>
      <c r="CL245" s="165"/>
      <c r="CN245" s="165"/>
      <c r="CO245" s="130"/>
      <c r="CP245" s="165"/>
      <c r="CQ245" s="130"/>
      <c r="CR245" s="165"/>
      <c r="CS245" s="130"/>
      <c r="CT245" s="130"/>
      <c r="CU245" s="130"/>
      <c r="CV245" s="130"/>
      <c r="CW245" s="130"/>
      <c r="CX245" s="165"/>
      <c r="CY245" s="130"/>
      <c r="CZ245" s="130"/>
      <c r="DA245" s="130"/>
      <c r="DB245" s="130"/>
      <c r="DC245" s="130"/>
      <c r="DD245" s="130"/>
      <c r="DE245" s="130"/>
      <c r="DF245" s="130"/>
      <c r="DG245" s="130"/>
      <c r="DH245" s="130"/>
    </row>
    <row r="246" spans="3:112" ht="15">
      <c r="C246" s="157"/>
      <c r="D246" s="157"/>
      <c r="M246" s="112"/>
      <c r="N246" s="131"/>
      <c r="AG246" s="146"/>
      <c r="AH246" s="158"/>
      <c r="AI246" s="146"/>
      <c r="AJ246" s="159"/>
      <c r="AK246" s="160"/>
      <c r="AL246" s="159"/>
      <c r="AM246" s="160"/>
      <c r="AN246" s="159"/>
      <c r="AO246" s="160"/>
      <c r="AQ246" s="160"/>
      <c r="AS246" s="160"/>
      <c r="AU246" s="160"/>
      <c r="AW246" s="160"/>
      <c r="AY246" s="160"/>
      <c r="BA246" s="160"/>
      <c r="BB246" s="164"/>
      <c r="BC246" s="160"/>
      <c r="BD246" s="165"/>
      <c r="BE246" s="160"/>
      <c r="BF246" s="159"/>
      <c r="BG246" s="160"/>
      <c r="BH246" s="165"/>
      <c r="BI246" s="160"/>
      <c r="BJ246" s="159"/>
      <c r="BK246" s="159"/>
      <c r="BL246" s="159"/>
      <c r="BM246" s="159"/>
      <c r="BN246" s="159"/>
      <c r="BO246" s="159"/>
      <c r="BP246" s="159"/>
      <c r="BR246" s="159"/>
      <c r="BS246" s="159"/>
      <c r="BT246" s="159"/>
      <c r="BU246" s="193"/>
      <c r="BV246" s="159"/>
      <c r="BW246" s="159"/>
      <c r="BX246" s="159"/>
      <c r="BY246" s="159"/>
      <c r="CB246" s="165"/>
      <c r="CD246" s="165"/>
      <c r="CF246" s="165"/>
      <c r="CH246" s="165"/>
      <c r="CJ246" s="165"/>
      <c r="CL246" s="165"/>
      <c r="CN246" s="165"/>
      <c r="CO246" s="130"/>
      <c r="CP246" s="165"/>
      <c r="CQ246" s="130"/>
      <c r="CR246" s="165"/>
      <c r="CS246" s="130"/>
      <c r="CT246" s="130"/>
      <c r="CU246" s="130"/>
      <c r="CV246" s="130"/>
      <c r="CW246" s="130"/>
      <c r="CX246" s="165"/>
      <c r="CY246" s="130"/>
      <c r="CZ246" s="130"/>
      <c r="DA246" s="130"/>
      <c r="DB246" s="130"/>
      <c r="DC246" s="130"/>
      <c r="DD246" s="130"/>
      <c r="DE246" s="130"/>
      <c r="DF246" s="130"/>
      <c r="DG246" s="130"/>
      <c r="DH246" s="130"/>
    </row>
    <row r="247" spans="3:112" ht="15">
      <c r="C247" s="157"/>
      <c r="D247" s="157"/>
      <c r="M247" s="112"/>
      <c r="N247" s="131"/>
      <c r="AG247" s="146"/>
      <c r="AH247" s="158"/>
      <c r="AI247" s="146"/>
      <c r="AJ247" s="159"/>
      <c r="AK247" s="160"/>
      <c r="AL247" s="159"/>
      <c r="AM247" s="160"/>
      <c r="AN247" s="159"/>
      <c r="AO247" s="160"/>
      <c r="AQ247" s="160"/>
      <c r="AS247" s="160"/>
      <c r="AU247" s="160"/>
      <c r="AW247" s="160"/>
      <c r="AY247" s="160"/>
      <c r="BA247" s="160"/>
      <c r="BB247" s="164"/>
      <c r="BC247" s="160"/>
      <c r="BD247" s="165"/>
      <c r="BE247" s="160"/>
      <c r="BF247" s="159"/>
      <c r="BG247" s="160"/>
      <c r="BH247" s="165"/>
      <c r="BI247" s="160"/>
      <c r="BJ247" s="159"/>
      <c r="BK247" s="159"/>
      <c r="BL247" s="159"/>
      <c r="BM247" s="159"/>
      <c r="BN247" s="159"/>
      <c r="BO247" s="159"/>
      <c r="BP247" s="159"/>
      <c r="BR247" s="159"/>
      <c r="BS247" s="159"/>
      <c r="BT247" s="159"/>
      <c r="BU247" s="193"/>
      <c r="BV247" s="159"/>
      <c r="BW247" s="159"/>
      <c r="BX247" s="159"/>
      <c r="BY247" s="159"/>
      <c r="CB247" s="165"/>
      <c r="CD247" s="165"/>
      <c r="CF247" s="165"/>
      <c r="CH247" s="165"/>
      <c r="CJ247" s="165"/>
      <c r="CL247" s="165"/>
      <c r="CN247" s="165"/>
      <c r="CO247" s="130"/>
      <c r="CP247" s="165"/>
      <c r="CQ247" s="130"/>
      <c r="CR247" s="165"/>
      <c r="CS247" s="130"/>
      <c r="CT247" s="130"/>
      <c r="CU247" s="130"/>
      <c r="CV247" s="130"/>
      <c r="CW247" s="130"/>
      <c r="CX247" s="165"/>
      <c r="CY247" s="130"/>
      <c r="CZ247" s="130"/>
      <c r="DA247" s="130"/>
      <c r="DB247" s="130"/>
      <c r="DC247" s="130"/>
      <c r="DD247" s="130"/>
      <c r="DE247" s="130"/>
      <c r="DF247" s="130"/>
      <c r="DG247" s="130"/>
      <c r="DH247" s="130"/>
    </row>
    <row r="248" spans="3:112" ht="15">
      <c r="C248" s="157"/>
      <c r="D248" s="157"/>
      <c r="M248" s="112"/>
      <c r="N248" s="131"/>
      <c r="AG248" s="146"/>
      <c r="AH248" s="158"/>
      <c r="AI248" s="146"/>
      <c r="AJ248" s="159"/>
      <c r="AK248" s="160"/>
      <c r="AL248" s="159"/>
      <c r="AM248" s="160"/>
      <c r="AN248" s="159"/>
      <c r="AO248" s="160"/>
      <c r="AQ248" s="160"/>
      <c r="AS248" s="160"/>
      <c r="AU248" s="160"/>
      <c r="AW248" s="160"/>
      <c r="AY248" s="160"/>
      <c r="BA248" s="160"/>
      <c r="BB248" s="164"/>
      <c r="BC248" s="160"/>
      <c r="BD248" s="165"/>
      <c r="BE248" s="160"/>
      <c r="BF248" s="159"/>
      <c r="BG248" s="160"/>
      <c r="BH248" s="165"/>
      <c r="BI248" s="160"/>
      <c r="BJ248" s="159"/>
      <c r="BK248" s="159"/>
      <c r="BL248" s="159"/>
      <c r="BM248" s="159"/>
      <c r="BN248" s="159"/>
      <c r="BO248" s="159"/>
      <c r="BP248" s="159"/>
      <c r="BR248" s="159"/>
      <c r="BS248" s="159"/>
      <c r="BT248" s="159"/>
      <c r="BU248" s="193"/>
      <c r="BV248" s="159"/>
      <c r="BW248" s="159"/>
      <c r="BX248" s="159"/>
      <c r="BY248" s="159"/>
      <c r="CB248" s="165"/>
      <c r="CD248" s="165"/>
      <c r="CF248" s="165"/>
      <c r="CH248" s="165"/>
      <c r="CJ248" s="165"/>
      <c r="CL248" s="165"/>
      <c r="CN248" s="165"/>
      <c r="CO248" s="130"/>
      <c r="CP248" s="165"/>
      <c r="CQ248" s="130"/>
      <c r="CR248" s="165"/>
      <c r="CS248" s="130"/>
      <c r="CT248" s="130"/>
      <c r="CU248" s="130"/>
      <c r="CV248" s="130"/>
      <c r="CW248" s="130"/>
      <c r="CX248" s="165"/>
      <c r="CY248" s="130"/>
      <c r="CZ248" s="130"/>
      <c r="DA248" s="130"/>
      <c r="DB248" s="130"/>
      <c r="DC248" s="130"/>
      <c r="DD248" s="130"/>
      <c r="DE248" s="130"/>
      <c r="DF248" s="130"/>
      <c r="DG248" s="130"/>
      <c r="DH248" s="130"/>
    </row>
    <row r="249" spans="3:112" ht="15">
      <c r="C249" s="157"/>
      <c r="D249" s="157"/>
      <c r="M249" s="112"/>
      <c r="N249" s="131"/>
      <c r="AG249" s="146"/>
      <c r="AH249" s="158"/>
      <c r="AI249" s="146"/>
      <c r="AJ249" s="159"/>
      <c r="AK249" s="160"/>
      <c r="AL249" s="159"/>
      <c r="AM249" s="160"/>
      <c r="AN249" s="159"/>
      <c r="AO249" s="160"/>
      <c r="AQ249" s="160"/>
      <c r="AS249" s="160"/>
      <c r="AU249" s="160"/>
      <c r="AW249" s="160"/>
      <c r="AY249" s="160"/>
      <c r="BA249" s="160"/>
      <c r="BB249" s="164"/>
      <c r="BC249" s="160"/>
      <c r="BD249" s="165"/>
      <c r="BE249" s="160"/>
      <c r="BF249" s="159"/>
      <c r="BG249" s="160"/>
      <c r="BH249" s="165"/>
      <c r="BI249" s="160"/>
      <c r="BJ249" s="159"/>
      <c r="BK249" s="159"/>
      <c r="BL249" s="159"/>
      <c r="BM249" s="159"/>
      <c r="BN249" s="159"/>
      <c r="BO249" s="159"/>
      <c r="BP249" s="159"/>
      <c r="BR249" s="159"/>
      <c r="BS249" s="159"/>
      <c r="BT249" s="159"/>
      <c r="BU249" s="193"/>
      <c r="BV249" s="159"/>
      <c r="BW249" s="159"/>
      <c r="BX249" s="159"/>
      <c r="BY249" s="159"/>
      <c r="CB249" s="165"/>
      <c r="CD249" s="165"/>
      <c r="CF249" s="165"/>
      <c r="CH249" s="165"/>
      <c r="CJ249" s="165"/>
      <c r="CL249" s="165"/>
      <c r="CN249" s="165"/>
      <c r="CO249" s="130"/>
      <c r="CP249" s="165"/>
      <c r="CQ249" s="130"/>
      <c r="CR249" s="165"/>
      <c r="CS249" s="130"/>
      <c r="CT249" s="130"/>
      <c r="CU249" s="130"/>
      <c r="CV249" s="130"/>
      <c r="CW249" s="130"/>
      <c r="CX249" s="165"/>
      <c r="CY249" s="130"/>
      <c r="CZ249" s="130"/>
      <c r="DA249" s="130"/>
      <c r="DB249" s="130"/>
      <c r="DC249" s="130"/>
      <c r="DD249" s="130"/>
      <c r="DE249" s="130"/>
      <c r="DF249" s="130"/>
      <c r="DG249" s="130"/>
      <c r="DH249" s="130"/>
    </row>
    <row r="250" spans="3:112" ht="15">
      <c r="C250" s="157"/>
      <c r="D250" s="157"/>
      <c r="M250" s="112"/>
      <c r="N250" s="131"/>
      <c r="AG250" s="146"/>
      <c r="AH250" s="158"/>
      <c r="AI250" s="146"/>
      <c r="AJ250" s="159"/>
      <c r="AK250" s="160"/>
      <c r="AL250" s="159"/>
      <c r="AM250" s="160"/>
      <c r="AN250" s="159"/>
      <c r="AO250" s="160"/>
      <c r="AQ250" s="160"/>
      <c r="AS250" s="160"/>
      <c r="AU250" s="160"/>
      <c r="AW250" s="160"/>
      <c r="AY250" s="160"/>
      <c r="BA250" s="160"/>
      <c r="BB250" s="164"/>
      <c r="BC250" s="160"/>
      <c r="BD250" s="165"/>
      <c r="BE250" s="160"/>
      <c r="BF250" s="159"/>
      <c r="BG250" s="160"/>
      <c r="BH250" s="165"/>
      <c r="BI250" s="160"/>
      <c r="BJ250" s="159"/>
      <c r="BK250" s="159"/>
      <c r="BL250" s="159"/>
      <c r="BM250" s="159"/>
      <c r="BN250" s="159"/>
      <c r="BO250" s="159"/>
      <c r="BP250" s="159"/>
      <c r="BR250" s="159"/>
      <c r="BS250" s="159"/>
      <c r="BT250" s="159"/>
      <c r="BU250" s="193"/>
      <c r="BV250" s="159"/>
      <c r="BW250" s="159"/>
      <c r="BX250" s="159"/>
      <c r="BY250" s="159"/>
      <c r="CB250" s="165"/>
      <c r="CD250" s="165"/>
      <c r="CF250" s="165"/>
      <c r="CH250" s="165"/>
      <c r="CJ250" s="165"/>
      <c r="CL250" s="165"/>
      <c r="CN250" s="165"/>
      <c r="CO250" s="130"/>
      <c r="CP250" s="165"/>
      <c r="CQ250" s="130"/>
      <c r="CR250" s="165"/>
      <c r="CS250" s="130"/>
      <c r="CT250" s="130"/>
      <c r="CU250" s="130"/>
      <c r="CV250" s="130"/>
      <c r="CW250" s="130"/>
      <c r="CX250" s="165"/>
      <c r="CY250" s="130"/>
      <c r="CZ250" s="130"/>
      <c r="DA250" s="130"/>
      <c r="DB250" s="130"/>
      <c r="DC250" s="130"/>
      <c r="DD250" s="130"/>
      <c r="DE250" s="130"/>
      <c r="DF250" s="130"/>
      <c r="DG250" s="130"/>
      <c r="DH250" s="130"/>
    </row>
    <row r="251" spans="3:112" ht="15">
      <c r="C251" s="157"/>
      <c r="D251" s="157"/>
      <c r="M251" s="112"/>
      <c r="N251" s="131"/>
      <c r="AG251" s="146"/>
      <c r="AH251" s="158"/>
      <c r="AI251" s="146"/>
      <c r="AJ251" s="159"/>
      <c r="AK251" s="160"/>
      <c r="AL251" s="159"/>
      <c r="AM251" s="160"/>
      <c r="AN251" s="159"/>
      <c r="AO251" s="160"/>
      <c r="AQ251" s="160"/>
      <c r="AS251" s="160"/>
      <c r="AU251" s="160"/>
      <c r="AW251" s="160"/>
      <c r="AY251" s="160"/>
      <c r="BA251" s="160"/>
      <c r="BB251" s="164"/>
      <c r="BC251" s="160"/>
      <c r="BD251" s="165"/>
      <c r="BE251" s="160"/>
      <c r="BF251" s="159"/>
      <c r="BG251" s="160"/>
      <c r="BH251" s="165"/>
      <c r="BI251" s="160"/>
      <c r="BJ251" s="159"/>
      <c r="BK251" s="159"/>
      <c r="BL251" s="159"/>
      <c r="BM251" s="159"/>
      <c r="BN251" s="159"/>
      <c r="BO251" s="159"/>
      <c r="BP251" s="159"/>
      <c r="BR251" s="159"/>
      <c r="BS251" s="159"/>
      <c r="BT251" s="159"/>
      <c r="BU251" s="193"/>
      <c r="BV251" s="159"/>
      <c r="BW251" s="159"/>
      <c r="BX251" s="159"/>
      <c r="BY251" s="159"/>
      <c r="CB251" s="165"/>
      <c r="CD251" s="165"/>
      <c r="CF251" s="165"/>
      <c r="CH251" s="165"/>
      <c r="CJ251" s="165"/>
      <c r="CL251" s="165"/>
      <c r="CN251" s="165"/>
      <c r="CO251" s="130"/>
      <c r="CP251" s="165"/>
      <c r="CQ251" s="130"/>
      <c r="CR251" s="165"/>
      <c r="CS251" s="130"/>
      <c r="CT251" s="130"/>
      <c r="CU251" s="130"/>
      <c r="CV251" s="130"/>
      <c r="CW251" s="130"/>
      <c r="CX251" s="165"/>
      <c r="CY251" s="130"/>
      <c r="CZ251" s="130"/>
      <c r="DA251" s="130"/>
      <c r="DB251" s="130"/>
      <c r="DC251" s="130"/>
      <c r="DD251" s="130"/>
      <c r="DE251" s="130"/>
      <c r="DF251" s="130"/>
      <c r="DG251" s="130"/>
      <c r="DH251" s="130"/>
    </row>
    <row r="252" spans="3:112" ht="15">
      <c r="C252" s="157"/>
      <c r="D252" s="157"/>
      <c r="M252" s="112"/>
      <c r="N252" s="131"/>
      <c r="AG252" s="146"/>
      <c r="AH252" s="158"/>
      <c r="AI252" s="146"/>
      <c r="AJ252" s="159"/>
      <c r="AK252" s="160"/>
      <c r="AL252" s="159"/>
      <c r="AM252" s="160"/>
      <c r="AN252" s="159"/>
      <c r="AO252" s="160"/>
      <c r="AQ252" s="160"/>
      <c r="AS252" s="160"/>
      <c r="AU252" s="160"/>
      <c r="AW252" s="160"/>
      <c r="AY252" s="160"/>
      <c r="BA252" s="160"/>
      <c r="BB252" s="164"/>
      <c r="BC252" s="160"/>
      <c r="BD252" s="165"/>
      <c r="BE252" s="160"/>
      <c r="BF252" s="159"/>
      <c r="BG252" s="160"/>
      <c r="BH252" s="165"/>
      <c r="BI252" s="160"/>
      <c r="BJ252" s="159"/>
      <c r="BK252" s="159"/>
      <c r="BL252" s="159"/>
      <c r="BM252" s="159"/>
      <c r="BN252" s="159"/>
      <c r="BO252" s="159"/>
      <c r="BP252" s="159"/>
      <c r="BR252" s="159"/>
      <c r="BS252" s="159"/>
      <c r="BT252" s="159"/>
      <c r="BU252" s="193"/>
      <c r="BV252" s="159"/>
      <c r="BW252" s="159"/>
      <c r="BX252" s="159"/>
      <c r="BY252" s="159"/>
      <c r="CB252" s="165"/>
      <c r="CD252" s="165"/>
      <c r="CF252" s="165"/>
      <c r="CH252" s="165"/>
      <c r="CJ252" s="165"/>
      <c r="CL252" s="165"/>
      <c r="CN252" s="165"/>
      <c r="CO252" s="130"/>
      <c r="CP252" s="165"/>
      <c r="CQ252" s="130"/>
      <c r="CR252" s="165"/>
      <c r="CS252" s="130"/>
      <c r="CT252" s="130"/>
      <c r="CU252" s="130"/>
      <c r="CV252" s="130"/>
      <c r="CW252" s="130"/>
      <c r="CX252" s="165"/>
      <c r="CY252" s="130"/>
      <c r="CZ252" s="130"/>
      <c r="DA252" s="130"/>
      <c r="DB252" s="130"/>
      <c r="DC252" s="130"/>
      <c r="DD252" s="130"/>
      <c r="DE252" s="130"/>
      <c r="DF252" s="130"/>
      <c r="DG252" s="130"/>
      <c r="DH252" s="130"/>
    </row>
    <row r="253" spans="3:112" ht="15">
      <c r="C253" s="157"/>
      <c r="D253" s="157"/>
      <c r="M253" s="112"/>
      <c r="N253" s="131"/>
      <c r="AG253" s="146"/>
      <c r="AH253" s="158"/>
      <c r="AI253" s="146"/>
      <c r="AJ253" s="159"/>
      <c r="AK253" s="160"/>
      <c r="AL253" s="159"/>
      <c r="AM253" s="160"/>
      <c r="AN253" s="159"/>
      <c r="AO253" s="160"/>
      <c r="AQ253" s="160"/>
      <c r="AS253" s="160"/>
      <c r="AU253" s="160"/>
      <c r="AW253" s="160"/>
      <c r="AY253" s="160"/>
      <c r="BA253" s="160"/>
      <c r="BB253" s="164"/>
      <c r="BC253" s="160"/>
      <c r="BD253" s="165"/>
      <c r="BE253" s="160"/>
      <c r="BF253" s="159"/>
      <c r="BG253" s="160"/>
      <c r="BH253" s="165"/>
      <c r="BI253" s="160"/>
      <c r="BJ253" s="159"/>
      <c r="BK253" s="159"/>
      <c r="BL253" s="159"/>
      <c r="BM253" s="159"/>
      <c r="BN253" s="159"/>
      <c r="BO253" s="159"/>
      <c r="BP253" s="159"/>
      <c r="BR253" s="159"/>
      <c r="BS253" s="159"/>
      <c r="BT253" s="159"/>
      <c r="BU253" s="193"/>
      <c r="BV253" s="159"/>
      <c r="BW253" s="159"/>
      <c r="BX253" s="159"/>
      <c r="BY253" s="159"/>
      <c r="CB253" s="165"/>
      <c r="CD253" s="165"/>
      <c r="CF253" s="165"/>
      <c r="CH253" s="165"/>
      <c r="CJ253" s="165"/>
      <c r="CL253" s="165"/>
      <c r="CN253" s="165"/>
      <c r="CO253" s="130"/>
      <c r="CP253" s="165"/>
      <c r="CQ253" s="130"/>
      <c r="CR253" s="165"/>
      <c r="CS253" s="130"/>
      <c r="CT253" s="130"/>
      <c r="CU253" s="130"/>
      <c r="CV253" s="130"/>
      <c r="CW253" s="130"/>
      <c r="CX253" s="165"/>
      <c r="CY253" s="130"/>
      <c r="CZ253" s="130"/>
      <c r="DA253" s="130"/>
      <c r="DB253" s="130"/>
      <c r="DC253" s="130"/>
      <c r="DD253" s="130"/>
      <c r="DE253" s="130"/>
      <c r="DF253" s="130"/>
      <c r="DG253" s="130"/>
      <c r="DH253" s="130"/>
    </row>
    <row r="254" spans="3:112" ht="15">
      <c r="C254" s="157"/>
      <c r="D254" s="157"/>
      <c r="M254" s="112"/>
      <c r="N254" s="131"/>
      <c r="AG254" s="146"/>
      <c r="AH254" s="158"/>
      <c r="AI254" s="146"/>
      <c r="AJ254" s="159"/>
      <c r="AK254" s="160"/>
      <c r="AL254" s="159"/>
      <c r="AM254" s="160"/>
      <c r="AN254" s="159"/>
      <c r="AO254" s="160"/>
      <c r="AQ254" s="160"/>
      <c r="AS254" s="160"/>
      <c r="AU254" s="160"/>
      <c r="AW254" s="160"/>
      <c r="AY254" s="160"/>
      <c r="BA254" s="160"/>
      <c r="BB254" s="164"/>
      <c r="BC254" s="160"/>
      <c r="BD254" s="165"/>
      <c r="BE254" s="160"/>
      <c r="BF254" s="159"/>
      <c r="BG254" s="160"/>
      <c r="BH254" s="165"/>
      <c r="BI254" s="160"/>
      <c r="BJ254" s="159"/>
      <c r="BK254" s="159"/>
      <c r="BL254" s="159"/>
      <c r="BM254" s="159"/>
      <c r="BN254" s="159"/>
      <c r="BO254" s="159"/>
      <c r="BP254" s="159"/>
      <c r="BR254" s="159"/>
      <c r="BS254" s="159"/>
      <c r="BT254" s="159"/>
      <c r="BU254" s="193"/>
      <c r="BV254" s="159"/>
      <c r="BW254" s="159"/>
      <c r="BX254" s="159"/>
      <c r="BY254" s="159"/>
      <c r="CB254" s="165"/>
      <c r="CD254" s="165"/>
      <c r="CF254" s="165"/>
      <c r="CH254" s="165"/>
      <c r="CJ254" s="165"/>
      <c r="CL254" s="165"/>
      <c r="CN254" s="165"/>
      <c r="CO254" s="130"/>
      <c r="CP254" s="165"/>
      <c r="CQ254" s="130"/>
      <c r="CR254" s="165"/>
      <c r="CS254" s="130"/>
      <c r="CT254" s="130"/>
      <c r="CU254" s="130"/>
      <c r="CV254" s="130"/>
      <c r="CW254" s="130"/>
      <c r="CX254" s="165"/>
      <c r="CY254" s="130"/>
      <c r="CZ254" s="130"/>
      <c r="DA254" s="130"/>
      <c r="DB254" s="130"/>
      <c r="DC254" s="130"/>
      <c r="DD254" s="130"/>
      <c r="DE254" s="130"/>
      <c r="DF254" s="130"/>
      <c r="DG254" s="130"/>
      <c r="DH254" s="130"/>
    </row>
    <row r="255" spans="3:112" ht="15">
      <c r="C255" s="157"/>
      <c r="D255" s="157"/>
      <c r="M255" s="112"/>
      <c r="N255" s="131"/>
      <c r="AG255" s="146"/>
      <c r="AH255" s="158"/>
      <c r="AI255" s="146"/>
      <c r="AJ255" s="159"/>
      <c r="AK255" s="160"/>
      <c r="AL255" s="159"/>
      <c r="AM255" s="160"/>
      <c r="AN255" s="159"/>
      <c r="AO255" s="160"/>
      <c r="AQ255" s="160"/>
      <c r="AS255" s="160"/>
      <c r="AU255" s="160"/>
      <c r="AW255" s="160"/>
      <c r="AY255" s="160"/>
      <c r="BA255" s="160"/>
      <c r="BB255" s="164"/>
      <c r="BC255" s="160"/>
      <c r="BD255" s="165"/>
      <c r="BE255" s="160"/>
      <c r="BF255" s="159"/>
      <c r="BG255" s="160"/>
      <c r="BH255" s="165"/>
      <c r="BI255" s="160"/>
      <c r="BJ255" s="159"/>
      <c r="BK255" s="159"/>
      <c r="BL255" s="159"/>
      <c r="BM255" s="159"/>
      <c r="BN255" s="159"/>
      <c r="BO255" s="159"/>
      <c r="BP255" s="159"/>
      <c r="BR255" s="159"/>
      <c r="BS255" s="159"/>
      <c r="BT255" s="159"/>
      <c r="BU255" s="193"/>
      <c r="BV255" s="159"/>
      <c r="BW255" s="159"/>
      <c r="BX255" s="159"/>
      <c r="BY255" s="159"/>
      <c r="CB255" s="165"/>
      <c r="CD255" s="165"/>
      <c r="CF255" s="165"/>
      <c r="CH255" s="165"/>
      <c r="CJ255" s="165"/>
      <c r="CL255" s="165"/>
      <c r="CN255" s="165"/>
      <c r="CO255" s="130"/>
      <c r="CP255" s="165"/>
      <c r="CQ255" s="130"/>
      <c r="CR255" s="165"/>
      <c r="CS255" s="130"/>
      <c r="CT255" s="130"/>
      <c r="CU255" s="130"/>
      <c r="CV255" s="130"/>
      <c r="CW255" s="130"/>
      <c r="CX255" s="165"/>
      <c r="CY255" s="130"/>
      <c r="CZ255" s="130"/>
      <c r="DA255" s="130"/>
      <c r="DB255" s="130"/>
      <c r="DC255" s="130"/>
      <c r="DD255" s="130"/>
      <c r="DE255" s="130"/>
      <c r="DF255" s="130"/>
      <c r="DG255" s="130"/>
      <c r="DH255" s="130"/>
    </row>
    <row r="256" spans="3:112" ht="15">
      <c r="C256" s="157"/>
      <c r="D256" s="157"/>
      <c r="M256" s="112"/>
      <c r="N256" s="131"/>
      <c r="AG256" s="146"/>
      <c r="AH256" s="158"/>
      <c r="AI256" s="146"/>
      <c r="AJ256" s="159"/>
      <c r="AK256" s="160"/>
      <c r="AL256" s="159"/>
      <c r="AM256" s="160"/>
      <c r="AN256" s="159"/>
      <c r="AO256" s="160"/>
      <c r="AQ256" s="160"/>
      <c r="AS256" s="160"/>
      <c r="AU256" s="160"/>
      <c r="AW256" s="160"/>
      <c r="AY256" s="160"/>
      <c r="BA256" s="160"/>
      <c r="BB256" s="164"/>
      <c r="BC256" s="160"/>
      <c r="BD256" s="165"/>
      <c r="BE256" s="160"/>
      <c r="BF256" s="159"/>
      <c r="BG256" s="160"/>
      <c r="BH256" s="165"/>
      <c r="BI256" s="160"/>
      <c r="BJ256" s="159"/>
      <c r="BK256" s="159"/>
      <c r="BL256" s="159"/>
      <c r="BM256" s="159"/>
      <c r="BN256" s="159"/>
      <c r="BO256" s="159"/>
      <c r="BP256" s="159"/>
      <c r="BR256" s="159"/>
      <c r="BS256" s="159"/>
      <c r="BT256" s="159"/>
      <c r="BU256" s="193"/>
      <c r="BV256" s="159"/>
      <c r="BW256" s="159"/>
      <c r="BX256" s="159"/>
      <c r="BY256" s="159"/>
      <c r="CB256" s="165"/>
      <c r="CD256" s="165"/>
      <c r="CF256" s="165"/>
      <c r="CH256" s="165"/>
      <c r="CJ256" s="165"/>
      <c r="CL256" s="165"/>
      <c r="CN256" s="165"/>
      <c r="CO256" s="130"/>
      <c r="CP256" s="165"/>
      <c r="CQ256" s="130"/>
      <c r="CR256" s="165"/>
      <c r="CS256" s="130"/>
      <c r="CT256" s="130"/>
      <c r="CU256" s="130"/>
      <c r="CV256" s="130"/>
      <c r="CW256" s="130"/>
      <c r="CX256" s="165"/>
      <c r="CY256" s="130"/>
      <c r="CZ256" s="130"/>
      <c r="DA256" s="130"/>
      <c r="DB256" s="130"/>
      <c r="DC256" s="130"/>
      <c r="DD256" s="130"/>
      <c r="DE256" s="130"/>
      <c r="DF256" s="130"/>
      <c r="DG256" s="130"/>
      <c r="DH256" s="130"/>
    </row>
    <row r="257" spans="3:112" ht="15">
      <c r="C257" s="157"/>
      <c r="D257" s="157"/>
      <c r="M257" s="112"/>
      <c r="N257" s="131"/>
      <c r="AG257" s="146"/>
      <c r="AH257" s="158"/>
      <c r="AI257" s="146"/>
      <c r="AJ257" s="159"/>
      <c r="AK257" s="160"/>
      <c r="AL257" s="159"/>
      <c r="AM257" s="160"/>
      <c r="AN257" s="159"/>
      <c r="AO257" s="160"/>
      <c r="AQ257" s="160"/>
      <c r="AS257" s="160"/>
      <c r="AU257" s="160"/>
      <c r="AW257" s="160"/>
      <c r="AY257" s="160"/>
      <c r="BA257" s="160"/>
      <c r="BB257" s="164"/>
      <c r="BC257" s="160"/>
      <c r="BD257" s="165"/>
      <c r="BE257" s="160"/>
      <c r="BF257" s="159"/>
      <c r="BG257" s="160"/>
      <c r="BH257" s="165"/>
      <c r="BI257" s="160"/>
      <c r="BJ257" s="159"/>
      <c r="BK257" s="159"/>
      <c r="BL257" s="159"/>
      <c r="BM257" s="159"/>
      <c r="BN257" s="159"/>
      <c r="BO257" s="159"/>
      <c r="BP257" s="159"/>
      <c r="BR257" s="159"/>
      <c r="BS257" s="159"/>
      <c r="BT257" s="159"/>
      <c r="BU257" s="193"/>
      <c r="BV257" s="159"/>
      <c r="BW257" s="159"/>
      <c r="BX257" s="159"/>
      <c r="BY257" s="159"/>
      <c r="CB257" s="165"/>
      <c r="CD257" s="165"/>
      <c r="CF257" s="165"/>
      <c r="CH257" s="165"/>
      <c r="CJ257" s="165"/>
      <c r="CL257" s="165"/>
      <c r="CN257" s="165"/>
      <c r="CO257" s="130"/>
      <c r="CP257" s="165"/>
      <c r="CQ257" s="130"/>
      <c r="CR257" s="165"/>
      <c r="CS257" s="130"/>
      <c r="CT257" s="130"/>
      <c r="CU257" s="130"/>
      <c r="CV257" s="130"/>
      <c r="CW257" s="130"/>
      <c r="CX257" s="165"/>
      <c r="CY257" s="130"/>
      <c r="CZ257" s="130"/>
      <c r="DA257" s="130"/>
      <c r="DB257" s="130"/>
      <c r="DC257" s="130"/>
      <c r="DD257" s="130"/>
      <c r="DE257" s="130"/>
      <c r="DF257" s="130"/>
      <c r="DG257" s="130"/>
      <c r="DH257" s="130"/>
    </row>
    <row r="258" spans="3:112" ht="15">
      <c r="C258" s="157"/>
      <c r="D258" s="157"/>
      <c r="M258" s="112"/>
      <c r="N258" s="131"/>
      <c r="AG258" s="146"/>
      <c r="AH258" s="158"/>
      <c r="AI258" s="146"/>
      <c r="AJ258" s="159"/>
      <c r="AK258" s="160"/>
      <c r="AL258" s="159"/>
      <c r="AM258" s="160"/>
      <c r="AN258" s="159"/>
      <c r="AO258" s="160"/>
      <c r="AQ258" s="160"/>
      <c r="AS258" s="160"/>
      <c r="AU258" s="160"/>
      <c r="AW258" s="160"/>
      <c r="AY258" s="160"/>
      <c r="BA258" s="160"/>
      <c r="BB258" s="164"/>
      <c r="BC258" s="160"/>
      <c r="BD258" s="165"/>
      <c r="BE258" s="160"/>
      <c r="BF258" s="159"/>
      <c r="BG258" s="160"/>
      <c r="BH258" s="165"/>
      <c r="BI258" s="160"/>
      <c r="BJ258" s="159"/>
      <c r="BK258" s="159"/>
      <c r="BL258" s="159"/>
      <c r="BM258" s="159"/>
      <c r="BN258" s="159"/>
      <c r="BO258" s="159"/>
      <c r="BP258" s="159"/>
      <c r="BR258" s="159"/>
      <c r="BS258" s="159"/>
      <c r="BT258" s="159"/>
      <c r="BU258" s="193"/>
      <c r="BV258" s="159"/>
      <c r="BW258" s="159"/>
      <c r="BX258" s="159"/>
      <c r="BY258" s="159"/>
      <c r="CB258" s="165"/>
      <c r="CD258" s="165"/>
      <c r="CF258" s="165"/>
      <c r="CH258" s="165"/>
      <c r="CJ258" s="165"/>
      <c r="CL258" s="165"/>
      <c r="CN258" s="165"/>
      <c r="CO258" s="130"/>
      <c r="CP258" s="165"/>
      <c r="CQ258" s="130"/>
      <c r="CR258" s="165"/>
      <c r="CS258" s="130"/>
      <c r="CT258" s="130"/>
      <c r="CU258" s="130"/>
      <c r="CV258" s="130"/>
      <c r="CW258" s="130"/>
      <c r="CX258" s="165"/>
      <c r="CY258" s="130"/>
      <c r="CZ258" s="130"/>
      <c r="DA258" s="130"/>
      <c r="DB258" s="130"/>
      <c r="DC258" s="130"/>
      <c r="DD258" s="130"/>
      <c r="DE258" s="130"/>
      <c r="DF258" s="130"/>
      <c r="DG258" s="130"/>
      <c r="DH258" s="130"/>
    </row>
    <row r="259" spans="3:112" ht="15">
      <c r="C259" s="157"/>
      <c r="D259" s="157"/>
      <c r="M259" s="112"/>
      <c r="N259" s="131"/>
      <c r="AG259" s="146"/>
      <c r="AH259" s="158"/>
      <c r="AI259" s="146"/>
      <c r="AJ259" s="159"/>
      <c r="AK259" s="160"/>
      <c r="AL259" s="159"/>
      <c r="AM259" s="160"/>
      <c r="AN259" s="159"/>
      <c r="AO259" s="160"/>
      <c r="AQ259" s="160"/>
      <c r="AS259" s="160"/>
      <c r="AU259" s="160"/>
      <c r="AW259" s="160"/>
      <c r="AY259" s="160"/>
      <c r="BA259" s="160"/>
      <c r="BB259" s="164"/>
      <c r="BC259" s="160"/>
      <c r="BD259" s="165"/>
      <c r="BE259" s="160"/>
      <c r="BF259" s="159"/>
      <c r="BG259" s="160"/>
      <c r="BH259" s="165"/>
      <c r="BI259" s="160"/>
      <c r="BJ259" s="159"/>
      <c r="BK259" s="159"/>
      <c r="BL259" s="159"/>
      <c r="BM259" s="159"/>
      <c r="BN259" s="159"/>
      <c r="BO259" s="159"/>
      <c r="BP259" s="159"/>
      <c r="BR259" s="159"/>
      <c r="BS259" s="159"/>
      <c r="BT259" s="159"/>
      <c r="BU259" s="193"/>
      <c r="BV259" s="159"/>
      <c r="BW259" s="159"/>
      <c r="BX259" s="159"/>
      <c r="BY259" s="159"/>
      <c r="CB259" s="165"/>
      <c r="CD259" s="165"/>
      <c r="CF259" s="165"/>
      <c r="CH259" s="165"/>
      <c r="CJ259" s="165"/>
      <c r="CL259" s="165"/>
      <c r="CN259" s="165"/>
      <c r="CO259" s="130"/>
      <c r="CP259" s="165"/>
      <c r="CQ259" s="130"/>
      <c r="CR259" s="165"/>
      <c r="CS259" s="130"/>
      <c r="CT259" s="130"/>
      <c r="CU259" s="130"/>
      <c r="CV259" s="130"/>
      <c r="CW259" s="130"/>
      <c r="CX259" s="165"/>
      <c r="CY259" s="130"/>
      <c r="CZ259" s="130"/>
      <c r="DA259" s="130"/>
      <c r="DB259" s="130"/>
      <c r="DC259" s="130"/>
      <c r="DD259" s="130"/>
      <c r="DE259" s="130"/>
      <c r="DF259" s="130"/>
      <c r="DG259" s="130"/>
      <c r="DH259" s="130"/>
    </row>
    <row r="260" spans="3:112" ht="15">
      <c r="C260" s="157"/>
      <c r="D260" s="157"/>
      <c r="M260" s="112"/>
      <c r="N260" s="131"/>
      <c r="AG260" s="146"/>
      <c r="AH260" s="158"/>
      <c r="AI260" s="146"/>
      <c r="AJ260" s="159"/>
      <c r="AK260" s="160"/>
      <c r="AL260" s="159"/>
      <c r="AM260" s="160"/>
      <c r="AN260" s="159"/>
      <c r="AO260" s="160"/>
      <c r="AQ260" s="160"/>
      <c r="AS260" s="160"/>
      <c r="AU260" s="160"/>
      <c r="AW260" s="160"/>
      <c r="AY260" s="160"/>
      <c r="BA260" s="160"/>
      <c r="BB260" s="164"/>
      <c r="BC260" s="160"/>
      <c r="BD260" s="165"/>
      <c r="BE260" s="160"/>
      <c r="BF260" s="159"/>
      <c r="BG260" s="160"/>
      <c r="BH260" s="165"/>
      <c r="BI260" s="160"/>
      <c r="BJ260" s="159"/>
      <c r="BK260" s="159"/>
      <c r="BL260" s="159"/>
      <c r="BM260" s="159"/>
      <c r="BN260" s="159"/>
      <c r="BO260" s="159"/>
      <c r="BP260" s="159"/>
      <c r="BR260" s="159"/>
      <c r="BS260" s="159"/>
      <c r="BT260" s="159"/>
      <c r="BU260" s="193"/>
      <c r="BV260" s="159"/>
      <c r="BW260" s="159"/>
      <c r="BX260" s="159"/>
      <c r="BY260" s="159"/>
      <c r="CB260" s="165"/>
      <c r="CD260" s="165"/>
      <c r="CF260" s="165"/>
      <c r="CH260" s="165"/>
      <c r="CJ260" s="165"/>
      <c r="CL260" s="165"/>
      <c r="CN260" s="165"/>
      <c r="CO260" s="130"/>
      <c r="CP260" s="165"/>
      <c r="CQ260" s="130"/>
      <c r="CR260" s="165"/>
      <c r="CS260" s="130"/>
      <c r="CT260" s="130"/>
      <c r="CU260" s="130"/>
      <c r="CV260" s="130"/>
      <c r="CW260" s="130"/>
      <c r="CX260" s="165"/>
      <c r="CY260" s="130"/>
      <c r="CZ260" s="130"/>
      <c r="DA260" s="130"/>
      <c r="DB260" s="130"/>
      <c r="DC260" s="130"/>
      <c r="DD260" s="130"/>
      <c r="DE260" s="130"/>
      <c r="DF260" s="130"/>
      <c r="DG260" s="130"/>
      <c r="DH260" s="130"/>
    </row>
    <row r="261" spans="3:112" ht="15">
      <c r="C261" s="157"/>
      <c r="D261" s="157"/>
      <c r="M261" s="112"/>
      <c r="N261" s="131"/>
      <c r="AG261" s="146"/>
      <c r="AH261" s="158"/>
      <c r="AI261" s="146"/>
      <c r="AJ261" s="159"/>
      <c r="AK261" s="160"/>
      <c r="AL261" s="159"/>
      <c r="AM261" s="160"/>
      <c r="AN261" s="159"/>
      <c r="AO261" s="160"/>
      <c r="AQ261" s="160"/>
      <c r="AS261" s="160"/>
      <c r="AU261" s="160"/>
      <c r="AW261" s="160"/>
      <c r="AY261" s="160"/>
      <c r="BA261" s="160"/>
      <c r="BB261" s="164"/>
      <c r="BC261" s="160"/>
      <c r="BD261" s="165"/>
      <c r="BE261" s="160"/>
      <c r="BF261" s="159"/>
      <c r="BG261" s="160"/>
      <c r="BH261" s="165"/>
      <c r="BI261" s="160"/>
      <c r="BJ261" s="159"/>
      <c r="BK261" s="159"/>
      <c r="BL261" s="159"/>
      <c r="BM261" s="159"/>
      <c r="BN261" s="159"/>
      <c r="BO261" s="159"/>
      <c r="BP261" s="159"/>
      <c r="BR261" s="159"/>
      <c r="BS261" s="159"/>
      <c r="BT261" s="159"/>
      <c r="BU261" s="193"/>
      <c r="BV261" s="159"/>
      <c r="BW261" s="159"/>
      <c r="BX261" s="159"/>
      <c r="BY261" s="159"/>
      <c r="CB261" s="165"/>
      <c r="CD261" s="165"/>
      <c r="CF261" s="165"/>
      <c r="CH261" s="165"/>
      <c r="CJ261" s="165"/>
      <c r="CL261" s="165"/>
      <c r="CN261" s="165"/>
      <c r="CO261" s="130"/>
      <c r="CP261" s="165"/>
      <c r="CQ261" s="130"/>
      <c r="CR261" s="165"/>
      <c r="CS261" s="130"/>
      <c r="CT261" s="130"/>
      <c r="CU261" s="130"/>
      <c r="CV261" s="130"/>
      <c r="CW261" s="130"/>
      <c r="CX261" s="165"/>
      <c r="CY261" s="130"/>
      <c r="CZ261" s="130"/>
      <c r="DA261" s="130"/>
      <c r="DB261" s="130"/>
      <c r="DC261" s="130"/>
      <c r="DD261" s="130"/>
      <c r="DE261" s="130"/>
      <c r="DF261" s="130"/>
      <c r="DG261" s="130"/>
      <c r="DH261" s="130"/>
    </row>
    <row r="262" spans="3:112" ht="15">
      <c r="C262" s="157"/>
      <c r="D262" s="157"/>
      <c r="M262" s="112"/>
      <c r="N262" s="131"/>
      <c r="AG262" s="146"/>
      <c r="AH262" s="158"/>
      <c r="AI262" s="146"/>
      <c r="AJ262" s="159"/>
      <c r="AK262" s="160"/>
      <c r="AL262" s="159"/>
      <c r="AM262" s="160"/>
      <c r="AN262" s="159"/>
      <c r="AO262" s="160"/>
      <c r="AQ262" s="160"/>
      <c r="AS262" s="160"/>
      <c r="AU262" s="160"/>
      <c r="AW262" s="160"/>
      <c r="AY262" s="160"/>
      <c r="BA262" s="160"/>
      <c r="BB262" s="164"/>
      <c r="BC262" s="160"/>
      <c r="BD262" s="165"/>
      <c r="BE262" s="160"/>
      <c r="BF262" s="159"/>
      <c r="BG262" s="160"/>
      <c r="BH262" s="165"/>
      <c r="BI262" s="160"/>
      <c r="BJ262" s="159"/>
      <c r="BK262" s="159"/>
      <c r="BL262" s="159"/>
      <c r="BM262" s="159"/>
      <c r="BN262" s="159"/>
      <c r="BO262" s="159"/>
      <c r="BP262" s="159"/>
      <c r="BR262" s="159"/>
      <c r="BS262" s="159"/>
      <c r="BT262" s="159"/>
      <c r="BU262" s="193"/>
      <c r="BV262" s="159"/>
      <c r="BW262" s="159"/>
      <c r="BX262" s="159"/>
      <c r="BY262" s="159"/>
      <c r="CB262" s="165"/>
      <c r="CD262" s="165"/>
      <c r="CF262" s="165"/>
      <c r="CH262" s="165"/>
      <c r="CJ262" s="165"/>
      <c r="CL262" s="165"/>
      <c r="CN262" s="165"/>
      <c r="CO262" s="130"/>
      <c r="CP262" s="165"/>
      <c r="CQ262" s="130"/>
      <c r="CR262" s="165"/>
      <c r="CS262" s="130"/>
      <c r="CT262" s="130"/>
      <c r="CU262" s="130"/>
      <c r="CV262" s="130"/>
      <c r="CW262" s="130"/>
      <c r="CX262" s="165"/>
      <c r="CY262" s="130"/>
      <c r="CZ262" s="130"/>
      <c r="DA262" s="130"/>
      <c r="DB262" s="130"/>
      <c r="DC262" s="130"/>
      <c r="DD262" s="130"/>
      <c r="DE262" s="130"/>
      <c r="DF262" s="130"/>
      <c r="DG262" s="130"/>
      <c r="DH262" s="130"/>
    </row>
    <row r="263" spans="3:112" ht="15">
      <c r="C263" s="157"/>
      <c r="D263" s="157"/>
      <c r="M263" s="112"/>
      <c r="N263" s="131"/>
      <c r="AG263" s="146"/>
      <c r="AH263" s="158"/>
      <c r="AI263" s="146"/>
      <c r="AJ263" s="159"/>
      <c r="AK263" s="160"/>
      <c r="AL263" s="159"/>
      <c r="AM263" s="160"/>
      <c r="AN263" s="159"/>
      <c r="AO263" s="160"/>
      <c r="AQ263" s="160"/>
      <c r="AS263" s="160"/>
      <c r="AU263" s="160"/>
      <c r="AW263" s="160"/>
      <c r="AY263" s="160"/>
      <c r="BA263" s="160"/>
      <c r="BB263" s="164"/>
      <c r="BC263" s="160"/>
      <c r="BD263" s="165"/>
      <c r="BE263" s="160"/>
      <c r="BF263" s="159"/>
      <c r="BG263" s="160"/>
      <c r="BH263" s="165"/>
      <c r="BI263" s="160"/>
      <c r="BJ263" s="159"/>
      <c r="BK263" s="159"/>
      <c r="BL263" s="159"/>
      <c r="BM263" s="159"/>
      <c r="BN263" s="159"/>
      <c r="BO263" s="159"/>
      <c r="BP263" s="159"/>
      <c r="BR263" s="159"/>
      <c r="BS263" s="159"/>
      <c r="BT263" s="159"/>
      <c r="BU263" s="193"/>
      <c r="BV263" s="159"/>
      <c r="BW263" s="159"/>
      <c r="BX263" s="159"/>
      <c r="BY263" s="159"/>
      <c r="CB263" s="165"/>
      <c r="CD263" s="165"/>
      <c r="CF263" s="165"/>
      <c r="CH263" s="165"/>
      <c r="CJ263" s="165"/>
      <c r="CL263" s="165"/>
      <c r="CN263" s="165"/>
      <c r="CO263" s="130"/>
      <c r="CP263" s="165"/>
      <c r="CQ263" s="130"/>
      <c r="CR263" s="165"/>
      <c r="CS263" s="130"/>
      <c r="CT263" s="130"/>
      <c r="CU263" s="130"/>
      <c r="CV263" s="130"/>
      <c r="CW263" s="130"/>
      <c r="CX263" s="165"/>
      <c r="CY263" s="130"/>
      <c r="CZ263" s="130"/>
      <c r="DA263" s="130"/>
      <c r="DB263" s="130"/>
      <c r="DC263" s="130"/>
      <c r="DD263" s="130"/>
      <c r="DE263" s="130"/>
      <c r="DF263" s="130"/>
      <c r="DG263" s="130"/>
      <c r="DH263" s="130"/>
    </row>
    <row r="264" spans="3:112" ht="15">
      <c r="C264" s="157"/>
      <c r="D264" s="157"/>
      <c r="M264" s="112"/>
      <c r="N264" s="131"/>
      <c r="AG264" s="146"/>
      <c r="AH264" s="158"/>
      <c r="AI264" s="146"/>
      <c r="AJ264" s="159"/>
      <c r="AK264" s="160"/>
      <c r="AL264" s="159"/>
      <c r="AM264" s="160"/>
      <c r="AN264" s="159"/>
      <c r="AO264" s="160"/>
      <c r="AQ264" s="160"/>
      <c r="AS264" s="160"/>
      <c r="AU264" s="160"/>
      <c r="AW264" s="160"/>
      <c r="AY264" s="160"/>
      <c r="BA264" s="160"/>
      <c r="BB264" s="164"/>
      <c r="BC264" s="160"/>
      <c r="BD264" s="165"/>
      <c r="BE264" s="160"/>
      <c r="BF264" s="159"/>
      <c r="BG264" s="160"/>
      <c r="BH264" s="165"/>
      <c r="BI264" s="160"/>
      <c r="BJ264" s="159"/>
      <c r="BK264" s="159"/>
      <c r="BL264" s="159"/>
      <c r="BM264" s="159"/>
      <c r="BN264" s="159"/>
      <c r="BO264" s="159"/>
      <c r="BP264" s="159"/>
      <c r="BR264" s="159"/>
      <c r="BS264" s="159"/>
      <c r="BT264" s="159"/>
      <c r="BU264" s="193"/>
      <c r="BV264" s="159"/>
      <c r="BW264" s="159"/>
      <c r="BX264" s="159"/>
      <c r="BY264" s="159"/>
      <c r="CB264" s="165"/>
      <c r="CD264" s="165"/>
      <c r="CF264" s="165"/>
      <c r="CH264" s="165"/>
      <c r="CJ264" s="165"/>
      <c r="CL264" s="165"/>
      <c r="CN264" s="165"/>
      <c r="CO264" s="130"/>
      <c r="CP264" s="165"/>
      <c r="CQ264" s="130"/>
      <c r="CR264" s="165"/>
      <c r="CS264" s="130"/>
      <c r="CT264" s="130"/>
      <c r="CU264" s="130"/>
      <c r="CV264" s="130"/>
      <c r="CW264" s="130"/>
      <c r="CX264" s="165"/>
      <c r="CY264" s="130"/>
      <c r="CZ264" s="130"/>
      <c r="DA264" s="130"/>
      <c r="DB264" s="130"/>
      <c r="DC264" s="130"/>
      <c r="DD264" s="130"/>
      <c r="DE264" s="130"/>
      <c r="DF264" s="130"/>
      <c r="DG264" s="130"/>
      <c r="DH264" s="130"/>
    </row>
    <row r="265" spans="3:112" ht="15">
      <c r="C265" s="157"/>
      <c r="D265" s="157"/>
      <c r="M265" s="112"/>
      <c r="N265" s="131"/>
      <c r="AG265" s="146"/>
      <c r="AH265" s="158"/>
      <c r="AI265" s="146"/>
      <c r="AJ265" s="159"/>
      <c r="AK265" s="160"/>
      <c r="AL265" s="159"/>
      <c r="AM265" s="160"/>
      <c r="AN265" s="159"/>
      <c r="AO265" s="160"/>
      <c r="AQ265" s="160"/>
      <c r="AS265" s="160"/>
      <c r="AU265" s="160"/>
      <c r="AW265" s="160"/>
      <c r="AY265" s="160"/>
      <c r="BA265" s="160"/>
      <c r="BB265" s="164"/>
      <c r="BC265" s="160"/>
      <c r="BD265" s="165"/>
      <c r="BE265" s="160"/>
      <c r="BF265" s="159"/>
      <c r="BG265" s="160"/>
      <c r="BH265" s="165"/>
      <c r="BI265" s="160"/>
      <c r="BJ265" s="159"/>
      <c r="BK265" s="159"/>
      <c r="BL265" s="159"/>
      <c r="BM265" s="159"/>
      <c r="BN265" s="159"/>
      <c r="BO265" s="159"/>
      <c r="BP265" s="159"/>
      <c r="BR265" s="159"/>
      <c r="BS265" s="159"/>
      <c r="BT265" s="159"/>
      <c r="BU265" s="193"/>
      <c r="BV265" s="159"/>
      <c r="BW265" s="159"/>
      <c r="BX265" s="159"/>
      <c r="BY265" s="159"/>
      <c r="CB265" s="165"/>
      <c r="CD265" s="165"/>
      <c r="CF265" s="165"/>
      <c r="CH265" s="165"/>
      <c r="CJ265" s="165"/>
      <c r="CL265" s="165"/>
      <c r="CN265" s="165"/>
      <c r="CO265" s="130"/>
      <c r="CP265" s="165"/>
      <c r="CQ265" s="130"/>
      <c r="CR265" s="165"/>
      <c r="CS265" s="130"/>
      <c r="CT265" s="130"/>
      <c r="CU265" s="130"/>
      <c r="CV265" s="130"/>
      <c r="CW265" s="130"/>
      <c r="CX265" s="165"/>
      <c r="CY265" s="130"/>
      <c r="CZ265" s="130"/>
      <c r="DA265" s="130"/>
      <c r="DB265" s="130"/>
      <c r="DC265" s="130"/>
      <c r="DD265" s="130"/>
      <c r="DE265" s="130"/>
      <c r="DF265" s="130"/>
      <c r="DG265" s="130"/>
      <c r="DH265" s="130"/>
    </row>
    <row r="266" spans="3:112" ht="15">
      <c r="C266" s="157"/>
      <c r="D266" s="157"/>
      <c r="M266" s="112"/>
      <c r="N266" s="131"/>
      <c r="AG266" s="146"/>
      <c r="AH266" s="158"/>
      <c r="AI266" s="146"/>
      <c r="AJ266" s="159"/>
      <c r="AK266" s="160"/>
      <c r="AL266" s="159"/>
      <c r="AM266" s="160"/>
      <c r="AN266" s="159"/>
      <c r="AO266" s="160"/>
      <c r="AQ266" s="160"/>
      <c r="AS266" s="160"/>
      <c r="AU266" s="160"/>
      <c r="AW266" s="160"/>
      <c r="AY266" s="160"/>
      <c r="BA266" s="160"/>
      <c r="BB266" s="164"/>
      <c r="BC266" s="160"/>
      <c r="BD266" s="165"/>
      <c r="BE266" s="160"/>
      <c r="BF266" s="159"/>
      <c r="BG266" s="160"/>
      <c r="BH266" s="165"/>
      <c r="BI266" s="160"/>
      <c r="BJ266" s="159"/>
      <c r="BK266" s="159"/>
      <c r="BL266" s="159"/>
      <c r="BM266" s="159"/>
      <c r="BN266" s="159"/>
      <c r="BO266" s="159"/>
      <c r="BP266" s="159"/>
      <c r="BR266" s="159"/>
      <c r="BS266" s="159"/>
      <c r="BT266" s="159"/>
      <c r="BU266" s="193"/>
      <c r="BV266" s="159"/>
      <c r="BW266" s="159"/>
      <c r="BX266" s="159"/>
      <c r="BY266" s="159"/>
      <c r="CB266" s="165"/>
      <c r="CD266" s="165"/>
      <c r="CF266" s="165"/>
      <c r="CH266" s="165"/>
      <c r="CJ266" s="165"/>
      <c r="CL266" s="165"/>
      <c r="CN266" s="165"/>
      <c r="CO266" s="130"/>
      <c r="CP266" s="165"/>
      <c r="CQ266" s="130"/>
      <c r="CR266" s="165"/>
      <c r="CS266" s="130"/>
      <c r="CT266" s="130"/>
      <c r="CU266" s="130"/>
      <c r="CV266" s="130"/>
      <c r="CW266" s="130"/>
      <c r="CX266" s="165"/>
      <c r="CY266" s="130"/>
      <c r="CZ266" s="130"/>
      <c r="DA266" s="130"/>
      <c r="DB266" s="130"/>
      <c r="DC266" s="130"/>
      <c r="DD266" s="130"/>
      <c r="DE266" s="130"/>
      <c r="DF266" s="130"/>
      <c r="DG266" s="130"/>
      <c r="DH266" s="130"/>
    </row>
    <row r="267" spans="3:112" ht="15">
      <c r="C267" s="157"/>
      <c r="D267" s="157"/>
      <c r="M267" s="112"/>
      <c r="N267" s="131"/>
      <c r="AG267" s="146"/>
      <c r="AH267" s="158"/>
      <c r="AI267" s="146"/>
      <c r="AJ267" s="159"/>
      <c r="AK267" s="160"/>
      <c r="AL267" s="159"/>
      <c r="AM267" s="160"/>
      <c r="AN267" s="159"/>
      <c r="AO267" s="160"/>
      <c r="AQ267" s="160"/>
      <c r="AS267" s="160"/>
      <c r="AU267" s="160"/>
      <c r="AW267" s="160"/>
      <c r="AY267" s="160"/>
      <c r="BA267" s="160"/>
      <c r="BB267" s="164"/>
      <c r="BC267" s="160"/>
      <c r="BD267" s="165"/>
      <c r="BE267" s="160"/>
      <c r="BF267" s="159"/>
      <c r="BG267" s="160"/>
      <c r="BH267" s="165"/>
      <c r="BI267" s="160"/>
      <c r="BJ267" s="159"/>
      <c r="BK267" s="159"/>
      <c r="BL267" s="159"/>
      <c r="BM267" s="159"/>
      <c r="BN267" s="159"/>
      <c r="BO267" s="159"/>
      <c r="BP267" s="159"/>
      <c r="BR267" s="159"/>
      <c r="BS267" s="159"/>
      <c r="BT267" s="159"/>
      <c r="BU267" s="193"/>
      <c r="BV267" s="159"/>
      <c r="BW267" s="159"/>
      <c r="BX267" s="159"/>
      <c r="BY267" s="159"/>
      <c r="CB267" s="165"/>
      <c r="CD267" s="165"/>
      <c r="CF267" s="165"/>
      <c r="CH267" s="165"/>
      <c r="CJ267" s="165"/>
      <c r="CL267" s="165"/>
      <c r="CN267" s="165"/>
      <c r="CO267" s="130"/>
      <c r="CP267" s="165"/>
      <c r="CQ267" s="130"/>
      <c r="CR267" s="165"/>
      <c r="CS267" s="130"/>
      <c r="CT267" s="130"/>
      <c r="CU267" s="130"/>
      <c r="CV267" s="130"/>
      <c r="CW267" s="130"/>
      <c r="CX267" s="165"/>
      <c r="CY267" s="130"/>
      <c r="CZ267" s="130"/>
      <c r="DA267" s="130"/>
      <c r="DB267" s="130"/>
      <c r="DC267" s="130"/>
      <c r="DD267" s="130"/>
      <c r="DE267" s="130"/>
      <c r="DF267" s="130"/>
      <c r="DG267" s="130"/>
      <c r="DH267" s="130"/>
    </row>
    <row r="268" spans="3:112" ht="15">
      <c r="C268" s="157"/>
      <c r="D268" s="157"/>
      <c r="M268" s="112"/>
      <c r="N268" s="131"/>
      <c r="AG268" s="146"/>
      <c r="AH268" s="158"/>
      <c r="AI268" s="146"/>
      <c r="AJ268" s="159"/>
      <c r="AK268" s="160"/>
      <c r="AL268" s="159"/>
      <c r="AM268" s="160"/>
      <c r="AN268" s="159"/>
      <c r="AO268" s="160"/>
      <c r="AQ268" s="160"/>
      <c r="AS268" s="160"/>
      <c r="AU268" s="160"/>
      <c r="AW268" s="160"/>
      <c r="AY268" s="160"/>
      <c r="BA268" s="160"/>
      <c r="BB268" s="164"/>
      <c r="BC268" s="160"/>
      <c r="BD268" s="165"/>
      <c r="BE268" s="160"/>
      <c r="BF268" s="159"/>
      <c r="BG268" s="160"/>
      <c r="BH268" s="165"/>
      <c r="BI268" s="160"/>
      <c r="BJ268" s="159"/>
      <c r="BK268" s="159"/>
      <c r="BL268" s="159"/>
      <c r="BM268" s="159"/>
      <c r="BN268" s="159"/>
      <c r="BO268" s="159"/>
      <c r="BP268" s="159"/>
      <c r="BR268" s="159"/>
      <c r="BS268" s="159"/>
      <c r="BT268" s="159"/>
      <c r="BU268" s="193"/>
      <c r="BV268" s="159"/>
      <c r="BW268" s="159"/>
      <c r="BX268" s="159"/>
      <c r="BY268" s="159"/>
      <c r="CB268" s="165"/>
      <c r="CD268" s="165"/>
      <c r="CF268" s="165"/>
      <c r="CH268" s="165"/>
      <c r="CJ268" s="165"/>
      <c r="CL268" s="165"/>
      <c r="CN268" s="165"/>
      <c r="CO268" s="130"/>
      <c r="CP268" s="165"/>
      <c r="CQ268" s="130"/>
      <c r="CR268" s="165"/>
      <c r="CS268" s="130"/>
      <c r="CT268" s="130"/>
      <c r="CU268" s="130"/>
      <c r="CV268" s="130"/>
      <c r="CW268" s="130"/>
      <c r="CX268" s="165"/>
      <c r="CY268" s="130"/>
      <c r="CZ268" s="130"/>
      <c r="DA268" s="130"/>
      <c r="DB268" s="130"/>
      <c r="DC268" s="130"/>
      <c r="DD268" s="130"/>
      <c r="DE268" s="130"/>
      <c r="DF268" s="130"/>
      <c r="DG268" s="130"/>
      <c r="DH268" s="130"/>
    </row>
    <row r="269" spans="3:112" ht="15">
      <c r="C269" s="157"/>
      <c r="D269" s="157"/>
      <c r="M269" s="112"/>
      <c r="N269" s="131"/>
      <c r="AG269" s="146"/>
      <c r="AH269" s="158"/>
      <c r="AI269" s="146"/>
      <c r="AJ269" s="159"/>
      <c r="AK269" s="160"/>
      <c r="AL269" s="159"/>
      <c r="AM269" s="160"/>
      <c r="AN269" s="159"/>
      <c r="AO269" s="160"/>
      <c r="AQ269" s="160"/>
      <c r="AS269" s="160"/>
      <c r="AU269" s="160"/>
      <c r="AW269" s="160"/>
      <c r="AY269" s="160"/>
      <c r="BA269" s="160"/>
      <c r="BB269" s="164"/>
      <c r="BC269" s="160"/>
      <c r="BD269" s="165"/>
      <c r="BE269" s="160"/>
      <c r="BF269" s="159"/>
      <c r="BG269" s="160"/>
      <c r="BH269" s="165"/>
      <c r="BI269" s="160"/>
      <c r="BJ269" s="159"/>
      <c r="BK269" s="159"/>
      <c r="BL269" s="159"/>
      <c r="BM269" s="159"/>
      <c r="BN269" s="159"/>
      <c r="BO269" s="159"/>
      <c r="BP269" s="159"/>
      <c r="BR269" s="159"/>
      <c r="BS269" s="159"/>
      <c r="BT269" s="159"/>
      <c r="BU269" s="193"/>
      <c r="BV269" s="159"/>
      <c r="BW269" s="159"/>
      <c r="BX269" s="159"/>
      <c r="BY269" s="159"/>
      <c r="CB269" s="165"/>
      <c r="CD269" s="165"/>
      <c r="CF269" s="165"/>
      <c r="CH269" s="165"/>
      <c r="CJ269" s="165"/>
      <c r="CL269" s="165"/>
      <c r="CN269" s="165"/>
      <c r="CO269" s="130"/>
      <c r="CP269" s="165"/>
      <c r="CQ269" s="130"/>
      <c r="CR269" s="165"/>
      <c r="CS269" s="130"/>
      <c r="CT269" s="130"/>
      <c r="CU269" s="130"/>
      <c r="CV269" s="130"/>
      <c r="CW269" s="130"/>
      <c r="CX269" s="165"/>
      <c r="CY269" s="130"/>
      <c r="CZ269" s="130"/>
      <c r="DA269" s="130"/>
      <c r="DB269" s="130"/>
      <c r="DC269" s="130"/>
      <c r="DD269" s="130"/>
      <c r="DE269" s="130"/>
      <c r="DF269" s="130"/>
      <c r="DG269" s="130"/>
      <c r="DH269" s="130"/>
    </row>
    <row r="270" spans="3:112" ht="15">
      <c r="C270" s="157"/>
      <c r="D270" s="157"/>
      <c r="M270" s="112"/>
      <c r="N270" s="131"/>
      <c r="AG270" s="146"/>
      <c r="AH270" s="158"/>
      <c r="AI270" s="146"/>
      <c r="AJ270" s="159"/>
      <c r="AK270" s="160"/>
      <c r="AL270" s="159"/>
      <c r="AM270" s="160"/>
      <c r="AN270" s="159"/>
      <c r="AO270" s="160"/>
      <c r="AQ270" s="160"/>
      <c r="AS270" s="160"/>
      <c r="AU270" s="160"/>
      <c r="AW270" s="160"/>
      <c r="AY270" s="160"/>
      <c r="BA270" s="160"/>
      <c r="BB270" s="164"/>
      <c r="BC270" s="160"/>
      <c r="BD270" s="165"/>
      <c r="BE270" s="160"/>
      <c r="BF270" s="159"/>
      <c r="BG270" s="160"/>
      <c r="BH270" s="165"/>
      <c r="BI270" s="160"/>
      <c r="BJ270" s="159"/>
      <c r="BK270" s="159"/>
      <c r="BL270" s="159"/>
      <c r="BM270" s="159"/>
      <c r="BN270" s="159"/>
      <c r="BO270" s="159"/>
      <c r="BP270" s="159"/>
      <c r="BR270" s="159"/>
      <c r="BS270" s="159"/>
      <c r="BT270" s="159"/>
      <c r="BU270" s="193"/>
      <c r="BV270" s="159"/>
      <c r="BW270" s="159"/>
      <c r="BX270" s="159"/>
      <c r="BY270" s="159"/>
      <c r="CB270" s="165"/>
      <c r="CD270" s="165"/>
      <c r="CF270" s="165"/>
      <c r="CH270" s="165"/>
      <c r="CJ270" s="165"/>
      <c r="CL270" s="165"/>
      <c r="CN270" s="165"/>
      <c r="CO270" s="130"/>
      <c r="CP270" s="165"/>
      <c r="CQ270" s="130"/>
      <c r="CR270" s="165"/>
      <c r="CS270" s="130"/>
      <c r="CT270" s="130"/>
      <c r="CU270" s="130"/>
      <c r="CV270" s="130"/>
      <c r="CW270" s="130"/>
      <c r="CX270" s="165"/>
      <c r="CY270" s="130"/>
      <c r="CZ270" s="130"/>
      <c r="DA270" s="130"/>
      <c r="DB270" s="130"/>
      <c r="DC270" s="130"/>
      <c r="DD270" s="130"/>
      <c r="DE270" s="130"/>
      <c r="DF270" s="130"/>
      <c r="DG270" s="130"/>
      <c r="DH270" s="130"/>
    </row>
    <row r="271" spans="3:112" ht="15">
      <c r="C271" s="157"/>
      <c r="D271" s="157"/>
      <c r="M271" s="112"/>
      <c r="N271" s="131"/>
      <c r="AG271" s="146"/>
      <c r="AH271" s="158"/>
      <c r="AI271" s="146"/>
      <c r="AJ271" s="159"/>
      <c r="AK271" s="160"/>
      <c r="AL271" s="159"/>
      <c r="AM271" s="160"/>
      <c r="AN271" s="159"/>
      <c r="AO271" s="160"/>
      <c r="AQ271" s="160"/>
      <c r="AS271" s="160"/>
      <c r="AU271" s="160"/>
      <c r="AW271" s="160"/>
      <c r="AY271" s="160"/>
      <c r="BA271" s="160"/>
      <c r="BB271" s="164"/>
      <c r="BC271" s="160"/>
      <c r="BD271" s="165"/>
      <c r="BE271" s="160"/>
      <c r="BF271" s="159"/>
      <c r="BG271" s="160"/>
      <c r="BH271" s="165"/>
      <c r="BI271" s="160"/>
      <c r="BJ271" s="159"/>
      <c r="BK271" s="159"/>
      <c r="BL271" s="159"/>
      <c r="BM271" s="159"/>
      <c r="BN271" s="159"/>
      <c r="BO271" s="159"/>
      <c r="BP271" s="159"/>
      <c r="BR271" s="159"/>
      <c r="BS271" s="159"/>
      <c r="BT271" s="159"/>
      <c r="BU271" s="193"/>
      <c r="BV271" s="159"/>
      <c r="BW271" s="159"/>
      <c r="BX271" s="159"/>
      <c r="BY271" s="159"/>
      <c r="CB271" s="165"/>
      <c r="CD271" s="165"/>
      <c r="CF271" s="165"/>
      <c r="CH271" s="165"/>
      <c r="CJ271" s="165"/>
      <c r="CL271" s="165"/>
      <c r="CN271" s="165"/>
      <c r="CO271" s="130"/>
      <c r="CP271" s="165"/>
      <c r="CQ271" s="130"/>
      <c r="CR271" s="165"/>
      <c r="CS271" s="130"/>
      <c r="CT271" s="130"/>
      <c r="CU271" s="130"/>
      <c r="CV271" s="130"/>
      <c r="CW271" s="130"/>
      <c r="CX271" s="165"/>
      <c r="CY271" s="130"/>
      <c r="CZ271" s="130"/>
      <c r="DA271" s="130"/>
      <c r="DB271" s="130"/>
      <c r="DC271" s="130"/>
      <c r="DD271" s="130"/>
      <c r="DE271" s="130"/>
      <c r="DF271" s="130"/>
      <c r="DG271" s="130"/>
      <c r="DH271" s="130"/>
    </row>
    <row r="272" spans="3:112" ht="15">
      <c r="C272" s="157"/>
      <c r="D272" s="157"/>
      <c r="M272" s="112"/>
      <c r="N272" s="131"/>
      <c r="AG272" s="146"/>
      <c r="AH272" s="158"/>
      <c r="AI272" s="146"/>
      <c r="AJ272" s="159"/>
      <c r="AK272" s="160"/>
      <c r="AL272" s="159"/>
      <c r="AM272" s="160"/>
      <c r="AN272" s="159"/>
      <c r="AO272" s="160"/>
      <c r="AQ272" s="160"/>
      <c r="AS272" s="160"/>
      <c r="AU272" s="160"/>
      <c r="AW272" s="160"/>
      <c r="AY272" s="160"/>
      <c r="BA272" s="160"/>
      <c r="BB272" s="164"/>
      <c r="BC272" s="160"/>
      <c r="BD272" s="165"/>
      <c r="BE272" s="160"/>
      <c r="BF272" s="159"/>
      <c r="BG272" s="160"/>
      <c r="BH272" s="165"/>
      <c r="BI272" s="160"/>
      <c r="BJ272" s="159"/>
      <c r="BK272" s="159"/>
      <c r="BL272" s="159"/>
      <c r="BM272" s="159"/>
      <c r="BN272" s="159"/>
      <c r="BO272" s="159"/>
      <c r="BP272" s="159"/>
      <c r="BR272" s="159"/>
      <c r="BS272" s="159"/>
      <c r="BT272" s="159"/>
      <c r="BU272" s="193"/>
      <c r="BV272" s="159"/>
      <c r="BW272" s="159"/>
      <c r="BX272" s="159"/>
      <c r="BY272" s="159"/>
      <c r="CB272" s="165"/>
      <c r="CD272" s="165"/>
      <c r="CF272" s="165"/>
      <c r="CH272" s="165"/>
      <c r="CJ272" s="165"/>
      <c r="CL272" s="165"/>
      <c r="CN272" s="165"/>
      <c r="CO272" s="130"/>
      <c r="CP272" s="165"/>
      <c r="CQ272" s="130"/>
      <c r="CR272" s="165"/>
      <c r="CS272" s="130"/>
      <c r="CT272" s="130"/>
      <c r="CU272" s="130"/>
      <c r="CV272" s="130"/>
      <c r="CW272" s="130"/>
      <c r="CX272" s="165"/>
      <c r="CY272" s="130"/>
      <c r="CZ272" s="130"/>
      <c r="DA272" s="130"/>
      <c r="DB272" s="130"/>
      <c r="DC272" s="130"/>
      <c r="DD272" s="130"/>
      <c r="DE272" s="130"/>
      <c r="DF272" s="130"/>
      <c r="DG272" s="130"/>
      <c r="DH272" s="130"/>
    </row>
    <row r="273" spans="3:112" ht="15">
      <c r="C273" s="157"/>
      <c r="D273" s="157"/>
      <c r="M273" s="112"/>
      <c r="N273" s="131"/>
      <c r="AG273" s="146"/>
      <c r="AH273" s="158"/>
      <c r="AI273" s="146"/>
      <c r="AJ273" s="159"/>
      <c r="AK273" s="160"/>
      <c r="AL273" s="159"/>
      <c r="AM273" s="160"/>
      <c r="AN273" s="159"/>
      <c r="AO273" s="160"/>
      <c r="AQ273" s="160"/>
      <c r="AS273" s="160"/>
      <c r="AU273" s="160"/>
      <c r="AW273" s="160"/>
      <c r="AY273" s="160"/>
      <c r="BA273" s="160"/>
      <c r="BB273" s="164"/>
      <c r="BC273" s="160"/>
      <c r="BD273" s="165"/>
      <c r="BE273" s="160"/>
      <c r="BF273" s="159"/>
      <c r="BG273" s="160"/>
      <c r="BH273" s="165"/>
      <c r="BI273" s="160"/>
      <c r="BJ273" s="159"/>
      <c r="BK273" s="159"/>
      <c r="BL273" s="159"/>
      <c r="BM273" s="159"/>
      <c r="BN273" s="159"/>
      <c r="BO273" s="159"/>
      <c r="BP273" s="159"/>
      <c r="BR273" s="159"/>
      <c r="BS273" s="159"/>
      <c r="BT273" s="159"/>
      <c r="BU273" s="193"/>
      <c r="BV273" s="159"/>
      <c r="BW273" s="159"/>
      <c r="BX273" s="159"/>
      <c r="BY273" s="159"/>
      <c r="CB273" s="165"/>
      <c r="CD273" s="165"/>
      <c r="CF273" s="165"/>
      <c r="CH273" s="165"/>
      <c r="CJ273" s="165"/>
      <c r="CL273" s="165"/>
      <c r="CN273" s="165"/>
      <c r="CO273" s="130"/>
      <c r="CP273" s="165"/>
      <c r="CQ273" s="130"/>
      <c r="CR273" s="165"/>
      <c r="CS273" s="130"/>
      <c r="CT273" s="130"/>
      <c r="CU273" s="130"/>
      <c r="CV273" s="130"/>
      <c r="CW273" s="130"/>
      <c r="CX273" s="165"/>
      <c r="CY273" s="130"/>
      <c r="CZ273" s="130"/>
      <c r="DA273" s="130"/>
      <c r="DB273" s="130"/>
      <c r="DC273" s="130"/>
      <c r="DD273" s="130"/>
      <c r="DE273" s="130"/>
      <c r="DF273" s="130"/>
      <c r="DG273" s="130"/>
      <c r="DH273" s="130"/>
    </row>
    <row r="274" spans="3:112" ht="15">
      <c r="C274" s="157"/>
      <c r="D274" s="157"/>
      <c r="M274" s="112"/>
      <c r="N274" s="131"/>
      <c r="AG274" s="146"/>
      <c r="AH274" s="158"/>
      <c r="AI274" s="146"/>
      <c r="AJ274" s="159"/>
      <c r="AK274" s="160"/>
      <c r="AL274" s="159"/>
      <c r="AM274" s="160"/>
      <c r="AN274" s="159"/>
      <c r="AO274" s="160"/>
      <c r="AQ274" s="160"/>
      <c r="AS274" s="160"/>
      <c r="AU274" s="160"/>
      <c r="AW274" s="160"/>
      <c r="AY274" s="160"/>
      <c r="BA274" s="160"/>
      <c r="BB274" s="164"/>
      <c r="BC274" s="160"/>
      <c r="BD274" s="165"/>
      <c r="BE274" s="160"/>
      <c r="BF274" s="159"/>
      <c r="BG274" s="160"/>
      <c r="BH274" s="165"/>
      <c r="BI274" s="160"/>
      <c r="BJ274" s="159"/>
      <c r="BK274" s="159"/>
      <c r="BL274" s="159"/>
      <c r="BM274" s="159"/>
      <c r="BN274" s="159"/>
      <c r="BO274" s="159"/>
      <c r="BP274" s="159"/>
      <c r="BR274" s="159"/>
      <c r="BS274" s="159"/>
      <c r="BT274" s="159"/>
      <c r="BU274" s="193"/>
      <c r="BV274" s="159"/>
      <c r="BW274" s="159"/>
      <c r="BX274" s="159"/>
      <c r="BY274" s="159"/>
      <c r="CB274" s="165"/>
      <c r="CD274" s="165"/>
      <c r="CF274" s="165"/>
      <c r="CH274" s="165"/>
      <c r="CJ274" s="165"/>
      <c r="CL274" s="165"/>
      <c r="CN274" s="165"/>
      <c r="CO274" s="130"/>
      <c r="CP274" s="165"/>
      <c r="CQ274" s="130"/>
      <c r="CR274" s="165"/>
      <c r="CS274" s="130"/>
      <c r="CT274" s="130"/>
      <c r="CU274" s="130"/>
      <c r="CV274" s="130"/>
      <c r="CW274" s="130"/>
      <c r="CX274" s="165"/>
      <c r="CY274" s="130"/>
      <c r="CZ274" s="130"/>
      <c r="DA274" s="130"/>
      <c r="DB274" s="130"/>
      <c r="DC274" s="130"/>
      <c r="DD274" s="130"/>
      <c r="DE274" s="130"/>
      <c r="DF274" s="130"/>
      <c r="DG274" s="130"/>
      <c r="DH274" s="130"/>
    </row>
    <row r="275" spans="3:112" ht="15">
      <c r="C275" s="157"/>
      <c r="D275" s="157"/>
      <c r="M275" s="112"/>
      <c r="N275" s="131"/>
      <c r="AG275" s="146"/>
      <c r="AH275" s="158"/>
      <c r="AI275" s="146"/>
      <c r="AJ275" s="159"/>
      <c r="AK275" s="160"/>
      <c r="AL275" s="159"/>
      <c r="AM275" s="160"/>
      <c r="AN275" s="159"/>
      <c r="AO275" s="160"/>
      <c r="AQ275" s="160"/>
      <c r="AS275" s="160"/>
      <c r="AU275" s="160"/>
      <c r="AW275" s="160"/>
      <c r="AY275" s="160"/>
      <c r="BA275" s="160"/>
      <c r="BB275" s="164"/>
      <c r="BC275" s="160"/>
      <c r="BD275" s="165"/>
      <c r="BE275" s="160"/>
      <c r="BF275" s="159"/>
      <c r="BG275" s="160"/>
      <c r="BH275" s="165"/>
      <c r="BI275" s="160"/>
      <c r="BJ275" s="159"/>
      <c r="BK275" s="159"/>
      <c r="BL275" s="159"/>
      <c r="BM275" s="159"/>
      <c r="BN275" s="159"/>
      <c r="BO275" s="159"/>
      <c r="BP275" s="159"/>
      <c r="BR275" s="159"/>
      <c r="BS275" s="159"/>
      <c r="BT275" s="159"/>
      <c r="BU275" s="193"/>
      <c r="BV275" s="159"/>
      <c r="BW275" s="159"/>
      <c r="BX275" s="159"/>
      <c r="BY275" s="159"/>
      <c r="CB275" s="165"/>
      <c r="CD275" s="165"/>
      <c r="CF275" s="165"/>
      <c r="CH275" s="165"/>
      <c r="CJ275" s="165"/>
      <c r="CL275" s="165"/>
      <c r="CN275" s="165"/>
      <c r="CO275" s="130"/>
      <c r="CP275" s="165"/>
      <c r="CQ275" s="130"/>
      <c r="CR275" s="165"/>
      <c r="CS275" s="130"/>
      <c r="CT275" s="130"/>
      <c r="CU275" s="130"/>
      <c r="CV275" s="130"/>
      <c r="CW275" s="130"/>
      <c r="CX275" s="165"/>
      <c r="CY275" s="130"/>
      <c r="CZ275" s="130"/>
      <c r="DA275" s="130"/>
      <c r="DB275" s="130"/>
      <c r="DC275" s="130"/>
      <c r="DD275" s="130"/>
      <c r="DE275" s="130"/>
      <c r="DF275" s="130"/>
      <c r="DG275" s="130"/>
      <c r="DH275" s="130"/>
    </row>
    <row r="276" spans="3:112" ht="15">
      <c r="C276" s="157"/>
      <c r="D276" s="157"/>
      <c r="M276" s="112"/>
      <c r="N276" s="131"/>
      <c r="AG276" s="146"/>
      <c r="AH276" s="158"/>
      <c r="AI276" s="146"/>
      <c r="AJ276" s="159"/>
      <c r="AK276" s="160"/>
      <c r="AL276" s="159"/>
      <c r="AM276" s="160"/>
      <c r="AN276" s="159"/>
      <c r="AO276" s="160"/>
      <c r="AQ276" s="160"/>
      <c r="AS276" s="160"/>
      <c r="AU276" s="160"/>
      <c r="AW276" s="160"/>
      <c r="AY276" s="160"/>
      <c r="BA276" s="160"/>
      <c r="BB276" s="164"/>
      <c r="BC276" s="160"/>
      <c r="BD276" s="165"/>
      <c r="BE276" s="160"/>
      <c r="BF276" s="159"/>
      <c r="BG276" s="160"/>
      <c r="BH276" s="165"/>
      <c r="BI276" s="160"/>
      <c r="BJ276" s="159"/>
      <c r="BK276" s="159"/>
      <c r="BL276" s="159"/>
      <c r="BM276" s="159"/>
      <c r="BN276" s="159"/>
      <c r="BO276" s="159"/>
      <c r="BP276" s="159"/>
      <c r="BR276" s="159"/>
      <c r="BS276" s="159"/>
      <c r="BT276" s="159"/>
      <c r="BU276" s="193"/>
      <c r="BV276" s="159"/>
      <c r="BW276" s="159"/>
      <c r="BX276" s="159"/>
      <c r="BY276" s="159"/>
      <c r="CB276" s="165"/>
      <c r="CD276" s="165"/>
      <c r="CF276" s="165"/>
      <c r="CH276" s="165"/>
      <c r="CJ276" s="165"/>
      <c r="CL276" s="165"/>
      <c r="CN276" s="165"/>
      <c r="CO276" s="130"/>
      <c r="CP276" s="165"/>
      <c r="CQ276" s="130"/>
      <c r="CR276" s="165"/>
      <c r="CS276" s="130"/>
      <c r="CT276" s="130"/>
      <c r="CU276" s="130"/>
      <c r="CV276" s="130"/>
      <c r="CW276" s="130"/>
      <c r="CX276" s="165"/>
      <c r="CY276" s="130"/>
      <c r="CZ276" s="130"/>
      <c r="DA276" s="130"/>
      <c r="DB276" s="130"/>
      <c r="DC276" s="130"/>
      <c r="DD276" s="130"/>
      <c r="DE276" s="130"/>
      <c r="DF276" s="130"/>
      <c r="DG276" s="130"/>
      <c r="DH276" s="130"/>
    </row>
    <row r="277" spans="3:112" ht="15">
      <c r="C277" s="157"/>
      <c r="D277" s="157"/>
      <c r="M277" s="112"/>
      <c r="N277" s="131"/>
      <c r="AG277" s="146"/>
      <c r="AH277" s="158"/>
      <c r="AI277" s="146"/>
      <c r="AJ277" s="159"/>
      <c r="AK277" s="160"/>
      <c r="AL277" s="159"/>
      <c r="AM277" s="160"/>
      <c r="AN277" s="159"/>
      <c r="AO277" s="160"/>
      <c r="AQ277" s="160"/>
      <c r="AS277" s="160"/>
      <c r="AU277" s="160"/>
      <c r="AW277" s="160"/>
      <c r="AY277" s="160"/>
      <c r="BA277" s="160"/>
      <c r="BB277" s="164"/>
      <c r="BC277" s="160"/>
      <c r="BD277" s="165"/>
      <c r="BE277" s="160"/>
      <c r="BF277" s="159"/>
      <c r="BG277" s="160"/>
      <c r="BH277" s="165"/>
      <c r="BI277" s="160"/>
      <c r="BJ277" s="159"/>
      <c r="BK277" s="159"/>
      <c r="BL277" s="159"/>
      <c r="BM277" s="159"/>
      <c r="BN277" s="159"/>
      <c r="BO277" s="159"/>
      <c r="BP277" s="159"/>
      <c r="BR277" s="159"/>
      <c r="BS277" s="159"/>
      <c r="BT277" s="159"/>
      <c r="BU277" s="193"/>
      <c r="BV277" s="159"/>
      <c r="BW277" s="159"/>
      <c r="BX277" s="159"/>
      <c r="BY277" s="159"/>
      <c r="CB277" s="165"/>
      <c r="CD277" s="165"/>
      <c r="CF277" s="165"/>
      <c r="CH277" s="165"/>
      <c r="CJ277" s="165"/>
      <c r="CL277" s="165"/>
      <c r="CN277" s="165"/>
      <c r="CO277" s="130"/>
      <c r="CP277" s="165"/>
      <c r="CQ277" s="130"/>
      <c r="CR277" s="165"/>
      <c r="CS277" s="130"/>
      <c r="CT277" s="130"/>
      <c r="CU277" s="130"/>
      <c r="CV277" s="130"/>
      <c r="CW277" s="130"/>
      <c r="CX277" s="165"/>
      <c r="CY277" s="130"/>
      <c r="CZ277" s="130"/>
      <c r="DA277" s="130"/>
      <c r="DB277" s="130"/>
      <c r="DC277" s="130"/>
      <c r="DD277" s="130"/>
      <c r="DE277" s="130"/>
      <c r="DF277" s="130"/>
      <c r="DG277" s="130"/>
      <c r="DH277" s="130"/>
    </row>
    <row r="278" spans="3:112" ht="15">
      <c r="C278" s="157"/>
      <c r="D278" s="157"/>
      <c r="M278" s="112"/>
      <c r="N278" s="131"/>
      <c r="AG278" s="146"/>
      <c r="AH278" s="158"/>
      <c r="AI278" s="146"/>
      <c r="AJ278" s="159"/>
      <c r="AK278" s="160"/>
      <c r="AL278" s="159"/>
      <c r="AM278" s="160"/>
      <c r="AN278" s="159"/>
      <c r="AO278" s="160"/>
      <c r="AQ278" s="160"/>
      <c r="AS278" s="160"/>
      <c r="AU278" s="160"/>
      <c r="AW278" s="160"/>
      <c r="AY278" s="160"/>
      <c r="BA278" s="160"/>
      <c r="BB278" s="164"/>
      <c r="BC278" s="160"/>
      <c r="BD278" s="165"/>
      <c r="BE278" s="160"/>
      <c r="BF278" s="159"/>
      <c r="BG278" s="160"/>
      <c r="BH278" s="165"/>
      <c r="BI278" s="160"/>
      <c r="BJ278" s="159"/>
      <c r="BK278" s="159"/>
      <c r="BL278" s="159"/>
      <c r="BM278" s="159"/>
      <c r="BN278" s="159"/>
      <c r="BO278" s="159"/>
      <c r="BP278" s="159"/>
      <c r="BR278" s="159"/>
      <c r="BS278" s="159"/>
      <c r="BT278" s="159"/>
      <c r="BU278" s="193"/>
      <c r="BV278" s="159"/>
      <c r="BW278" s="159"/>
      <c r="BX278" s="159"/>
      <c r="BY278" s="159"/>
      <c r="CB278" s="165"/>
      <c r="CD278" s="165"/>
      <c r="CF278" s="165"/>
      <c r="CH278" s="165"/>
      <c r="CJ278" s="165"/>
      <c r="CL278" s="165"/>
      <c r="CN278" s="165"/>
      <c r="CO278" s="130"/>
      <c r="CP278" s="165"/>
      <c r="CQ278" s="130"/>
      <c r="CR278" s="165"/>
      <c r="CS278" s="130"/>
      <c r="CT278" s="130"/>
      <c r="CU278" s="130"/>
      <c r="CV278" s="130"/>
      <c r="CW278" s="130"/>
      <c r="CX278" s="165"/>
      <c r="CY278" s="130"/>
      <c r="CZ278" s="130"/>
      <c r="DA278" s="130"/>
      <c r="DB278" s="130"/>
      <c r="DC278" s="130"/>
      <c r="DD278" s="130"/>
      <c r="DE278" s="130"/>
      <c r="DF278" s="130"/>
      <c r="DG278" s="130"/>
      <c r="DH278" s="130"/>
    </row>
    <row r="279" spans="3:112" ht="15">
      <c r="C279" s="157"/>
      <c r="D279" s="157"/>
      <c r="M279" s="112"/>
      <c r="N279" s="131"/>
      <c r="AG279" s="146"/>
      <c r="AH279" s="158"/>
      <c r="AI279" s="146"/>
      <c r="AJ279" s="159"/>
      <c r="AK279" s="160"/>
      <c r="AL279" s="159"/>
      <c r="AM279" s="160"/>
      <c r="AN279" s="159"/>
      <c r="AO279" s="160"/>
      <c r="AQ279" s="160"/>
      <c r="AS279" s="160"/>
      <c r="AU279" s="160"/>
      <c r="AW279" s="160"/>
      <c r="AY279" s="160"/>
      <c r="BA279" s="160"/>
      <c r="BB279" s="164"/>
      <c r="BC279" s="160"/>
      <c r="BD279" s="165"/>
      <c r="BE279" s="160"/>
      <c r="BF279" s="159"/>
      <c r="BG279" s="160"/>
      <c r="BH279" s="165"/>
      <c r="BI279" s="160"/>
      <c r="BJ279" s="159"/>
      <c r="BK279" s="159"/>
      <c r="BL279" s="159"/>
      <c r="BM279" s="159"/>
      <c r="BN279" s="159"/>
      <c r="BO279" s="159"/>
      <c r="BP279" s="159"/>
      <c r="BR279" s="159"/>
      <c r="BS279" s="159"/>
      <c r="BT279" s="159"/>
      <c r="BU279" s="193"/>
      <c r="BV279" s="159"/>
      <c r="BW279" s="159"/>
      <c r="BX279" s="159"/>
      <c r="BY279" s="159"/>
      <c r="CB279" s="165"/>
      <c r="CD279" s="165"/>
      <c r="CF279" s="165"/>
      <c r="CH279" s="165"/>
      <c r="CJ279" s="165"/>
      <c r="CL279" s="165"/>
      <c r="CN279" s="165"/>
      <c r="CO279" s="130"/>
      <c r="CP279" s="165"/>
      <c r="CQ279" s="130"/>
      <c r="CR279" s="165"/>
      <c r="CS279" s="130"/>
      <c r="CT279" s="130"/>
      <c r="CU279" s="130"/>
      <c r="CV279" s="130"/>
      <c r="CW279" s="130"/>
      <c r="CX279" s="165"/>
      <c r="CY279" s="130"/>
      <c r="CZ279" s="130"/>
      <c r="DA279" s="130"/>
      <c r="DB279" s="130"/>
      <c r="DC279" s="130"/>
      <c r="DD279" s="130"/>
      <c r="DE279" s="130"/>
      <c r="DF279" s="130"/>
      <c r="DG279" s="130"/>
      <c r="DH279" s="130"/>
    </row>
    <row r="280" spans="3:112" ht="15">
      <c r="C280" s="157"/>
      <c r="D280" s="157"/>
      <c r="M280" s="112"/>
      <c r="N280" s="131"/>
      <c r="AG280" s="146"/>
      <c r="AH280" s="158"/>
      <c r="AI280" s="146"/>
      <c r="AJ280" s="159"/>
      <c r="AK280" s="160"/>
      <c r="AL280" s="159"/>
      <c r="AM280" s="160"/>
      <c r="AN280" s="159"/>
      <c r="AO280" s="160"/>
      <c r="AQ280" s="160"/>
      <c r="AS280" s="160"/>
      <c r="AU280" s="160"/>
      <c r="AW280" s="160"/>
      <c r="AY280" s="160"/>
      <c r="BA280" s="160"/>
      <c r="BB280" s="164"/>
      <c r="BC280" s="160"/>
      <c r="BD280" s="165"/>
      <c r="BE280" s="160"/>
      <c r="BF280" s="159"/>
      <c r="BG280" s="160"/>
      <c r="BH280" s="165"/>
      <c r="BI280" s="160"/>
      <c r="BJ280" s="159"/>
      <c r="BK280" s="159"/>
      <c r="BL280" s="159"/>
      <c r="BM280" s="159"/>
      <c r="BN280" s="159"/>
      <c r="BO280" s="159"/>
      <c r="BP280" s="159"/>
      <c r="BR280" s="159"/>
      <c r="BS280" s="159"/>
      <c r="BT280" s="159"/>
      <c r="BU280" s="193"/>
      <c r="BV280" s="159"/>
      <c r="BW280" s="159"/>
      <c r="BX280" s="159"/>
      <c r="BY280" s="159"/>
      <c r="CB280" s="165"/>
      <c r="CD280" s="165"/>
      <c r="CF280" s="165"/>
      <c r="CH280" s="165"/>
      <c r="CJ280" s="165"/>
      <c r="CL280" s="165"/>
      <c r="CN280" s="165"/>
      <c r="CO280" s="130"/>
      <c r="CP280" s="165"/>
      <c r="CQ280" s="130"/>
      <c r="CR280" s="165"/>
      <c r="CS280" s="130"/>
      <c r="CT280" s="130"/>
      <c r="CU280" s="130"/>
      <c r="CV280" s="130"/>
      <c r="CW280" s="130"/>
      <c r="CX280" s="165"/>
      <c r="CY280" s="130"/>
      <c r="CZ280" s="130"/>
      <c r="DA280" s="130"/>
      <c r="DB280" s="130"/>
      <c r="DC280" s="130"/>
      <c r="DD280" s="130"/>
      <c r="DE280" s="130"/>
      <c r="DF280" s="130"/>
      <c r="DG280" s="130"/>
      <c r="DH280" s="130"/>
    </row>
    <row r="281" spans="3:112" ht="15">
      <c r="C281" s="157"/>
      <c r="D281" s="157"/>
      <c r="M281" s="112"/>
      <c r="N281" s="131"/>
      <c r="AG281" s="146"/>
      <c r="AH281" s="158"/>
      <c r="AI281" s="146"/>
      <c r="AJ281" s="159"/>
      <c r="AK281" s="160"/>
      <c r="AL281" s="159"/>
      <c r="AM281" s="160"/>
      <c r="AN281" s="159"/>
      <c r="AO281" s="160"/>
      <c r="AQ281" s="160"/>
      <c r="AS281" s="160"/>
      <c r="AU281" s="160"/>
      <c r="AW281" s="160"/>
      <c r="AY281" s="160"/>
      <c r="BA281" s="160"/>
      <c r="BB281" s="164"/>
      <c r="BC281" s="160"/>
      <c r="BD281" s="165"/>
      <c r="BE281" s="160"/>
      <c r="BF281" s="159"/>
      <c r="BG281" s="160"/>
      <c r="BH281" s="165"/>
      <c r="BI281" s="160"/>
      <c r="BJ281" s="159"/>
      <c r="BK281" s="159"/>
      <c r="BL281" s="159"/>
      <c r="BM281" s="159"/>
      <c r="BN281" s="159"/>
      <c r="BO281" s="159"/>
      <c r="BP281" s="159"/>
      <c r="BR281" s="159"/>
      <c r="BS281" s="159"/>
      <c r="BT281" s="159"/>
      <c r="BU281" s="193"/>
      <c r="BV281" s="159"/>
      <c r="BW281" s="159"/>
      <c r="BX281" s="159"/>
      <c r="BY281" s="159"/>
      <c r="CB281" s="165"/>
      <c r="CD281" s="165"/>
      <c r="CF281" s="165"/>
      <c r="CH281" s="165"/>
      <c r="CJ281" s="165"/>
      <c r="CL281" s="165"/>
      <c r="CN281" s="165"/>
      <c r="CO281" s="130"/>
      <c r="CP281" s="165"/>
      <c r="CQ281" s="130"/>
      <c r="CR281" s="165"/>
      <c r="CS281" s="130"/>
      <c r="CT281" s="130"/>
      <c r="CU281" s="130"/>
      <c r="CV281" s="130"/>
      <c r="CW281" s="130"/>
      <c r="CX281" s="165"/>
      <c r="CY281" s="130"/>
      <c r="CZ281" s="130"/>
      <c r="DA281" s="130"/>
      <c r="DB281" s="130"/>
      <c r="DC281" s="130"/>
      <c r="DD281" s="130"/>
      <c r="DE281" s="130"/>
      <c r="DF281" s="130"/>
      <c r="DG281" s="130"/>
      <c r="DH281" s="130"/>
    </row>
    <row r="282" spans="3:112" ht="15">
      <c r="C282" s="157"/>
      <c r="D282" s="157"/>
      <c r="M282" s="112"/>
      <c r="N282" s="131"/>
      <c r="AG282" s="146"/>
      <c r="AH282" s="158"/>
      <c r="AI282" s="146"/>
      <c r="AJ282" s="159"/>
      <c r="AK282" s="160"/>
      <c r="AL282" s="159"/>
      <c r="AM282" s="160"/>
      <c r="AN282" s="159"/>
      <c r="AO282" s="160"/>
      <c r="AQ282" s="160"/>
      <c r="AS282" s="160"/>
      <c r="AU282" s="160"/>
      <c r="AW282" s="160"/>
      <c r="AY282" s="160"/>
      <c r="BA282" s="160"/>
      <c r="BB282" s="164"/>
      <c r="BC282" s="160"/>
      <c r="BD282" s="165"/>
      <c r="BE282" s="160"/>
      <c r="BF282" s="159"/>
      <c r="BG282" s="160"/>
      <c r="BH282" s="165"/>
      <c r="BI282" s="160"/>
      <c r="BJ282" s="159"/>
      <c r="BK282" s="159"/>
      <c r="BL282" s="159"/>
      <c r="BM282" s="159"/>
      <c r="BN282" s="159"/>
      <c r="BO282" s="159"/>
      <c r="BP282" s="159"/>
      <c r="BR282" s="159"/>
      <c r="BS282" s="159"/>
      <c r="BT282" s="159"/>
      <c r="BU282" s="193"/>
      <c r="BV282" s="159"/>
      <c r="BW282" s="159"/>
      <c r="BX282" s="159"/>
      <c r="BY282" s="159"/>
      <c r="CB282" s="165"/>
      <c r="CD282" s="165"/>
      <c r="CF282" s="165"/>
      <c r="CH282" s="165"/>
      <c r="CJ282" s="165"/>
      <c r="CL282" s="165"/>
      <c r="CN282" s="165"/>
      <c r="CO282" s="130"/>
      <c r="CP282" s="165"/>
      <c r="CQ282" s="130"/>
      <c r="CR282" s="165"/>
      <c r="CS282" s="130"/>
      <c r="CT282" s="130"/>
      <c r="CU282" s="130"/>
      <c r="CV282" s="130"/>
      <c r="CW282" s="130"/>
      <c r="CX282" s="165"/>
      <c r="CY282" s="130"/>
      <c r="CZ282" s="130"/>
      <c r="DA282" s="130"/>
      <c r="DB282" s="130"/>
      <c r="DC282" s="130"/>
      <c r="DD282" s="130"/>
      <c r="DE282" s="130"/>
      <c r="DF282" s="130"/>
      <c r="DG282" s="130"/>
      <c r="DH282" s="130"/>
    </row>
    <row r="283" spans="3:112" ht="15">
      <c r="C283" s="157"/>
      <c r="D283" s="157"/>
      <c r="M283" s="112"/>
      <c r="N283" s="131"/>
      <c r="AG283" s="146"/>
      <c r="AH283" s="158"/>
      <c r="AI283" s="146"/>
      <c r="AJ283" s="159"/>
      <c r="AK283" s="160"/>
      <c r="AL283" s="159"/>
      <c r="AM283" s="160"/>
      <c r="AN283" s="159"/>
      <c r="AO283" s="160"/>
      <c r="AQ283" s="160"/>
      <c r="AS283" s="160"/>
      <c r="AU283" s="160"/>
      <c r="AW283" s="160"/>
      <c r="AY283" s="160"/>
      <c r="BA283" s="160"/>
      <c r="BB283" s="164"/>
      <c r="BC283" s="160"/>
      <c r="BD283" s="165"/>
      <c r="BE283" s="160"/>
      <c r="BF283" s="159"/>
      <c r="BG283" s="160"/>
      <c r="BH283" s="165"/>
      <c r="BI283" s="160"/>
      <c r="BJ283" s="159"/>
      <c r="BK283" s="159"/>
      <c r="BL283" s="159"/>
      <c r="BM283" s="159"/>
      <c r="BN283" s="159"/>
      <c r="BO283" s="159"/>
      <c r="BP283" s="159"/>
      <c r="BR283" s="159"/>
      <c r="BS283" s="159"/>
      <c r="BT283" s="159"/>
      <c r="BU283" s="193"/>
      <c r="BV283" s="159"/>
      <c r="BW283" s="159"/>
      <c r="BX283" s="159"/>
      <c r="BY283" s="159"/>
      <c r="CB283" s="165"/>
      <c r="CD283" s="165"/>
      <c r="CF283" s="165"/>
      <c r="CH283" s="165"/>
      <c r="CJ283" s="165"/>
      <c r="CL283" s="165"/>
      <c r="CN283" s="165"/>
      <c r="CO283" s="130"/>
      <c r="CP283" s="165"/>
      <c r="CQ283" s="130"/>
      <c r="CR283" s="165"/>
      <c r="CS283" s="130"/>
      <c r="CT283" s="130"/>
      <c r="CU283" s="130"/>
      <c r="CV283" s="130"/>
      <c r="CW283" s="130"/>
      <c r="CX283" s="165"/>
      <c r="CY283" s="130"/>
      <c r="CZ283" s="130"/>
      <c r="DA283" s="130"/>
      <c r="DB283" s="130"/>
      <c r="DC283" s="130"/>
      <c r="DD283" s="130"/>
      <c r="DE283" s="130"/>
      <c r="DF283" s="130"/>
      <c r="DG283" s="130"/>
      <c r="DH283" s="130"/>
    </row>
    <row r="284" spans="3:112" ht="15">
      <c r="C284" s="157"/>
      <c r="D284" s="157"/>
      <c r="M284" s="112"/>
      <c r="N284" s="131"/>
      <c r="AG284" s="146"/>
      <c r="AH284" s="158"/>
      <c r="AI284" s="146"/>
      <c r="AJ284" s="159"/>
      <c r="AK284" s="160"/>
      <c r="AL284" s="159"/>
      <c r="AM284" s="160"/>
      <c r="AN284" s="159"/>
      <c r="AO284" s="160"/>
      <c r="AQ284" s="160"/>
      <c r="AS284" s="160"/>
      <c r="AU284" s="160"/>
      <c r="AW284" s="160"/>
      <c r="AY284" s="160"/>
      <c r="BA284" s="160"/>
      <c r="BB284" s="164"/>
      <c r="BC284" s="160"/>
      <c r="BD284" s="165"/>
      <c r="BE284" s="160"/>
      <c r="BF284" s="159"/>
      <c r="BG284" s="160"/>
      <c r="BH284" s="165"/>
      <c r="BI284" s="160"/>
      <c r="BJ284" s="159"/>
      <c r="BK284" s="159"/>
      <c r="BL284" s="159"/>
      <c r="BM284" s="159"/>
      <c r="BN284" s="159"/>
      <c r="BO284" s="159"/>
      <c r="BP284" s="159"/>
      <c r="BR284" s="159"/>
      <c r="BS284" s="159"/>
      <c r="BT284" s="159"/>
      <c r="BU284" s="193"/>
      <c r="BV284" s="159"/>
      <c r="BW284" s="159"/>
      <c r="BX284" s="159"/>
      <c r="BY284" s="159"/>
      <c r="CB284" s="165"/>
      <c r="CD284" s="165"/>
      <c r="CF284" s="165"/>
      <c r="CH284" s="165"/>
      <c r="CJ284" s="165"/>
      <c r="CL284" s="165"/>
      <c r="CN284" s="165"/>
      <c r="CO284" s="130"/>
      <c r="CP284" s="165"/>
      <c r="CQ284" s="130"/>
      <c r="CR284" s="165"/>
      <c r="CS284" s="130"/>
      <c r="CT284" s="130"/>
      <c r="CU284" s="130"/>
      <c r="CV284" s="130"/>
      <c r="CW284" s="130"/>
      <c r="CX284" s="165"/>
      <c r="CY284" s="130"/>
      <c r="CZ284" s="130"/>
      <c r="DA284" s="130"/>
      <c r="DB284" s="130"/>
      <c r="DC284" s="130"/>
      <c r="DD284" s="130"/>
      <c r="DE284" s="130"/>
      <c r="DF284" s="130"/>
      <c r="DG284" s="130"/>
      <c r="DH284" s="130"/>
    </row>
    <row r="285" spans="3:112" ht="15">
      <c r="C285" s="157"/>
      <c r="D285" s="157"/>
      <c r="M285" s="112"/>
      <c r="N285" s="131"/>
      <c r="AG285" s="146"/>
      <c r="AH285" s="158"/>
      <c r="AI285" s="146"/>
      <c r="AJ285" s="159"/>
      <c r="AK285" s="160"/>
      <c r="AL285" s="159"/>
      <c r="AM285" s="160"/>
      <c r="AN285" s="159"/>
      <c r="AO285" s="160"/>
      <c r="AQ285" s="160"/>
      <c r="AS285" s="160"/>
      <c r="AU285" s="160"/>
      <c r="AW285" s="160"/>
      <c r="AY285" s="160"/>
      <c r="BA285" s="160"/>
      <c r="BB285" s="164"/>
      <c r="BC285" s="160"/>
      <c r="BD285" s="165"/>
      <c r="BE285" s="160"/>
      <c r="BF285" s="159"/>
      <c r="BG285" s="160"/>
      <c r="BH285" s="165"/>
      <c r="BI285" s="160"/>
      <c r="BJ285" s="159"/>
      <c r="BK285" s="159"/>
      <c r="BL285" s="159"/>
      <c r="BM285" s="159"/>
      <c r="BN285" s="159"/>
      <c r="BO285" s="159"/>
      <c r="BP285" s="159"/>
      <c r="BR285" s="159"/>
      <c r="BS285" s="159"/>
      <c r="BT285" s="159"/>
      <c r="BU285" s="193"/>
      <c r="BV285" s="159"/>
      <c r="BW285" s="159"/>
      <c r="BX285" s="159"/>
      <c r="BY285" s="159"/>
      <c r="CB285" s="165"/>
      <c r="CD285" s="165"/>
      <c r="CF285" s="165"/>
      <c r="CH285" s="165"/>
      <c r="CJ285" s="165"/>
      <c r="CL285" s="165"/>
      <c r="CN285" s="165"/>
      <c r="CO285" s="130"/>
      <c r="CP285" s="165"/>
      <c r="CQ285" s="130"/>
      <c r="CR285" s="165"/>
      <c r="CS285" s="130"/>
      <c r="CT285" s="130"/>
      <c r="CU285" s="130"/>
      <c r="CV285" s="130"/>
      <c r="CW285" s="130"/>
      <c r="CX285" s="165"/>
      <c r="CY285" s="130"/>
      <c r="CZ285" s="130"/>
      <c r="DA285" s="130"/>
      <c r="DB285" s="130"/>
      <c r="DC285" s="130"/>
      <c r="DD285" s="130"/>
      <c r="DE285" s="130"/>
      <c r="DF285" s="130"/>
      <c r="DG285" s="130"/>
      <c r="DH285" s="130"/>
    </row>
    <row r="286" spans="3:112" ht="15">
      <c r="C286" s="157"/>
      <c r="D286" s="157"/>
      <c r="M286" s="112"/>
      <c r="N286" s="131"/>
      <c r="AG286" s="146"/>
      <c r="AH286" s="158"/>
      <c r="AI286" s="146"/>
      <c r="AJ286" s="159"/>
      <c r="AK286" s="160"/>
      <c r="AL286" s="159"/>
      <c r="AM286" s="160"/>
      <c r="AN286" s="159"/>
      <c r="AO286" s="160"/>
      <c r="AQ286" s="160"/>
      <c r="AS286" s="160"/>
      <c r="AU286" s="160"/>
      <c r="AW286" s="160"/>
      <c r="AY286" s="160"/>
      <c r="BA286" s="160"/>
      <c r="BB286" s="164"/>
      <c r="BC286" s="160"/>
      <c r="BD286" s="165"/>
      <c r="BE286" s="160"/>
      <c r="BF286" s="159"/>
      <c r="BG286" s="160"/>
      <c r="BH286" s="165"/>
      <c r="BI286" s="160"/>
      <c r="BJ286" s="159"/>
      <c r="BK286" s="159"/>
      <c r="BL286" s="159"/>
      <c r="BM286" s="159"/>
      <c r="BN286" s="159"/>
      <c r="BO286" s="159"/>
      <c r="BP286" s="159"/>
      <c r="BR286" s="159"/>
      <c r="BS286" s="159"/>
      <c r="BT286" s="159"/>
      <c r="BU286" s="193"/>
      <c r="BV286" s="159"/>
      <c r="BW286" s="159"/>
      <c r="BX286" s="159"/>
      <c r="BY286" s="159"/>
      <c r="CB286" s="165"/>
      <c r="CD286" s="165"/>
      <c r="CF286" s="165"/>
      <c r="CH286" s="165"/>
      <c r="CJ286" s="165"/>
      <c r="CL286" s="165"/>
      <c r="CN286" s="165"/>
      <c r="CO286" s="130"/>
      <c r="CP286" s="165"/>
      <c r="CQ286" s="130"/>
      <c r="CR286" s="165"/>
      <c r="CS286" s="130"/>
      <c r="CT286" s="130"/>
      <c r="CU286" s="130"/>
      <c r="CV286" s="130"/>
      <c r="CW286" s="130"/>
      <c r="CX286" s="165"/>
      <c r="CY286" s="130"/>
      <c r="CZ286" s="130"/>
      <c r="DA286" s="130"/>
      <c r="DB286" s="130"/>
      <c r="DC286" s="130"/>
      <c r="DD286" s="130"/>
      <c r="DE286" s="130"/>
      <c r="DF286" s="130"/>
      <c r="DG286" s="130"/>
      <c r="DH286" s="130"/>
    </row>
    <row r="287" spans="3:112" ht="15">
      <c r="C287" s="157"/>
      <c r="D287" s="157"/>
      <c r="M287" s="112"/>
      <c r="N287" s="131"/>
      <c r="AG287" s="146"/>
      <c r="AH287" s="158"/>
      <c r="AI287" s="146"/>
      <c r="AJ287" s="159"/>
      <c r="AK287" s="160"/>
      <c r="AL287" s="159"/>
      <c r="AM287" s="160"/>
      <c r="AN287" s="159"/>
      <c r="AO287" s="160"/>
      <c r="AQ287" s="160"/>
      <c r="AS287" s="160"/>
      <c r="AU287" s="160"/>
      <c r="AW287" s="160"/>
      <c r="AY287" s="160"/>
      <c r="BA287" s="160"/>
      <c r="BB287" s="164"/>
      <c r="BC287" s="160"/>
      <c r="BD287" s="165"/>
      <c r="BE287" s="160"/>
      <c r="BF287" s="159"/>
      <c r="BG287" s="160"/>
      <c r="BH287" s="165"/>
      <c r="BI287" s="160"/>
      <c r="BJ287" s="159"/>
      <c r="BK287" s="159"/>
      <c r="BL287" s="159"/>
      <c r="BM287" s="159"/>
      <c r="BN287" s="159"/>
      <c r="BO287" s="159"/>
      <c r="BP287" s="159"/>
      <c r="BR287" s="159"/>
      <c r="BS287" s="159"/>
      <c r="BT287" s="159"/>
      <c r="BU287" s="193"/>
      <c r="BV287" s="159"/>
      <c r="BW287" s="159"/>
      <c r="BX287" s="159"/>
      <c r="BY287" s="159"/>
      <c r="CB287" s="165"/>
      <c r="CD287" s="165"/>
      <c r="CF287" s="165"/>
      <c r="CH287" s="165"/>
      <c r="CJ287" s="165"/>
      <c r="CL287" s="165"/>
      <c r="CN287" s="165"/>
      <c r="CO287" s="130"/>
      <c r="CP287" s="165"/>
      <c r="CQ287" s="130"/>
      <c r="CR287" s="165"/>
      <c r="CS287" s="130"/>
      <c r="CT287" s="130"/>
      <c r="CU287" s="130"/>
      <c r="CV287" s="130"/>
      <c r="CW287" s="130"/>
      <c r="CX287" s="165"/>
      <c r="CY287" s="130"/>
      <c r="CZ287" s="130"/>
      <c r="DA287" s="130"/>
      <c r="DB287" s="130"/>
      <c r="DC287" s="130"/>
      <c r="DD287" s="130"/>
      <c r="DE287" s="130"/>
      <c r="DF287" s="130"/>
      <c r="DG287" s="130"/>
      <c r="DH287" s="130"/>
    </row>
    <row r="288" spans="3:112" ht="15">
      <c r="C288" s="157"/>
      <c r="D288" s="157"/>
      <c r="M288" s="112"/>
      <c r="N288" s="131"/>
      <c r="AG288" s="146"/>
      <c r="AH288" s="158"/>
      <c r="AI288" s="146"/>
      <c r="AJ288" s="159"/>
      <c r="AK288" s="160"/>
      <c r="AL288" s="159"/>
      <c r="AM288" s="160"/>
      <c r="AN288" s="159"/>
      <c r="AO288" s="160"/>
      <c r="AQ288" s="160"/>
      <c r="AS288" s="160"/>
      <c r="AU288" s="160"/>
      <c r="AW288" s="160"/>
      <c r="AY288" s="160"/>
      <c r="BA288" s="160"/>
      <c r="BB288" s="164"/>
      <c r="BC288" s="160"/>
      <c r="BD288" s="165"/>
      <c r="BE288" s="160"/>
      <c r="BF288" s="159"/>
      <c r="BG288" s="160"/>
      <c r="BH288" s="165"/>
      <c r="BI288" s="160"/>
      <c r="BJ288" s="159"/>
      <c r="BK288" s="159"/>
      <c r="BL288" s="159"/>
      <c r="BM288" s="159"/>
      <c r="BN288" s="159"/>
      <c r="BO288" s="159"/>
      <c r="BP288" s="159"/>
      <c r="BR288" s="159"/>
      <c r="BS288" s="159"/>
      <c r="BT288" s="159"/>
      <c r="BU288" s="193"/>
      <c r="BV288" s="159"/>
      <c r="BW288" s="159"/>
      <c r="BX288" s="159"/>
      <c r="BY288" s="159"/>
      <c r="CB288" s="165"/>
      <c r="CD288" s="165"/>
      <c r="CF288" s="165"/>
      <c r="CH288" s="165"/>
      <c r="CJ288" s="165"/>
      <c r="CL288" s="165"/>
      <c r="CN288" s="165"/>
      <c r="CO288" s="130"/>
      <c r="CP288" s="165"/>
      <c r="CQ288" s="130"/>
      <c r="CR288" s="165"/>
      <c r="CS288" s="130"/>
      <c r="CT288" s="130"/>
      <c r="CU288" s="130"/>
      <c r="CV288" s="130"/>
      <c r="CW288" s="130"/>
      <c r="CX288" s="165"/>
      <c r="CY288" s="130"/>
      <c r="CZ288" s="130"/>
      <c r="DA288" s="130"/>
      <c r="DB288" s="130"/>
      <c r="DC288" s="130"/>
      <c r="DD288" s="130"/>
      <c r="DE288" s="130"/>
      <c r="DF288" s="130"/>
      <c r="DG288" s="130"/>
      <c r="DH288" s="130"/>
    </row>
    <row r="289" spans="3:112" ht="15">
      <c r="C289" s="157"/>
      <c r="D289" s="157"/>
      <c r="M289" s="112"/>
      <c r="N289" s="131"/>
      <c r="AG289" s="146"/>
      <c r="AH289" s="158"/>
      <c r="AI289" s="146"/>
      <c r="AJ289" s="159"/>
      <c r="AK289" s="160"/>
      <c r="AL289" s="159"/>
      <c r="AM289" s="160"/>
      <c r="AN289" s="159"/>
      <c r="AO289" s="160"/>
      <c r="AQ289" s="160"/>
      <c r="AS289" s="160"/>
      <c r="AU289" s="160"/>
      <c r="AW289" s="160"/>
      <c r="AY289" s="160"/>
      <c r="BA289" s="160"/>
      <c r="BB289" s="164"/>
      <c r="BC289" s="160"/>
      <c r="BD289" s="165"/>
      <c r="BE289" s="160"/>
      <c r="BF289" s="159"/>
      <c r="BG289" s="160"/>
      <c r="BH289" s="165"/>
      <c r="BI289" s="160"/>
      <c r="BJ289" s="159"/>
      <c r="BK289" s="159"/>
      <c r="BL289" s="159"/>
      <c r="BM289" s="159"/>
      <c r="BN289" s="159"/>
      <c r="BO289" s="159"/>
      <c r="BP289" s="159"/>
      <c r="BR289" s="159"/>
      <c r="BS289" s="159"/>
      <c r="BT289" s="159"/>
      <c r="BU289" s="193"/>
      <c r="BV289" s="159"/>
      <c r="BW289" s="159"/>
      <c r="BX289" s="159"/>
      <c r="BY289" s="159"/>
      <c r="CB289" s="165"/>
      <c r="CD289" s="165"/>
      <c r="CF289" s="165"/>
      <c r="CH289" s="165"/>
      <c r="CJ289" s="165"/>
      <c r="CL289" s="165"/>
      <c r="CN289" s="165"/>
      <c r="CO289" s="130"/>
      <c r="CP289" s="165"/>
      <c r="CQ289" s="130"/>
      <c r="CR289" s="165"/>
      <c r="CS289" s="130"/>
      <c r="CT289" s="130"/>
      <c r="CU289" s="130"/>
      <c r="CV289" s="130"/>
      <c r="CW289" s="130"/>
      <c r="CX289" s="165"/>
      <c r="CY289" s="130"/>
      <c r="CZ289" s="130"/>
      <c r="DA289" s="130"/>
      <c r="DB289" s="130"/>
      <c r="DC289" s="130"/>
      <c r="DD289" s="130"/>
      <c r="DE289" s="130"/>
      <c r="DF289" s="130"/>
      <c r="DG289" s="130"/>
      <c r="DH289" s="130"/>
    </row>
    <row r="290" spans="3:112" ht="15">
      <c r="C290" s="157"/>
      <c r="D290" s="157"/>
      <c r="M290" s="112"/>
      <c r="N290" s="131"/>
      <c r="AG290" s="146"/>
      <c r="AH290" s="158"/>
      <c r="AI290" s="146"/>
      <c r="AJ290" s="159"/>
      <c r="AK290" s="160"/>
      <c r="AL290" s="159"/>
      <c r="AM290" s="160"/>
      <c r="AN290" s="159"/>
      <c r="AO290" s="160"/>
      <c r="AQ290" s="160"/>
      <c r="AS290" s="160"/>
      <c r="AU290" s="160"/>
      <c r="AW290" s="160"/>
      <c r="AY290" s="160"/>
      <c r="BA290" s="160"/>
      <c r="BB290" s="164"/>
      <c r="BC290" s="160"/>
      <c r="BD290" s="165"/>
      <c r="BE290" s="160"/>
      <c r="BF290" s="159"/>
      <c r="BG290" s="160"/>
      <c r="BH290" s="165"/>
      <c r="BI290" s="160"/>
      <c r="BJ290" s="159"/>
      <c r="BK290" s="159"/>
      <c r="BL290" s="159"/>
      <c r="BM290" s="159"/>
      <c r="BN290" s="159"/>
      <c r="BO290" s="159"/>
      <c r="BP290" s="159"/>
      <c r="BR290" s="159"/>
      <c r="BS290" s="159"/>
      <c r="BT290" s="159"/>
      <c r="BU290" s="193"/>
      <c r="BV290" s="159"/>
      <c r="BW290" s="159"/>
      <c r="BX290" s="159"/>
      <c r="BY290" s="159"/>
      <c r="CB290" s="165"/>
      <c r="CD290" s="165"/>
      <c r="CF290" s="165"/>
      <c r="CH290" s="165"/>
      <c r="CJ290" s="165"/>
      <c r="CL290" s="165"/>
      <c r="CN290" s="165"/>
      <c r="CO290" s="130"/>
      <c r="CP290" s="165"/>
      <c r="CQ290" s="130"/>
      <c r="CR290" s="165"/>
      <c r="CS290" s="130"/>
      <c r="CT290" s="130"/>
      <c r="CU290" s="130"/>
      <c r="CV290" s="130"/>
      <c r="CW290" s="130"/>
      <c r="CX290" s="165"/>
      <c r="CY290" s="130"/>
      <c r="CZ290" s="130"/>
      <c r="DA290" s="130"/>
      <c r="DB290" s="130"/>
      <c r="DC290" s="130"/>
      <c r="DD290" s="130"/>
      <c r="DE290" s="130"/>
      <c r="DF290" s="130"/>
      <c r="DG290" s="130"/>
      <c r="DH290" s="130"/>
    </row>
    <row r="291" spans="3:112" ht="15">
      <c r="C291" s="157"/>
      <c r="D291" s="157"/>
      <c r="M291" s="112"/>
      <c r="N291" s="131"/>
      <c r="AG291" s="146"/>
      <c r="AH291" s="158"/>
      <c r="AI291" s="146"/>
      <c r="AJ291" s="159"/>
      <c r="AK291" s="160"/>
      <c r="AL291" s="159"/>
      <c r="AM291" s="160"/>
      <c r="AN291" s="159"/>
      <c r="AO291" s="160"/>
      <c r="AQ291" s="160"/>
      <c r="AS291" s="160"/>
      <c r="AU291" s="160"/>
      <c r="AW291" s="160"/>
      <c r="AY291" s="160"/>
      <c r="BA291" s="160"/>
      <c r="BB291" s="164"/>
      <c r="BC291" s="160"/>
      <c r="BD291" s="165"/>
      <c r="BE291" s="160"/>
      <c r="BF291" s="159"/>
      <c r="BG291" s="160"/>
      <c r="BH291" s="165"/>
      <c r="BI291" s="160"/>
      <c r="BJ291" s="159"/>
      <c r="BK291" s="159"/>
      <c r="BL291" s="159"/>
      <c r="BM291" s="159"/>
      <c r="BN291" s="159"/>
      <c r="BO291" s="159"/>
      <c r="BP291" s="159"/>
      <c r="BR291" s="159"/>
      <c r="BS291" s="159"/>
      <c r="BT291" s="159"/>
      <c r="BU291" s="193"/>
      <c r="BV291" s="159"/>
      <c r="BW291" s="159"/>
      <c r="BX291" s="159"/>
      <c r="BY291" s="159"/>
      <c r="CB291" s="165"/>
      <c r="CD291" s="165"/>
      <c r="CF291" s="165"/>
      <c r="CH291" s="165"/>
      <c r="CJ291" s="165"/>
      <c r="CL291" s="165"/>
      <c r="CN291" s="165"/>
      <c r="CO291" s="130"/>
      <c r="CP291" s="165"/>
      <c r="CQ291" s="130"/>
      <c r="CR291" s="165"/>
      <c r="CS291" s="130"/>
      <c r="CT291" s="130"/>
      <c r="CU291" s="130"/>
      <c r="CV291" s="130"/>
      <c r="CW291" s="130"/>
      <c r="CX291" s="165"/>
      <c r="CY291" s="130"/>
      <c r="CZ291" s="130"/>
      <c r="DA291" s="130"/>
      <c r="DB291" s="130"/>
      <c r="DC291" s="130"/>
      <c r="DD291" s="130"/>
      <c r="DE291" s="130"/>
      <c r="DF291" s="130"/>
      <c r="DG291" s="130"/>
      <c r="DH291" s="130"/>
    </row>
    <row r="292" spans="3:112" ht="15">
      <c r="C292" s="157"/>
      <c r="D292" s="157"/>
      <c r="M292" s="112"/>
      <c r="N292" s="131"/>
      <c r="AG292" s="146"/>
      <c r="AH292" s="158"/>
      <c r="AI292" s="146"/>
      <c r="AJ292" s="159"/>
      <c r="AK292" s="160"/>
      <c r="AL292" s="159"/>
      <c r="AM292" s="160"/>
      <c r="AN292" s="159"/>
      <c r="AO292" s="160"/>
      <c r="AQ292" s="160"/>
      <c r="AS292" s="160"/>
      <c r="AU292" s="160"/>
      <c r="AW292" s="160"/>
      <c r="AY292" s="160"/>
      <c r="BA292" s="160"/>
      <c r="BB292" s="164"/>
      <c r="BC292" s="160"/>
      <c r="BD292" s="165"/>
      <c r="BE292" s="160"/>
      <c r="BF292" s="159"/>
      <c r="BG292" s="160"/>
      <c r="BH292" s="165"/>
      <c r="BI292" s="160"/>
      <c r="BJ292" s="159"/>
      <c r="BK292" s="159"/>
      <c r="BL292" s="159"/>
      <c r="BM292" s="159"/>
      <c r="BN292" s="159"/>
      <c r="BO292" s="159"/>
      <c r="BP292" s="159"/>
      <c r="BR292" s="159"/>
      <c r="BS292" s="159"/>
      <c r="BT292" s="159"/>
      <c r="BU292" s="193"/>
      <c r="BV292" s="159"/>
      <c r="BW292" s="159"/>
      <c r="BX292" s="159"/>
      <c r="BY292" s="159"/>
      <c r="CB292" s="165"/>
      <c r="CD292" s="165"/>
      <c r="CF292" s="165"/>
      <c r="CH292" s="165"/>
      <c r="CJ292" s="165"/>
      <c r="CL292" s="165"/>
      <c r="CN292" s="165"/>
      <c r="CO292" s="130"/>
      <c r="CP292" s="165"/>
      <c r="CQ292" s="130"/>
      <c r="CR292" s="165"/>
      <c r="CS292" s="130"/>
      <c r="CT292" s="130"/>
      <c r="CU292" s="130"/>
      <c r="CV292" s="130"/>
      <c r="CW292" s="130"/>
      <c r="CX292" s="165"/>
      <c r="CY292" s="130"/>
      <c r="CZ292" s="130"/>
      <c r="DA292" s="130"/>
      <c r="DB292" s="130"/>
      <c r="DC292" s="130"/>
      <c r="DD292" s="130"/>
      <c r="DE292" s="130"/>
      <c r="DF292" s="130"/>
      <c r="DG292" s="130"/>
      <c r="DH292" s="130"/>
    </row>
    <row r="293" spans="3:112" ht="15">
      <c r="C293" s="157"/>
      <c r="D293" s="157"/>
      <c r="M293" s="112"/>
      <c r="N293" s="131"/>
      <c r="AG293" s="146"/>
      <c r="AH293" s="158"/>
      <c r="AI293" s="146"/>
      <c r="AJ293" s="159"/>
      <c r="AK293" s="160"/>
      <c r="AL293" s="159"/>
      <c r="AM293" s="160"/>
      <c r="AN293" s="159"/>
      <c r="AO293" s="160"/>
      <c r="AQ293" s="160"/>
      <c r="AS293" s="160"/>
      <c r="AU293" s="160"/>
      <c r="AW293" s="160"/>
      <c r="AY293" s="160"/>
      <c r="BA293" s="160"/>
      <c r="BB293" s="164"/>
      <c r="BC293" s="160"/>
      <c r="BD293" s="165"/>
      <c r="BE293" s="160"/>
      <c r="BF293" s="159"/>
      <c r="BG293" s="160"/>
      <c r="BH293" s="165"/>
      <c r="BI293" s="160"/>
      <c r="BJ293" s="159"/>
      <c r="BK293" s="159"/>
      <c r="BL293" s="159"/>
      <c r="BM293" s="159"/>
      <c r="BN293" s="159"/>
      <c r="BO293" s="159"/>
      <c r="BP293" s="159"/>
      <c r="BR293" s="159"/>
      <c r="BS293" s="159"/>
      <c r="BT293" s="159"/>
      <c r="BU293" s="193"/>
      <c r="BV293" s="159"/>
      <c r="BW293" s="159"/>
      <c r="BX293" s="159"/>
      <c r="BY293" s="159"/>
      <c r="CB293" s="165"/>
      <c r="CD293" s="165"/>
      <c r="CF293" s="165"/>
      <c r="CH293" s="165"/>
      <c r="CJ293" s="165"/>
      <c r="CL293" s="165"/>
      <c r="CN293" s="165"/>
      <c r="CO293" s="130"/>
      <c r="CP293" s="165"/>
      <c r="CQ293" s="130"/>
      <c r="CR293" s="165"/>
      <c r="CS293" s="130"/>
      <c r="CT293" s="130"/>
      <c r="CU293" s="130"/>
      <c r="CV293" s="130"/>
      <c r="CW293" s="130"/>
      <c r="CX293" s="165"/>
      <c r="CY293" s="130"/>
      <c r="CZ293" s="130"/>
      <c r="DA293" s="130"/>
      <c r="DB293" s="130"/>
      <c r="DC293" s="130"/>
      <c r="DD293" s="130"/>
      <c r="DE293" s="130"/>
      <c r="DF293" s="130"/>
      <c r="DG293" s="130"/>
      <c r="DH293" s="130"/>
    </row>
    <row r="294" spans="3:112" ht="15">
      <c r="C294" s="157"/>
      <c r="D294" s="157"/>
      <c r="M294" s="112"/>
      <c r="N294" s="131"/>
      <c r="AG294" s="146"/>
      <c r="AH294" s="158"/>
      <c r="AI294" s="146"/>
      <c r="AJ294" s="159"/>
      <c r="AK294" s="160"/>
      <c r="AL294" s="159"/>
      <c r="AM294" s="160"/>
      <c r="AN294" s="159"/>
      <c r="AO294" s="160"/>
      <c r="AQ294" s="160"/>
      <c r="AS294" s="160"/>
      <c r="AU294" s="160"/>
      <c r="AW294" s="160"/>
      <c r="AY294" s="160"/>
      <c r="BA294" s="160"/>
      <c r="BB294" s="164"/>
      <c r="BC294" s="160"/>
      <c r="BD294" s="165"/>
      <c r="BE294" s="160"/>
      <c r="BF294" s="159"/>
      <c r="BG294" s="160"/>
      <c r="BH294" s="165"/>
      <c r="BI294" s="160"/>
      <c r="BJ294" s="159"/>
      <c r="BK294" s="159"/>
      <c r="BL294" s="159"/>
      <c r="BM294" s="159"/>
      <c r="BN294" s="159"/>
      <c r="BO294" s="159"/>
      <c r="BP294" s="159"/>
      <c r="BR294" s="159"/>
      <c r="BS294" s="159"/>
      <c r="BT294" s="159"/>
      <c r="BU294" s="193"/>
      <c r="BV294" s="159"/>
      <c r="BW294" s="159"/>
      <c r="BX294" s="159"/>
      <c r="BY294" s="159"/>
      <c r="CB294" s="165"/>
      <c r="CD294" s="165"/>
      <c r="CF294" s="165"/>
      <c r="CH294" s="165"/>
      <c r="CJ294" s="165"/>
      <c r="CL294" s="165"/>
      <c r="CN294" s="165"/>
      <c r="CO294" s="130"/>
      <c r="CP294" s="165"/>
      <c r="CQ294" s="130"/>
      <c r="CR294" s="165"/>
      <c r="CS294" s="130"/>
      <c r="CT294" s="130"/>
      <c r="CU294" s="130"/>
      <c r="CV294" s="130"/>
      <c r="CW294" s="130"/>
      <c r="CX294" s="165"/>
      <c r="CY294" s="130"/>
      <c r="CZ294" s="130"/>
      <c r="DA294" s="130"/>
      <c r="DB294" s="130"/>
      <c r="DC294" s="130"/>
      <c r="DD294" s="130"/>
      <c r="DE294" s="130"/>
      <c r="DF294" s="130"/>
      <c r="DG294" s="130"/>
      <c r="DH294" s="130"/>
    </row>
    <row r="295" spans="3:112" ht="15">
      <c r="C295" s="157"/>
      <c r="D295" s="157"/>
      <c r="M295" s="112"/>
      <c r="N295" s="131"/>
      <c r="AG295" s="146"/>
      <c r="AH295" s="158"/>
      <c r="AI295" s="146"/>
      <c r="AJ295" s="159"/>
      <c r="AK295" s="160"/>
      <c r="AL295" s="159"/>
      <c r="AM295" s="160"/>
      <c r="AN295" s="159"/>
      <c r="AO295" s="160"/>
      <c r="AQ295" s="160"/>
      <c r="AS295" s="160"/>
      <c r="AU295" s="160"/>
      <c r="AW295" s="160"/>
      <c r="AY295" s="160"/>
      <c r="BA295" s="160"/>
      <c r="BB295" s="164"/>
      <c r="BC295" s="160"/>
      <c r="BD295" s="165"/>
      <c r="BE295" s="160"/>
      <c r="BF295" s="159"/>
      <c r="BG295" s="160"/>
      <c r="BH295" s="165"/>
      <c r="BI295" s="160"/>
      <c r="BJ295" s="159"/>
      <c r="BK295" s="159"/>
      <c r="BL295" s="159"/>
      <c r="BM295" s="159"/>
      <c r="BN295" s="159"/>
      <c r="BO295" s="159"/>
      <c r="BP295" s="159"/>
      <c r="BR295" s="159"/>
      <c r="BS295" s="159"/>
      <c r="BT295" s="159"/>
      <c r="BU295" s="193"/>
      <c r="BV295" s="159"/>
      <c r="BW295" s="159"/>
      <c r="BX295" s="159"/>
      <c r="BY295" s="159"/>
      <c r="CB295" s="165"/>
      <c r="CD295" s="165"/>
      <c r="CF295" s="165"/>
      <c r="CH295" s="165"/>
      <c r="CJ295" s="165"/>
      <c r="CL295" s="165"/>
      <c r="CN295" s="165"/>
      <c r="CO295" s="130"/>
      <c r="CP295" s="165"/>
      <c r="CQ295" s="130"/>
      <c r="CR295" s="165"/>
      <c r="CS295" s="130"/>
      <c r="CT295" s="130"/>
      <c r="CU295" s="130"/>
      <c r="CV295" s="130"/>
      <c r="CW295" s="130"/>
      <c r="CX295" s="165"/>
      <c r="CY295" s="130"/>
      <c r="CZ295" s="130"/>
      <c r="DA295" s="130"/>
      <c r="DB295" s="130"/>
      <c r="DC295" s="130"/>
      <c r="DD295" s="130"/>
      <c r="DE295" s="130"/>
      <c r="DF295" s="130"/>
      <c r="DG295" s="130"/>
      <c r="DH295" s="130"/>
    </row>
    <row r="296" spans="3:112" ht="15">
      <c r="C296" s="157"/>
      <c r="D296" s="157"/>
      <c r="M296" s="112"/>
      <c r="N296" s="131"/>
      <c r="AG296" s="146"/>
      <c r="AH296" s="158"/>
      <c r="AI296" s="146"/>
      <c r="AJ296" s="159"/>
      <c r="AK296" s="160"/>
      <c r="AL296" s="159"/>
      <c r="AM296" s="160"/>
      <c r="AN296" s="159"/>
      <c r="AO296" s="160"/>
      <c r="AQ296" s="160"/>
      <c r="AS296" s="160"/>
      <c r="AU296" s="160"/>
      <c r="AW296" s="160"/>
      <c r="AY296" s="160"/>
      <c r="BA296" s="160"/>
      <c r="BB296" s="164"/>
      <c r="BC296" s="160"/>
      <c r="BD296" s="165"/>
      <c r="BE296" s="160"/>
      <c r="BF296" s="159"/>
      <c r="BG296" s="160"/>
      <c r="BH296" s="165"/>
      <c r="BI296" s="160"/>
      <c r="BJ296" s="159"/>
      <c r="BK296" s="159"/>
      <c r="BL296" s="159"/>
      <c r="BM296" s="159"/>
      <c r="BN296" s="159"/>
      <c r="BO296" s="159"/>
      <c r="BP296" s="159"/>
      <c r="BR296" s="159"/>
      <c r="BS296" s="159"/>
      <c r="BT296" s="159"/>
      <c r="BU296" s="193"/>
      <c r="BV296" s="159"/>
      <c r="BW296" s="159"/>
      <c r="BX296" s="159"/>
      <c r="BY296" s="159"/>
      <c r="CB296" s="165"/>
      <c r="CD296" s="165"/>
      <c r="CF296" s="165"/>
      <c r="CH296" s="165"/>
      <c r="CJ296" s="165"/>
      <c r="CL296" s="165"/>
      <c r="CN296" s="165"/>
      <c r="CO296" s="130"/>
      <c r="CP296" s="165"/>
      <c r="CQ296" s="130"/>
      <c r="CR296" s="165"/>
      <c r="CS296" s="130"/>
      <c r="CT296" s="130"/>
      <c r="CU296" s="130"/>
      <c r="CV296" s="130"/>
      <c r="CW296" s="130"/>
      <c r="CX296" s="165"/>
      <c r="CY296" s="130"/>
      <c r="CZ296" s="130"/>
      <c r="DA296" s="130"/>
      <c r="DB296" s="130"/>
      <c r="DC296" s="130"/>
      <c r="DD296" s="130"/>
      <c r="DE296" s="130"/>
      <c r="DF296" s="130"/>
      <c r="DG296" s="130"/>
      <c r="DH296" s="130"/>
    </row>
    <row r="297" spans="3:112" ht="15">
      <c r="C297" s="157"/>
      <c r="D297" s="157"/>
      <c r="M297" s="112"/>
      <c r="N297" s="131"/>
      <c r="AG297" s="146"/>
      <c r="AH297" s="158"/>
      <c r="AI297" s="146"/>
      <c r="AJ297" s="159"/>
      <c r="AK297" s="160"/>
      <c r="AL297" s="159"/>
      <c r="AM297" s="160"/>
      <c r="AN297" s="159"/>
      <c r="AO297" s="160"/>
      <c r="AQ297" s="160"/>
      <c r="AS297" s="160"/>
      <c r="AU297" s="160"/>
      <c r="AW297" s="160"/>
      <c r="AY297" s="160"/>
      <c r="BA297" s="160"/>
      <c r="BB297" s="164"/>
      <c r="BC297" s="160"/>
      <c r="BD297" s="165"/>
      <c r="BE297" s="160"/>
      <c r="BF297" s="159"/>
      <c r="BG297" s="160"/>
      <c r="BH297" s="165"/>
      <c r="BI297" s="160"/>
      <c r="BJ297" s="159"/>
      <c r="BK297" s="159"/>
      <c r="BL297" s="159"/>
      <c r="BM297" s="159"/>
      <c r="BN297" s="159"/>
      <c r="BO297" s="159"/>
      <c r="BP297" s="159"/>
      <c r="BR297" s="159"/>
      <c r="BS297" s="159"/>
      <c r="BT297" s="159"/>
      <c r="BU297" s="193"/>
      <c r="BV297" s="159"/>
      <c r="BW297" s="159"/>
      <c r="BX297" s="159"/>
      <c r="BY297" s="159"/>
      <c r="CB297" s="165"/>
      <c r="CD297" s="165"/>
      <c r="CF297" s="165"/>
      <c r="CH297" s="165"/>
      <c r="CJ297" s="165"/>
      <c r="CL297" s="165"/>
      <c r="CN297" s="165"/>
      <c r="CO297" s="130"/>
      <c r="CP297" s="165"/>
      <c r="CQ297" s="130"/>
      <c r="CR297" s="165"/>
      <c r="CS297" s="130"/>
      <c r="CT297" s="130"/>
      <c r="CU297" s="130"/>
      <c r="CV297" s="130"/>
      <c r="CW297" s="130"/>
      <c r="CX297" s="165"/>
      <c r="CY297" s="130"/>
      <c r="CZ297" s="130"/>
      <c r="DA297" s="130"/>
      <c r="DB297" s="130"/>
      <c r="DC297" s="130"/>
      <c r="DD297" s="130"/>
      <c r="DE297" s="130"/>
      <c r="DF297" s="130"/>
      <c r="DG297" s="130"/>
      <c r="DH297" s="130"/>
    </row>
    <row r="298" spans="3:112" ht="15">
      <c r="C298" s="157"/>
      <c r="D298" s="157"/>
      <c r="M298" s="112"/>
      <c r="N298" s="131"/>
      <c r="AG298" s="146"/>
      <c r="AH298" s="158"/>
      <c r="AI298" s="146"/>
      <c r="AJ298" s="159"/>
      <c r="AK298" s="160"/>
      <c r="AL298" s="159"/>
      <c r="AM298" s="160"/>
      <c r="AN298" s="159"/>
      <c r="AO298" s="160"/>
      <c r="AQ298" s="160"/>
      <c r="AS298" s="160"/>
      <c r="AU298" s="160"/>
      <c r="AW298" s="160"/>
      <c r="AY298" s="160"/>
      <c r="BA298" s="160"/>
      <c r="BB298" s="164"/>
      <c r="BC298" s="160"/>
      <c r="BD298" s="165"/>
      <c r="BE298" s="160"/>
      <c r="BF298" s="159"/>
      <c r="BG298" s="160"/>
      <c r="BH298" s="165"/>
      <c r="BI298" s="160"/>
      <c r="BJ298" s="159"/>
      <c r="BK298" s="159"/>
      <c r="BL298" s="159"/>
      <c r="BM298" s="159"/>
      <c r="BN298" s="159"/>
      <c r="BO298" s="159"/>
      <c r="BP298" s="159"/>
      <c r="BR298" s="159"/>
      <c r="BS298" s="159"/>
      <c r="BT298" s="159"/>
      <c r="BU298" s="193"/>
      <c r="BV298" s="159"/>
      <c r="BW298" s="159"/>
      <c r="BX298" s="159"/>
      <c r="BY298" s="159"/>
      <c r="CB298" s="165"/>
      <c r="CD298" s="165"/>
      <c r="CF298" s="165"/>
      <c r="CH298" s="165"/>
      <c r="CJ298" s="165"/>
      <c r="CL298" s="165"/>
      <c r="CN298" s="165"/>
      <c r="CO298" s="130"/>
      <c r="CP298" s="165"/>
      <c r="CQ298" s="130"/>
      <c r="CR298" s="165"/>
      <c r="CS298" s="130"/>
      <c r="CT298" s="130"/>
      <c r="CU298" s="130"/>
      <c r="CV298" s="130"/>
      <c r="CW298" s="130"/>
      <c r="CX298" s="165"/>
      <c r="CY298" s="130"/>
      <c r="CZ298" s="130"/>
      <c r="DA298" s="130"/>
      <c r="DB298" s="130"/>
      <c r="DC298" s="130"/>
      <c r="DD298" s="130"/>
      <c r="DE298" s="130"/>
      <c r="DF298" s="130"/>
      <c r="DG298" s="130"/>
      <c r="DH298" s="130"/>
    </row>
    <row r="299" spans="3:112" ht="15">
      <c r="C299" s="157"/>
      <c r="D299" s="157"/>
      <c r="M299" s="112"/>
      <c r="N299" s="131"/>
      <c r="AG299" s="146"/>
      <c r="AH299" s="158"/>
      <c r="AI299" s="146"/>
      <c r="AJ299" s="159"/>
      <c r="AK299" s="160"/>
      <c r="AL299" s="159"/>
      <c r="AM299" s="160"/>
      <c r="AN299" s="159"/>
      <c r="AO299" s="160"/>
      <c r="AQ299" s="160"/>
      <c r="AS299" s="160"/>
      <c r="AU299" s="160"/>
      <c r="AW299" s="160"/>
      <c r="AY299" s="160"/>
      <c r="BA299" s="160"/>
      <c r="BB299" s="164"/>
      <c r="BC299" s="160"/>
      <c r="BD299" s="165"/>
      <c r="BE299" s="160"/>
      <c r="BF299" s="159"/>
      <c r="BG299" s="160"/>
      <c r="BH299" s="165"/>
      <c r="BI299" s="160"/>
      <c r="BJ299" s="159"/>
      <c r="BK299" s="159"/>
      <c r="BL299" s="159"/>
      <c r="BM299" s="159"/>
      <c r="BN299" s="159"/>
      <c r="BO299" s="159"/>
      <c r="BP299" s="159"/>
      <c r="BR299" s="159"/>
      <c r="BS299" s="159"/>
      <c r="BT299" s="159"/>
      <c r="BU299" s="193"/>
      <c r="BV299" s="159"/>
      <c r="BW299" s="159"/>
      <c r="BX299" s="159"/>
      <c r="BY299" s="159"/>
      <c r="CB299" s="165"/>
      <c r="CD299" s="165"/>
      <c r="CF299" s="165"/>
      <c r="CH299" s="165"/>
      <c r="CJ299" s="165"/>
      <c r="CL299" s="165"/>
      <c r="CN299" s="165"/>
      <c r="CO299" s="130"/>
      <c r="CP299" s="165"/>
      <c r="CQ299" s="130"/>
      <c r="CR299" s="165"/>
      <c r="CS299" s="130"/>
      <c r="CT299" s="130"/>
      <c r="CU299" s="130"/>
      <c r="CV299" s="130"/>
      <c r="CW299" s="130"/>
      <c r="CX299" s="165"/>
      <c r="CY299" s="130"/>
      <c r="CZ299" s="130"/>
      <c r="DA299" s="130"/>
      <c r="DB299" s="130"/>
      <c r="DC299" s="130"/>
      <c r="DD299" s="130"/>
      <c r="DE299" s="130"/>
      <c r="DF299" s="130"/>
      <c r="DG299" s="130"/>
      <c r="DH299" s="130"/>
    </row>
    <row r="300" spans="3:112" ht="15">
      <c r="C300" s="157"/>
      <c r="D300" s="157"/>
      <c r="M300" s="112"/>
      <c r="N300" s="131"/>
      <c r="AG300" s="146"/>
      <c r="AH300" s="158"/>
      <c r="AI300" s="146"/>
      <c r="AJ300" s="159"/>
      <c r="AK300" s="160"/>
      <c r="AL300" s="159"/>
      <c r="AM300" s="160"/>
      <c r="AN300" s="159"/>
      <c r="AO300" s="160"/>
      <c r="AQ300" s="160"/>
      <c r="AS300" s="160"/>
      <c r="AU300" s="160"/>
      <c r="AW300" s="160"/>
      <c r="AY300" s="160"/>
      <c r="BA300" s="160"/>
      <c r="BB300" s="164"/>
      <c r="BC300" s="160"/>
      <c r="BD300" s="165"/>
      <c r="BE300" s="160"/>
      <c r="BF300" s="159"/>
      <c r="BG300" s="160"/>
      <c r="BH300" s="165"/>
      <c r="BI300" s="160"/>
      <c r="BJ300" s="159"/>
      <c r="BK300" s="159"/>
      <c r="BL300" s="159"/>
      <c r="BM300" s="159"/>
      <c r="BN300" s="159"/>
      <c r="BO300" s="159"/>
      <c r="BP300" s="159"/>
      <c r="BR300" s="159"/>
      <c r="BS300" s="159"/>
      <c r="BT300" s="159"/>
      <c r="BU300" s="193"/>
      <c r="BV300" s="159"/>
      <c r="BW300" s="159"/>
      <c r="BX300" s="159"/>
      <c r="BY300" s="159"/>
      <c r="CB300" s="165"/>
      <c r="CD300" s="165"/>
      <c r="CF300" s="165"/>
      <c r="CH300" s="165"/>
      <c r="CJ300" s="165"/>
      <c r="CL300" s="165"/>
      <c r="CN300" s="165"/>
      <c r="CO300" s="130"/>
      <c r="CP300" s="165"/>
      <c r="CQ300" s="130"/>
      <c r="CR300" s="165"/>
      <c r="CS300" s="130"/>
      <c r="CT300" s="130"/>
      <c r="CU300" s="130"/>
      <c r="CV300" s="130"/>
      <c r="CW300" s="130"/>
      <c r="CX300" s="165"/>
      <c r="CY300" s="130"/>
      <c r="CZ300" s="130"/>
      <c r="DA300" s="130"/>
      <c r="DB300" s="130"/>
      <c r="DC300" s="130"/>
      <c r="DD300" s="130"/>
      <c r="DE300" s="130"/>
      <c r="DF300" s="130"/>
      <c r="DG300" s="130"/>
      <c r="DH300" s="130"/>
    </row>
    <row r="301" spans="3:112" ht="15">
      <c r="C301" s="157"/>
      <c r="D301" s="157"/>
      <c r="M301" s="112"/>
      <c r="N301" s="131"/>
      <c r="AG301" s="146"/>
      <c r="AH301" s="158"/>
      <c r="AI301" s="146"/>
      <c r="AJ301" s="159"/>
      <c r="AK301" s="160"/>
      <c r="AL301" s="159"/>
      <c r="AM301" s="160"/>
      <c r="AN301" s="159"/>
      <c r="AO301" s="160"/>
      <c r="AQ301" s="160"/>
      <c r="AS301" s="160"/>
      <c r="AU301" s="160"/>
      <c r="AW301" s="160"/>
      <c r="AY301" s="160"/>
      <c r="BA301" s="160"/>
      <c r="BB301" s="164"/>
      <c r="BC301" s="160"/>
      <c r="BD301" s="165"/>
      <c r="BE301" s="160"/>
      <c r="BF301" s="159"/>
      <c r="BG301" s="160"/>
      <c r="BH301" s="165"/>
      <c r="BI301" s="160"/>
      <c r="BJ301" s="159"/>
      <c r="BK301" s="159"/>
      <c r="BL301" s="159"/>
      <c r="BM301" s="159"/>
      <c r="BN301" s="159"/>
      <c r="BO301" s="159"/>
      <c r="BP301" s="159"/>
      <c r="BR301" s="159"/>
      <c r="BS301" s="159"/>
      <c r="BT301" s="159"/>
      <c r="BU301" s="193"/>
      <c r="BV301" s="159"/>
      <c r="BW301" s="159"/>
      <c r="BX301" s="159"/>
      <c r="BY301" s="159"/>
      <c r="CB301" s="165"/>
      <c r="CD301" s="165"/>
      <c r="CF301" s="165"/>
      <c r="CH301" s="165"/>
      <c r="CJ301" s="165"/>
      <c r="CL301" s="165"/>
      <c r="CN301" s="165"/>
      <c r="CO301" s="130"/>
      <c r="CP301" s="165"/>
      <c r="CQ301" s="130"/>
      <c r="CR301" s="165"/>
      <c r="CS301" s="130"/>
      <c r="CT301" s="130"/>
      <c r="CU301" s="130"/>
      <c r="CV301" s="130"/>
      <c r="CW301" s="130"/>
      <c r="CX301" s="165"/>
      <c r="CY301" s="130"/>
      <c r="CZ301" s="130"/>
      <c r="DA301" s="130"/>
      <c r="DB301" s="130"/>
      <c r="DC301" s="130"/>
      <c r="DD301" s="130"/>
      <c r="DE301" s="130"/>
      <c r="DF301" s="130"/>
      <c r="DG301" s="130"/>
      <c r="DH301" s="130"/>
    </row>
    <row r="302" spans="3:112" ht="15">
      <c r="C302" s="157"/>
      <c r="D302" s="157"/>
      <c r="M302" s="112"/>
      <c r="N302" s="131"/>
      <c r="AG302" s="146"/>
      <c r="AH302" s="158"/>
      <c r="AI302" s="146"/>
      <c r="AJ302" s="159"/>
      <c r="AK302" s="160"/>
      <c r="AL302" s="159"/>
      <c r="AM302" s="160"/>
      <c r="AN302" s="159"/>
      <c r="AO302" s="160"/>
      <c r="AQ302" s="160"/>
      <c r="AS302" s="160"/>
      <c r="AU302" s="160"/>
      <c r="AW302" s="160"/>
      <c r="AY302" s="160"/>
      <c r="BA302" s="160"/>
      <c r="BB302" s="164"/>
      <c r="BC302" s="160"/>
      <c r="BD302" s="165"/>
      <c r="BE302" s="160"/>
      <c r="BF302" s="159"/>
      <c r="BG302" s="160"/>
      <c r="BH302" s="165"/>
      <c r="BI302" s="160"/>
      <c r="BJ302" s="159"/>
      <c r="BK302" s="159"/>
      <c r="BL302" s="159"/>
      <c r="BM302" s="159"/>
      <c r="BN302" s="159"/>
      <c r="BO302" s="159"/>
      <c r="BP302" s="159"/>
      <c r="BR302" s="159"/>
      <c r="BS302" s="159"/>
      <c r="BT302" s="159"/>
      <c r="BU302" s="193"/>
      <c r="BV302" s="159"/>
      <c r="BW302" s="159"/>
      <c r="BX302" s="159"/>
      <c r="BY302" s="159"/>
      <c r="CB302" s="165"/>
      <c r="CD302" s="165"/>
      <c r="CF302" s="165"/>
      <c r="CH302" s="165"/>
      <c r="CJ302" s="165"/>
      <c r="CL302" s="165"/>
      <c r="CN302" s="165"/>
      <c r="CO302" s="130"/>
      <c r="CP302" s="165"/>
      <c r="CQ302" s="130"/>
      <c r="CR302" s="165"/>
      <c r="CS302" s="130"/>
      <c r="CT302" s="130"/>
      <c r="CU302" s="130"/>
      <c r="CV302" s="130"/>
      <c r="CW302" s="130"/>
      <c r="CX302" s="165"/>
      <c r="CY302" s="130"/>
      <c r="CZ302" s="130"/>
      <c r="DA302" s="130"/>
      <c r="DB302" s="130"/>
      <c r="DC302" s="130"/>
      <c r="DD302" s="130"/>
      <c r="DE302" s="130"/>
      <c r="DF302" s="130"/>
      <c r="DG302" s="130"/>
      <c r="DH302" s="130"/>
    </row>
    <row r="303" spans="3:112" ht="15">
      <c r="C303" s="157"/>
      <c r="D303" s="157"/>
      <c r="M303" s="112"/>
      <c r="N303" s="131"/>
      <c r="AG303" s="146"/>
      <c r="AH303" s="158"/>
      <c r="AI303" s="146"/>
      <c r="AJ303" s="159"/>
      <c r="AK303" s="160"/>
      <c r="AL303" s="159"/>
      <c r="AM303" s="160"/>
      <c r="AN303" s="159"/>
      <c r="AO303" s="160"/>
      <c r="AQ303" s="160"/>
      <c r="AS303" s="160"/>
      <c r="AU303" s="160"/>
      <c r="AW303" s="160"/>
      <c r="AY303" s="160"/>
      <c r="BA303" s="160"/>
      <c r="BB303" s="164"/>
      <c r="BC303" s="160"/>
      <c r="BD303" s="165"/>
      <c r="BE303" s="160"/>
      <c r="BF303" s="159"/>
      <c r="BG303" s="160"/>
      <c r="BH303" s="165"/>
      <c r="BI303" s="160"/>
      <c r="BJ303" s="159"/>
      <c r="BK303" s="159"/>
      <c r="BL303" s="159"/>
      <c r="BM303" s="159"/>
      <c r="BN303" s="159"/>
      <c r="BO303" s="159"/>
      <c r="BP303" s="159"/>
      <c r="BR303" s="159"/>
      <c r="BS303" s="159"/>
      <c r="BT303" s="159"/>
      <c r="BU303" s="193"/>
      <c r="BV303" s="159"/>
      <c r="BW303" s="159"/>
      <c r="BX303" s="159"/>
      <c r="BY303" s="159"/>
      <c r="CB303" s="165"/>
      <c r="CD303" s="165"/>
      <c r="CF303" s="165"/>
      <c r="CH303" s="165"/>
      <c r="CJ303" s="165"/>
      <c r="CL303" s="165"/>
      <c r="CN303" s="165"/>
      <c r="CO303" s="130"/>
      <c r="CP303" s="165"/>
      <c r="CQ303" s="130"/>
      <c r="CR303" s="165"/>
      <c r="CS303" s="130"/>
      <c r="CT303" s="130"/>
      <c r="CU303" s="130"/>
      <c r="CV303" s="130"/>
      <c r="CW303" s="130"/>
      <c r="CX303" s="165"/>
      <c r="CY303" s="130"/>
      <c r="CZ303" s="130"/>
      <c r="DA303" s="130"/>
      <c r="DB303" s="130"/>
      <c r="DC303" s="130"/>
      <c r="DD303" s="130"/>
      <c r="DE303" s="130"/>
      <c r="DF303" s="130"/>
      <c r="DG303" s="130"/>
      <c r="DH303" s="130"/>
    </row>
    <row r="304" spans="3:112" ht="15">
      <c r="C304" s="157"/>
      <c r="D304" s="157"/>
      <c r="M304" s="112"/>
      <c r="N304" s="131"/>
      <c r="AG304" s="146"/>
      <c r="AH304" s="158"/>
      <c r="AI304" s="146"/>
      <c r="AJ304" s="159"/>
      <c r="AK304" s="160"/>
      <c r="AL304" s="159"/>
      <c r="AM304" s="160"/>
      <c r="AN304" s="159"/>
      <c r="AO304" s="160"/>
      <c r="AQ304" s="160"/>
      <c r="AS304" s="160"/>
      <c r="AU304" s="160"/>
      <c r="AW304" s="160"/>
      <c r="AY304" s="160"/>
      <c r="BA304" s="160"/>
      <c r="BB304" s="164"/>
      <c r="BC304" s="160"/>
      <c r="BD304" s="165"/>
      <c r="BE304" s="160"/>
      <c r="BF304" s="159"/>
      <c r="BG304" s="160"/>
      <c r="BH304" s="165"/>
      <c r="BI304" s="160"/>
      <c r="BJ304" s="159"/>
      <c r="BK304" s="159"/>
      <c r="BL304" s="159"/>
      <c r="BM304" s="159"/>
      <c r="BN304" s="159"/>
      <c r="BO304" s="159"/>
      <c r="BP304" s="159"/>
      <c r="BR304" s="159"/>
      <c r="BS304" s="159"/>
      <c r="BT304" s="159"/>
      <c r="BU304" s="193"/>
      <c r="BV304" s="159"/>
      <c r="BW304" s="159"/>
      <c r="BX304" s="159"/>
      <c r="BY304" s="159"/>
      <c r="CB304" s="165"/>
      <c r="CD304" s="165"/>
      <c r="CF304" s="165"/>
      <c r="CH304" s="165"/>
      <c r="CJ304" s="165"/>
      <c r="CL304" s="165"/>
      <c r="CN304" s="165"/>
      <c r="CO304" s="130"/>
      <c r="CP304" s="165"/>
      <c r="CQ304" s="130"/>
      <c r="CR304" s="165"/>
      <c r="CS304" s="130"/>
      <c r="CT304" s="130"/>
      <c r="CU304" s="130"/>
      <c r="CV304" s="130"/>
      <c r="CW304" s="130"/>
      <c r="CX304" s="165"/>
      <c r="CY304" s="130"/>
      <c r="CZ304" s="130"/>
      <c r="DA304" s="130"/>
      <c r="DB304" s="130"/>
      <c r="DC304" s="130"/>
      <c r="DD304" s="130"/>
      <c r="DE304" s="130"/>
      <c r="DF304" s="130"/>
      <c r="DG304" s="130"/>
      <c r="DH304" s="130"/>
    </row>
    <row r="305" spans="3:112" ht="15">
      <c r="C305" s="157"/>
      <c r="D305" s="157"/>
      <c r="M305" s="112"/>
      <c r="N305" s="131"/>
      <c r="AG305" s="146"/>
      <c r="AH305" s="158"/>
      <c r="AI305" s="146"/>
      <c r="AJ305" s="159"/>
      <c r="AK305" s="160"/>
      <c r="AL305" s="159"/>
      <c r="AM305" s="160"/>
      <c r="AN305" s="159"/>
      <c r="AO305" s="160"/>
      <c r="AQ305" s="160"/>
      <c r="AS305" s="160"/>
      <c r="AU305" s="160"/>
      <c r="AW305" s="160"/>
      <c r="AY305" s="160"/>
      <c r="BA305" s="160"/>
      <c r="BB305" s="164"/>
      <c r="BC305" s="160"/>
      <c r="BD305" s="165"/>
      <c r="BE305" s="160"/>
      <c r="BF305" s="159"/>
      <c r="BG305" s="160"/>
      <c r="BH305" s="165"/>
      <c r="BI305" s="160"/>
      <c r="BJ305" s="159"/>
      <c r="BK305" s="159"/>
      <c r="BL305" s="159"/>
      <c r="BM305" s="159"/>
      <c r="BN305" s="159"/>
      <c r="BO305" s="159"/>
      <c r="BP305" s="159"/>
      <c r="BR305" s="159"/>
      <c r="BS305" s="159"/>
      <c r="BT305" s="159"/>
      <c r="BU305" s="193"/>
      <c r="BV305" s="159"/>
      <c r="BW305" s="159"/>
      <c r="BX305" s="159"/>
      <c r="BY305" s="159"/>
      <c r="CB305" s="165"/>
      <c r="CD305" s="165"/>
      <c r="CF305" s="165"/>
      <c r="CH305" s="165"/>
      <c r="CJ305" s="165"/>
      <c r="CL305" s="165"/>
      <c r="CN305" s="165"/>
      <c r="CO305" s="130"/>
      <c r="CP305" s="165"/>
      <c r="CQ305" s="130"/>
      <c r="CR305" s="165"/>
      <c r="CS305" s="130"/>
      <c r="CT305" s="130"/>
      <c r="CU305" s="130"/>
      <c r="CV305" s="130"/>
      <c r="CW305" s="130"/>
      <c r="CX305" s="165"/>
      <c r="CY305" s="130"/>
      <c r="CZ305" s="130"/>
      <c r="DA305" s="130"/>
      <c r="DB305" s="130"/>
      <c r="DC305" s="130"/>
      <c r="DD305" s="130"/>
      <c r="DE305" s="130"/>
      <c r="DF305" s="130"/>
      <c r="DG305" s="130"/>
      <c r="DH305" s="130"/>
    </row>
    <row r="306" spans="3:112" ht="15">
      <c r="C306" s="157"/>
      <c r="D306" s="157"/>
      <c r="M306" s="112"/>
      <c r="N306" s="131"/>
      <c r="AG306" s="146"/>
      <c r="AH306" s="158"/>
      <c r="AI306" s="146"/>
      <c r="AJ306" s="159"/>
      <c r="AK306" s="160"/>
      <c r="AL306" s="159"/>
      <c r="AM306" s="160"/>
      <c r="AN306" s="159"/>
      <c r="AO306" s="160"/>
      <c r="AQ306" s="160"/>
      <c r="AS306" s="160"/>
      <c r="AU306" s="160"/>
      <c r="AW306" s="160"/>
      <c r="AY306" s="160"/>
      <c r="BA306" s="160"/>
      <c r="BB306" s="164"/>
      <c r="BC306" s="160"/>
      <c r="BD306" s="165"/>
      <c r="BE306" s="160"/>
      <c r="BF306" s="159"/>
      <c r="BG306" s="160"/>
      <c r="BH306" s="165"/>
      <c r="BI306" s="160"/>
      <c r="BJ306" s="159"/>
      <c r="BK306" s="159"/>
      <c r="BL306" s="159"/>
      <c r="BM306" s="159"/>
      <c r="BN306" s="159"/>
      <c r="BO306" s="159"/>
      <c r="BP306" s="159"/>
      <c r="BR306" s="159"/>
      <c r="BS306" s="159"/>
      <c r="BT306" s="159"/>
      <c r="BU306" s="193"/>
      <c r="BV306" s="159"/>
      <c r="BW306" s="159"/>
      <c r="BX306" s="159"/>
      <c r="BY306" s="159"/>
      <c r="CB306" s="165"/>
      <c r="CD306" s="165"/>
      <c r="CF306" s="165"/>
      <c r="CH306" s="165"/>
      <c r="CJ306" s="165"/>
      <c r="CL306" s="165"/>
      <c r="CN306" s="165"/>
      <c r="CO306" s="130"/>
      <c r="CP306" s="165"/>
      <c r="CQ306" s="130"/>
      <c r="CR306" s="165"/>
      <c r="CS306" s="130"/>
      <c r="CT306" s="130"/>
      <c r="CU306" s="130"/>
      <c r="CV306" s="130"/>
      <c r="CW306" s="130"/>
      <c r="CX306" s="165"/>
      <c r="CY306" s="130"/>
      <c r="CZ306" s="130"/>
      <c r="DA306" s="130"/>
      <c r="DB306" s="130"/>
      <c r="DC306" s="130"/>
      <c r="DD306" s="130"/>
      <c r="DE306" s="130"/>
      <c r="DF306" s="130"/>
      <c r="DG306" s="130"/>
      <c r="DH306" s="130"/>
    </row>
    <row r="307" spans="3:112" ht="15">
      <c r="C307" s="157"/>
      <c r="D307" s="157"/>
      <c r="M307" s="112"/>
      <c r="N307" s="131"/>
      <c r="AG307" s="146"/>
      <c r="AH307" s="158"/>
      <c r="AI307" s="146"/>
      <c r="AJ307" s="159"/>
      <c r="AK307" s="160"/>
      <c r="AL307" s="159"/>
      <c r="AM307" s="160"/>
      <c r="AN307" s="159"/>
      <c r="AO307" s="160"/>
      <c r="AQ307" s="160"/>
      <c r="AS307" s="160"/>
      <c r="AU307" s="160"/>
      <c r="AW307" s="160"/>
      <c r="AY307" s="160"/>
      <c r="BA307" s="160"/>
      <c r="BB307" s="164"/>
      <c r="BC307" s="160"/>
      <c r="BD307" s="165"/>
      <c r="BE307" s="160"/>
      <c r="BF307" s="159"/>
      <c r="BG307" s="160"/>
      <c r="BH307" s="165"/>
      <c r="BI307" s="160"/>
      <c r="BJ307" s="159"/>
      <c r="BK307" s="159"/>
      <c r="BL307" s="159"/>
      <c r="BM307" s="159"/>
      <c r="BN307" s="159"/>
      <c r="BO307" s="159"/>
      <c r="BP307" s="159"/>
      <c r="BR307" s="159"/>
      <c r="BS307" s="159"/>
      <c r="BT307" s="159"/>
      <c r="BU307" s="193"/>
      <c r="BV307" s="159"/>
      <c r="BW307" s="159"/>
      <c r="BX307" s="159"/>
      <c r="BY307" s="159"/>
      <c r="CB307" s="165"/>
      <c r="CD307" s="165"/>
      <c r="CF307" s="165"/>
      <c r="CH307" s="165"/>
      <c r="CJ307" s="165"/>
      <c r="CL307" s="165"/>
      <c r="CN307" s="165"/>
      <c r="CO307" s="130"/>
      <c r="CP307" s="165"/>
      <c r="CQ307" s="130"/>
      <c r="CR307" s="165"/>
      <c r="CS307" s="130"/>
      <c r="CT307" s="130"/>
      <c r="CU307" s="130"/>
      <c r="CV307" s="130"/>
      <c r="CW307" s="130"/>
      <c r="CX307" s="165"/>
      <c r="CY307" s="130"/>
      <c r="CZ307" s="130"/>
      <c r="DA307" s="130"/>
      <c r="DB307" s="130"/>
      <c r="DC307" s="130"/>
      <c r="DD307" s="130"/>
      <c r="DE307" s="130"/>
      <c r="DF307" s="130"/>
      <c r="DG307" s="130"/>
      <c r="DH307" s="130"/>
    </row>
    <row r="308" spans="3:112" ht="15">
      <c r="C308" s="157"/>
      <c r="D308" s="157"/>
      <c r="M308" s="112"/>
      <c r="N308" s="131"/>
      <c r="AG308" s="146"/>
      <c r="AH308" s="158"/>
      <c r="AI308" s="146"/>
      <c r="AJ308" s="159"/>
      <c r="AK308" s="160"/>
      <c r="AL308" s="159"/>
      <c r="AM308" s="160"/>
      <c r="AN308" s="159"/>
      <c r="AO308" s="160"/>
      <c r="AQ308" s="160"/>
      <c r="AS308" s="160"/>
      <c r="AU308" s="160"/>
      <c r="AW308" s="160"/>
      <c r="AY308" s="160"/>
      <c r="BA308" s="160"/>
      <c r="BB308" s="164"/>
      <c r="BC308" s="160"/>
      <c r="BD308" s="165"/>
      <c r="BE308" s="160"/>
      <c r="BF308" s="159"/>
      <c r="BG308" s="160"/>
      <c r="BH308" s="165"/>
      <c r="BI308" s="160"/>
      <c r="BJ308" s="159"/>
      <c r="BK308" s="159"/>
      <c r="BL308" s="159"/>
      <c r="BM308" s="159"/>
      <c r="BN308" s="159"/>
      <c r="BO308" s="159"/>
      <c r="BP308" s="159"/>
      <c r="BR308" s="159"/>
      <c r="BS308" s="159"/>
      <c r="BT308" s="159"/>
      <c r="BU308" s="193"/>
      <c r="BV308" s="159"/>
      <c r="BW308" s="159"/>
      <c r="BX308" s="159"/>
      <c r="BY308" s="159"/>
      <c r="CB308" s="165"/>
      <c r="CD308" s="165"/>
      <c r="CF308" s="165"/>
      <c r="CH308" s="165"/>
      <c r="CJ308" s="165"/>
      <c r="CL308" s="165"/>
      <c r="CN308" s="165"/>
      <c r="CO308" s="130"/>
      <c r="CP308" s="165"/>
      <c r="CQ308" s="130"/>
      <c r="CR308" s="165"/>
      <c r="CS308" s="130"/>
      <c r="CT308" s="130"/>
      <c r="CU308" s="130"/>
      <c r="CV308" s="130"/>
      <c r="CW308" s="130"/>
      <c r="CX308" s="165"/>
      <c r="CY308" s="130"/>
      <c r="CZ308" s="130"/>
      <c r="DA308" s="130"/>
      <c r="DB308" s="130"/>
      <c r="DC308" s="130"/>
      <c r="DD308" s="130"/>
      <c r="DE308" s="130"/>
      <c r="DF308" s="130"/>
      <c r="DG308" s="130"/>
      <c r="DH308" s="130"/>
    </row>
    <row r="309" spans="3:112" ht="15">
      <c r="C309" s="157"/>
      <c r="D309" s="157"/>
      <c r="M309" s="112"/>
      <c r="N309" s="131"/>
      <c r="AG309" s="146"/>
      <c r="AH309" s="158"/>
      <c r="AI309" s="146"/>
      <c r="AJ309" s="159"/>
      <c r="AK309" s="160"/>
      <c r="AL309" s="159"/>
      <c r="AM309" s="160"/>
      <c r="AN309" s="159"/>
      <c r="AO309" s="160"/>
      <c r="AQ309" s="160"/>
      <c r="AS309" s="160"/>
      <c r="AU309" s="160"/>
      <c r="AW309" s="160"/>
      <c r="AY309" s="160"/>
      <c r="BA309" s="160"/>
      <c r="BB309" s="164"/>
      <c r="BC309" s="160"/>
      <c r="BD309" s="165"/>
      <c r="BE309" s="160"/>
      <c r="BF309" s="159"/>
      <c r="BG309" s="160"/>
      <c r="BH309" s="165"/>
      <c r="BI309" s="160"/>
      <c r="BJ309" s="159"/>
      <c r="BK309" s="159"/>
      <c r="BL309" s="159"/>
      <c r="BM309" s="159"/>
      <c r="BN309" s="159"/>
      <c r="BO309" s="159"/>
      <c r="BP309" s="159"/>
      <c r="BR309" s="159"/>
      <c r="BS309" s="159"/>
      <c r="BT309" s="159"/>
      <c r="BU309" s="193"/>
      <c r="BV309" s="159"/>
      <c r="BW309" s="159"/>
      <c r="BX309" s="159"/>
      <c r="BY309" s="159"/>
      <c r="CB309" s="165"/>
      <c r="CD309" s="165"/>
      <c r="CF309" s="165"/>
      <c r="CH309" s="165"/>
      <c r="CJ309" s="165"/>
      <c r="CL309" s="165"/>
      <c r="CN309" s="165"/>
      <c r="CO309" s="130"/>
      <c r="CP309" s="165"/>
      <c r="CQ309" s="130"/>
      <c r="CR309" s="165"/>
      <c r="CS309" s="130"/>
      <c r="CT309" s="130"/>
      <c r="CU309" s="130"/>
      <c r="CV309" s="130"/>
      <c r="CW309" s="130"/>
      <c r="CX309" s="165"/>
      <c r="CY309" s="130"/>
      <c r="CZ309" s="130"/>
      <c r="DA309" s="130"/>
      <c r="DB309" s="130"/>
      <c r="DC309" s="130"/>
      <c r="DD309" s="130"/>
      <c r="DE309" s="130"/>
      <c r="DF309" s="130"/>
      <c r="DG309" s="130"/>
      <c r="DH309" s="130"/>
    </row>
    <row r="310" spans="3:112" ht="15">
      <c r="C310" s="157"/>
      <c r="D310" s="157"/>
      <c r="M310" s="112"/>
      <c r="N310" s="131"/>
      <c r="AG310" s="146"/>
      <c r="AH310" s="158"/>
      <c r="AI310" s="146"/>
      <c r="AJ310" s="159"/>
      <c r="AK310" s="160"/>
      <c r="AL310" s="159"/>
      <c r="AM310" s="160"/>
      <c r="AN310" s="159"/>
      <c r="AO310" s="160"/>
      <c r="AQ310" s="160"/>
      <c r="AS310" s="160"/>
      <c r="AU310" s="160"/>
      <c r="AW310" s="160"/>
      <c r="AY310" s="160"/>
      <c r="BA310" s="160"/>
      <c r="BB310" s="164"/>
      <c r="BC310" s="160"/>
      <c r="BD310" s="165"/>
      <c r="BE310" s="160"/>
      <c r="BF310" s="159"/>
      <c r="BG310" s="160"/>
      <c r="BH310" s="165"/>
      <c r="BI310" s="160"/>
      <c r="BJ310" s="159"/>
      <c r="BK310" s="159"/>
      <c r="BL310" s="159"/>
      <c r="BM310" s="159"/>
      <c r="BN310" s="159"/>
      <c r="BO310" s="159"/>
      <c r="BP310" s="159"/>
      <c r="BR310" s="159"/>
      <c r="BS310" s="159"/>
      <c r="BT310" s="159"/>
      <c r="BU310" s="193"/>
      <c r="BV310" s="159"/>
      <c r="BW310" s="159"/>
      <c r="BX310" s="159"/>
      <c r="BY310" s="159"/>
      <c r="CB310" s="165"/>
      <c r="CD310" s="165"/>
      <c r="CF310" s="165"/>
      <c r="CH310" s="165"/>
      <c r="CJ310" s="165"/>
      <c r="CL310" s="165"/>
      <c r="CN310" s="165"/>
      <c r="CO310" s="130"/>
      <c r="CP310" s="165"/>
      <c r="CQ310" s="130"/>
      <c r="CR310" s="165"/>
      <c r="CS310" s="130"/>
      <c r="CT310" s="130"/>
      <c r="CU310" s="130"/>
      <c r="CV310" s="130"/>
      <c r="CW310" s="130"/>
      <c r="CX310" s="165"/>
      <c r="CY310" s="130"/>
      <c r="CZ310" s="130"/>
      <c r="DA310" s="130"/>
      <c r="DB310" s="130"/>
      <c r="DC310" s="130"/>
      <c r="DD310" s="130"/>
      <c r="DE310" s="130"/>
      <c r="DF310" s="130"/>
      <c r="DG310" s="130"/>
      <c r="DH310" s="130"/>
    </row>
    <row r="311" spans="3:112" ht="15">
      <c r="C311" s="157"/>
      <c r="D311" s="157"/>
      <c r="M311" s="112"/>
      <c r="N311" s="131"/>
      <c r="AG311" s="146"/>
      <c r="AH311" s="158"/>
      <c r="AI311" s="146"/>
      <c r="AJ311" s="159"/>
      <c r="AK311" s="160"/>
      <c r="AL311" s="159"/>
      <c r="AM311" s="160"/>
      <c r="AN311" s="159"/>
      <c r="AO311" s="160"/>
      <c r="AQ311" s="160"/>
      <c r="AS311" s="160"/>
      <c r="AU311" s="160"/>
      <c r="AW311" s="160"/>
      <c r="AY311" s="160"/>
      <c r="BA311" s="160"/>
      <c r="BB311" s="164"/>
      <c r="BC311" s="160"/>
      <c r="BD311" s="165"/>
      <c r="BE311" s="160"/>
      <c r="BF311" s="159"/>
      <c r="BG311" s="160"/>
      <c r="BH311" s="165"/>
      <c r="BI311" s="160"/>
      <c r="BJ311" s="159"/>
      <c r="BK311" s="159"/>
      <c r="BL311" s="159"/>
      <c r="BM311" s="159"/>
      <c r="BN311" s="159"/>
      <c r="BO311" s="159"/>
      <c r="BP311" s="159"/>
      <c r="BR311" s="159"/>
      <c r="BS311" s="159"/>
      <c r="BT311" s="159"/>
      <c r="BU311" s="193"/>
      <c r="BV311" s="159"/>
      <c r="BW311" s="159"/>
      <c r="BX311" s="159"/>
      <c r="BY311" s="159"/>
      <c r="CB311" s="165"/>
      <c r="CD311" s="165"/>
      <c r="CF311" s="165"/>
      <c r="CH311" s="165"/>
      <c r="CJ311" s="165"/>
      <c r="CL311" s="165"/>
      <c r="CN311" s="165"/>
      <c r="CO311" s="130"/>
      <c r="CP311" s="165"/>
      <c r="CQ311" s="130"/>
      <c r="CR311" s="165"/>
      <c r="CS311" s="130"/>
      <c r="CT311" s="130"/>
      <c r="CU311" s="130"/>
      <c r="CV311" s="130"/>
      <c r="CW311" s="130"/>
      <c r="CX311" s="165"/>
      <c r="CY311" s="130"/>
      <c r="CZ311" s="130"/>
      <c r="DA311" s="130"/>
      <c r="DB311" s="130"/>
      <c r="DC311" s="130"/>
      <c r="DD311" s="130"/>
      <c r="DE311" s="130"/>
      <c r="DF311" s="130"/>
      <c r="DG311" s="130"/>
      <c r="DH311" s="130"/>
    </row>
    <row r="312" spans="3:112" ht="15">
      <c r="C312" s="157"/>
      <c r="D312" s="157"/>
      <c r="M312" s="112"/>
      <c r="N312" s="131"/>
      <c r="AG312" s="146"/>
      <c r="AH312" s="158"/>
      <c r="AI312" s="146"/>
      <c r="AJ312" s="159"/>
      <c r="AK312" s="160"/>
      <c r="AL312" s="159"/>
      <c r="AM312" s="160"/>
      <c r="AN312" s="159"/>
      <c r="AO312" s="160"/>
      <c r="AQ312" s="160"/>
      <c r="AS312" s="160"/>
      <c r="AU312" s="160"/>
      <c r="AW312" s="160"/>
      <c r="AY312" s="160"/>
      <c r="BA312" s="160"/>
      <c r="BB312" s="164"/>
      <c r="BC312" s="160"/>
      <c r="BD312" s="165"/>
      <c r="BE312" s="160"/>
      <c r="BF312" s="159"/>
      <c r="BG312" s="160"/>
      <c r="BH312" s="165"/>
      <c r="BI312" s="160"/>
      <c r="BJ312" s="159"/>
      <c r="BK312" s="159"/>
      <c r="BL312" s="159"/>
      <c r="BM312" s="159"/>
      <c r="BN312" s="159"/>
      <c r="BO312" s="159"/>
      <c r="BP312" s="159"/>
      <c r="BR312" s="159"/>
      <c r="BS312" s="159"/>
      <c r="BT312" s="159"/>
      <c r="BU312" s="193"/>
      <c r="BV312" s="159"/>
      <c r="BW312" s="159"/>
      <c r="BX312" s="159"/>
      <c r="BY312" s="159"/>
      <c r="CB312" s="165"/>
      <c r="CD312" s="165"/>
      <c r="CF312" s="165"/>
      <c r="CH312" s="165"/>
      <c r="CJ312" s="165"/>
      <c r="CL312" s="165"/>
      <c r="CN312" s="165"/>
      <c r="CO312" s="130"/>
      <c r="CP312" s="165"/>
      <c r="CQ312" s="130"/>
      <c r="CR312" s="165"/>
      <c r="CS312" s="130"/>
      <c r="CT312" s="130"/>
      <c r="CU312" s="130"/>
      <c r="CV312" s="130"/>
      <c r="CW312" s="130"/>
      <c r="CX312" s="165"/>
      <c r="CY312" s="130"/>
      <c r="CZ312" s="130"/>
      <c r="DA312" s="130"/>
      <c r="DB312" s="130"/>
      <c r="DC312" s="130"/>
      <c r="DD312" s="130"/>
      <c r="DE312" s="130"/>
      <c r="DF312" s="130"/>
      <c r="DG312" s="130"/>
      <c r="DH312" s="130"/>
    </row>
    <row r="313" spans="3:112" ht="15">
      <c r="C313" s="157"/>
      <c r="D313" s="157"/>
      <c r="M313" s="112"/>
      <c r="N313" s="131"/>
      <c r="AG313" s="146"/>
      <c r="AH313" s="158"/>
      <c r="AI313" s="146"/>
      <c r="AJ313" s="159"/>
      <c r="AK313" s="160"/>
      <c r="AL313" s="159"/>
      <c r="AM313" s="160"/>
      <c r="AN313" s="159"/>
      <c r="AO313" s="160"/>
      <c r="AQ313" s="160"/>
      <c r="AS313" s="160"/>
      <c r="AU313" s="160"/>
      <c r="AW313" s="160"/>
      <c r="AY313" s="160"/>
      <c r="BA313" s="160"/>
      <c r="BB313" s="164"/>
      <c r="BC313" s="160"/>
      <c r="BD313" s="165"/>
      <c r="BE313" s="160"/>
      <c r="BF313" s="159"/>
      <c r="BG313" s="160"/>
      <c r="BH313" s="165"/>
      <c r="BI313" s="160"/>
      <c r="BJ313" s="159"/>
      <c r="BK313" s="159"/>
      <c r="BL313" s="159"/>
      <c r="BM313" s="159"/>
      <c r="BN313" s="159"/>
      <c r="BO313" s="159"/>
      <c r="BP313" s="159"/>
      <c r="BR313" s="159"/>
      <c r="BS313" s="159"/>
      <c r="BT313" s="159"/>
      <c r="BU313" s="193"/>
      <c r="BV313" s="159"/>
      <c r="BW313" s="159"/>
      <c r="BX313" s="159"/>
      <c r="BY313" s="159"/>
      <c r="CB313" s="165"/>
      <c r="CD313" s="165"/>
      <c r="CF313" s="165"/>
      <c r="CH313" s="165"/>
      <c r="CJ313" s="165"/>
      <c r="CL313" s="165"/>
      <c r="CN313" s="165"/>
      <c r="CO313" s="130"/>
      <c r="CP313" s="165"/>
      <c r="CQ313" s="130"/>
      <c r="CR313" s="165"/>
      <c r="CS313" s="130"/>
      <c r="CT313" s="130"/>
      <c r="CU313" s="130"/>
      <c r="CV313" s="130"/>
      <c r="CW313" s="130"/>
      <c r="CX313" s="165"/>
      <c r="CY313" s="130"/>
      <c r="CZ313" s="130"/>
      <c r="DA313" s="130"/>
      <c r="DB313" s="130"/>
      <c r="DC313" s="130"/>
      <c r="DD313" s="130"/>
      <c r="DE313" s="130"/>
      <c r="DF313" s="130"/>
      <c r="DG313" s="130"/>
      <c r="DH313" s="130"/>
    </row>
    <row r="314" spans="3:112" ht="15">
      <c r="C314" s="157"/>
      <c r="D314" s="157"/>
      <c r="M314" s="112"/>
      <c r="N314" s="131"/>
      <c r="AG314" s="146"/>
      <c r="AH314" s="158"/>
      <c r="AI314" s="146"/>
      <c r="AJ314" s="159"/>
      <c r="AK314" s="160"/>
      <c r="AL314" s="159"/>
      <c r="AM314" s="160"/>
      <c r="AN314" s="159"/>
      <c r="AO314" s="160"/>
      <c r="AQ314" s="160"/>
      <c r="AS314" s="160"/>
      <c r="AU314" s="160"/>
      <c r="AW314" s="160"/>
      <c r="AY314" s="160"/>
      <c r="BA314" s="160"/>
      <c r="BB314" s="164"/>
      <c r="BC314" s="160"/>
      <c r="BD314" s="165"/>
      <c r="BE314" s="160"/>
      <c r="BF314" s="159"/>
      <c r="BG314" s="160"/>
      <c r="BH314" s="165"/>
      <c r="BI314" s="160"/>
      <c r="BJ314" s="159"/>
      <c r="BK314" s="159"/>
      <c r="BL314" s="159"/>
      <c r="BM314" s="159"/>
      <c r="BN314" s="159"/>
      <c r="BO314" s="159"/>
      <c r="BP314" s="159"/>
      <c r="BR314" s="159"/>
      <c r="BS314" s="159"/>
      <c r="BT314" s="159"/>
      <c r="BU314" s="193"/>
      <c r="BV314" s="159"/>
      <c r="BW314" s="159"/>
      <c r="BX314" s="159"/>
      <c r="BY314" s="159"/>
      <c r="CB314" s="165"/>
      <c r="CD314" s="165"/>
      <c r="CF314" s="165"/>
      <c r="CH314" s="165"/>
      <c r="CJ314" s="165"/>
      <c r="CL314" s="165"/>
      <c r="CN314" s="165"/>
      <c r="CO314" s="130"/>
      <c r="CP314" s="165"/>
      <c r="CQ314" s="130"/>
      <c r="CR314" s="165"/>
      <c r="CS314" s="130"/>
      <c r="CT314" s="130"/>
      <c r="CU314" s="130"/>
      <c r="CV314" s="130"/>
      <c r="CW314" s="130"/>
      <c r="CX314" s="165"/>
      <c r="CY314" s="130"/>
      <c r="CZ314" s="130"/>
      <c r="DA314" s="130"/>
      <c r="DB314" s="130"/>
      <c r="DC314" s="130"/>
      <c r="DD314" s="130"/>
      <c r="DE314" s="130"/>
      <c r="DF314" s="130"/>
      <c r="DG314" s="130"/>
      <c r="DH314" s="130"/>
    </row>
    <row r="315" spans="3:112" ht="15">
      <c r="C315" s="157"/>
      <c r="D315" s="157"/>
      <c r="M315" s="112"/>
      <c r="N315" s="131"/>
      <c r="AG315" s="146"/>
      <c r="AH315" s="158"/>
      <c r="AI315" s="146"/>
      <c r="AJ315" s="159"/>
      <c r="AK315" s="160"/>
      <c r="AL315" s="159"/>
      <c r="AM315" s="160"/>
      <c r="AN315" s="159"/>
      <c r="AO315" s="160"/>
      <c r="AQ315" s="160"/>
      <c r="AS315" s="160"/>
      <c r="AU315" s="160"/>
      <c r="AW315" s="160"/>
      <c r="AY315" s="160"/>
      <c r="BA315" s="160"/>
      <c r="BB315" s="164"/>
      <c r="BC315" s="160"/>
      <c r="BD315" s="165"/>
      <c r="BE315" s="160"/>
      <c r="BF315" s="159"/>
      <c r="BG315" s="160"/>
      <c r="BH315" s="165"/>
      <c r="BI315" s="160"/>
      <c r="BJ315" s="159"/>
      <c r="BK315" s="159"/>
      <c r="BL315" s="159"/>
      <c r="BM315" s="159"/>
      <c r="BN315" s="159"/>
      <c r="BO315" s="159"/>
      <c r="BP315" s="159"/>
      <c r="BR315" s="159"/>
      <c r="BS315" s="159"/>
      <c r="BT315" s="159"/>
      <c r="BU315" s="159"/>
      <c r="BV315" s="159"/>
      <c r="BW315" s="159"/>
      <c r="BX315" s="159"/>
      <c r="BY315" s="159"/>
      <c r="CB315" s="165"/>
      <c r="CD315" s="165"/>
      <c r="CF315" s="165"/>
      <c r="CH315" s="165"/>
      <c r="CJ315" s="165"/>
      <c r="CL315" s="165"/>
      <c r="CN315" s="165"/>
      <c r="CO315" s="130"/>
      <c r="CP315" s="165"/>
      <c r="CQ315" s="130"/>
      <c r="CR315" s="165"/>
      <c r="CS315" s="130"/>
      <c r="CT315" s="130"/>
      <c r="CU315" s="130"/>
      <c r="CV315" s="130"/>
      <c r="CW315" s="130"/>
      <c r="CX315" s="165"/>
      <c r="CY315" s="130"/>
      <c r="CZ315" s="130"/>
      <c r="DA315" s="130"/>
      <c r="DB315" s="130"/>
      <c r="DC315" s="130"/>
      <c r="DD315" s="130"/>
      <c r="DE315" s="130"/>
      <c r="DF315" s="130"/>
      <c r="DG315" s="130"/>
      <c r="DH315" s="130"/>
    </row>
    <row r="316" spans="3:112" ht="15">
      <c r="C316" s="157"/>
      <c r="D316" s="157"/>
      <c r="M316" s="112"/>
      <c r="N316" s="131"/>
      <c r="AG316" s="146"/>
      <c r="AH316" s="158"/>
      <c r="AI316" s="146"/>
      <c r="AJ316" s="159"/>
      <c r="AK316" s="160"/>
      <c r="AL316" s="159"/>
      <c r="AM316" s="160"/>
      <c r="AN316" s="159"/>
      <c r="AO316" s="160"/>
      <c r="AQ316" s="160"/>
      <c r="AS316" s="160"/>
      <c r="AU316" s="160"/>
      <c r="AW316" s="160"/>
      <c r="AY316" s="160"/>
      <c r="BA316" s="160"/>
      <c r="BB316" s="164"/>
      <c r="BC316" s="160"/>
      <c r="BD316" s="165"/>
      <c r="BE316" s="160"/>
      <c r="BF316" s="159"/>
      <c r="BG316" s="160"/>
      <c r="BH316" s="165"/>
      <c r="BI316" s="160"/>
      <c r="BJ316" s="159"/>
      <c r="BK316" s="159"/>
      <c r="BL316" s="159"/>
      <c r="BM316" s="159"/>
      <c r="BN316" s="159"/>
      <c r="BO316" s="159"/>
      <c r="BP316" s="159"/>
      <c r="BR316" s="159"/>
      <c r="BS316" s="159"/>
      <c r="BT316" s="159"/>
      <c r="BU316" s="159"/>
      <c r="BV316" s="159"/>
      <c r="BW316" s="159"/>
      <c r="BX316" s="159"/>
      <c r="BY316" s="159"/>
      <c r="CB316" s="165"/>
      <c r="CD316" s="165"/>
      <c r="CF316" s="165"/>
      <c r="CH316" s="165"/>
      <c r="CJ316" s="165"/>
      <c r="CL316" s="165"/>
      <c r="CN316" s="165"/>
      <c r="CO316" s="130"/>
      <c r="CP316" s="165"/>
      <c r="CQ316" s="130"/>
      <c r="CR316" s="165"/>
      <c r="CS316" s="130"/>
      <c r="CT316" s="130"/>
      <c r="CU316" s="130"/>
      <c r="CV316" s="130"/>
      <c r="CW316" s="130"/>
      <c r="CX316" s="165"/>
      <c r="CY316" s="130"/>
      <c r="CZ316" s="130"/>
      <c r="DA316" s="130"/>
      <c r="DB316" s="130"/>
      <c r="DC316" s="130"/>
      <c r="DD316" s="130"/>
      <c r="DE316" s="130"/>
      <c r="DF316" s="130"/>
      <c r="DG316" s="130"/>
      <c r="DH316" s="130"/>
    </row>
    <row r="317" spans="3:112" ht="15">
      <c r="C317" s="157"/>
      <c r="D317" s="157"/>
      <c r="M317" s="112"/>
      <c r="N317" s="131"/>
      <c r="O317" s="146"/>
      <c r="P317" s="158"/>
      <c r="Q317" s="146"/>
      <c r="R317" s="159"/>
      <c r="S317" s="160"/>
      <c r="T317" s="159"/>
      <c r="U317" s="160"/>
      <c r="V317" s="159"/>
      <c r="W317" s="160"/>
      <c r="X317" s="159"/>
      <c r="Y317" s="160"/>
      <c r="Z317" s="159"/>
      <c r="AA317" s="160"/>
      <c r="AB317" s="159"/>
      <c r="AC317" s="160"/>
      <c r="AD317" s="159"/>
      <c r="AE317" s="160"/>
      <c r="AF317" s="159"/>
      <c r="AH317" s="159"/>
      <c r="AJ317" s="164"/>
      <c r="AK317" s="160"/>
      <c r="AL317" s="165"/>
      <c r="AM317" s="160"/>
      <c r="AN317" s="159"/>
      <c r="AO317" s="160"/>
      <c r="AP317" s="165"/>
      <c r="AQ317" s="160"/>
      <c r="BE317" s="159"/>
      <c r="BF317" s="159"/>
      <c r="BG317" s="159"/>
      <c r="BJ317" s="165"/>
      <c r="BL317" s="165"/>
      <c r="BN317" s="165"/>
      <c r="BP317" s="165"/>
      <c r="BR317" s="165"/>
      <c r="BT317" s="165"/>
      <c r="BV317" s="165"/>
      <c r="BX317" s="165"/>
      <c r="BZ317" s="165"/>
      <c r="CF317" s="165"/>
      <c r="CN317" s="130"/>
      <c r="CO317" s="130"/>
      <c r="CP317" s="130"/>
    </row>
    <row r="318" spans="3:112" ht="15">
      <c r="C318" s="157"/>
      <c r="D318" s="157"/>
      <c r="M318" s="112"/>
      <c r="N318" s="131"/>
      <c r="O318" s="146"/>
      <c r="P318" s="158"/>
      <c r="Q318" s="146"/>
      <c r="R318" s="159"/>
      <c r="S318" s="160"/>
      <c r="T318" s="159"/>
      <c r="U318" s="160"/>
      <c r="V318" s="159"/>
      <c r="W318" s="160"/>
      <c r="X318" s="159"/>
      <c r="Y318" s="160"/>
      <c r="Z318" s="159"/>
      <c r="AA318" s="160"/>
      <c r="AB318" s="159"/>
      <c r="AC318" s="160"/>
      <c r="AD318" s="159"/>
      <c r="AE318" s="160"/>
      <c r="AF318" s="159"/>
      <c r="AH318" s="159"/>
      <c r="AJ318" s="164"/>
      <c r="AK318" s="160"/>
      <c r="AL318" s="165"/>
      <c r="AM318" s="160"/>
      <c r="AN318" s="159"/>
      <c r="AO318" s="160"/>
      <c r="AP318" s="165"/>
      <c r="AQ318" s="160"/>
      <c r="BE318" s="159"/>
      <c r="BF318" s="159"/>
      <c r="BG318" s="159"/>
      <c r="BJ318" s="165"/>
      <c r="BL318" s="165"/>
      <c r="BN318" s="165"/>
      <c r="BP318" s="165"/>
      <c r="BR318" s="165"/>
      <c r="BT318" s="165"/>
      <c r="BV318" s="165"/>
      <c r="BX318" s="165"/>
      <c r="BZ318" s="165"/>
      <c r="CF318" s="165"/>
      <c r="CN318" s="130"/>
      <c r="CO318" s="130"/>
      <c r="CP318" s="130"/>
    </row>
    <row r="319" spans="3:112" ht="15">
      <c r="C319" s="157"/>
      <c r="D319" s="157"/>
      <c r="M319" s="112"/>
      <c r="N319" s="131"/>
      <c r="O319" s="146"/>
      <c r="P319" s="158"/>
      <c r="Q319" s="146"/>
      <c r="R319" s="159"/>
      <c r="S319" s="160"/>
      <c r="T319" s="159"/>
      <c r="U319" s="160"/>
      <c r="V319" s="159"/>
      <c r="W319" s="160"/>
      <c r="X319" s="159"/>
      <c r="Y319" s="160"/>
      <c r="Z319" s="159"/>
      <c r="AA319" s="160"/>
      <c r="AB319" s="159"/>
      <c r="AC319" s="160"/>
      <c r="AD319" s="159"/>
      <c r="AE319" s="160"/>
      <c r="AF319" s="159"/>
      <c r="AH319" s="159"/>
      <c r="AJ319" s="164"/>
      <c r="AK319" s="160"/>
      <c r="AL319" s="165"/>
      <c r="AM319" s="160"/>
      <c r="AN319" s="159"/>
      <c r="AO319" s="160"/>
      <c r="AP319" s="165"/>
      <c r="AQ319" s="160"/>
      <c r="BE319" s="159"/>
      <c r="BF319" s="159"/>
      <c r="BG319" s="159"/>
      <c r="BJ319" s="165"/>
      <c r="BL319" s="165"/>
      <c r="BN319" s="165"/>
      <c r="BP319" s="165"/>
      <c r="BR319" s="165"/>
      <c r="BT319" s="165"/>
      <c r="BV319" s="165"/>
      <c r="BX319" s="165"/>
      <c r="BZ319" s="165"/>
      <c r="CF319" s="165"/>
      <c r="CN319" s="130"/>
      <c r="CO319" s="130"/>
      <c r="CP319" s="130"/>
    </row>
    <row r="320" spans="3:112" ht="15">
      <c r="C320" s="157"/>
      <c r="D320" s="157"/>
      <c r="M320" s="112"/>
      <c r="N320" s="131"/>
      <c r="O320" s="146"/>
      <c r="P320" s="158"/>
      <c r="Q320" s="146"/>
      <c r="R320" s="159"/>
      <c r="S320" s="160"/>
      <c r="T320" s="159"/>
      <c r="U320" s="160"/>
      <c r="V320" s="159"/>
      <c r="W320" s="160"/>
      <c r="X320" s="159"/>
      <c r="Y320" s="160"/>
      <c r="Z320" s="159"/>
      <c r="AA320" s="160"/>
      <c r="AB320" s="159"/>
      <c r="AC320" s="160"/>
      <c r="AD320" s="159"/>
      <c r="AE320" s="160"/>
      <c r="AF320" s="159"/>
      <c r="AH320" s="159"/>
      <c r="AJ320" s="164"/>
      <c r="AK320" s="160"/>
      <c r="AL320" s="165"/>
      <c r="AM320" s="160"/>
      <c r="AN320" s="159"/>
      <c r="AO320" s="160"/>
      <c r="AP320" s="165"/>
      <c r="AQ320" s="160"/>
      <c r="BE320" s="159"/>
      <c r="BF320" s="159"/>
      <c r="BG320" s="159"/>
      <c r="BJ320" s="165"/>
      <c r="BL320" s="165"/>
      <c r="BN320" s="165"/>
      <c r="BP320" s="165"/>
      <c r="BR320" s="165"/>
      <c r="BT320" s="165"/>
      <c r="BV320" s="165"/>
      <c r="BX320" s="165"/>
      <c r="BZ320" s="165"/>
      <c r="CF320" s="165"/>
      <c r="CN320" s="130"/>
      <c r="CO320" s="130"/>
      <c r="CP320" s="130"/>
    </row>
    <row r="321" spans="3:94" ht="15">
      <c r="C321" s="157"/>
      <c r="D321" s="157"/>
      <c r="M321" s="112"/>
      <c r="N321" s="131"/>
      <c r="O321" s="146"/>
      <c r="P321" s="158"/>
      <c r="Q321" s="146"/>
      <c r="R321" s="159"/>
      <c r="S321" s="160"/>
      <c r="T321" s="159"/>
      <c r="U321" s="160"/>
      <c r="V321" s="159"/>
      <c r="W321" s="160"/>
      <c r="X321" s="159"/>
      <c r="Y321" s="160"/>
      <c r="Z321" s="159"/>
      <c r="AA321" s="160"/>
      <c r="AB321" s="159"/>
      <c r="AC321" s="160"/>
      <c r="AD321" s="159"/>
      <c r="AE321" s="160"/>
      <c r="AF321" s="159"/>
      <c r="AH321" s="159"/>
      <c r="AJ321" s="164"/>
      <c r="AK321" s="160"/>
      <c r="AL321" s="165"/>
      <c r="AM321" s="160"/>
      <c r="AN321" s="159"/>
      <c r="AO321" s="160"/>
      <c r="AP321" s="165"/>
      <c r="AQ321" s="160"/>
      <c r="BE321" s="159"/>
      <c r="BF321" s="159"/>
      <c r="BG321" s="159"/>
      <c r="BJ321" s="165"/>
      <c r="BL321" s="165"/>
      <c r="BN321" s="165"/>
      <c r="BP321" s="165"/>
      <c r="BR321" s="165"/>
      <c r="BT321" s="165"/>
      <c r="BV321" s="165"/>
      <c r="BX321" s="165"/>
      <c r="BZ321" s="165"/>
      <c r="CF321" s="165"/>
      <c r="CN321" s="130"/>
      <c r="CO321" s="130"/>
      <c r="CP321" s="130"/>
    </row>
    <row r="322" spans="3:94" ht="15">
      <c r="C322" s="157"/>
      <c r="D322" s="157"/>
      <c r="M322" s="112"/>
      <c r="N322" s="131"/>
      <c r="O322" s="146"/>
      <c r="P322" s="158"/>
      <c r="Q322" s="146"/>
      <c r="R322" s="159"/>
      <c r="S322" s="160"/>
      <c r="T322" s="159"/>
      <c r="U322" s="160"/>
      <c r="V322" s="159"/>
      <c r="W322" s="160"/>
      <c r="X322" s="159"/>
      <c r="Y322" s="160"/>
      <c r="Z322" s="159"/>
      <c r="AA322" s="160"/>
      <c r="AB322" s="159"/>
      <c r="AC322" s="160"/>
      <c r="AD322" s="159"/>
      <c r="AE322" s="160"/>
      <c r="AF322" s="159"/>
      <c r="AH322" s="159"/>
      <c r="AJ322" s="164"/>
      <c r="AK322" s="160"/>
      <c r="AL322" s="165"/>
      <c r="AM322" s="160"/>
      <c r="AN322" s="159"/>
      <c r="AO322" s="160"/>
      <c r="AP322" s="165"/>
      <c r="AQ322" s="160"/>
      <c r="BE322" s="159"/>
      <c r="BF322" s="159"/>
      <c r="BG322" s="159"/>
      <c r="BJ322" s="165"/>
      <c r="BL322" s="165"/>
      <c r="BN322" s="165"/>
      <c r="BP322" s="165"/>
      <c r="BR322" s="165"/>
      <c r="BT322" s="165"/>
      <c r="BV322" s="165"/>
      <c r="BX322" s="165"/>
      <c r="BZ322" s="165"/>
      <c r="CF322" s="165"/>
      <c r="CN322" s="130"/>
      <c r="CO322" s="130"/>
      <c r="CP322" s="130"/>
    </row>
    <row r="323" spans="3:94" ht="15">
      <c r="C323" s="157"/>
      <c r="D323" s="157"/>
      <c r="M323" s="112"/>
      <c r="N323" s="131"/>
      <c r="O323" s="146"/>
      <c r="P323" s="158"/>
      <c r="Q323" s="146"/>
      <c r="R323" s="159"/>
      <c r="S323" s="160"/>
      <c r="T323" s="159"/>
      <c r="U323" s="160"/>
      <c r="V323" s="159"/>
      <c r="W323" s="160"/>
      <c r="X323" s="159"/>
      <c r="Y323" s="160"/>
      <c r="Z323" s="159"/>
      <c r="AA323" s="160"/>
      <c r="AB323" s="159"/>
      <c r="AC323" s="160"/>
      <c r="AD323" s="159"/>
      <c r="AE323" s="160"/>
      <c r="AF323" s="159"/>
      <c r="AH323" s="159"/>
      <c r="AJ323" s="164"/>
      <c r="AK323" s="160"/>
      <c r="AL323" s="165"/>
      <c r="AM323" s="160"/>
      <c r="AN323" s="159"/>
      <c r="AO323" s="160"/>
      <c r="AP323" s="165"/>
      <c r="AQ323" s="160"/>
      <c r="BE323" s="159"/>
      <c r="BF323" s="159"/>
      <c r="BG323" s="159"/>
      <c r="BJ323" s="165"/>
      <c r="BL323" s="165"/>
      <c r="BN323" s="165"/>
      <c r="BP323" s="165"/>
      <c r="BR323" s="165"/>
      <c r="BT323" s="165"/>
      <c r="BV323" s="165"/>
      <c r="BX323" s="165"/>
      <c r="BZ323" s="165"/>
      <c r="CF323" s="165"/>
      <c r="CN323" s="130"/>
      <c r="CO323" s="130"/>
      <c r="CP323" s="130"/>
    </row>
    <row r="324" spans="3:94" ht="15">
      <c r="C324" s="157"/>
      <c r="D324" s="157"/>
      <c r="M324" s="112"/>
      <c r="N324" s="131"/>
      <c r="O324" s="146"/>
      <c r="P324" s="158"/>
      <c r="Q324" s="146"/>
      <c r="R324" s="159"/>
      <c r="S324" s="160"/>
      <c r="T324" s="159"/>
      <c r="U324" s="160"/>
      <c r="V324" s="159"/>
      <c r="W324" s="160"/>
      <c r="X324" s="159"/>
      <c r="Y324" s="160"/>
      <c r="Z324" s="159"/>
      <c r="AA324" s="160"/>
      <c r="AB324" s="159"/>
      <c r="AC324" s="160"/>
      <c r="AD324" s="159"/>
      <c r="AE324" s="160"/>
      <c r="AF324" s="159"/>
      <c r="AH324" s="159"/>
      <c r="AJ324" s="164"/>
      <c r="AK324" s="160"/>
      <c r="AL324" s="165"/>
      <c r="AM324" s="160"/>
      <c r="AN324" s="159"/>
      <c r="AO324" s="160"/>
      <c r="AP324" s="165"/>
      <c r="AQ324" s="160"/>
      <c r="BE324" s="159"/>
      <c r="BF324" s="159"/>
      <c r="BG324" s="159"/>
      <c r="BJ324" s="165"/>
      <c r="BL324" s="165"/>
      <c r="BN324" s="165"/>
      <c r="BP324" s="165"/>
      <c r="BR324" s="165"/>
      <c r="BT324" s="165"/>
      <c r="BV324" s="165"/>
      <c r="BX324" s="165"/>
      <c r="BZ324" s="165"/>
      <c r="CF324" s="165"/>
      <c r="CN324" s="130"/>
      <c r="CO324" s="130"/>
      <c r="CP324" s="130"/>
    </row>
    <row r="325" spans="3:94" ht="15">
      <c r="C325" s="157"/>
      <c r="D325" s="157"/>
      <c r="M325" s="112"/>
      <c r="N325" s="131"/>
      <c r="O325" s="146"/>
      <c r="P325" s="158"/>
      <c r="Q325" s="146"/>
      <c r="R325" s="159"/>
      <c r="S325" s="160"/>
      <c r="T325" s="159"/>
      <c r="U325" s="160"/>
      <c r="V325" s="159"/>
      <c r="W325" s="160"/>
      <c r="X325" s="159"/>
      <c r="Y325" s="160"/>
      <c r="Z325" s="159"/>
      <c r="AA325" s="160"/>
      <c r="AB325" s="159"/>
      <c r="AC325" s="160"/>
      <c r="AD325" s="159"/>
      <c r="AE325" s="160"/>
      <c r="AF325" s="159"/>
      <c r="AH325" s="159"/>
      <c r="AJ325" s="164"/>
      <c r="AK325" s="160"/>
      <c r="AL325" s="165"/>
      <c r="AM325" s="160"/>
      <c r="AN325" s="159"/>
      <c r="AO325" s="160"/>
      <c r="AP325" s="165"/>
      <c r="AQ325" s="160"/>
      <c r="BE325" s="159"/>
      <c r="BF325" s="159"/>
      <c r="BG325" s="159"/>
      <c r="BJ325" s="165"/>
      <c r="BL325" s="165"/>
      <c r="BN325" s="165"/>
      <c r="BP325" s="165"/>
      <c r="BR325" s="165"/>
      <c r="BT325" s="165"/>
      <c r="BV325" s="165"/>
      <c r="BX325" s="165"/>
      <c r="BZ325" s="165"/>
      <c r="CF325" s="165"/>
      <c r="CN325" s="130"/>
      <c r="CO325" s="130"/>
      <c r="CP325" s="130"/>
    </row>
    <row r="326" spans="3:94" ht="15">
      <c r="C326" s="157"/>
      <c r="D326" s="157"/>
      <c r="M326" s="112"/>
      <c r="N326" s="131"/>
      <c r="O326" s="146"/>
      <c r="P326" s="158"/>
      <c r="Q326" s="146"/>
      <c r="R326" s="159"/>
      <c r="S326" s="160"/>
      <c r="T326" s="159"/>
      <c r="U326" s="160"/>
      <c r="V326" s="159"/>
      <c r="W326" s="160"/>
      <c r="X326" s="159"/>
      <c r="Y326" s="160"/>
      <c r="Z326" s="159"/>
      <c r="AA326" s="160"/>
      <c r="AB326" s="159"/>
      <c r="AC326" s="160"/>
      <c r="AD326" s="159"/>
      <c r="AE326" s="160"/>
      <c r="AF326" s="159"/>
      <c r="AH326" s="159"/>
      <c r="AJ326" s="164"/>
      <c r="AK326" s="160"/>
      <c r="AL326" s="165"/>
      <c r="AM326" s="160"/>
      <c r="AN326" s="159"/>
      <c r="AO326" s="160"/>
      <c r="AP326" s="165"/>
      <c r="AQ326" s="160"/>
      <c r="BE326" s="159"/>
      <c r="BF326" s="159"/>
      <c r="BG326" s="159"/>
      <c r="BJ326" s="165"/>
      <c r="BL326" s="165"/>
      <c r="BN326" s="165"/>
      <c r="BP326" s="165"/>
      <c r="BR326" s="165"/>
      <c r="BT326" s="165"/>
      <c r="BV326" s="165"/>
      <c r="BX326" s="165"/>
      <c r="BZ326" s="165"/>
      <c r="CF326" s="165"/>
      <c r="CN326" s="130"/>
      <c r="CO326" s="130"/>
      <c r="CP326" s="130"/>
    </row>
    <row r="327" spans="3:94" ht="15">
      <c r="C327" s="157"/>
      <c r="D327" s="157"/>
      <c r="M327" s="112"/>
      <c r="N327" s="131"/>
      <c r="O327" s="146"/>
      <c r="P327" s="158"/>
      <c r="Q327" s="146"/>
      <c r="R327" s="159"/>
      <c r="S327" s="160"/>
      <c r="T327" s="159"/>
      <c r="U327" s="160"/>
      <c r="V327" s="159"/>
      <c r="W327" s="160"/>
      <c r="X327" s="159"/>
      <c r="Y327" s="160"/>
      <c r="Z327" s="159"/>
      <c r="AA327" s="160"/>
      <c r="AB327" s="159"/>
      <c r="AC327" s="160"/>
      <c r="AD327" s="159"/>
      <c r="AE327" s="160"/>
      <c r="AF327" s="159"/>
      <c r="AH327" s="159"/>
      <c r="AJ327" s="164"/>
      <c r="AK327" s="160"/>
      <c r="AL327" s="165"/>
      <c r="AM327" s="160"/>
      <c r="AN327" s="159"/>
      <c r="AO327" s="160"/>
      <c r="AP327" s="165"/>
      <c r="AQ327" s="160"/>
      <c r="BE327" s="159"/>
      <c r="BF327" s="159"/>
      <c r="BG327" s="159"/>
      <c r="BJ327" s="165"/>
      <c r="BL327" s="165"/>
      <c r="BN327" s="165"/>
      <c r="BP327" s="165"/>
      <c r="BR327" s="165"/>
      <c r="BT327" s="165"/>
      <c r="BV327" s="165"/>
      <c r="BX327" s="165"/>
      <c r="BZ327" s="165"/>
      <c r="CF327" s="165"/>
      <c r="CN327" s="130"/>
      <c r="CO327" s="130"/>
      <c r="CP327" s="130"/>
    </row>
    <row r="328" spans="3:94" ht="15">
      <c r="C328" s="157"/>
      <c r="D328" s="157"/>
      <c r="M328" s="112"/>
      <c r="N328" s="131"/>
      <c r="O328" s="146"/>
      <c r="P328" s="158"/>
      <c r="Q328" s="146"/>
      <c r="R328" s="159"/>
      <c r="S328" s="160"/>
      <c r="T328" s="159"/>
      <c r="U328" s="160"/>
      <c r="V328" s="159"/>
      <c r="W328" s="160"/>
      <c r="X328" s="159"/>
      <c r="Y328" s="160"/>
      <c r="Z328" s="159"/>
      <c r="AA328" s="160"/>
      <c r="AB328" s="159"/>
      <c r="AC328" s="160"/>
      <c r="AD328" s="159"/>
      <c r="AE328" s="160"/>
      <c r="AF328" s="159"/>
      <c r="AH328" s="159"/>
      <c r="AJ328" s="164"/>
      <c r="AK328" s="160"/>
      <c r="AL328" s="165"/>
      <c r="AM328" s="160"/>
      <c r="AN328" s="159"/>
      <c r="AO328" s="160"/>
      <c r="AP328" s="165"/>
      <c r="AQ328" s="160"/>
      <c r="BE328" s="159"/>
      <c r="BF328" s="159"/>
      <c r="BG328" s="159"/>
      <c r="BJ328" s="165"/>
      <c r="BL328" s="165"/>
      <c r="BN328" s="165"/>
      <c r="BP328" s="165"/>
      <c r="BR328" s="165"/>
      <c r="BT328" s="165"/>
      <c r="BV328" s="165"/>
      <c r="BX328" s="165"/>
      <c r="BZ328" s="165"/>
      <c r="CF328" s="165"/>
      <c r="CN328" s="130"/>
      <c r="CO328" s="130"/>
      <c r="CP328" s="130"/>
    </row>
    <row r="329" spans="3:94" ht="15">
      <c r="C329" s="157"/>
      <c r="D329" s="157"/>
      <c r="M329" s="112"/>
      <c r="N329" s="131"/>
      <c r="O329" s="146"/>
      <c r="P329" s="158"/>
      <c r="Q329" s="146"/>
      <c r="R329" s="159"/>
      <c r="S329" s="160"/>
      <c r="T329" s="159"/>
      <c r="U329" s="160"/>
      <c r="V329" s="159"/>
      <c r="W329" s="160"/>
      <c r="X329" s="159"/>
      <c r="Y329" s="160"/>
      <c r="Z329" s="159"/>
      <c r="AA329" s="160"/>
      <c r="AB329" s="159"/>
      <c r="AC329" s="160"/>
      <c r="AD329" s="159"/>
      <c r="AE329" s="160"/>
      <c r="AF329" s="159"/>
      <c r="AH329" s="159"/>
      <c r="AJ329" s="164"/>
      <c r="AK329" s="160"/>
      <c r="AL329" s="165"/>
      <c r="AM329" s="160"/>
      <c r="AN329" s="159"/>
      <c r="AO329" s="160"/>
      <c r="AP329" s="165"/>
      <c r="AQ329" s="160"/>
      <c r="BE329" s="159"/>
      <c r="BF329" s="159"/>
      <c r="BG329" s="159"/>
      <c r="BJ329" s="165"/>
      <c r="BL329" s="165"/>
      <c r="BN329" s="165"/>
      <c r="BP329" s="165"/>
      <c r="BR329" s="165"/>
      <c r="BT329" s="165"/>
      <c r="BV329" s="165"/>
      <c r="BX329" s="165"/>
      <c r="BZ329" s="165"/>
      <c r="CF329" s="165"/>
      <c r="CN329" s="130"/>
      <c r="CO329" s="130"/>
      <c r="CP329" s="130"/>
    </row>
    <row r="330" spans="3:94" ht="15">
      <c r="C330" s="157"/>
      <c r="D330" s="157"/>
      <c r="M330" s="112"/>
      <c r="N330" s="131"/>
      <c r="O330" s="146"/>
      <c r="P330" s="158"/>
      <c r="Q330" s="146"/>
      <c r="R330" s="159"/>
      <c r="S330" s="160"/>
      <c r="T330" s="159"/>
      <c r="U330" s="160"/>
      <c r="V330" s="159"/>
      <c r="W330" s="160"/>
      <c r="X330" s="159"/>
      <c r="Y330" s="160"/>
      <c r="Z330" s="159"/>
      <c r="AA330" s="160"/>
      <c r="AB330" s="159"/>
      <c r="AC330" s="160"/>
      <c r="AD330" s="159"/>
      <c r="AE330" s="160"/>
      <c r="AF330" s="159"/>
      <c r="AH330" s="159"/>
      <c r="AJ330" s="164"/>
      <c r="AK330" s="160"/>
      <c r="AL330" s="165"/>
      <c r="AM330" s="160"/>
      <c r="AN330" s="159"/>
      <c r="AO330" s="160"/>
      <c r="AP330" s="165"/>
      <c r="AQ330" s="160"/>
      <c r="BE330" s="159"/>
      <c r="BF330" s="159"/>
      <c r="BG330" s="159"/>
      <c r="BJ330" s="165"/>
      <c r="BL330" s="165"/>
      <c r="BN330" s="165"/>
      <c r="BP330" s="165"/>
      <c r="BR330" s="165"/>
      <c r="BT330" s="165"/>
      <c r="BV330" s="165"/>
      <c r="BX330" s="165"/>
      <c r="BZ330" s="165"/>
      <c r="CF330" s="165"/>
      <c r="CN330" s="130"/>
      <c r="CO330" s="130"/>
      <c r="CP330" s="130"/>
    </row>
    <row r="331" spans="3:94" ht="15">
      <c r="C331" s="157"/>
      <c r="D331" s="157"/>
      <c r="M331" s="112"/>
      <c r="N331" s="131"/>
      <c r="O331" s="146"/>
      <c r="P331" s="158"/>
      <c r="Q331" s="146"/>
      <c r="R331" s="159"/>
      <c r="S331" s="160"/>
      <c r="T331" s="159"/>
      <c r="U331" s="160"/>
      <c r="V331" s="159"/>
      <c r="W331" s="160"/>
      <c r="X331" s="159"/>
      <c r="Y331" s="160"/>
      <c r="Z331" s="159"/>
      <c r="AA331" s="160"/>
      <c r="AB331" s="159"/>
      <c r="AC331" s="160"/>
      <c r="AD331" s="159"/>
      <c r="AE331" s="160"/>
      <c r="AF331" s="159"/>
      <c r="AH331" s="159"/>
      <c r="AJ331" s="164"/>
      <c r="AK331" s="160"/>
      <c r="AL331" s="165"/>
      <c r="AM331" s="160"/>
      <c r="AN331" s="159"/>
      <c r="AO331" s="160"/>
      <c r="AP331" s="165"/>
      <c r="AQ331" s="160"/>
      <c r="BE331" s="159"/>
      <c r="BF331" s="159"/>
      <c r="BG331" s="159"/>
      <c r="BJ331" s="165"/>
      <c r="BL331" s="165"/>
      <c r="BN331" s="165"/>
      <c r="BP331" s="165"/>
      <c r="BR331" s="165"/>
      <c r="BT331" s="165"/>
      <c r="BV331" s="165"/>
      <c r="BX331" s="165"/>
      <c r="BZ331" s="165"/>
      <c r="CF331" s="165"/>
      <c r="CN331" s="130"/>
      <c r="CO331" s="130"/>
      <c r="CP331" s="130"/>
    </row>
    <row r="332" spans="3:94" ht="15">
      <c r="C332" s="157"/>
      <c r="D332" s="157"/>
      <c r="M332" s="112"/>
      <c r="N332" s="131"/>
      <c r="O332" s="146"/>
      <c r="P332" s="158"/>
      <c r="Q332" s="146"/>
      <c r="R332" s="159"/>
      <c r="S332" s="160"/>
      <c r="T332" s="159"/>
      <c r="U332" s="160"/>
      <c r="V332" s="159"/>
      <c r="W332" s="160"/>
      <c r="X332" s="159"/>
      <c r="Y332" s="160"/>
      <c r="Z332" s="159"/>
      <c r="AA332" s="160"/>
      <c r="AB332" s="159"/>
      <c r="AC332" s="160"/>
      <c r="AD332" s="159"/>
      <c r="AE332" s="160"/>
      <c r="AF332" s="159"/>
      <c r="AH332" s="159"/>
      <c r="AJ332" s="164"/>
      <c r="AK332" s="160"/>
      <c r="AL332" s="165"/>
      <c r="AM332" s="160"/>
      <c r="AN332" s="159"/>
      <c r="AO332" s="160"/>
      <c r="AP332" s="165"/>
      <c r="AQ332" s="160"/>
      <c r="BE332" s="159"/>
      <c r="BF332" s="159"/>
      <c r="BG332" s="159"/>
      <c r="BJ332" s="165"/>
      <c r="BL332" s="165"/>
      <c r="BN332" s="165"/>
      <c r="BP332" s="165"/>
      <c r="BR332" s="165"/>
      <c r="BT332" s="165"/>
      <c r="BV332" s="165"/>
      <c r="BX332" s="165"/>
      <c r="BZ332" s="165"/>
      <c r="CF332" s="165"/>
      <c r="CN332" s="130"/>
      <c r="CO332" s="130"/>
      <c r="CP332" s="130"/>
    </row>
    <row r="333" spans="3:94" ht="15">
      <c r="C333" s="157"/>
      <c r="D333" s="157"/>
      <c r="M333" s="112"/>
      <c r="N333" s="131"/>
      <c r="O333" s="146"/>
      <c r="P333" s="158"/>
      <c r="Q333" s="146"/>
      <c r="R333" s="159"/>
      <c r="S333" s="160"/>
      <c r="T333" s="159"/>
      <c r="U333" s="160"/>
      <c r="V333" s="159"/>
      <c r="W333" s="160"/>
      <c r="X333" s="159"/>
      <c r="Y333" s="160"/>
      <c r="Z333" s="159"/>
      <c r="AA333" s="160"/>
      <c r="AB333" s="159"/>
      <c r="AC333" s="160"/>
      <c r="AD333" s="159"/>
      <c r="AE333" s="160"/>
      <c r="AF333" s="159"/>
      <c r="AH333" s="159"/>
      <c r="AJ333" s="164"/>
      <c r="AK333" s="160"/>
      <c r="AL333" s="165"/>
      <c r="AM333" s="160"/>
      <c r="AN333" s="159"/>
      <c r="AO333" s="160"/>
      <c r="AP333" s="165"/>
      <c r="AQ333" s="160"/>
      <c r="BE333" s="159"/>
      <c r="BF333" s="159"/>
      <c r="BG333" s="159"/>
      <c r="BJ333" s="165"/>
      <c r="BL333" s="165"/>
      <c r="BN333" s="165"/>
      <c r="BP333" s="165"/>
      <c r="BR333" s="165"/>
      <c r="BT333" s="165"/>
      <c r="BV333" s="165"/>
      <c r="BX333" s="165"/>
      <c r="BZ333" s="165"/>
      <c r="CF333" s="165"/>
      <c r="CN333" s="130"/>
      <c r="CO333" s="130"/>
      <c r="CP333" s="130"/>
    </row>
    <row r="334" spans="3:94" ht="15">
      <c r="C334" s="157"/>
      <c r="D334" s="157"/>
      <c r="M334" s="112"/>
      <c r="N334" s="131"/>
      <c r="O334" s="146"/>
      <c r="P334" s="158"/>
      <c r="Q334" s="146"/>
      <c r="R334" s="159"/>
      <c r="S334" s="160"/>
      <c r="T334" s="159"/>
      <c r="U334" s="160"/>
      <c r="V334" s="159"/>
      <c r="W334" s="160"/>
      <c r="X334" s="159"/>
      <c r="Y334" s="160"/>
      <c r="Z334" s="159"/>
      <c r="AA334" s="160"/>
      <c r="AB334" s="159"/>
      <c r="AC334" s="160"/>
      <c r="AD334" s="159"/>
      <c r="AE334" s="160"/>
      <c r="AF334" s="159"/>
      <c r="AH334" s="159"/>
      <c r="AJ334" s="164"/>
      <c r="AK334" s="160"/>
      <c r="AL334" s="165"/>
      <c r="AM334" s="160"/>
      <c r="AN334" s="159"/>
      <c r="AO334" s="160"/>
      <c r="AP334" s="165"/>
      <c r="AQ334" s="160"/>
      <c r="BE334" s="159"/>
      <c r="BF334" s="159"/>
      <c r="BG334" s="159"/>
      <c r="BJ334" s="165"/>
      <c r="BL334" s="165"/>
      <c r="BN334" s="165"/>
      <c r="BP334" s="165"/>
      <c r="BR334" s="165"/>
      <c r="BT334" s="165"/>
      <c r="BV334" s="165"/>
      <c r="BX334" s="165"/>
      <c r="BZ334" s="165"/>
      <c r="CF334" s="165"/>
      <c r="CN334" s="130"/>
      <c r="CO334" s="130"/>
      <c r="CP334" s="130"/>
    </row>
    <row r="335" spans="3:94" ht="15">
      <c r="C335" s="157"/>
      <c r="D335" s="157"/>
      <c r="M335" s="112"/>
      <c r="N335" s="131"/>
      <c r="O335" s="146"/>
      <c r="P335" s="158"/>
      <c r="Q335" s="146"/>
      <c r="R335" s="159"/>
      <c r="S335" s="160"/>
      <c r="T335" s="159"/>
      <c r="U335" s="160"/>
      <c r="V335" s="159"/>
      <c r="W335" s="160"/>
      <c r="X335" s="159"/>
      <c r="Y335" s="160"/>
      <c r="Z335" s="159"/>
      <c r="AA335" s="160"/>
      <c r="AB335" s="159"/>
      <c r="AC335" s="160"/>
      <c r="AD335" s="159"/>
      <c r="AE335" s="160"/>
      <c r="AF335" s="159"/>
      <c r="AH335" s="159"/>
      <c r="AJ335" s="164"/>
      <c r="AK335" s="160"/>
      <c r="AL335" s="165"/>
      <c r="AM335" s="160"/>
      <c r="AN335" s="159"/>
      <c r="AO335" s="160"/>
      <c r="AP335" s="165"/>
      <c r="AQ335" s="160"/>
      <c r="BE335" s="159"/>
      <c r="BF335" s="159"/>
      <c r="BG335" s="159"/>
      <c r="BJ335" s="165"/>
      <c r="BL335" s="165"/>
      <c r="BN335" s="165"/>
      <c r="BP335" s="165"/>
      <c r="BR335" s="165"/>
      <c r="BT335" s="165"/>
      <c r="BV335" s="165"/>
      <c r="BX335" s="165"/>
      <c r="BZ335" s="165"/>
      <c r="CF335" s="165"/>
      <c r="CN335" s="130"/>
      <c r="CO335" s="130"/>
      <c r="CP335" s="130"/>
    </row>
    <row r="336" spans="3:94" ht="15">
      <c r="C336" s="157"/>
      <c r="D336" s="157"/>
      <c r="M336" s="112"/>
      <c r="N336" s="131"/>
      <c r="O336" s="146"/>
      <c r="P336" s="158"/>
      <c r="Q336" s="146"/>
      <c r="R336" s="159"/>
      <c r="S336" s="160"/>
      <c r="T336" s="159"/>
      <c r="U336" s="160"/>
      <c r="V336" s="159"/>
      <c r="W336" s="160"/>
      <c r="X336" s="159"/>
      <c r="Y336" s="160"/>
      <c r="Z336" s="159"/>
      <c r="AA336" s="160"/>
      <c r="AB336" s="159"/>
      <c r="AC336" s="160"/>
      <c r="AD336" s="159"/>
      <c r="AE336" s="160"/>
      <c r="AF336" s="159"/>
      <c r="AH336" s="159"/>
      <c r="AJ336" s="164"/>
      <c r="AK336" s="160"/>
      <c r="AL336" s="165"/>
      <c r="AM336" s="160"/>
      <c r="AN336" s="159"/>
      <c r="AO336" s="160"/>
      <c r="AP336" s="165"/>
      <c r="AQ336" s="160"/>
      <c r="BE336" s="159"/>
      <c r="BF336" s="159"/>
      <c r="BG336" s="159"/>
      <c r="BJ336" s="165"/>
      <c r="BL336" s="165"/>
      <c r="BN336" s="165"/>
      <c r="BP336" s="165"/>
      <c r="BR336" s="165"/>
      <c r="BT336" s="165"/>
      <c r="BV336" s="165"/>
      <c r="BX336" s="165"/>
      <c r="BZ336" s="165"/>
      <c r="CF336" s="165"/>
      <c r="CN336" s="130"/>
      <c r="CO336" s="130"/>
      <c r="CP336" s="130"/>
    </row>
    <row r="337" spans="3:94" ht="15">
      <c r="C337" s="157"/>
      <c r="D337" s="157"/>
      <c r="M337" s="112"/>
      <c r="N337" s="131"/>
      <c r="O337" s="146"/>
      <c r="P337" s="158"/>
      <c r="Q337" s="146"/>
      <c r="R337" s="159"/>
      <c r="S337" s="160"/>
      <c r="T337" s="159"/>
      <c r="U337" s="160"/>
      <c r="V337" s="159"/>
      <c r="W337" s="160"/>
      <c r="X337" s="159"/>
      <c r="Y337" s="160"/>
      <c r="Z337" s="159"/>
      <c r="AA337" s="160"/>
      <c r="AB337" s="159"/>
      <c r="AC337" s="160"/>
      <c r="AD337" s="159"/>
      <c r="AE337" s="160"/>
      <c r="AF337" s="159"/>
      <c r="AH337" s="159"/>
      <c r="AJ337" s="164"/>
      <c r="AK337" s="160"/>
      <c r="AL337" s="165"/>
      <c r="AM337" s="160"/>
      <c r="AN337" s="159"/>
      <c r="AO337" s="160"/>
      <c r="AP337" s="165"/>
      <c r="AQ337" s="160"/>
      <c r="BE337" s="159"/>
      <c r="BF337" s="159"/>
      <c r="BG337" s="159"/>
      <c r="BJ337" s="165"/>
      <c r="BL337" s="165"/>
      <c r="BN337" s="165"/>
      <c r="BP337" s="165"/>
      <c r="BR337" s="165"/>
      <c r="BT337" s="165"/>
      <c r="BV337" s="165"/>
      <c r="BX337" s="165"/>
      <c r="BZ337" s="165"/>
      <c r="CF337" s="165"/>
      <c r="CN337" s="130"/>
      <c r="CO337" s="130"/>
      <c r="CP337" s="130"/>
    </row>
    <row r="338" spans="3:94" ht="15">
      <c r="C338" s="157"/>
      <c r="D338" s="157"/>
      <c r="M338" s="112"/>
      <c r="N338" s="131"/>
      <c r="O338" s="146"/>
      <c r="P338" s="158"/>
      <c r="Q338" s="146"/>
      <c r="R338" s="159"/>
      <c r="S338" s="160"/>
      <c r="T338" s="159"/>
      <c r="U338" s="160"/>
      <c r="V338" s="159"/>
      <c r="W338" s="160"/>
      <c r="X338" s="159"/>
      <c r="Y338" s="160"/>
      <c r="Z338" s="159"/>
      <c r="AA338" s="160"/>
      <c r="AB338" s="159"/>
      <c r="AC338" s="160"/>
      <c r="AD338" s="159"/>
      <c r="AE338" s="160"/>
      <c r="AF338" s="159"/>
      <c r="AH338" s="159"/>
      <c r="AJ338" s="164"/>
      <c r="AK338" s="160"/>
      <c r="AL338" s="165"/>
      <c r="AM338" s="160"/>
      <c r="AN338" s="159"/>
      <c r="AO338" s="160"/>
      <c r="AP338" s="165"/>
      <c r="AQ338" s="160"/>
      <c r="BE338" s="159"/>
      <c r="BF338" s="159"/>
      <c r="BG338" s="159"/>
      <c r="BJ338" s="165"/>
      <c r="BL338" s="165"/>
      <c r="BN338" s="165"/>
      <c r="BP338" s="165"/>
      <c r="BR338" s="165"/>
      <c r="BT338" s="165"/>
      <c r="BV338" s="165"/>
      <c r="BX338" s="165"/>
      <c r="BZ338" s="165"/>
      <c r="CF338" s="165"/>
      <c r="CN338" s="130"/>
      <c r="CO338" s="130"/>
      <c r="CP338" s="130"/>
    </row>
    <row r="339" spans="3:94" ht="15">
      <c r="C339" s="157"/>
      <c r="D339" s="157"/>
      <c r="M339" s="112"/>
      <c r="N339" s="131"/>
      <c r="O339" s="146"/>
      <c r="P339" s="158"/>
      <c r="Q339" s="146"/>
      <c r="R339" s="159"/>
      <c r="S339" s="160"/>
      <c r="T339" s="159"/>
      <c r="U339" s="160"/>
      <c r="V339" s="159"/>
      <c r="W339" s="160"/>
      <c r="X339" s="159"/>
      <c r="Y339" s="160"/>
      <c r="Z339" s="159"/>
      <c r="AA339" s="160"/>
      <c r="AB339" s="159"/>
      <c r="AC339" s="160"/>
      <c r="AD339" s="159"/>
      <c r="AE339" s="160"/>
      <c r="AF339" s="159"/>
      <c r="AH339" s="159"/>
      <c r="AJ339" s="164"/>
      <c r="AK339" s="160"/>
      <c r="AL339" s="165"/>
      <c r="AM339" s="160"/>
      <c r="AN339" s="159"/>
      <c r="AO339" s="160"/>
      <c r="AP339" s="165"/>
      <c r="AQ339" s="160"/>
      <c r="BE339" s="159"/>
      <c r="BF339" s="159"/>
      <c r="BG339" s="159"/>
      <c r="BJ339" s="165"/>
      <c r="BL339" s="165"/>
      <c r="BN339" s="165"/>
      <c r="BP339" s="165"/>
      <c r="BR339" s="165"/>
      <c r="BT339" s="165"/>
      <c r="BV339" s="165"/>
      <c r="BX339" s="165"/>
      <c r="BZ339" s="165"/>
      <c r="CF339" s="165"/>
      <c r="CN339" s="130"/>
      <c r="CO339" s="130"/>
      <c r="CP339" s="130"/>
    </row>
    <row r="340" spans="3:94" ht="15">
      <c r="C340" s="157"/>
      <c r="D340" s="157"/>
      <c r="M340" s="112"/>
      <c r="N340" s="131"/>
      <c r="O340" s="146"/>
      <c r="P340" s="158"/>
      <c r="Q340" s="146"/>
      <c r="R340" s="159"/>
      <c r="S340" s="160"/>
      <c r="T340" s="159"/>
      <c r="U340" s="160"/>
      <c r="V340" s="159"/>
      <c r="W340" s="160"/>
      <c r="X340" s="159"/>
      <c r="Y340" s="160"/>
      <c r="Z340" s="159"/>
      <c r="AA340" s="160"/>
      <c r="AB340" s="159"/>
      <c r="AC340" s="160"/>
      <c r="AD340" s="159"/>
      <c r="AE340" s="160"/>
      <c r="AF340" s="159"/>
      <c r="AH340" s="159"/>
      <c r="AJ340" s="164"/>
      <c r="AK340" s="160"/>
      <c r="AL340" s="165"/>
      <c r="AM340" s="160"/>
      <c r="AN340" s="159"/>
      <c r="AO340" s="160"/>
      <c r="AP340" s="165"/>
      <c r="AQ340" s="160"/>
      <c r="BE340" s="159"/>
      <c r="BF340" s="159"/>
      <c r="BG340" s="159"/>
      <c r="BJ340" s="165"/>
      <c r="BL340" s="165"/>
      <c r="BN340" s="165"/>
      <c r="BP340" s="165"/>
      <c r="BR340" s="165"/>
      <c r="BT340" s="165"/>
      <c r="BV340" s="165"/>
      <c r="BX340" s="165"/>
      <c r="BZ340" s="165"/>
      <c r="CF340" s="165"/>
      <c r="CN340" s="130"/>
      <c r="CO340" s="130"/>
      <c r="CP340" s="130"/>
    </row>
    <row r="341" spans="3:94" ht="15">
      <c r="C341" s="157"/>
      <c r="D341" s="157"/>
      <c r="M341" s="112"/>
      <c r="N341" s="131"/>
      <c r="O341" s="146"/>
      <c r="P341" s="158"/>
      <c r="Q341" s="146"/>
      <c r="R341" s="159"/>
      <c r="S341" s="160"/>
      <c r="T341" s="159"/>
      <c r="U341" s="160"/>
      <c r="V341" s="159"/>
      <c r="W341" s="160"/>
      <c r="X341" s="159"/>
      <c r="Y341" s="160"/>
      <c r="Z341" s="159"/>
      <c r="AA341" s="160"/>
      <c r="AB341" s="159"/>
      <c r="AC341" s="160"/>
      <c r="AD341" s="159"/>
      <c r="AE341" s="160"/>
      <c r="AF341" s="159"/>
      <c r="AH341" s="159"/>
      <c r="AJ341" s="164"/>
      <c r="AK341" s="160"/>
      <c r="AL341" s="165"/>
      <c r="AM341" s="160"/>
      <c r="AN341" s="159"/>
      <c r="AO341" s="160"/>
      <c r="AP341" s="165"/>
      <c r="AQ341" s="160"/>
      <c r="BE341" s="159"/>
      <c r="BF341" s="159"/>
      <c r="BG341" s="159"/>
      <c r="BJ341" s="165"/>
      <c r="BL341" s="165"/>
      <c r="BN341" s="165"/>
      <c r="BP341" s="165"/>
      <c r="BR341" s="165"/>
      <c r="BT341" s="165"/>
      <c r="BV341" s="165"/>
      <c r="BX341" s="165"/>
      <c r="BZ341" s="165"/>
      <c r="CF341" s="165"/>
      <c r="CN341" s="130"/>
      <c r="CO341" s="130"/>
      <c r="CP341" s="130"/>
    </row>
    <row r="342" spans="3:94" ht="15">
      <c r="C342" s="157"/>
      <c r="D342" s="157"/>
      <c r="M342" s="112"/>
      <c r="N342" s="131"/>
      <c r="O342" s="146"/>
      <c r="P342" s="158"/>
      <c r="Q342" s="146"/>
      <c r="R342" s="159"/>
      <c r="S342" s="160"/>
      <c r="T342" s="159"/>
      <c r="U342" s="160"/>
      <c r="V342" s="159"/>
      <c r="W342" s="160"/>
      <c r="X342" s="159"/>
      <c r="Y342" s="160"/>
      <c r="Z342" s="159"/>
      <c r="AA342" s="160"/>
      <c r="AB342" s="159"/>
      <c r="AC342" s="160"/>
      <c r="AD342" s="159"/>
      <c r="AE342" s="160"/>
      <c r="AF342" s="159"/>
      <c r="AH342" s="159"/>
      <c r="AJ342" s="164"/>
      <c r="AK342" s="160"/>
      <c r="AL342" s="165"/>
      <c r="AM342" s="160"/>
      <c r="AN342" s="159"/>
      <c r="AO342" s="160"/>
      <c r="AP342" s="165"/>
      <c r="AQ342" s="160"/>
      <c r="BE342" s="159"/>
      <c r="BF342" s="159"/>
      <c r="BG342" s="159"/>
      <c r="BJ342" s="165"/>
      <c r="BL342" s="165"/>
      <c r="BN342" s="165"/>
      <c r="BP342" s="165"/>
      <c r="BR342" s="165"/>
      <c r="BT342" s="165"/>
      <c r="BV342" s="165"/>
      <c r="BX342" s="165"/>
      <c r="BZ342" s="165"/>
      <c r="CF342" s="165"/>
      <c r="CN342" s="130"/>
      <c r="CO342" s="130"/>
      <c r="CP342" s="130"/>
    </row>
    <row r="343" spans="3:94" ht="15">
      <c r="C343" s="157"/>
      <c r="D343" s="157"/>
      <c r="M343" s="112"/>
      <c r="N343" s="131"/>
      <c r="O343" s="146"/>
      <c r="P343" s="158"/>
      <c r="Q343" s="146"/>
      <c r="R343" s="159"/>
      <c r="S343" s="160"/>
      <c r="T343" s="159"/>
      <c r="U343" s="160"/>
      <c r="V343" s="159"/>
      <c r="W343" s="160"/>
      <c r="X343" s="159"/>
      <c r="Y343" s="160"/>
      <c r="Z343" s="159"/>
      <c r="AA343" s="160"/>
      <c r="AB343" s="159"/>
      <c r="AC343" s="160"/>
      <c r="AD343" s="159"/>
      <c r="AE343" s="160"/>
      <c r="AF343" s="159"/>
      <c r="AH343" s="159"/>
      <c r="AJ343" s="164"/>
      <c r="AK343" s="160"/>
      <c r="AL343" s="165"/>
      <c r="AM343" s="160"/>
      <c r="AN343" s="159"/>
      <c r="AO343" s="160"/>
      <c r="AP343" s="165"/>
      <c r="AQ343" s="160"/>
      <c r="BE343" s="159"/>
      <c r="BF343" s="159"/>
      <c r="BG343" s="159"/>
      <c r="BJ343" s="165"/>
      <c r="BL343" s="165"/>
      <c r="BN343" s="165"/>
      <c r="BP343" s="165"/>
      <c r="BR343" s="165"/>
      <c r="BT343" s="165"/>
      <c r="BV343" s="165"/>
      <c r="BX343" s="165"/>
      <c r="BZ343" s="165"/>
      <c r="CF343" s="165"/>
      <c r="CN343" s="130"/>
      <c r="CO343" s="130"/>
      <c r="CP343" s="130"/>
    </row>
    <row r="344" spans="3:94" ht="15">
      <c r="C344" s="157"/>
      <c r="D344" s="157"/>
      <c r="M344" s="112"/>
      <c r="N344" s="131"/>
      <c r="O344" s="146"/>
      <c r="P344" s="158"/>
      <c r="Q344" s="146"/>
      <c r="R344" s="159"/>
      <c r="S344" s="160"/>
      <c r="T344" s="159"/>
      <c r="U344" s="160"/>
      <c r="V344" s="159"/>
      <c r="W344" s="160"/>
      <c r="X344" s="159"/>
      <c r="Y344" s="160"/>
      <c r="Z344" s="159"/>
      <c r="AA344" s="160"/>
      <c r="AB344" s="159"/>
      <c r="AC344" s="160"/>
      <c r="AD344" s="159"/>
      <c r="AE344" s="160"/>
      <c r="AF344" s="159"/>
      <c r="AH344" s="159"/>
      <c r="AJ344" s="164"/>
      <c r="AK344" s="160"/>
      <c r="AL344" s="165"/>
      <c r="AM344" s="160"/>
      <c r="AN344" s="159"/>
      <c r="AO344" s="160"/>
      <c r="AP344" s="165"/>
      <c r="AQ344" s="160"/>
      <c r="BE344" s="159"/>
      <c r="BF344" s="159"/>
      <c r="BG344" s="159"/>
      <c r="BJ344" s="165"/>
      <c r="BL344" s="165"/>
      <c r="BN344" s="165"/>
      <c r="BP344" s="165"/>
      <c r="BR344" s="165"/>
      <c r="BT344" s="165"/>
      <c r="BV344" s="165"/>
      <c r="BX344" s="165"/>
      <c r="BZ344" s="165"/>
      <c r="CF344" s="165"/>
      <c r="CN344" s="130"/>
      <c r="CO344" s="130"/>
      <c r="CP344" s="130"/>
    </row>
    <row r="345" spans="3:94" ht="15">
      <c r="C345" s="157"/>
      <c r="D345" s="157"/>
      <c r="M345" s="112"/>
      <c r="N345" s="131"/>
      <c r="O345" s="146"/>
      <c r="P345" s="158"/>
      <c r="Q345" s="146"/>
      <c r="R345" s="159"/>
      <c r="S345" s="160"/>
      <c r="T345" s="159"/>
      <c r="U345" s="160"/>
      <c r="V345" s="159"/>
      <c r="W345" s="160"/>
      <c r="X345" s="159"/>
      <c r="Y345" s="160"/>
      <c r="Z345" s="159"/>
      <c r="AA345" s="160"/>
      <c r="AB345" s="159"/>
      <c r="AC345" s="160"/>
      <c r="AD345" s="159"/>
      <c r="AE345" s="160"/>
      <c r="AF345" s="159"/>
      <c r="AH345" s="159"/>
      <c r="AJ345" s="164"/>
      <c r="AK345" s="160"/>
      <c r="AL345" s="165"/>
      <c r="AM345" s="160"/>
      <c r="AN345" s="159"/>
      <c r="AO345" s="160"/>
      <c r="AP345" s="165"/>
      <c r="AQ345" s="160"/>
      <c r="BE345" s="159"/>
      <c r="BF345" s="159"/>
      <c r="BG345" s="159"/>
      <c r="BJ345" s="165"/>
      <c r="BL345" s="165"/>
      <c r="BN345" s="165"/>
      <c r="BP345" s="165"/>
      <c r="BR345" s="165"/>
      <c r="BT345" s="165"/>
      <c r="BV345" s="165"/>
      <c r="BX345" s="165"/>
      <c r="BZ345" s="165"/>
      <c r="CF345" s="165"/>
      <c r="CN345" s="130"/>
      <c r="CO345" s="130"/>
      <c r="CP345" s="130"/>
    </row>
    <row r="346" spans="3:94" ht="15">
      <c r="C346" s="157"/>
      <c r="D346" s="157"/>
      <c r="M346" s="112"/>
      <c r="N346" s="131"/>
      <c r="O346" s="146"/>
      <c r="P346" s="158"/>
      <c r="Q346" s="146"/>
      <c r="R346" s="159"/>
      <c r="S346" s="160"/>
      <c r="T346" s="159"/>
      <c r="U346" s="160"/>
      <c r="V346" s="159"/>
      <c r="W346" s="160"/>
      <c r="X346" s="159"/>
      <c r="Y346" s="160"/>
      <c r="Z346" s="159"/>
      <c r="AA346" s="160"/>
      <c r="AB346" s="159"/>
      <c r="AC346" s="160"/>
      <c r="AD346" s="159"/>
      <c r="AE346" s="160"/>
      <c r="AF346" s="159"/>
      <c r="AH346" s="159"/>
      <c r="AJ346" s="164"/>
      <c r="AK346" s="160"/>
      <c r="AL346" s="165"/>
      <c r="AM346" s="160"/>
      <c r="AN346" s="159"/>
      <c r="AO346" s="160"/>
      <c r="AP346" s="165"/>
      <c r="AQ346" s="160"/>
      <c r="BE346" s="159"/>
      <c r="BF346" s="159"/>
      <c r="BG346" s="159"/>
      <c r="BJ346" s="165"/>
      <c r="BL346" s="165"/>
      <c r="BN346" s="165"/>
      <c r="BP346" s="165"/>
      <c r="BR346" s="165"/>
      <c r="BT346" s="165"/>
      <c r="BV346" s="165"/>
      <c r="BX346" s="165"/>
      <c r="BZ346" s="165"/>
      <c r="CF346" s="165"/>
      <c r="CN346" s="130"/>
      <c r="CO346" s="130"/>
      <c r="CP346" s="130"/>
    </row>
    <row r="347" spans="3:94" ht="15">
      <c r="C347" s="157"/>
      <c r="D347" s="157"/>
      <c r="M347" s="112"/>
      <c r="N347" s="131"/>
      <c r="O347" s="146"/>
      <c r="P347" s="158"/>
      <c r="Q347" s="146"/>
      <c r="R347" s="159"/>
      <c r="S347" s="160"/>
      <c r="T347" s="159"/>
      <c r="U347" s="160"/>
      <c r="V347" s="159"/>
      <c r="W347" s="160"/>
      <c r="X347" s="159"/>
      <c r="Y347" s="160"/>
      <c r="Z347" s="159"/>
      <c r="AA347" s="160"/>
      <c r="AB347" s="159"/>
      <c r="AC347" s="160"/>
      <c r="AD347" s="159"/>
      <c r="AE347" s="160"/>
      <c r="AF347" s="159"/>
      <c r="AH347" s="159"/>
      <c r="AJ347" s="164"/>
      <c r="AK347" s="160"/>
      <c r="AL347" s="165"/>
      <c r="AM347" s="160"/>
      <c r="AN347" s="159"/>
      <c r="AO347" s="160"/>
      <c r="AP347" s="165"/>
      <c r="AQ347" s="160"/>
      <c r="BE347" s="159"/>
      <c r="BF347" s="159"/>
      <c r="BG347" s="159"/>
      <c r="BJ347" s="165"/>
      <c r="BL347" s="165"/>
      <c r="BN347" s="165"/>
      <c r="BP347" s="165"/>
      <c r="BR347" s="165"/>
      <c r="BT347" s="165"/>
      <c r="BV347" s="165"/>
      <c r="BX347" s="165"/>
      <c r="BZ347" s="165"/>
      <c r="CF347" s="165"/>
      <c r="CN347" s="130"/>
      <c r="CO347" s="130"/>
      <c r="CP347" s="130"/>
    </row>
    <row r="348" spans="3:94" ht="15">
      <c r="C348" s="157"/>
      <c r="D348" s="157"/>
      <c r="M348" s="112"/>
      <c r="N348" s="131"/>
      <c r="O348" s="146"/>
      <c r="P348" s="158"/>
      <c r="Q348" s="146"/>
      <c r="R348" s="159"/>
      <c r="S348" s="160"/>
      <c r="T348" s="159"/>
      <c r="U348" s="160"/>
      <c r="V348" s="159"/>
      <c r="W348" s="160"/>
      <c r="X348" s="159"/>
      <c r="Y348" s="160"/>
      <c r="Z348" s="159"/>
      <c r="AA348" s="160"/>
      <c r="AB348" s="159"/>
      <c r="AC348" s="160"/>
      <c r="AD348" s="159"/>
      <c r="AE348" s="160"/>
      <c r="AF348" s="159"/>
      <c r="AH348" s="159"/>
      <c r="AJ348" s="164"/>
      <c r="AK348" s="160"/>
      <c r="AL348" s="165"/>
      <c r="AM348" s="160"/>
      <c r="AN348" s="159"/>
      <c r="AO348" s="160"/>
      <c r="AP348" s="165"/>
      <c r="AQ348" s="160"/>
      <c r="BE348" s="159"/>
      <c r="BF348" s="159"/>
      <c r="BG348" s="159"/>
      <c r="BJ348" s="165"/>
      <c r="BL348" s="165"/>
      <c r="BN348" s="165"/>
      <c r="BP348" s="165"/>
      <c r="BR348" s="165"/>
      <c r="BT348" s="165"/>
      <c r="BV348" s="165"/>
      <c r="BX348" s="165"/>
      <c r="BZ348" s="165"/>
      <c r="CF348" s="165"/>
      <c r="CN348" s="130"/>
      <c r="CO348" s="130"/>
      <c r="CP348" s="130"/>
    </row>
    <row r="349" spans="3:94" ht="15">
      <c r="C349" s="157"/>
      <c r="D349" s="157"/>
      <c r="M349" s="112"/>
      <c r="N349" s="131"/>
      <c r="O349" s="146"/>
      <c r="P349" s="158"/>
      <c r="Q349" s="146"/>
      <c r="R349" s="159"/>
      <c r="S349" s="160"/>
      <c r="T349" s="159"/>
      <c r="U349" s="160"/>
      <c r="V349" s="159"/>
      <c r="W349" s="160"/>
      <c r="X349" s="159"/>
      <c r="Y349" s="160"/>
      <c r="Z349" s="159"/>
      <c r="AA349" s="160"/>
      <c r="AB349" s="159"/>
      <c r="AC349" s="160"/>
      <c r="AD349" s="159"/>
      <c r="AE349" s="160"/>
      <c r="AF349" s="159"/>
      <c r="AH349" s="159"/>
      <c r="AJ349" s="164"/>
      <c r="AK349" s="160"/>
      <c r="AL349" s="165"/>
      <c r="AM349" s="160"/>
      <c r="AN349" s="159"/>
      <c r="AO349" s="160"/>
      <c r="AP349" s="165"/>
      <c r="AQ349" s="160"/>
      <c r="BE349" s="159"/>
      <c r="BF349" s="159"/>
      <c r="BG349" s="159"/>
      <c r="BJ349" s="165"/>
      <c r="BL349" s="165"/>
      <c r="BN349" s="165"/>
      <c r="BP349" s="165"/>
      <c r="BR349" s="165"/>
      <c r="BT349" s="165"/>
      <c r="BV349" s="165"/>
      <c r="BX349" s="165"/>
      <c r="BZ349" s="165"/>
      <c r="CF349" s="165"/>
      <c r="CN349" s="130"/>
      <c r="CO349" s="130"/>
      <c r="CP349" s="130"/>
    </row>
    <row r="350" spans="3:94" ht="15">
      <c r="C350" s="157"/>
      <c r="D350" s="157"/>
      <c r="M350" s="112"/>
      <c r="N350" s="131"/>
      <c r="O350" s="146"/>
      <c r="P350" s="158"/>
      <c r="Q350" s="146"/>
      <c r="R350" s="159"/>
      <c r="S350" s="160"/>
      <c r="T350" s="159"/>
      <c r="U350" s="160"/>
      <c r="V350" s="159"/>
      <c r="W350" s="160"/>
      <c r="X350" s="159"/>
      <c r="Y350" s="160"/>
      <c r="Z350" s="159"/>
      <c r="AA350" s="160"/>
      <c r="AB350" s="159"/>
      <c r="AC350" s="160"/>
      <c r="AD350" s="159"/>
      <c r="AE350" s="160"/>
      <c r="AF350" s="159"/>
      <c r="AH350" s="159"/>
      <c r="AJ350" s="164"/>
      <c r="AK350" s="160"/>
      <c r="AL350" s="165"/>
      <c r="AM350" s="160"/>
      <c r="AN350" s="159"/>
      <c r="AO350" s="160"/>
      <c r="AP350" s="165"/>
      <c r="AQ350" s="160"/>
      <c r="BE350" s="159"/>
      <c r="BF350" s="159"/>
      <c r="BG350" s="159"/>
      <c r="BJ350" s="165"/>
      <c r="BL350" s="165"/>
      <c r="BN350" s="165"/>
      <c r="BP350" s="165"/>
      <c r="BR350" s="165"/>
      <c r="BT350" s="165"/>
      <c r="BV350" s="165"/>
      <c r="BX350" s="165"/>
      <c r="BZ350" s="165"/>
      <c r="CF350" s="165"/>
      <c r="CN350" s="130"/>
      <c r="CO350" s="130"/>
      <c r="CP350" s="130"/>
    </row>
    <row r="351" spans="3:94" ht="15">
      <c r="C351" s="157"/>
      <c r="D351" s="157"/>
      <c r="M351" s="112"/>
      <c r="N351" s="131"/>
      <c r="O351" s="146"/>
      <c r="P351" s="158"/>
      <c r="Q351" s="146"/>
      <c r="R351" s="159"/>
      <c r="S351" s="160"/>
      <c r="T351" s="159"/>
      <c r="U351" s="160"/>
      <c r="V351" s="159"/>
      <c r="W351" s="160"/>
      <c r="X351" s="159"/>
      <c r="Y351" s="160"/>
      <c r="Z351" s="159"/>
      <c r="AA351" s="160"/>
      <c r="AB351" s="159"/>
      <c r="AC351" s="160"/>
      <c r="AD351" s="159"/>
      <c r="AE351" s="160"/>
      <c r="AF351" s="159"/>
      <c r="AH351" s="159"/>
      <c r="AJ351" s="164"/>
      <c r="AK351" s="160"/>
      <c r="AL351" s="165"/>
      <c r="AM351" s="160"/>
      <c r="AN351" s="159"/>
      <c r="AO351" s="160"/>
      <c r="AP351" s="165"/>
      <c r="AQ351" s="160"/>
      <c r="BE351" s="159"/>
      <c r="BF351" s="159"/>
      <c r="BG351" s="159"/>
      <c r="BJ351" s="165"/>
      <c r="BL351" s="165"/>
      <c r="BN351" s="165"/>
      <c r="BP351" s="165"/>
      <c r="BR351" s="165"/>
      <c r="BT351" s="165"/>
      <c r="BV351" s="165"/>
      <c r="BX351" s="165"/>
      <c r="BZ351" s="165"/>
      <c r="CF351" s="165"/>
      <c r="CN351" s="130"/>
      <c r="CO351" s="130"/>
      <c r="CP351" s="130"/>
    </row>
    <row r="352" spans="3:94" ht="15">
      <c r="C352" s="157"/>
      <c r="D352" s="157"/>
      <c r="M352" s="112"/>
      <c r="N352" s="131"/>
      <c r="O352" s="146"/>
      <c r="P352" s="158"/>
      <c r="Q352" s="146"/>
      <c r="R352" s="159"/>
      <c r="S352" s="160"/>
      <c r="T352" s="159"/>
      <c r="U352" s="160"/>
      <c r="V352" s="159"/>
      <c r="W352" s="160"/>
      <c r="X352" s="159"/>
      <c r="Y352" s="160"/>
      <c r="Z352" s="159"/>
      <c r="AA352" s="160"/>
      <c r="AB352" s="159"/>
      <c r="AC352" s="160"/>
      <c r="AD352" s="159"/>
      <c r="AE352" s="160"/>
      <c r="AF352" s="159"/>
      <c r="AH352" s="159"/>
      <c r="AJ352" s="164"/>
      <c r="AK352" s="160"/>
      <c r="AL352" s="165"/>
      <c r="AM352" s="160"/>
      <c r="AN352" s="159"/>
      <c r="AO352" s="160"/>
      <c r="AP352" s="165"/>
      <c r="AQ352" s="160"/>
      <c r="BE352" s="159"/>
      <c r="BF352" s="159"/>
      <c r="BG352" s="159"/>
      <c r="BJ352" s="165"/>
      <c r="BL352" s="165"/>
      <c r="BN352" s="165"/>
      <c r="BP352" s="165"/>
      <c r="BR352" s="165"/>
      <c r="BT352" s="165"/>
      <c r="BV352" s="165"/>
      <c r="BX352" s="165"/>
      <c r="BZ352" s="165"/>
      <c r="CF352" s="165"/>
      <c r="CN352" s="130"/>
      <c r="CO352" s="130"/>
      <c r="CP352" s="130"/>
    </row>
    <row r="353" spans="3:94" ht="15">
      <c r="C353" s="157"/>
      <c r="D353" s="157"/>
      <c r="M353" s="112"/>
      <c r="N353" s="131"/>
      <c r="O353" s="146"/>
      <c r="P353" s="158"/>
      <c r="Q353" s="146"/>
      <c r="R353" s="159"/>
      <c r="S353" s="160"/>
      <c r="T353" s="159"/>
      <c r="U353" s="160"/>
      <c r="V353" s="159"/>
      <c r="W353" s="160"/>
      <c r="X353" s="159"/>
      <c r="Y353" s="160"/>
      <c r="Z353" s="159"/>
      <c r="AA353" s="160"/>
      <c r="AB353" s="159"/>
      <c r="AC353" s="160"/>
      <c r="AD353" s="159"/>
      <c r="AE353" s="160"/>
      <c r="AF353" s="159"/>
      <c r="AH353" s="159"/>
      <c r="AJ353" s="164"/>
      <c r="AK353" s="160"/>
      <c r="AL353" s="165"/>
      <c r="AM353" s="160"/>
      <c r="AN353" s="159"/>
      <c r="AO353" s="160"/>
      <c r="AP353" s="165"/>
      <c r="AQ353" s="160"/>
      <c r="BE353" s="159"/>
      <c r="BF353" s="159"/>
      <c r="BG353" s="159"/>
      <c r="BJ353" s="165"/>
      <c r="BL353" s="165"/>
      <c r="BN353" s="165"/>
      <c r="BP353" s="165"/>
      <c r="BR353" s="165"/>
      <c r="BT353" s="165"/>
      <c r="BV353" s="165"/>
      <c r="BX353" s="165"/>
      <c r="BZ353" s="165"/>
      <c r="CF353" s="165"/>
      <c r="CN353" s="130"/>
      <c r="CO353" s="130"/>
      <c r="CP353" s="130"/>
    </row>
    <row r="354" spans="3:94" ht="15">
      <c r="C354" s="157"/>
      <c r="D354" s="157"/>
      <c r="M354" s="112"/>
      <c r="N354" s="131"/>
      <c r="O354" s="146"/>
      <c r="P354" s="158"/>
      <c r="Q354" s="146"/>
      <c r="R354" s="159"/>
      <c r="S354" s="160"/>
      <c r="T354" s="159"/>
      <c r="U354" s="160"/>
      <c r="V354" s="159"/>
      <c r="W354" s="160"/>
      <c r="X354" s="159"/>
      <c r="Y354" s="160"/>
      <c r="Z354" s="159"/>
      <c r="AA354" s="160"/>
      <c r="AB354" s="159"/>
      <c r="AC354" s="160"/>
      <c r="AD354" s="159"/>
      <c r="AE354" s="160"/>
      <c r="AF354" s="159"/>
      <c r="AH354" s="159"/>
      <c r="AJ354" s="164"/>
      <c r="AK354" s="160"/>
      <c r="AL354" s="165"/>
      <c r="AM354" s="160"/>
      <c r="AN354" s="159"/>
      <c r="AO354" s="160"/>
      <c r="AP354" s="165"/>
      <c r="AQ354" s="160"/>
      <c r="BE354" s="159"/>
      <c r="BF354" s="159"/>
      <c r="BG354" s="159"/>
      <c r="BJ354" s="165"/>
      <c r="BL354" s="165"/>
      <c r="BN354" s="165"/>
      <c r="BP354" s="165"/>
      <c r="BR354" s="165"/>
      <c r="BT354" s="165"/>
      <c r="BV354" s="165"/>
      <c r="BX354" s="165"/>
      <c r="BZ354" s="165"/>
      <c r="CF354" s="165"/>
      <c r="CN354" s="130"/>
      <c r="CO354" s="130"/>
      <c r="CP354" s="130"/>
    </row>
    <row r="355" spans="3:94" ht="15">
      <c r="C355" s="157"/>
      <c r="D355" s="157"/>
      <c r="M355" s="112"/>
      <c r="N355" s="131"/>
      <c r="O355" s="146"/>
      <c r="P355" s="158"/>
      <c r="Q355" s="146"/>
      <c r="R355" s="159"/>
      <c r="S355" s="160"/>
      <c r="T355" s="159"/>
      <c r="U355" s="160"/>
      <c r="V355" s="159"/>
      <c r="W355" s="160"/>
      <c r="X355" s="159"/>
      <c r="Y355" s="160"/>
      <c r="Z355" s="159"/>
      <c r="AA355" s="160"/>
      <c r="AB355" s="159"/>
      <c r="AC355" s="160"/>
      <c r="AD355" s="159"/>
      <c r="AE355" s="160"/>
      <c r="AF355" s="159"/>
      <c r="AH355" s="159"/>
      <c r="AJ355" s="164"/>
      <c r="AK355" s="160"/>
      <c r="AL355" s="165"/>
      <c r="AM355" s="160"/>
      <c r="AN355" s="159"/>
      <c r="AO355" s="160"/>
      <c r="AP355" s="165"/>
      <c r="AQ355" s="160"/>
      <c r="BE355" s="159"/>
      <c r="BF355" s="159"/>
      <c r="BG355" s="159"/>
      <c r="BJ355" s="165"/>
      <c r="BL355" s="165"/>
      <c r="BN355" s="165"/>
      <c r="BP355" s="165"/>
      <c r="BR355" s="165"/>
      <c r="BT355" s="165"/>
      <c r="BV355" s="165"/>
      <c r="BX355" s="165"/>
      <c r="BZ355" s="165"/>
      <c r="CF355" s="165"/>
      <c r="CN355" s="130"/>
      <c r="CO355" s="130"/>
      <c r="CP355" s="130"/>
    </row>
    <row r="356" spans="3:94" ht="15">
      <c r="C356" s="157"/>
      <c r="D356" s="157"/>
      <c r="M356" s="112"/>
      <c r="N356" s="131"/>
      <c r="O356" s="146"/>
      <c r="P356" s="158"/>
      <c r="Q356" s="146"/>
      <c r="R356" s="159"/>
      <c r="S356" s="160"/>
      <c r="T356" s="159"/>
      <c r="U356" s="160"/>
      <c r="V356" s="159"/>
      <c r="W356" s="160"/>
      <c r="X356" s="159"/>
      <c r="Y356" s="160"/>
      <c r="Z356" s="159"/>
      <c r="AA356" s="160"/>
      <c r="AB356" s="159"/>
      <c r="AC356" s="160"/>
      <c r="AD356" s="159"/>
      <c r="AE356" s="160"/>
      <c r="AF356" s="159"/>
      <c r="AH356" s="159"/>
      <c r="AJ356" s="164"/>
      <c r="AK356" s="160"/>
      <c r="AL356" s="165"/>
      <c r="AM356" s="160"/>
      <c r="AN356" s="159"/>
      <c r="AO356" s="160"/>
      <c r="AP356" s="165"/>
      <c r="AQ356" s="160"/>
      <c r="BE356" s="159"/>
      <c r="BF356" s="159"/>
      <c r="BG356" s="159"/>
      <c r="BJ356" s="165"/>
      <c r="BL356" s="165"/>
      <c r="BN356" s="165"/>
      <c r="BP356" s="165"/>
      <c r="BR356" s="165"/>
      <c r="BT356" s="165"/>
      <c r="BV356" s="165"/>
      <c r="BX356" s="165"/>
      <c r="BZ356" s="165"/>
      <c r="CF356" s="165"/>
      <c r="CN356" s="130"/>
      <c r="CO356" s="130"/>
      <c r="CP356" s="130"/>
    </row>
    <row r="357" spans="3:94" ht="15">
      <c r="C357" s="157"/>
      <c r="D357" s="157"/>
      <c r="M357" s="112"/>
      <c r="N357" s="131"/>
      <c r="O357" s="146"/>
      <c r="P357" s="158"/>
      <c r="Q357" s="146"/>
      <c r="R357" s="159"/>
      <c r="S357" s="160"/>
      <c r="T357" s="159"/>
      <c r="U357" s="160"/>
      <c r="V357" s="159"/>
      <c r="W357" s="160"/>
      <c r="X357" s="159"/>
      <c r="Y357" s="160"/>
      <c r="Z357" s="159"/>
      <c r="AA357" s="160"/>
      <c r="AB357" s="159"/>
      <c r="AC357" s="160"/>
      <c r="AD357" s="159"/>
      <c r="AE357" s="160"/>
      <c r="AF357" s="159"/>
      <c r="AH357" s="159"/>
      <c r="AJ357" s="164"/>
      <c r="AK357" s="160"/>
      <c r="AL357" s="165"/>
      <c r="AM357" s="160"/>
      <c r="AN357" s="159"/>
      <c r="AO357" s="160"/>
      <c r="AP357" s="165"/>
      <c r="AQ357" s="160"/>
      <c r="BE357" s="159"/>
      <c r="BF357" s="159"/>
      <c r="BG357" s="159"/>
      <c r="BJ357" s="165"/>
      <c r="BL357" s="165"/>
      <c r="BN357" s="165"/>
      <c r="BP357" s="165"/>
      <c r="BR357" s="165"/>
      <c r="BT357" s="165"/>
      <c r="BV357" s="165"/>
      <c r="BX357" s="165"/>
      <c r="BZ357" s="165"/>
      <c r="CF357" s="165"/>
      <c r="CN357" s="130"/>
      <c r="CO357" s="130"/>
      <c r="CP357" s="130"/>
    </row>
    <row r="358" spans="3:94" ht="15">
      <c r="C358" s="157"/>
      <c r="D358" s="157"/>
      <c r="M358" s="112"/>
      <c r="N358" s="131"/>
      <c r="O358" s="146"/>
      <c r="P358" s="158"/>
      <c r="Q358" s="146"/>
      <c r="R358" s="159"/>
      <c r="S358" s="160"/>
      <c r="T358" s="159"/>
      <c r="U358" s="160"/>
      <c r="V358" s="159"/>
      <c r="W358" s="160"/>
      <c r="X358" s="159"/>
      <c r="Y358" s="160"/>
      <c r="Z358" s="159"/>
      <c r="AA358" s="160"/>
      <c r="AB358" s="159"/>
      <c r="AC358" s="160"/>
      <c r="AD358" s="159"/>
      <c r="AE358" s="160"/>
      <c r="AF358" s="159"/>
      <c r="AH358" s="159"/>
      <c r="AJ358" s="164"/>
      <c r="AK358" s="160"/>
      <c r="AL358" s="165"/>
      <c r="AM358" s="160"/>
      <c r="AN358" s="159"/>
      <c r="AO358" s="160"/>
      <c r="AP358" s="165"/>
      <c r="AQ358" s="160"/>
      <c r="BE358" s="159"/>
      <c r="BF358" s="159"/>
      <c r="BG358" s="159"/>
      <c r="BJ358" s="165"/>
      <c r="BL358" s="165"/>
      <c r="BN358" s="165"/>
      <c r="BP358" s="165"/>
      <c r="BR358" s="165"/>
      <c r="BT358" s="165"/>
      <c r="BV358" s="165"/>
      <c r="BX358" s="165"/>
      <c r="BZ358" s="165"/>
      <c r="CF358" s="165"/>
      <c r="CN358" s="130"/>
      <c r="CO358" s="130"/>
      <c r="CP358" s="130"/>
    </row>
    <row r="359" spans="3:94" ht="15">
      <c r="C359" s="157"/>
      <c r="D359" s="157"/>
      <c r="M359" s="112"/>
      <c r="N359" s="131"/>
      <c r="O359" s="146"/>
      <c r="P359" s="158"/>
      <c r="Q359" s="146"/>
      <c r="R359" s="159"/>
      <c r="S359" s="160"/>
      <c r="T359" s="159"/>
      <c r="U359" s="160"/>
      <c r="V359" s="159"/>
      <c r="W359" s="160"/>
      <c r="X359" s="159"/>
      <c r="Y359" s="160"/>
      <c r="Z359" s="159"/>
      <c r="AA359" s="160"/>
      <c r="AB359" s="159"/>
      <c r="AC359" s="160"/>
      <c r="AD359" s="159"/>
      <c r="AE359" s="160"/>
      <c r="AF359" s="159"/>
      <c r="AH359" s="159"/>
      <c r="AJ359" s="164"/>
      <c r="AK359" s="160"/>
      <c r="AL359" s="165"/>
      <c r="AM359" s="160"/>
      <c r="AN359" s="159"/>
      <c r="AO359" s="160"/>
      <c r="AP359" s="165"/>
      <c r="AQ359" s="160"/>
      <c r="BE359" s="159"/>
      <c r="BF359" s="159"/>
      <c r="BG359" s="159"/>
      <c r="BJ359" s="165"/>
      <c r="BL359" s="165"/>
      <c r="BN359" s="165"/>
      <c r="BP359" s="165"/>
      <c r="BR359" s="165"/>
      <c r="BT359" s="165"/>
      <c r="BV359" s="165"/>
      <c r="BX359" s="165"/>
      <c r="BZ359" s="165"/>
      <c r="CF359" s="165"/>
      <c r="CN359" s="130"/>
      <c r="CO359" s="130"/>
      <c r="CP359" s="130"/>
    </row>
    <row r="360" spans="3:94" ht="15">
      <c r="C360" s="157"/>
      <c r="D360" s="157"/>
      <c r="M360" s="112"/>
      <c r="N360" s="131"/>
      <c r="O360" s="146"/>
      <c r="P360" s="158"/>
      <c r="Q360" s="146"/>
      <c r="R360" s="159"/>
      <c r="S360" s="160"/>
      <c r="T360" s="159"/>
      <c r="U360" s="160"/>
      <c r="V360" s="159"/>
      <c r="W360" s="160"/>
      <c r="X360" s="159"/>
      <c r="Y360" s="160"/>
      <c r="Z360" s="159"/>
      <c r="AA360" s="160"/>
      <c r="AB360" s="159"/>
      <c r="AC360" s="160"/>
      <c r="AD360" s="159"/>
      <c r="AE360" s="160"/>
      <c r="AF360" s="159"/>
      <c r="AH360" s="159"/>
      <c r="AJ360" s="164"/>
      <c r="AK360" s="160"/>
      <c r="AL360" s="165"/>
      <c r="AM360" s="160"/>
      <c r="AN360" s="159"/>
      <c r="AO360" s="160"/>
      <c r="AP360" s="165"/>
      <c r="AQ360" s="160"/>
      <c r="BE360" s="159"/>
      <c r="BF360" s="159"/>
      <c r="BG360" s="159"/>
      <c r="BJ360" s="165"/>
      <c r="BL360" s="165"/>
      <c r="BN360" s="165"/>
      <c r="BP360" s="165"/>
      <c r="BR360" s="165"/>
      <c r="BT360" s="165"/>
      <c r="BV360" s="165"/>
      <c r="BX360" s="165"/>
      <c r="BZ360" s="165"/>
      <c r="CF360" s="165"/>
      <c r="CN360" s="130"/>
      <c r="CO360" s="130"/>
      <c r="CP360" s="130"/>
    </row>
    <row r="361" spans="3:94" ht="15">
      <c r="C361" s="157"/>
      <c r="D361" s="157"/>
      <c r="M361" s="112"/>
      <c r="N361" s="131"/>
      <c r="O361" s="146"/>
      <c r="P361" s="158"/>
      <c r="Q361" s="146"/>
      <c r="R361" s="159"/>
      <c r="S361" s="160"/>
      <c r="T361" s="159"/>
      <c r="U361" s="160"/>
      <c r="V361" s="159"/>
      <c r="W361" s="160"/>
      <c r="X361" s="159"/>
      <c r="Y361" s="160"/>
      <c r="Z361" s="159"/>
      <c r="AA361" s="160"/>
      <c r="AB361" s="159"/>
      <c r="AC361" s="160"/>
      <c r="AD361" s="159"/>
      <c r="AE361" s="160"/>
      <c r="AF361" s="159"/>
      <c r="AH361" s="159"/>
      <c r="AJ361" s="164"/>
      <c r="AK361" s="160"/>
      <c r="AL361" s="165"/>
      <c r="AM361" s="160"/>
      <c r="AN361" s="159"/>
      <c r="AO361" s="160"/>
      <c r="AP361" s="165"/>
      <c r="AQ361" s="160"/>
      <c r="BE361" s="159"/>
      <c r="BF361" s="159"/>
      <c r="BG361" s="159"/>
      <c r="BJ361" s="165"/>
      <c r="BL361" s="165"/>
      <c r="BN361" s="165"/>
      <c r="BP361" s="165"/>
      <c r="BR361" s="165"/>
      <c r="BT361" s="165"/>
      <c r="BV361" s="165"/>
      <c r="BX361" s="165"/>
      <c r="BZ361" s="165"/>
      <c r="CF361" s="165"/>
      <c r="CN361" s="130"/>
      <c r="CO361" s="130"/>
      <c r="CP361" s="130"/>
    </row>
    <row r="362" spans="3:94" ht="15">
      <c r="C362" s="157"/>
      <c r="D362" s="157"/>
      <c r="M362" s="112"/>
      <c r="N362" s="131"/>
      <c r="O362" s="146"/>
      <c r="P362" s="158"/>
      <c r="Q362" s="146"/>
      <c r="R362" s="159"/>
      <c r="S362" s="160"/>
      <c r="T362" s="159"/>
      <c r="U362" s="160"/>
      <c r="V362" s="159"/>
      <c r="W362" s="160"/>
      <c r="X362" s="159"/>
      <c r="Y362" s="160"/>
      <c r="Z362" s="159"/>
      <c r="AA362" s="160"/>
      <c r="AB362" s="159"/>
      <c r="AC362" s="160"/>
      <c r="AD362" s="159"/>
      <c r="AE362" s="160"/>
      <c r="AF362" s="159"/>
      <c r="AH362" s="159"/>
      <c r="AJ362" s="164"/>
      <c r="AK362" s="160"/>
      <c r="AL362" s="165"/>
      <c r="AM362" s="160"/>
      <c r="AN362" s="159"/>
      <c r="AO362" s="160"/>
      <c r="AP362" s="165"/>
      <c r="AQ362" s="160"/>
      <c r="BE362" s="159"/>
      <c r="BF362" s="159"/>
      <c r="BG362" s="159"/>
      <c r="BJ362" s="165"/>
      <c r="BL362" s="165"/>
      <c r="BN362" s="165"/>
      <c r="BP362" s="165"/>
      <c r="BR362" s="165"/>
      <c r="BT362" s="165"/>
      <c r="BV362" s="165"/>
      <c r="BX362" s="165"/>
      <c r="BZ362" s="165"/>
      <c r="CF362" s="165"/>
      <c r="CN362" s="130"/>
      <c r="CO362" s="130"/>
      <c r="CP362" s="130"/>
    </row>
    <row r="363" spans="3:94" ht="15">
      <c r="C363" s="157"/>
      <c r="D363" s="157"/>
      <c r="M363" s="112"/>
      <c r="N363" s="131"/>
      <c r="O363" s="146"/>
      <c r="P363" s="158"/>
      <c r="Q363" s="146"/>
      <c r="R363" s="159"/>
      <c r="S363" s="160"/>
      <c r="T363" s="159"/>
      <c r="U363" s="160"/>
      <c r="V363" s="159"/>
      <c r="W363" s="160"/>
      <c r="X363" s="159"/>
      <c r="Y363" s="160"/>
      <c r="Z363" s="159"/>
      <c r="AA363" s="160"/>
      <c r="AB363" s="159"/>
      <c r="AC363" s="160"/>
      <c r="AD363" s="159"/>
      <c r="AE363" s="160"/>
      <c r="AF363" s="159"/>
      <c r="AH363" s="159"/>
      <c r="AJ363" s="164"/>
      <c r="AK363" s="160"/>
      <c r="AL363" s="165"/>
      <c r="AM363" s="160"/>
      <c r="AN363" s="159"/>
      <c r="AO363" s="160"/>
      <c r="AP363" s="165"/>
      <c r="AQ363" s="160"/>
      <c r="BE363" s="159"/>
      <c r="BF363" s="159"/>
      <c r="BG363" s="159"/>
      <c r="BJ363" s="165"/>
      <c r="BL363" s="165"/>
      <c r="BN363" s="165"/>
      <c r="BP363" s="165"/>
      <c r="BR363" s="165"/>
      <c r="BT363" s="165"/>
      <c r="BV363" s="165"/>
      <c r="BX363" s="165"/>
      <c r="BZ363" s="165"/>
      <c r="CF363" s="165"/>
      <c r="CN363" s="130"/>
      <c r="CO363" s="130"/>
      <c r="CP363" s="130"/>
    </row>
    <row r="364" spans="3:94" ht="15">
      <c r="C364" s="157"/>
      <c r="D364" s="157"/>
      <c r="M364" s="112"/>
      <c r="N364" s="131"/>
      <c r="O364" s="146"/>
      <c r="P364" s="158"/>
      <c r="Q364" s="146"/>
      <c r="R364" s="159"/>
      <c r="S364" s="160"/>
      <c r="T364" s="159"/>
      <c r="U364" s="160"/>
      <c r="V364" s="159"/>
      <c r="W364" s="160"/>
      <c r="X364" s="159"/>
      <c r="Y364" s="160"/>
      <c r="Z364" s="159"/>
      <c r="AA364" s="160"/>
      <c r="AB364" s="159"/>
      <c r="AC364" s="160"/>
      <c r="AD364" s="159"/>
      <c r="AE364" s="160"/>
      <c r="AF364" s="159"/>
      <c r="AH364" s="159"/>
      <c r="AJ364" s="164"/>
      <c r="AK364" s="160"/>
      <c r="AL364" s="165"/>
      <c r="AM364" s="160"/>
      <c r="AN364" s="159"/>
      <c r="AO364" s="160"/>
      <c r="AP364" s="165"/>
      <c r="AQ364" s="160"/>
      <c r="BE364" s="159"/>
      <c r="BF364" s="159"/>
      <c r="BG364" s="159"/>
      <c r="BJ364" s="165"/>
      <c r="BL364" s="165"/>
      <c r="BN364" s="165"/>
      <c r="BP364" s="165"/>
      <c r="BR364" s="165"/>
      <c r="BT364" s="165"/>
      <c r="BV364" s="165"/>
      <c r="BX364" s="165"/>
      <c r="BZ364" s="165"/>
      <c r="CF364" s="165"/>
      <c r="CN364" s="130"/>
      <c r="CO364" s="130"/>
      <c r="CP364" s="130"/>
    </row>
    <row r="365" spans="3:94" ht="15">
      <c r="C365" s="157"/>
      <c r="D365" s="157"/>
      <c r="M365" s="112"/>
      <c r="N365" s="131"/>
      <c r="O365" s="146"/>
      <c r="P365" s="158"/>
      <c r="Q365" s="146"/>
      <c r="R365" s="159"/>
      <c r="S365" s="160"/>
      <c r="T365" s="159"/>
      <c r="U365" s="160"/>
      <c r="V365" s="159"/>
      <c r="W365" s="160"/>
      <c r="X365" s="159"/>
      <c r="Y365" s="160"/>
      <c r="Z365" s="159"/>
      <c r="AA365" s="160"/>
      <c r="AB365" s="159"/>
      <c r="AC365" s="160"/>
      <c r="AD365" s="159"/>
      <c r="AE365" s="160"/>
      <c r="AF365" s="159"/>
      <c r="AH365" s="159"/>
      <c r="AJ365" s="164"/>
      <c r="AK365" s="160"/>
      <c r="AL365" s="165"/>
      <c r="AM365" s="160"/>
      <c r="AN365" s="159"/>
      <c r="AO365" s="160"/>
      <c r="AP365" s="165"/>
      <c r="AQ365" s="160"/>
      <c r="BE365" s="159"/>
      <c r="BF365" s="159"/>
      <c r="BG365" s="159"/>
      <c r="BJ365" s="165"/>
      <c r="BL365" s="165"/>
      <c r="BN365" s="165"/>
      <c r="BP365" s="165"/>
      <c r="BR365" s="165"/>
      <c r="BT365" s="165"/>
      <c r="BV365" s="165"/>
      <c r="BX365" s="165"/>
      <c r="BZ365" s="165"/>
      <c r="CF365" s="165"/>
      <c r="CN365" s="130"/>
      <c r="CO365" s="130"/>
      <c r="CP365" s="130"/>
    </row>
    <row r="366" spans="3:94" ht="15">
      <c r="C366" s="157"/>
      <c r="D366" s="157"/>
      <c r="M366" s="112"/>
      <c r="N366" s="131"/>
      <c r="O366" s="146"/>
      <c r="P366" s="158"/>
      <c r="Q366" s="146"/>
      <c r="R366" s="159"/>
      <c r="S366" s="160"/>
      <c r="T366" s="159"/>
      <c r="U366" s="160"/>
      <c r="V366" s="159"/>
      <c r="W366" s="160"/>
      <c r="X366" s="159"/>
      <c r="Y366" s="160"/>
      <c r="Z366" s="159"/>
      <c r="AA366" s="160"/>
      <c r="AB366" s="159"/>
      <c r="AC366" s="160"/>
      <c r="AD366" s="159"/>
      <c r="AE366" s="160"/>
      <c r="AF366" s="159"/>
      <c r="AH366" s="159"/>
      <c r="AJ366" s="164"/>
      <c r="AK366" s="160"/>
      <c r="AL366" s="165"/>
      <c r="AM366" s="160"/>
      <c r="AN366" s="159"/>
      <c r="AO366" s="160"/>
      <c r="AP366" s="165"/>
      <c r="AQ366" s="160"/>
      <c r="BE366" s="159"/>
      <c r="BF366" s="159"/>
      <c r="BG366" s="159"/>
      <c r="BJ366" s="165"/>
      <c r="BL366" s="165"/>
      <c r="BN366" s="165"/>
      <c r="BP366" s="165"/>
      <c r="BR366" s="165"/>
      <c r="BT366" s="165"/>
      <c r="BV366" s="165"/>
      <c r="BX366" s="165"/>
      <c r="BZ366" s="165"/>
      <c r="CF366" s="165"/>
      <c r="CN366" s="130"/>
      <c r="CO366" s="130"/>
      <c r="CP366" s="130"/>
    </row>
    <row r="367" spans="3:94" ht="15">
      <c r="C367" s="157"/>
      <c r="D367" s="157"/>
      <c r="M367" s="112"/>
      <c r="N367" s="131"/>
      <c r="O367" s="146"/>
      <c r="P367" s="158"/>
      <c r="Q367" s="146"/>
      <c r="R367" s="159"/>
      <c r="S367" s="160"/>
      <c r="T367" s="159"/>
      <c r="U367" s="160"/>
      <c r="V367" s="159"/>
      <c r="W367" s="160"/>
      <c r="X367" s="159"/>
      <c r="Y367" s="160"/>
      <c r="Z367" s="159"/>
      <c r="AA367" s="160"/>
      <c r="AB367" s="159"/>
      <c r="AC367" s="160"/>
      <c r="AD367" s="159"/>
      <c r="AE367" s="160"/>
      <c r="AF367" s="159"/>
      <c r="AH367" s="159"/>
      <c r="AJ367" s="164"/>
      <c r="AK367" s="160"/>
      <c r="AL367" s="165"/>
      <c r="AM367" s="160"/>
      <c r="AN367" s="159"/>
      <c r="AO367" s="160"/>
      <c r="AP367" s="165"/>
      <c r="AQ367" s="160"/>
      <c r="BE367" s="159"/>
      <c r="BF367" s="159"/>
      <c r="BG367" s="159"/>
      <c r="BJ367" s="165"/>
      <c r="BL367" s="165"/>
      <c r="BN367" s="165"/>
      <c r="BP367" s="165"/>
      <c r="BR367" s="165"/>
      <c r="BT367" s="165"/>
      <c r="BV367" s="165"/>
      <c r="BX367" s="165"/>
      <c r="BZ367" s="165"/>
      <c r="CF367" s="165"/>
      <c r="CN367" s="130"/>
      <c r="CO367" s="130"/>
      <c r="CP367" s="130"/>
    </row>
    <row r="368" spans="3:94" ht="15">
      <c r="C368" s="157"/>
      <c r="D368" s="157"/>
      <c r="M368" s="112"/>
      <c r="N368" s="131"/>
      <c r="O368" s="146"/>
      <c r="P368" s="158"/>
      <c r="Q368" s="146"/>
      <c r="R368" s="159"/>
      <c r="S368" s="160"/>
      <c r="T368" s="159"/>
      <c r="U368" s="160"/>
      <c r="V368" s="159"/>
      <c r="W368" s="160"/>
      <c r="X368" s="159"/>
      <c r="Y368" s="160"/>
      <c r="Z368" s="159"/>
      <c r="AA368" s="160"/>
      <c r="AB368" s="159"/>
      <c r="AC368" s="160"/>
      <c r="AD368" s="159"/>
      <c r="AE368" s="160"/>
      <c r="AF368" s="159"/>
      <c r="AH368" s="159"/>
      <c r="AJ368" s="164"/>
      <c r="AK368" s="160"/>
      <c r="AL368" s="165"/>
      <c r="AM368" s="160"/>
      <c r="AN368" s="159"/>
      <c r="AO368" s="160"/>
      <c r="AP368" s="165"/>
      <c r="AQ368" s="160"/>
      <c r="BE368" s="159"/>
      <c r="BF368" s="159"/>
      <c r="BG368" s="159"/>
      <c r="BJ368" s="165"/>
      <c r="BL368" s="165"/>
      <c r="BN368" s="165"/>
      <c r="BP368" s="165"/>
      <c r="BR368" s="165"/>
      <c r="BT368" s="165"/>
      <c r="BV368" s="165"/>
      <c r="BX368" s="165"/>
      <c r="BZ368" s="165"/>
      <c r="CF368" s="165"/>
      <c r="CN368" s="130"/>
      <c r="CO368" s="130"/>
      <c r="CP368" s="130"/>
    </row>
    <row r="369" spans="3:94" ht="15">
      <c r="C369" s="157"/>
      <c r="D369" s="157"/>
      <c r="M369" s="112"/>
      <c r="N369" s="131"/>
      <c r="O369" s="146"/>
      <c r="P369" s="158"/>
      <c r="Q369" s="146"/>
      <c r="R369" s="159"/>
      <c r="S369" s="160"/>
      <c r="T369" s="159"/>
      <c r="U369" s="160"/>
      <c r="V369" s="159"/>
      <c r="W369" s="160"/>
      <c r="X369" s="159"/>
      <c r="Y369" s="160"/>
      <c r="Z369" s="159"/>
      <c r="AA369" s="160"/>
      <c r="AB369" s="159"/>
      <c r="AC369" s="160"/>
      <c r="AD369" s="159"/>
      <c r="AE369" s="160"/>
      <c r="AF369" s="159"/>
      <c r="AH369" s="159"/>
      <c r="AJ369" s="164"/>
      <c r="AK369" s="160"/>
      <c r="AL369" s="165"/>
      <c r="AM369" s="160"/>
      <c r="AN369" s="159"/>
      <c r="AO369" s="160"/>
      <c r="AP369" s="165"/>
      <c r="AQ369" s="160"/>
      <c r="BE369" s="159"/>
      <c r="BF369" s="159"/>
      <c r="BG369" s="159"/>
      <c r="BJ369" s="165"/>
      <c r="BL369" s="165"/>
      <c r="BN369" s="165"/>
      <c r="BP369" s="165"/>
      <c r="BR369" s="165"/>
      <c r="BT369" s="165"/>
      <c r="BV369" s="165"/>
      <c r="BX369" s="165"/>
      <c r="BZ369" s="165"/>
      <c r="CF369" s="165"/>
      <c r="CN369" s="130"/>
      <c r="CO369" s="130"/>
      <c r="CP369" s="130"/>
    </row>
    <row r="370" spans="3:94" ht="15">
      <c r="C370" s="157"/>
      <c r="D370" s="157"/>
      <c r="M370" s="112"/>
      <c r="N370" s="131"/>
      <c r="O370" s="146"/>
      <c r="P370" s="158"/>
      <c r="Q370" s="146"/>
      <c r="R370" s="159"/>
      <c r="S370" s="160"/>
      <c r="T370" s="159"/>
      <c r="U370" s="160"/>
      <c r="V370" s="159"/>
      <c r="W370" s="160"/>
      <c r="X370" s="159"/>
      <c r="Y370" s="160"/>
      <c r="Z370" s="159"/>
      <c r="AA370" s="160"/>
      <c r="AB370" s="159"/>
      <c r="AC370" s="160"/>
      <c r="AD370" s="159"/>
      <c r="AE370" s="160"/>
      <c r="AF370" s="159"/>
      <c r="AH370" s="159"/>
      <c r="AJ370" s="164"/>
      <c r="AK370" s="160"/>
      <c r="AL370" s="165"/>
      <c r="AM370" s="160"/>
      <c r="AN370" s="159"/>
      <c r="AO370" s="160"/>
      <c r="AP370" s="165"/>
      <c r="AQ370" s="160"/>
      <c r="BE370" s="159"/>
      <c r="BF370" s="159"/>
      <c r="BG370" s="159"/>
      <c r="BJ370" s="165"/>
      <c r="BL370" s="165"/>
      <c r="BN370" s="165"/>
      <c r="BP370" s="165"/>
      <c r="BR370" s="165"/>
      <c r="BT370" s="165"/>
      <c r="BV370" s="165"/>
      <c r="BX370" s="165"/>
      <c r="BZ370" s="165"/>
      <c r="CF370" s="165"/>
      <c r="CN370" s="130"/>
      <c r="CO370" s="130"/>
      <c r="CP370" s="130"/>
    </row>
    <row r="371" spans="3:94" ht="15">
      <c r="C371" s="157"/>
      <c r="D371" s="157"/>
      <c r="M371" s="112"/>
      <c r="N371" s="131"/>
      <c r="O371" s="146"/>
      <c r="P371" s="158"/>
      <c r="Q371" s="146"/>
      <c r="R371" s="159"/>
      <c r="S371" s="160"/>
      <c r="T371" s="159"/>
      <c r="U371" s="160"/>
      <c r="V371" s="159"/>
      <c r="W371" s="160"/>
      <c r="X371" s="159"/>
      <c r="Y371" s="160"/>
      <c r="Z371" s="159"/>
      <c r="AA371" s="160"/>
      <c r="AB371" s="159"/>
      <c r="AC371" s="160"/>
      <c r="AD371" s="159"/>
      <c r="AE371" s="160"/>
      <c r="AF371" s="159"/>
      <c r="AH371" s="159"/>
      <c r="AJ371" s="164"/>
      <c r="AK371" s="160"/>
      <c r="AL371" s="165"/>
      <c r="AM371" s="160"/>
      <c r="AN371" s="159"/>
      <c r="AO371" s="160"/>
      <c r="AP371" s="165"/>
      <c r="AQ371" s="160"/>
      <c r="BE371" s="159"/>
      <c r="BF371" s="159"/>
      <c r="BG371" s="159"/>
      <c r="BJ371" s="165"/>
      <c r="BL371" s="165"/>
      <c r="BN371" s="165"/>
      <c r="BP371" s="165"/>
      <c r="BR371" s="165"/>
      <c r="BT371" s="165"/>
      <c r="BV371" s="165"/>
      <c r="BX371" s="165"/>
      <c r="BZ371" s="165"/>
      <c r="CF371" s="165"/>
      <c r="CN371" s="130"/>
      <c r="CO371" s="130"/>
      <c r="CP371" s="130"/>
    </row>
    <row r="372" spans="3:94" ht="15">
      <c r="C372" s="157"/>
      <c r="D372" s="157"/>
      <c r="M372" s="112"/>
      <c r="N372" s="131"/>
      <c r="O372" s="146"/>
      <c r="P372" s="158"/>
      <c r="Q372" s="146"/>
      <c r="R372" s="159"/>
      <c r="S372" s="160"/>
      <c r="T372" s="159"/>
      <c r="U372" s="160"/>
      <c r="V372" s="159"/>
      <c r="W372" s="160"/>
      <c r="X372" s="159"/>
      <c r="Y372" s="160"/>
      <c r="Z372" s="159"/>
      <c r="AA372" s="160"/>
      <c r="AB372" s="159"/>
      <c r="AC372" s="160"/>
      <c r="AD372" s="159"/>
      <c r="AE372" s="160"/>
      <c r="AF372" s="159"/>
      <c r="AH372" s="159"/>
      <c r="AJ372" s="164"/>
      <c r="AK372" s="160"/>
      <c r="AL372" s="165"/>
      <c r="AM372" s="160"/>
      <c r="AN372" s="159"/>
      <c r="AO372" s="160"/>
      <c r="AP372" s="165"/>
      <c r="AQ372" s="160"/>
      <c r="BE372" s="159"/>
      <c r="BF372" s="159"/>
      <c r="BG372" s="159"/>
      <c r="BJ372" s="165"/>
      <c r="BL372" s="165"/>
      <c r="BN372" s="165"/>
      <c r="BP372" s="165"/>
      <c r="BR372" s="165"/>
      <c r="BT372" s="165"/>
      <c r="BV372" s="165"/>
      <c r="BX372" s="165"/>
      <c r="BZ372" s="165"/>
      <c r="CF372" s="165"/>
      <c r="CN372" s="130"/>
      <c r="CO372" s="130"/>
      <c r="CP372" s="130"/>
    </row>
    <row r="373" spans="3:94" ht="15">
      <c r="C373" s="157"/>
      <c r="D373" s="157"/>
      <c r="M373" s="112"/>
      <c r="N373" s="131"/>
      <c r="O373" s="146"/>
      <c r="P373" s="158"/>
      <c r="Q373" s="146"/>
      <c r="R373" s="159"/>
      <c r="S373" s="160"/>
      <c r="T373" s="159"/>
      <c r="U373" s="160"/>
      <c r="V373" s="159"/>
      <c r="W373" s="160"/>
      <c r="X373" s="159"/>
      <c r="Y373" s="160"/>
      <c r="Z373" s="159"/>
      <c r="AA373" s="160"/>
      <c r="AB373" s="159"/>
      <c r="AC373" s="160"/>
      <c r="AD373" s="159"/>
      <c r="AE373" s="160"/>
      <c r="AF373" s="159"/>
      <c r="AH373" s="159"/>
      <c r="AJ373" s="164"/>
      <c r="AK373" s="160"/>
      <c r="AL373" s="165"/>
      <c r="AM373" s="160"/>
      <c r="AN373" s="159"/>
      <c r="AO373" s="160"/>
      <c r="AP373" s="165"/>
      <c r="AQ373" s="160"/>
      <c r="BE373" s="159"/>
      <c r="BF373" s="159"/>
      <c r="BG373" s="159"/>
      <c r="BJ373" s="165"/>
      <c r="BL373" s="165"/>
      <c r="BN373" s="165"/>
      <c r="BP373" s="165"/>
      <c r="BR373" s="165"/>
      <c r="BT373" s="165"/>
      <c r="BV373" s="165"/>
      <c r="BX373" s="165"/>
      <c r="BZ373" s="165"/>
      <c r="CF373" s="165"/>
      <c r="CN373" s="130"/>
      <c r="CO373" s="130"/>
      <c r="CP373" s="130"/>
    </row>
    <row r="374" spans="3:94" ht="15">
      <c r="C374" s="157"/>
      <c r="D374" s="157"/>
      <c r="M374" s="112"/>
      <c r="N374" s="131"/>
      <c r="O374" s="146"/>
      <c r="P374" s="158"/>
      <c r="Q374" s="146"/>
      <c r="R374" s="159"/>
      <c r="S374" s="160"/>
      <c r="T374" s="159"/>
      <c r="U374" s="160"/>
      <c r="V374" s="159"/>
      <c r="W374" s="160"/>
      <c r="X374" s="159"/>
      <c r="Y374" s="160"/>
      <c r="Z374" s="159"/>
      <c r="AA374" s="160"/>
      <c r="AB374" s="159"/>
      <c r="AC374" s="160"/>
      <c r="AD374" s="159"/>
      <c r="AE374" s="160"/>
      <c r="AF374" s="159"/>
      <c r="AH374" s="159"/>
      <c r="AJ374" s="164"/>
      <c r="AK374" s="160"/>
      <c r="AL374" s="165"/>
      <c r="AM374" s="160"/>
      <c r="AN374" s="159"/>
      <c r="AO374" s="160"/>
      <c r="AP374" s="165"/>
      <c r="AQ374" s="160"/>
      <c r="BE374" s="159"/>
      <c r="BF374" s="159"/>
      <c r="BG374" s="159"/>
      <c r="BJ374" s="165"/>
      <c r="BL374" s="165"/>
      <c r="BN374" s="165"/>
      <c r="BP374" s="165"/>
      <c r="BR374" s="165"/>
      <c r="BT374" s="165"/>
      <c r="BV374" s="165"/>
      <c r="BX374" s="165"/>
      <c r="BZ374" s="165"/>
      <c r="CF374" s="165"/>
      <c r="CN374" s="130"/>
      <c r="CO374" s="130"/>
      <c r="CP374" s="130"/>
    </row>
    <row r="375" spans="3:94" ht="15">
      <c r="C375" s="157"/>
      <c r="D375" s="157"/>
      <c r="M375" s="112"/>
      <c r="N375" s="131"/>
      <c r="O375" s="146"/>
      <c r="P375" s="158"/>
      <c r="Q375" s="146"/>
      <c r="R375" s="159"/>
      <c r="S375" s="160"/>
      <c r="T375" s="159"/>
      <c r="U375" s="160"/>
      <c r="V375" s="159"/>
      <c r="W375" s="160"/>
      <c r="X375" s="159"/>
      <c r="Y375" s="160"/>
      <c r="Z375" s="159"/>
      <c r="AA375" s="160"/>
      <c r="AB375" s="159"/>
      <c r="AC375" s="160"/>
      <c r="AD375" s="159"/>
      <c r="AE375" s="160"/>
      <c r="AF375" s="159"/>
      <c r="AH375" s="159"/>
      <c r="AJ375" s="164"/>
      <c r="AK375" s="160"/>
      <c r="AL375" s="165"/>
      <c r="AM375" s="160"/>
      <c r="AN375" s="159"/>
      <c r="AO375" s="160"/>
      <c r="AP375" s="165"/>
      <c r="AQ375" s="160"/>
      <c r="BE375" s="159"/>
      <c r="BF375" s="159"/>
      <c r="BG375" s="159"/>
      <c r="BJ375" s="165"/>
      <c r="BL375" s="165"/>
      <c r="BN375" s="165"/>
      <c r="BP375" s="165"/>
      <c r="BR375" s="165"/>
      <c r="BT375" s="165"/>
      <c r="BV375" s="165"/>
      <c r="BX375" s="165"/>
      <c r="BZ375" s="165"/>
      <c r="CF375" s="165"/>
      <c r="CN375" s="130"/>
      <c r="CO375" s="130"/>
      <c r="CP375" s="130"/>
    </row>
    <row r="376" spans="3:94" ht="15">
      <c r="C376" s="157"/>
      <c r="D376" s="157"/>
      <c r="M376" s="112"/>
      <c r="N376" s="131"/>
      <c r="O376" s="146"/>
      <c r="P376" s="158"/>
      <c r="Q376" s="146"/>
      <c r="R376" s="159"/>
      <c r="S376" s="160"/>
      <c r="T376" s="159"/>
      <c r="U376" s="160"/>
      <c r="V376" s="159"/>
      <c r="W376" s="160"/>
      <c r="X376" s="159"/>
      <c r="Y376" s="160"/>
      <c r="Z376" s="159"/>
      <c r="AA376" s="160"/>
      <c r="AB376" s="159"/>
      <c r="AC376" s="160"/>
      <c r="AD376" s="159"/>
      <c r="AE376" s="160"/>
      <c r="AF376" s="159"/>
      <c r="AH376" s="159"/>
      <c r="AJ376" s="164"/>
      <c r="AK376" s="160"/>
      <c r="AL376" s="165"/>
      <c r="AM376" s="160"/>
      <c r="AN376" s="159"/>
      <c r="AO376" s="160"/>
      <c r="AP376" s="165"/>
      <c r="AQ376" s="160"/>
      <c r="BE376" s="159"/>
      <c r="BF376" s="159"/>
      <c r="BG376" s="159"/>
      <c r="BJ376" s="165"/>
      <c r="BL376" s="165"/>
      <c r="BN376" s="165"/>
      <c r="BP376" s="165"/>
      <c r="BR376" s="165"/>
      <c r="BT376" s="165"/>
      <c r="BV376" s="165"/>
      <c r="BX376" s="165"/>
      <c r="BZ376" s="165"/>
      <c r="CF376" s="165"/>
      <c r="CN376" s="130"/>
      <c r="CO376" s="130"/>
      <c r="CP376" s="130"/>
    </row>
    <row r="377" spans="3:94" ht="15">
      <c r="C377" s="157"/>
      <c r="D377" s="157"/>
      <c r="K377" s="131"/>
      <c r="M377" s="158"/>
      <c r="AG377" s="164"/>
      <c r="AI377" s="165"/>
      <c r="AM377" s="165"/>
      <c r="BG377" s="165"/>
      <c r="BI377" s="165"/>
      <c r="BK377" s="165"/>
      <c r="BM377" s="165"/>
      <c r="BO377" s="165"/>
      <c r="BQ377" s="165"/>
      <c r="BS377" s="165"/>
      <c r="BU377" s="165"/>
      <c r="BW377" s="165"/>
      <c r="CC377" s="165"/>
    </row>
    <row r="378" spans="3:94" ht="15">
      <c r="C378" s="157"/>
      <c r="D378" s="157"/>
      <c r="K378" s="131"/>
      <c r="M378" s="158"/>
      <c r="AG378" s="164"/>
      <c r="AI378" s="165"/>
      <c r="AM378" s="165"/>
      <c r="BG378" s="165"/>
      <c r="BI378" s="165"/>
      <c r="BK378" s="165"/>
      <c r="BM378" s="165"/>
      <c r="BO378" s="165"/>
      <c r="BQ378" s="165"/>
      <c r="BS378" s="165"/>
      <c r="BU378" s="165"/>
      <c r="BW378" s="165"/>
      <c r="CC378" s="165"/>
    </row>
    <row r="379" spans="3:94" ht="15">
      <c r="C379" s="157"/>
      <c r="D379" s="157"/>
      <c r="K379" s="131"/>
      <c r="M379" s="158"/>
      <c r="AG379" s="164"/>
      <c r="AI379" s="165"/>
      <c r="AM379" s="165"/>
      <c r="BG379" s="165"/>
      <c r="BI379" s="165"/>
      <c r="BK379" s="165"/>
      <c r="BM379" s="165"/>
      <c r="BO379" s="165"/>
      <c r="BQ379" s="165"/>
      <c r="BS379" s="165"/>
      <c r="BU379" s="165"/>
      <c r="BW379" s="165"/>
      <c r="CC379" s="165"/>
    </row>
    <row r="380" spans="3:94" ht="15">
      <c r="C380" s="157"/>
      <c r="D380" s="157"/>
      <c r="K380" s="131"/>
      <c r="M380" s="158"/>
      <c r="AG380" s="164"/>
      <c r="AI380" s="165"/>
      <c r="AM380" s="165"/>
      <c r="BG380" s="165"/>
      <c r="BI380" s="165"/>
      <c r="BK380" s="165"/>
      <c r="BM380" s="165"/>
      <c r="BO380" s="165"/>
      <c r="BQ380" s="165"/>
      <c r="BS380" s="165"/>
      <c r="BU380" s="165"/>
      <c r="BW380" s="165"/>
      <c r="CC380" s="165"/>
    </row>
    <row r="381" spans="3:94" ht="15">
      <c r="C381" s="157"/>
      <c r="D381" s="157"/>
      <c r="K381" s="131"/>
      <c r="M381" s="158"/>
      <c r="AG381" s="164"/>
      <c r="AI381" s="165"/>
      <c r="AM381" s="165"/>
      <c r="BG381" s="165"/>
      <c r="BI381" s="165"/>
      <c r="BK381" s="165"/>
      <c r="BM381" s="165"/>
      <c r="BO381" s="165"/>
      <c r="BQ381" s="165"/>
      <c r="BS381" s="165"/>
      <c r="BU381" s="165"/>
      <c r="BW381" s="165"/>
      <c r="CC381" s="165"/>
    </row>
    <row r="382" spans="3:94" ht="15">
      <c r="C382" s="157"/>
      <c r="D382" s="157"/>
      <c r="K382" s="131"/>
      <c r="M382" s="158"/>
      <c r="AG382" s="164"/>
      <c r="AI382" s="165"/>
      <c r="AM382" s="165"/>
      <c r="BG382" s="165"/>
      <c r="BI382" s="165"/>
      <c r="BK382" s="165"/>
      <c r="BM382" s="165"/>
      <c r="BO382" s="165"/>
      <c r="BQ382" s="165"/>
      <c r="BS382" s="165"/>
      <c r="BU382" s="165"/>
      <c r="BW382" s="165"/>
      <c r="CC382" s="165"/>
    </row>
    <row r="383" spans="3:94" ht="15">
      <c r="C383" s="157"/>
      <c r="D383" s="157"/>
      <c r="K383" s="131"/>
      <c r="M383" s="158"/>
      <c r="AG383" s="164"/>
      <c r="AI383" s="165"/>
      <c r="AM383" s="165"/>
      <c r="BG383" s="165"/>
      <c r="BI383" s="165"/>
      <c r="BK383" s="165"/>
      <c r="BM383" s="165"/>
      <c r="BO383" s="165"/>
      <c r="BQ383" s="165"/>
      <c r="BS383" s="165"/>
      <c r="BU383" s="165"/>
      <c r="BW383" s="165"/>
      <c r="CC383" s="165"/>
    </row>
    <row r="384" spans="3:94" ht="15">
      <c r="C384" s="157"/>
      <c r="D384" s="157"/>
      <c r="K384" s="131"/>
      <c r="M384" s="158"/>
      <c r="AG384" s="164"/>
      <c r="AI384" s="165"/>
      <c r="AM384" s="165"/>
      <c r="BG384" s="165"/>
      <c r="BI384" s="165"/>
      <c r="BK384" s="165"/>
      <c r="BM384" s="165"/>
      <c r="BO384" s="165"/>
      <c r="BQ384" s="165"/>
      <c r="BS384" s="165"/>
      <c r="BU384" s="165"/>
      <c r="BW384" s="165"/>
      <c r="CC384" s="165"/>
    </row>
    <row r="385" spans="3:81" ht="15">
      <c r="C385" s="157"/>
      <c r="D385" s="157"/>
      <c r="K385" s="131"/>
      <c r="M385" s="158"/>
      <c r="AG385" s="164"/>
      <c r="AI385" s="165"/>
      <c r="AM385" s="165"/>
      <c r="BG385" s="165"/>
      <c r="BI385" s="165"/>
      <c r="BK385" s="165"/>
      <c r="BM385" s="165"/>
      <c r="BO385" s="165"/>
      <c r="BQ385" s="165"/>
      <c r="BS385" s="165"/>
      <c r="BU385" s="165"/>
      <c r="BW385" s="165"/>
      <c r="CC385" s="165"/>
    </row>
    <row r="386" spans="3:81" ht="15">
      <c r="C386" s="157"/>
      <c r="D386" s="157"/>
      <c r="K386" s="131"/>
      <c r="M386" s="158"/>
      <c r="AG386" s="164"/>
      <c r="AI386" s="165"/>
      <c r="AM386" s="165"/>
      <c r="BG386" s="165"/>
      <c r="BI386" s="165"/>
      <c r="BK386" s="165"/>
      <c r="BM386" s="165"/>
      <c r="BO386" s="165"/>
      <c r="BQ386" s="165"/>
      <c r="BS386" s="165"/>
      <c r="BU386" s="165"/>
      <c r="BW386" s="165"/>
      <c r="CC386" s="165"/>
    </row>
    <row r="387" spans="3:81" ht="15">
      <c r="C387" s="157"/>
      <c r="D387" s="157"/>
      <c r="K387" s="131"/>
      <c r="M387" s="158"/>
      <c r="AG387" s="164"/>
      <c r="AI387" s="165"/>
      <c r="AM387" s="165"/>
      <c r="BG387" s="165"/>
      <c r="BI387" s="165"/>
      <c r="BK387" s="165"/>
      <c r="BM387" s="165"/>
      <c r="BO387" s="165"/>
      <c r="BQ387" s="165"/>
      <c r="BS387" s="165"/>
      <c r="BU387" s="165"/>
      <c r="BW387" s="165"/>
      <c r="CC387" s="165"/>
    </row>
    <row r="388" spans="3:81" ht="15">
      <c r="C388" s="157"/>
      <c r="D388" s="157"/>
      <c r="K388" s="131"/>
      <c r="M388" s="158"/>
      <c r="AG388" s="164"/>
      <c r="AI388" s="165"/>
      <c r="AM388" s="165"/>
      <c r="BG388" s="165"/>
      <c r="BI388" s="165"/>
      <c r="BK388" s="165"/>
      <c r="BM388" s="165"/>
      <c r="BO388" s="165"/>
      <c r="BQ388" s="165"/>
      <c r="BS388" s="165"/>
      <c r="BU388" s="165"/>
      <c r="BW388" s="165"/>
      <c r="CC388" s="165"/>
    </row>
    <row r="389" spans="3:81" ht="15">
      <c r="C389" s="157"/>
      <c r="D389" s="157"/>
      <c r="K389" s="131"/>
      <c r="M389" s="158"/>
      <c r="AG389" s="164"/>
      <c r="AI389" s="165"/>
      <c r="AM389" s="165"/>
      <c r="BG389" s="165"/>
      <c r="BI389" s="165"/>
      <c r="BK389" s="165"/>
      <c r="BM389" s="165"/>
      <c r="BO389" s="165"/>
      <c r="BQ389" s="165"/>
      <c r="BS389" s="165"/>
      <c r="BU389" s="165"/>
      <c r="BW389" s="165"/>
      <c r="CC389" s="165"/>
    </row>
    <row r="390" spans="3:81" ht="15">
      <c r="C390" s="157"/>
      <c r="D390" s="157"/>
      <c r="K390" s="131"/>
      <c r="M390" s="158"/>
      <c r="AG390" s="164"/>
      <c r="AI390" s="165"/>
      <c r="AM390" s="165"/>
      <c r="BG390" s="165"/>
      <c r="BI390" s="165"/>
      <c r="BK390" s="165"/>
      <c r="BM390" s="165"/>
      <c r="BO390" s="165"/>
      <c r="BQ390" s="165"/>
      <c r="BS390" s="165"/>
      <c r="BU390" s="165"/>
      <c r="BW390" s="165"/>
      <c r="CC390" s="165"/>
    </row>
    <row r="391" spans="3:81" ht="15">
      <c r="C391" s="157"/>
      <c r="D391" s="157"/>
      <c r="K391" s="131"/>
      <c r="M391" s="158"/>
      <c r="AG391" s="164"/>
      <c r="AI391" s="165"/>
      <c r="AM391" s="165"/>
      <c r="BG391" s="165"/>
      <c r="BI391" s="165"/>
      <c r="BK391" s="165"/>
      <c r="BM391" s="165"/>
      <c r="BO391" s="165"/>
      <c r="BQ391" s="165"/>
      <c r="BS391" s="165"/>
      <c r="BU391" s="165"/>
      <c r="BW391" s="165"/>
      <c r="CC391" s="165"/>
    </row>
    <row r="392" spans="3:81" ht="15">
      <c r="C392" s="157"/>
      <c r="D392" s="157"/>
      <c r="K392" s="131"/>
      <c r="M392" s="158"/>
      <c r="AG392" s="164"/>
      <c r="AI392" s="165"/>
      <c r="AM392" s="165"/>
      <c r="BG392" s="165"/>
      <c r="BI392" s="165"/>
      <c r="BK392" s="165"/>
      <c r="BM392" s="165"/>
      <c r="BO392" s="165"/>
      <c r="BQ392" s="165"/>
      <c r="BS392" s="165"/>
      <c r="BU392" s="165"/>
      <c r="BW392" s="165"/>
      <c r="CC392" s="165"/>
    </row>
    <row r="393" spans="3:81" ht="15">
      <c r="C393" s="157"/>
      <c r="D393" s="157"/>
      <c r="K393" s="131"/>
      <c r="M393" s="158"/>
      <c r="AG393" s="164"/>
      <c r="AI393" s="165"/>
      <c r="AM393" s="165"/>
      <c r="BG393" s="165"/>
      <c r="BI393" s="165"/>
      <c r="BK393" s="165"/>
      <c r="BM393" s="165"/>
      <c r="BO393" s="165"/>
      <c r="BQ393" s="165"/>
      <c r="BS393" s="165"/>
      <c r="BU393" s="165"/>
      <c r="BW393" s="165"/>
      <c r="CC393" s="165"/>
    </row>
    <row r="394" spans="3:81" ht="15">
      <c r="C394" s="157"/>
      <c r="D394" s="157"/>
      <c r="K394" s="131"/>
      <c r="M394" s="158"/>
      <c r="AG394" s="164"/>
      <c r="AI394" s="165"/>
      <c r="AM394" s="165"/>
      <c r="BG394" s="165"/>
      <c r="BI394" s="165"/>
      <c r="BK394" s="165"/>
      <c r="BM394" s="165"/>
      <c r="BO394" s="165"/>
      <c r="BQ394" s="165"/>
      <c r="BS394" s="165"/>
      <c r="BU394" s="165"/>
      <c r="BW394" s="165"/>
      <c r="CC394" s="165"/>
    </row>
    <row r="395" spans="3:81" ht="15">
      <c r="C395" s="157"/>
      <c r="D395" s="157"/>
      <c r="K395" s="131"/>
      <c r="M395" s="158"/>
      <c r="AG395" s="164"/>
      <c r="AI395" s="165"/>
      <c r="AM395" s="165"/>
      <c r="BG395" s="165"/>
      <c r="BI395" s="165"/>
      <c r="BK395" s="165"/>
      <c r="BM395" s="165"/>
      <c r="BO395" s="165"/>
      <c r="BQ395" s="165"/>
      <c r="BS395" s="165"/>
      <c r="BU395" s="165"/>
      <c r="BW395" s="165"/>
      <c r="CC395" s="165"/>
    </row>
    <row r="396" spans="3:81" ht="15">
      <c r="C396" s="157"/>
      <c r="D396" s="157"/>
      <c r="K396" s="131"/>
      <c r="M396" s="158"/>
      <c r="AG396" s="164"/>
      <c r="AI396" s="165"/>
      <c r="AM396" s="165"/>
      <c r="BG396" s="165"/>
      <c r="BI396" s="165"/>
      <c r="BK396" s="165"/>
      <c r="BM396" s="165"/>
      <c r="BO396" s="165"/>
      <c r="BQ396" s="165"/>
      <c r="BS396" s="165"/>
      <c r="BU396" s="165"/>
      <c r="BW396" s="165"/>
      <c r="CC396" s="165"/>
    </row>
    <row r="397" spans="3:81" ht="15">
      <c r="C397" s="157"/>
      <c r="D397" s="157"/>
      <c r="K397" s="131"/>
      <c r="M397" s="158"/>
      <c r="AG397" s="164"/>
      <c r="AI397" s="165"/>
      <c r="AM397" s="165"/>
      <c r="BG397" s="165"/>
      <c r="BI397" s="165"/>
      <c r="BK397" s="165"/>
      <c r="BM397" s="165"/>
      <c r="BO397" s="165"/>
      <c r="BQ397" s="165"/>
      <c r="BS397" s="165"/>
      <c r="BU397" s="165"/>
      <c r="BW397" s="165"/>
      <c r="CC397" s="165"/>
    </row>
    <row r="398" spans="3:81" ht="15">
      <c r="C398" s="157"/>
      <c r="D398" s="157"/>
      <c r="K398" s="131"/>
      <c r="M398" s="158"/>
      <c r="AG398" s="164"/>
      <c r="AI398" s="165"/>
      <c r="AM398" s="165"/>
      <c r="BG398" s="165"/>
      <c r="BI398" s="165"/>
      <c r="BK398" s="165"/>
      <c r="BM398" s="165"/>
      <c r="BO398" s="165"/>
      <c r="BQ398" s="165"/>
      <c r="BS398" s="165"/>
      <c r="BU398" s="165"/>
      <c r="BW398" s="165"/>
      <c r="CC398" s="165"/>
    </row>
    <row r="399" spans="3:81" ht="15">
      <c r="C399" s="157"/>
      <c r="D399" s="157"/>
      <c r="K399" s="131"/>
      <c r="M399" s="158"/>
      <c r="AG399" s="164"/>
      <c r="AI399" s="165"/>
      <c r="AM399" s="165"/>
      <c r="BG399" s="165"/>
      <c r="BI399" s="165"/>
      <c r="BK399" s="165"/>
      <c r="BM399" s="165"/>
      <c r="BO399" s="165"/>
      <c r="BQ399" s="165"/>
      <c r="BS399" s="165"/>
      <c r="BU399" s="165"/>
      <c r="BW399" s="165"/>
      <c r="CC399" s="165"/>
    </row>
    <row r="400" spans="3:81" ht="15">
      <c r="C400" s="157"/>
      <c r="D400" s="157"/>
      <c r="K400" s="131"/>
      <c r="M400" s="158"/>
      <c r="AG400" s="164"/>
      <c r="AI400" s="165"/>
      <c r="AM400" s="165"/>
      <c r="BG400" s="165"/>
      <c r="BI400" s="165"/>
      <c r="BK400" s="165"/>
      <c r="BM400" s="165"/>
      <c r="BO400" s="165"/>
      <c r="BQ400" s="165"/>
      <c r="BS400" s="165"/>
      <c r="BU400" s="165"/>
      <c r="BW400" s="165"/>
      <c r="CC400" s="165"/>
    </row>
    <row r="401" spans="3:81" ht="15">
      <c r="C401" s="157"/>
      <c r="D401" s="157"/>
      <c r="K401" s="131"/>
      <c r="M401" s="158"/>
      <c r="AG401" s="164"/>
      <c r="AI401" s="165"/>
      <c r="AM401" s="165"/>
      <c r="BG401" s="165"/>
      <c r="BI401" s="165"/>
      <c r="BK401" s="165"/>
      <c r="BM401" s="165"/>
      <c r="BO401" s="165"/>
      <c r="BQ401" s="165"/>
      <c r="BS401" s="165"/>
      <c r="BU401" s="165"/>
      <c r="BW401" s="165"/>
      <c r="CC401" s="165"/>
    </row>
    <row r="402" spans="3:81" ht="15">
      <c r="C402" s="157"/>
      <c r="D402" s="157"/>
      <c r="K402" s="131"/>
      <c r="M402" s="158"/>
      <c r="AG402" s="164"/>
      <c r="AI402" s="165"/>
      <c r="AM402" s="165"/>
      <c r="BG402" s="165"/>
      <c r="BI402" s="165"/>
      <c r="BK402" s="165"/>
      <c r="BM402" s="165"/>
      <c r="BO402" s="165"/>
      <c r="BQ402" s="165"/>
      <c r="BS402" s="165"/>
      <c r="BU402" s="165"/>
      <c r="BW402" s="165"/>
      <c r="CC402" s="165"/>
    </row>
    <row r="403" spans="3:81" ht="15">
      <c r="C403" s="157"/>
      <c r="D403" s="157"/>
      <c r="K403" s="131"/>
      <c r="M403" s="158"/>
      <c r="AG403" s="164"/>
      <c r="AI403" s="165"/>
      <c r="AM403" s="165"/>
      <c r="BG403" s="165"/>
      <c r="BI403" s="165"/>
      <c r="BK403" s="165"/>
      <c r="BM403" s="165"/>
      <c r="BO403" s="165"/>
      <c r="BQ403" s="165"/>
      <c r="BS403" s="165"/>
      <c r="BU403" s="165"/>
      <c r="BW403" s="165"/>
      <c r="CC403" s="165"/>
    </row>
    <row r="404" spans="3:81" ht="15">
      <c r="C404" s="157"/>
      <c r="D404" s="157"/>
      <c r="K404" s="131"/>
      <c r="M404" s="158"/>
      <c r="AG404" s="164"/>
      <c r="AI404" s="165"/>
      <c r="AM404" s="165"/>
      <c r="BG404" s="165"/>
      <c r="BI404" s="165"/>
      <c r="BK404" s="165"/>
      <c r="BM404" s="165"/>
      <c r="BO404" s="165"/>
      <c r="BQ404" s="165"/>
      <c r="BS404" s="165"/>
      <c r="BU404" s="165"/>
      <c r="BW404" s="165"/>
      <c r="CC404" s="165"/>
    </row>
    <row r="405" spans="3:81" ht="15">
      <c r="C405" s="157"/>
      <c r="D405" s="157"/>
      <c r="K405" s="131"/>
      <c r="M405" s="158"/>
      <c r="AG405" s="164"/>
      <c r="AI405" s="165"/>
      <c r="AM405" s="165"/>
      <c r="BG405" s="165"/>
      <c r="BI405" s="165"/>
      <c r="BK405" s="165"/>
      <c r="BM405" s="165"/>
      <c r="BO405" s="165"/>
      <c r="BQ405" s="165"/>
      <c r="BS405" s="165"/>
      <c r="BU405" s="165"/>
      <c r="BW405" s="165"/>
      <c r="CC405" s="165"/>
    </row>
    <row r="406" spans="3:81" ht="15">
      <c r="C406" s="157"/>
      <c r="D406" s="157"/>
      <c r="K406" s="131"/>
      <c r="M406" s="158"/>
      <c r="AG406" s="164"/>
      <c r="AI406" s="165"/>
      <c r="AM406" s="165"/>
      <c r="BG406" s="165"/>
      <c r="BI406" s="165"/>
      <c r="BK406" s="165"/>
      <c r="BM406" s="165"/>
      <c r="BO406" s="165"/>
      <c r="BQ406" s="165"/>
      <c r="BS406" s="165"/>
      <c r="BU406" s="165"/>
      <c r="BW406" s="165"/>
      <c r="CC406" s="165"/>
    </row>
    <row r="407" spans="3:81" ht="15">
      <c r="C407" s="157"/>
      <c r="D407" s="157"/>
      <c r="K407" s="131"/>
      <c r="M407" s="158"/>
      <c r="AG407" s="164"/>
      <c r="AI407" s="165"/>
      <c r="AM407" s="165"/>
      <c r="BG407" s="165"/>
      <c r="BI407" s="165"/>
      <c r="BK407" s="165"/>
      <c r="BM407" s="165"/>
      <c r="BO407" s="165"/>
      <c r="BQ407" s="165"/>
      <c r="BS407" s="165"/>
      <c r="BU407" s="165"/>
      <c r="BW407" s="165"/>
      <c r="CC407" s="165"/>
    </row>
    <row r="408" spans="3:81" ht="15">
      <c r="C408" s="157"/>
      <c r="D408" s="157"/>
      <c r="K408" s="131"/>
      <c r="M408" s="158"/>
      <c r="AG408" s="164"/>
      <c r="AI408" s="165"/>
      <c r="AM408" s="165"/>
      <c r="BG408" s="165"/>
      <c r="BI408" s="165"/>
      <c r="BK408" s="165"/>
      <c r="BM408" s="165"/>
      <c r="BO408" s="165"/>
      <c r="BQ408" s="165"/>
      <c r="BS408" s="165"/>
      <c r="BU408" s="165"/>
      <c r="BW408" s="165"/>
      <c r="CC408" s="165"/>
    </row>
    <row r="409" spans="3:81" ht="15">
      <c r="C409" s="157"/>
      <c r="D409" s="157"/>
      <c r="K409" s="131"/>
      <c r="M409" s="158"/>
      <c r="AG409" s="164"/>
      <c r="AI409" s="165"/>
      <c r="AM409" s="165"/>
      <c r="BG409" s="165"/>
      <c r="BI409" s="165"/>
      <c r="BK409" s="165"/>
      <c r="BM409" s="165"/>
      <c r="BO409" s="165"/>
      <c r="BQ409" s="165"/>
      <c r="BS409" s="165"/>
      <c r="BU409" s="165"/>
      <c r="BW409" s="165"/>
      <c r="CC409" s="165"/>
    </row>
    <row r="410" spans="3:81" ht="15">
      <c r="C410" s="157"/>
      <c r="D410" s="157"/>
      <c r="K410" s="131"/>
      <c r="M410" s="158"/>
      <c r="AG410" s="164"/>
      <c r="AI410" s="165"/>
      <c r="AM410" s="165"/>
      <c r="BG410" s="165"/>
      <c r="BI410" s="165"/>
      <c r="BK410" s="165"/>
      <c r="BM410" s="165"/>
      <c r="BO410" s="165"/>
      <c r="BQ410" s="165"/>
      <c r="BS410" s="165"/>
      <c r="BU410" s="165"/>
      <c r="BW410" s="165"/>
      <c r="CC410" s="165"/>
    </row>
    <row r="411" spans="3:81" ht="15">
      <c r="C411" s="157"/>
      <c r="D411" s="157"/>
      <c r="K411" s="131"/>
      <c r="M411" s="158"/>
      <c r="AG411" s="164"/>
      <c r="AI411" s="165"/>
      <c r="AM411" s="165"/>
      <c r="BG411" s="165"/>
      <c r="BI411" s="165"/>
      <c r="BK411" s="165"/>
      <c r="BM411" s="165"/>
      <c r="BO411" s="165"/>
      <c r="BQ411" s="165"/>
      <c r="BS411" s="165"/>
      <c r="BU411" s="165"/>
      <c r="BW411" s="165"/>
      <c r="CC411" s="165"/>
    </row>
    <row r="412" spans="3:81" ht="15">
      <c r="C412" s="157"/>
      <c r="D412" s="157"/>
      <c r="K412" s="131"/>
      <c r="M412" s="158"/>
      <c r="AG412" s="164"/>
      <c r="AI412" s="165"/>
      <c r="AM412" s="165"/>
      <c r="BG412" s="165"/>
      <c r="BI412" s="165"/>
      <c r="BK412" s="165"/>
      <c r="BM412" s="165"/>
      <c r="BO412" s="165"/>
      <c r="BQ412" s="165"/>
      <c r="BS412" s="165"/>
      <c r="BU412" s="165"/>
      <c r="BW412" s="165"/>
      <c r="CC412" s="165"/>
    </row>
    <row r="413" spans="3:81" ht="15">
      <c r="C413" s="157"/>
      <c r="D413" s="157"/>
      <c r="K413" s="131"/>
      <c r="M413" s="158"/>
      <c r="AG413" s="164"/>
      <c r="AI413" s="165"/>
      <c r="AM413" s="165"/>
      <c r="BG413" s="165"/>
      <c r="BI413" s="165"/>
      <c r="BK413" s="165"/>
      <c r="BM413" s="165"/>
      <c r="BO413" s="165"/>
      <c r="BQ413" s="165"/>
      <c r="BS413" s="165"/>
      <c r="BU413" s="165"/>
      <c r="BW413" s="165"/>
      <c r="CC413" s="165"/>
    </row>
    <row r="414" spans="3:81" ht="15">
      <c r="C414" s="157"/>
      <c r="D414" s="157"/>
      <c r="K414" s="131"/>
      <c r="M414" s="158"/>
      <c r="AG414" s="164"/>
      <c r="AI414" s="165"/>
      <c r="AM414" s="165"/>
      <c r="BG414" s="165"/>
      <c r="BI414" s="165"/>
      <c r="BK414" s="165"/>
      <c r="BM414" s="165"/>
      <c r="BO414" s="165"/>
      <c r="BQ414" s="165"/>
      <c r="BS414" s="165"/>
      <c r="BU414" s="165"/>
      <c r="BW414" s="165"/>
      <c r="CC414" s="165"/>
    </row>
    <row r="415" spans="3:81" ht="15">
      <c r="C415" s="157"/>
      <c r="D415" s="157"/>
      <c r="K415" s="131"/>
      <c r="M415" s="158"/>
      <c r="AG415" s="164"/>
      <c r="AI415" s="165"/>
      <c r="AM415" s="165"/>
      <c r="BG415" s="165"/>
      <c r="BI415" s="165"/>
      <c r="BK415" s="165"/>
      <c r="BM415" s="165"/>
      <c r="BO415" s="165"/>
      <c r="BQ415" s="165"/>
      <c r="BS415" s="165"/>
      <c r="BU415" s="165"/>
      <c r="BW415" s="165"/>
      <c r="CC415" s="165"/>
    </row>
    <row r="416" spans="3:81" ht="15">
      <c r="C416" s="157"/>
      <c r="D416" s="157"/>
      <c r="K416" s="131"/>
      <c r="M416" s="158"/>
      <c r="AG416" s="164"/>
      <c r="AI416" s="165"/>
      <c r="AM416" s="165"/>
      <c r="BG416" s="165"/>
      <c r="BI416" s="165"/>
      <c r="BK416" s="165"/>
      <c r="BM416" s="165"/>
      <c r="BO416" s="165"/>
      <c r="BQ416" s="165"/>
      <c r="BS416" s="165"/>
      <c r="BU416" s="165"/>
      <c r="BW416" s="165"/>
      <c r="CC416" s="165"/>
    </row>
    <row r="417" spans="3:81" ht="15">
      <c r="C417" s="157"/>
      <c r="D417" s="157"/>
      <c r="K417" s="131"/>
      <c r="M417" s="158"/>
      <c r="AG417" s="164"/>
      <c r="AI417" s="165"/>
      <c r="AM417" s="165"/>
      <c r="BG417" s="165"/>
      <c r="BI417" s="165"/>
      <c r="BK417" s="165"/>
      <c r="BM417" s="165"/>
      <c r="BO417" s="165"/>
      <c r="BQ417" s="165"/>
      <c r="BS417" s="165"/>
      <c r="BU417" s="165"/>
      <c r="BW417" s="165"/>
      <c r="CC417" s="165"/>
    </row>
    <row r="418" spans="3:81" ht="15">
      <c r="C418" s="157"/>
      <c r="D418" s="157"/>
      <c r="K418" s="131"/>
      <c r="M418" s="158"/>
      <c r="AG418" s="164"/>
      <c r="AI418" s="165"/>
      <c r="AM418" s="165"/>
      <c r="BG418" s="165"/>
      <c r="BI418" s="165"/>
      <c r="BK418" s="165"/>
      <c r="BM418" s="165"/>
      <c r="BO418" s="165"/>
      <c r="BQ418" s="165"/>
      <c r="BS418" s="165"/>
      <c r="BU418" s="165"/>
      <c r="BW418" s="165"/>
      <c r="CC418" s="165"/>
    </row>
    <row r="419" spans="3:81" ht="15">
      <c r="C419" s="157"/>
      <c r="D419" s="157"/>
      <c r="K419" s="131"/>
      <c r="M419" s="158"/>
      <c r="AG419" s="164"/>
      <c r="AI419" s="165"/>
      <c r="AM419" s="165"/>
      <c r="BG419" s="165"/>
      <c r="BI419" s="165"/>
      <c r="BK419" s="165"/>
      <c r="BM419" s="165"/>
      <c r="BO419" s="165"/>
      <c r="BQ419" s="165"/>
      <c r="BS419" s="165"/>
      <c r="BU419" s="165"/>
      <c r="BW419" s="165"/>
      <c r="CC419" s="165"/>
    </row>
    <row r="420" spans="3:81" ht="15">
      <c r="C420" s="157"/>
      <c r="D420" s="157"/>
      <c r="K420" s="131"/>
      <c r="M420" s="158"/>
      <c r="AG420" s="164"/>
      <c r="AI420" s="165"/>
      <c r="AM420" s="165"/>
      <c r="BG420" s="165"/>
      <c r="BI420" s="165"/>
      <c r="BK420" s="165"/>
      <c r="BM420" s="165"/>
      <c r="BO420" s="165"/>
      <c r="BQ420" s="165"/>
      <c r="BS420" s="165"/>
      <c r="BU420" s="165"/>
      <c r="BW420" s="165"/>
      <c r="CC420" s="165"/>
    </row>
    <row r="421" spans="3:81" ht="15">
      <c r="C421" s="157"/>
      <c r="D421" s="157"/>
      <c r="K421" s="131"/>
      <c r="M421" s="158"/>
      <c r="AG421" s="164"/>
      <c r="AI421" s="165"/>
      <c r="AM421" s="165"/>
      <c r="BG421" s="165"/>
      <c r="BI421" s="165"/>
      <c r="BK421" s="165"/>
      <c r="BM421" s="165"/>
      <c r="BO421" s="165"/>
      <c r="BQ421" s="165"/>
      <c r="BS421" s="165"/>
      <c r="BU421" s="165"/>
      <c r="BW421" s="165"/>
      <c r="CC421" s="165"/>
    </row>
    <row r="422" spans="3:81" ht="15">
      <c r="C422" s="157"/>
      <c r="D422" s="157"/>
      <c r="K422" s="131"/>
      <c r="M422" s="158"/>
      <c r="AG422" s="164"/>
      <c r="AI422" s="165"/>
      <c r="AM422" s="165"/>
      <c r="BG422" s="165"/>
      <c r="BI422" s="165"/>
      <c r="BK422" s="165"/>
      <c r="BM422" s="165"/>
      <c r="BO422" s="165"/>
      <c r="BQ422" s="165"/>
      <c r="BS422" s="165"/>
      <c r="BU422" s="165"/>
      <c r="BW422" s="165"/>
      <c r="CC422" s="165"/>
    </row>
    <row r="423" spans="3:81" ht="15">
      <c r="C423" s="157"/>
      <c r="D423" s="157"/>
      <c r="K423" s="131"/>
      <c r="M423" s="158"/>
      <c r="AG423" s="164"/>
      <c r="AI423" s="165"/>
      <c r="AM423" s="165"/>
      <c r="BG423" s="165"/>
      <c r="BI423" s="165"/>
      <c r="BK423" s="165"/>
      <c r="BM423" s="165"/>
      <c r="BO423" s="165"/>
      <c r="BQ423" s="165"/>
      <c r="BS423" s="165"/>
      <c r="BU423" s="165"/>
      <c r="BW423" s="165"/>
      <c r="CC423" s="165"/>
    </row>
    <row r="424" spans="3:81" ht="15">
      <c r="C424" s="157"/>
      <c r="D424" s="157"/>
      <c r="K424" s="131"/>
      <c r="M424" s="158"/>
      <c r="AG424" s="164"/>
      <c r="AI424" s="165"/>
      <c r="AM424" s="165"/>
      <c r="BG424" s="165"/>
      <c r="BI424" s="165"/>
      <c r="BK424" s="165"/>
      <c r="BM424" s="165"/>
      <c r="BO424" s="165"/>
      <c r="BQ424" s="165"/>
      <c r="BS424" s="165"/>
      <c r="BU424" s="165"/>
      <c r="BW424" s="165"/>
      <c r="CC424" s="165"/>
    </row>
    <row r="425" spans="3:81" ht="15">
      <c r="C425" s="157"/>
      <c r="D425" s="157"/>
      <c r="K425" s="131"/>
      <c r="M425" s="158"/>
      <c r="AG425" s="164"/>
      <c r="AI425" s="165"/>
      <c r="AM425" s="165"/>
      <c r="BG425" s="165"/>
      <c r="BI425" s="165"/>
      <c r="BK425" s="165"/>
      <c r="BM425" s="165"/>
      <c r="BO425" s="165"/>
      <c r="BQ425" s="165"/>
      <c r="BS425" s="165"/>
      <c r="BU425" s="165"/>
      <c r="BW425" s="165"/>
      <c r="CC425" s="165"/>
    </row>
    <row r="426" spans="3:81" ht="15">
      <c r="C426" s="157"/>
      <c r="D426" s="157"/>
      <c r="K426" s="131"/>
      <c r="M426" s="158"/>
      <c r="AG426" s="164"/>
      <c r="AI426" s="165"/>
      <c r="AM426" s="165"/>
      <c r="BG426" s="165"/>
      <c r="BI426" s="165"/>
      <c r="BK426" s="165"/>
      <c r="BM426" s="165"/>
      <c r="BO426" s="165"/>
      <c r="BQ426" s="165"/>
      <c r="BS426" s="165"/>
      <c r="BU426" s="165"/>
      <c r="BW426" s="165"/>
      <c r="CC426" s="165"/>
    </row>
    <row r="427" spans="3:81" ht="15">
      <c r="C427" s="157"/>
      <c r="D427" s="157"/>
      <c r="K427" s="131"/>
      <c r="M427" s="158"/>
      <c r="AG427" s="164"/>
      <c r="AI427" s="165"/>
      <c r="AM427" s="165"/>
      <c r="BG427" s="165"/>
      <c r="BI427" s="165"/>
      <c r="BK427" s="165"/>
      <c r="BM427" s="165"/>
      <c r="BO427" s="165"/>
      <c r="BQ427" s="165"/>
      <c r="BS427" s="165"/>
      <c r="BU427" s="165"/>
      <c r="BW427" s="165"/>
      <c r="CC427" s="165"/>
    </row>
    <row r="428" spans="3:81" ht="15">
      <c r="C428" s="157"/>
      <c r="D428" s="157"/>
      <c r="K428" s="131"/>
      <c r="M428" s="158"/>
      <c r="AG428" s="164"/>
      <c r="AI428" s="165"/>
      <c r="AM428" s="165"/>
      <c r="BG428" s="165"/>
      <c r="BI428" s="165"/>
      <c r="BK428" s="165"/>
      <c r="BM428" s="165"/>
      <c r="BO428" s="165"/>
      <c r="BQ428" s="165"/>
      <c r="BS428" s="165"/>
      <c r="BU428" s="165"/>
      <c r="BW428" s="165"/>
      <c r="CC428" s="165"/>
    </row>
    <row r="429" spans="3:81" ht="15">
      <c r="C429" s="157"/>
      <c r="D429" s="157"/>
      <c r="K429" s="131"/>
      <c r="M429" s="158"/>
      <c r="AG429" s="164"/>
      <c r="AI429" s="165"/>
      <c r="AM429" s="165"/>
      <c r="BG429" s="165"/>
      <c r="BI429" s="165"/>
      <c r="BK429" s="165"/>
      <c r="BM429" s="165"/>
      <c r="BO429" s="165"/>
      <c r="BQ429" s="165"/>
      <c r="BS429" s="165"/>
      <c r="BU429" s="165"/>
      <c r="BW429" s="165"/>
      <c r="CC429" s="165"/>
    </row>
    <row r="430" spans="3:81" ht="15">
      <c r="C430" s="157"/>
      <c r="D430" s="157"/>
      <c r="K430" s="131"/>
      <c r="M430" s="158"/>
      <c r="AG430" s="164"/>
      <c r="AI430" s="165"/>
      <c r="AM430" s="165"/>
      <c r="BG430" s="165"/>
      <c r="BI430" s="165"/>
      <c r="BK430" s="165"/>
      <c r="BM430" s="165"/>
      <c r="BO430" s="165"/>
      <c r="BQ430" s="165"/>
      <c r="BS430" s="165"/>
      <c r="BU430" s="165"/>
      <c r="BW430" s="165"/>
      <c r="CC430" s="165"/>
    </row>
    <row r="431" spans="3:81" ht="15">
      <c r="C431" s="157"/>
      <c r="D431" s="157"/>
      <c r="K431" s="131"/>
      <c r="M431" s="158"/>
      <c r="AG431" s="164"/>
      <c r="AI431" s="165"/>
      <c r="AM431" s="165"/>
      <c r="BG431" s="165"/>
      <c r="BI431" s="165"/>
      <c r="BK431" s="165"/>
      <c r="BM431" s="165"/>
      <c r="BO431" s="165"/>
      <c r="BQ431" s="165"/>
      <c r="BS431" s="165"/>
      <c r="BU431" s="165"/>
      <c r="BW431" s="165"/>
      <c r="CC431" s="165"/>
    </row>
    <row r="432" spans="3:81" ht="15">
      <c r="C432" s="157"/>
      <c r="D432" s="157"/>
      <c r="K432" s="131"/>
      <c r="M432" s="158"/>
      <c r="AG432" s="164"/>
      <c r="AI432" s="165"/>
      <c r="AM432" s="165"/>
      <c r="BG432" s="165"/>
      <c r="BI432" s="165"/>
      <c r="BK432" s="165"/>
      <c r="BM432" s="165"/>
      <c r="BO432" s="165"/>
      <c r="BQ432" s="165"/>
      <c r="BS432" s="165"/>
      <c r="BU432" s="165"/>
      <c r="BW432" s="165"/>
      <c r="CC432" s="165"/>
    </row>
    <row r="433" spans="3:81" ht="15">
      <c r="C433" s="157"/>
      <c r="D433" s="157"/>
      <c r="K433" s="131"/>
      <c r="M433" s="158"/>
      <c r="AG433" s="164"/>
      <c r="AI433" s="165"/>
      <c r="AM433" s="165"/>
      <c r="BG433" s="165"/>
      <c r="BI433" s="165"/>
      <c r="BK433" s="165"/>
      <c r="BM433" s="165"/>
      <c r="BO433" s="165"/>
      <c r="BQ433" s="165"/>
      <c r="BS433" s="165"/>
      <c r="BU433" s="165"/>
      <c r="BW433" s="165"/>
      <c r="CC433" s="165"/>
    </row>
    <row r="434" spans="3:81" ht="15">
      <c r="C434" s="157"/>
      <c r="D434" s="157"/>
      <c r="K434" s="131"/>
      <c r="M434" s="158"/>
      <c r="AG434" s="164"/>
      <c r="AI434" s="165"/>
      <c r="AM434" s="165"/>
      <c r="BG434" s="165"/>
      <c r="BI434" s="165"/>
      <c r="BK434" s="165"/>
      <c r="BM434" s="165"/>
      <c r="BO434" s="165"/>
      <c r="BQ434" s="165"/>
      <c r="BS434" s="165"/>
      <c r="BU434" s="165"/>
      <c r="BW434" s="165"/>
      <c r="CC434" s="165"/>
    </row>
    <row r="435" spans="3:81" ht="15">
      <c r="C435" s="157"/>
      <c r="D435" s="157"/>
      <c r="K435" s="131"/>
      <c r="M435" s="158"/>
      <c r="AG435" s="164"/>
      <c r="AI435" s="165"/>
      <c r="AM435" s="165"/>
      <c r="BG435" s="165"/>
      <c r="BI435" s="165"/>
      <c r="BK435" s="165"/>
      <c r="BM435" s="165"/>
      <c r="BO435" s="165"/>
      <c r="BQ435" s="165"/>
      <c r="BS435" s="165"/>
      <c r="BU435" s="165"/>
      <c r="BW435" s="165"/>
      <c r="CC435" s="165"/>
    </row>
    <row r="436" spans="3:81" ht="15">
      <c r="C436" s="157"/>
      <c r="D436" s="157"/>
      <c r="K436" s="131"/>
      <c r="M436" s="158"/>
      <c r="AG436" s="164"/>
      <c r="AI436" s="165"/>
      <c r="AM436" s="165"/>
      <c r="BG436" s="165"/>
      <c r="BI436" s="165"/>
      <c r="BK436" s="165"/>
      <c r="BM436" s="165"/>
      <c r="BO436" s="165"/>
      <c r="BQ436" s="165"/>
      <c r="BS436" s="165"/>
      <c r="BU436" s="165"/>
      <c r="BW436" s="165"/>
      <c r="CC436" s="165"/>
    </row>
    <row r="437" spans="3:81" ht="15">
      <c r="C437" s="157"/>
      <c r="D437" s="157"/>
      <c r="K437" s="131"/>
      <c r="M437" s="158"/>
      <c r="AG437" s="164"/>
      <c r="AI437" s="165"/>
      <c r="AM437" s="165"/>
      <c r="BG437" s="165"/>
      <c r="BI437" s="165"/>
      <c r="BK437" s="165"/>
      <c r="BM437" s="165"/>
      <c r="BO437" s="165"/>
      <c r="BQ437" s="165"/>
      <c r="BS437" s="165"/>
      <c r="BU437" s="165"/>
      <c r="BW437" s="165"/>
      <c r="CC437" s="165"/>
    </row>
    <row r="438" spans="3:81" ht="15">
      <c r="C438" s="157"/>
      <c r="D438" s="157"/>
      <c r="K438" s="131"/>
      <c r="M438" s="158"/>
      <c r="AG438" s="164"/>
      <c r="AI438" s="165"/>
      <c r="AM438" s="165"/>
      <c r="BG438" s="165"/>
      <c r="BI438" s="165"/>
      <c r="BK438" s="165"/>
      <c r="BM438" s="165"/>
      <c r="BO438" s="165"/>
      <c r="BQ438" s="165"/>
      <c r="BS438" s="165"/>
      <c r="BU438" s="165"/>
      <c r="BW438" s="165"/>
      <c r="CC438" s="165"/>
    </row>
    <row r="439" spans="3:81" ht="15">
      <c r="C439" s="157"/>
      <c r="D439" s="157"/>
      <c r="K439" s="131"/>
      <c r="M439" s="158"/>
      <c r="AG439" s="164"/>
      <c r="AI439" s="165"/>
      <c r="AM439" s="165"/>
      <c r="BG439" s="165"/>
      <c r="BI439" s="165"/>
      <c r="BK439" s="165"/>
      <c r="BM439" s="165"/>
      <c r="BO439" s="165"/>
      <c r="BQ439" s="165"/>
      <c r="BS439" s="165"/>
      <c r="BU439" s="165"/>
      <c r="BW439" s="165"/>
      <c r="CC439" s="165"/>
    </row>
    <row r="440" spans="3:81" ht="15">
      <c r="C440" s="157"/>
      <c r="D440" s="157"/>
      <c r="K440" s="131"/>
      <c r="M440" s="158"/>
      <c r="AG440" s="164"/>
      <c r="AI440" s="165"/>
      <c r="AM440" s="165"/>
      <c r="BG440" s="165"/>
      <c r="BI440" s="165"/>
      <c r="BK440" s="165"/>
      <c r="BM440" s="165"/>
      <c r="BO440" s="165"/>
      <c r="BQ440" s="165"/>
      <c r="BS440" s="165"/>
      <c r="BU440" s="165"/>
      <c r="BW440" s="165"/>
      <c r="CC440" s="165"/>
    </row>
    <row r="441" spans="3:81" ht="15">
      <c r="C441" s="157"/>
      <c r="D441" s="157"/>
      <c r="K441" s="131"/>
      <c r="M441" s="158"/>
      <c r="AG441" s="164"/>
      <c r="AI441" s="165"/>
      <c r="AM441" s="165"/>
      <c r="BG441" s="165"/>
      <c r="BI441" s="165"/>
      <c r="BK441" s="165"/>
      <c r="BM441" s="165"/>
      <c r="BO441" s="165"/>
      <c r="BQ441" s="165"/>
      <c r="BS441" s="165"/>
      <c r="BU441" s="165"/>
      <c r="BW441" s="165"/>
      <c r="CC441" s="165"/>
    </row>
    <row r="442" spans="3:81" ht="15">
      <c r="C442" s="157"/>
      <c r="D442" s="157"/>
      <c r="K442" s="131"/>
      <c r="M442" s="158"/>
      <c r="AG442" s="164"/>
      <c r="AI442" s="165"/>
      <c r="AM442" s="165"/>
      <c r="BG442" s="165"/>
      <c r="BI442" s="165"/>
      <c r="BK442" s="165"/>
      <c r="BM442" s="165"/>
      <c r="BO442" s="165"/>
      <c r="BQ442" s="165"/>
      <c r="BS442" s="165"/>
      <c r="BU442" s="165"/>
      <c r="BW442" s="165"/>
      <c r="CC442" s="165"/>
    </row>
    <row r="443" spans="3:81" ht="15">
      <c r="C443" s="157"/>
      <c r="D443" s="157"/>
      <c r="K443" s="131"/>
      <c r="M443" s="158"/>
      <c r="AG443" s="164"/>
      <c r="AI443" s="165"/>
      <c r="AM443" s="165"/>
      <c r="BG443" s="165"/>
      <c r="BI443" s="165"/>
      <c r="BK443" s="165"/>
      <c r="BM443" s="165"/>
      <c r="BO443" s="165"/>
      <c r="BQ443" s="165"/>
      <c r="BS443" s="165"/>
      <c r="BU443" s="165"/>
      <c r="BW443" s="165"/>
      <c r="CC443" s="165"/>
    </row>
    <row r="444" spans="3:81" ht="15">
      <c r="C444" s="157"/>
      <c r="D444" s="157"/>
      <c r="K444" s="131"/>
      <c r="M444" s="158"/>
      <c r="AG444" s="164"/>
      <c r="AI444" s="165"/>
      <c r="AM444" s="165"/>
      <c r="BG444" s="165"/>
      <c r="BI444" s="165"/>
      <c r="BK444" s="165"/>
      <c r="BM444" s="165"/>
      <c r="BO444" s="165"/>
      <c r="BQ444" s="165"/>
      <c r="BS444" s="165"/>
      <c r="BU444" s="165"/>
      <c r="BW444" s="165"/>
      <c r="CC444" s="165"/>
    </row>
    <row r="445" spans="3:81" ht="15">
      <c r="C445" s="157"/>
      <c r="D445" s="157"/>
      <c r="K445" s="131"/>
      <c r="M445" s="158"/>
      <c r="AG445" s="164"/>
      <c r="AI445" s="165"/>
      <c r="AM445" s="165"/>
      <c r="BG445" s="165"/>
      <c r="BI445" s="165"/>
      <c r="BK445" s="165"/>
      <c r="BM445" s="165"/>
      <c r="BO445" s="165"/>
      <c r="BQ445" s="165"/>
      <c r="BS445" s="165"/>
      <c r="BU445" s="165"/>
      <c r="BW445" s="165"/>
      <c r="CC445" s="165"/>
    </row>
    <row r="446" spans="3:81" ht="15">
      <c r="C446" s="157"/>
      <c r="D446" s="157"/>
      <c r="K446" s="131"/>
      <c r="M446" s="158"/>
      <c r="AG446" s="164"/>
      <c r="AI446" s="165"/>
      <c r="AM446" s="165"/>
      <c r="BG446" s="165"/>
      <c r="BI446" s="165"/>
      <c r="BK446" s="165"/>
      <c r="BM446" s="165"/>
      <c r="BO446" s="165"/>
      <c r="BQ446" s="165"/>
      <c r="BS446" s="165"/>
      <c r="BU446" s="165"/>
      <c r="BW446" s="165"/>
      <c r="CC446" s="165"/>
    </row>
    <row r="447" spans="3:81" ht="15">
      <c r="C447" s="157"/>
      <c r="D447" s="157"/>
      <c r="K447" s="131"/>
      <c r="M447" s="158"/>
      <c r="AG447" s="164"/>
      <c r="AI447" s="165"/>
      <c r="AM447" s="165"/>
      <c r="BG447" s="165"/>
      <c r="BI447" s="165"/>
      <c r="BK447" s="165"/>
      <c r="BM447" s="165"/>
      <c r="BO447" s="165"/>
      <c r="BQ447" s="165"/>
      <c r="BS447" s="165"/>
      <c r="BU447" s="165"/>
      <c r="BW447" s="165"/>
      <c r="CC447" s="165"/>
    </row>
    <row r="448" spans="3:81" ht="15">
      <c r="C448" s="157"/>
      <c r="D448" s="157"/>
      <c r="K448" s="131"/>
      <c r="M448" s="158"/>
      <c r="AG448" s="164"/>
      <c r="AI448" s="165"/>
      <c r="AM448" s="165"/>
      <c r="BG448" s="165"/>
      <c r="BI448" s="165"/>
      <c r="BK448" s="165"/>
      <c r="BM448" s="165"/>
      <c r="BO448" s="165"/>
      <c r="BQ448" s="165"/>
      <c r="BS448" s="165"/>
      <c r="BU448" s="165"/>
      <c r="BW448" s="165"/>
      <c r="CC448" s="165"/>
    </row>
    <row r="449" spans="3:81" ht="15">
      <c r="C449" s="157"/>
      <c r="D449" s="157"/>
      <c r="K449" s="131"/>
      <c r="M449" s="158"/>
      <c r="AG449" s="164"/>
      <c r="AI449" s="165"/>
      <c r="AM449" s="165"/>
      <c r="BG449" s="165"/>
      <c r="BI449" s="165"/>
      <c r="BK449" s="165"/>
      <c r="BM449" s="165"/>
      <c r="BO449" s="165"/>
      <c r="BQ449" s="165"/>
      <c r="BS449" s="165"/>
      <c r="BU449" s="165"/>
      <c r="BW449" s="165"/>
      <c r="CC449" s="165"/>
    </row>
    <row r="450" spans="3:81" ht="15">
      <c r="C450" s="157"/>
      <c r="D450" s="157"/>
      <c r="K450" s="131"/>
      <c r="M450" s="158"/>
      <c r="AG450" s="164"/>
      <c r="AI450" s="165"/>
      <c r="AM450" s="165"/>
      <c r="BG450" s="165"/>
      <c r="BI450" s="165"/>
      <c r="BK450" s="165"/>
      <c r="BM450" s="165"/>
      <c r="BO450" s="165"/>
      <c r="BQ450" s="165"/>
      <c r="BS450" s="165"/>
      <c r="BU450" s="165"/>
      <c r="BW450" s="165"/>
      <c r="CC450" s="165"/>
    </row>
    <row r="451" spans="3:81" ht="15">
      <c r="C451" s="157"/>
      <c r="D451" s="157"/>
      <c r="K451" s="131"/>
      <c r="M451" s="158"/>
      <c r="AG451" s="164"/>
      <c r="AI451" s="165"/>
      <c r="AM451" s="165"/>
      <c r="BG451" s="165"/>
      <c r="BI451" s="165"/>
      <c r="BK451" s="165"/>
      <c r="BM451" s="165"/>
      <c r="BO451" s="165"/>
      <c r="BQ451" s="165"/>
      <c r="BS451" s="165"/>
      <c r="BU451" s="165"/>
      <c r="BW451" s="165"/>
      <c r="CC451" s="165"/>
    </row>
    <row r="452" spans="3:81" ht="15">
      <c r="C452" s="157"/>
      <c r="D452" s="157"/>
      <c r="K452" s="131"/>
      <c r="M452" s="158"/>
      <c r="AG452" s="164"/>
      <c r="AI452" s="165"/>
      <c r="AM452" s="165"/>
      <c r="BG452" s="165"/>
      <c r="BI452" s="165"/>
      <c r="BK452" s="165"/>
      <c r="BM452" s="165"/>
      <c r="BO452" s="165"/>
      <c r="BQ452" s="165"/>
      <c r="BS452" s="165"/>
      <c r="BU452" s="165"/>
      <c r="BW452" s="165"/>
      <c r="CC452" s="165"/>
    </row>
    <row r="453" spans="3:81" ht="15">
      <c r="C453" s="157"/>
      <c r="D453" s="157"/>
      <c r="K453" s="131"/>
      <c r="M453" s="158"/>
      <c r="AG453" s="164"/>
      <c r="AI453" s="165"/>
      <c r="AM453" s="165"/>
      <c r="BG453" s="165"/>
      <c r="BI453" s="165"/>
      <c r="BK453" s="165"/>
      <c r="BM453" s="165"/>
      <c r="BO453" s="165"/>
      <c r="BQ453" s="165"/>
      <c r="BS453" s="165"/>
      <c r="BU453" s="165"/>
      <c r="BW453" s="165"/>
      <c r="CC453" s="165"/>
    </row>
    <row r="454" spans="3:81" ht="15">
      <c r="C454" s="157"/>
      <c r="D454" s="157"/>
      <c r="K454" s="131"/>
      <c r="M454" s="158"/>
      <c r="AG454" s="164"/>
      <c r="AI454" s="165"/>
      <c r="AM454" s="165"/>
      <c r="BG454" s="165"/>
      <c r="BI454" s="165"/>
      <c r="BK454" s="165"/>
      <c r="BM454" s="165"/>
      <c r="BO454" s="165"/>
      <c r="BQ454" s="165"/>
      <c r="BS454" s="165"/>
      <c r="BU454" s="165"/>
      <c r="BW454" s="165"/>
      <c r="CC454" s="165"/>
    </row>
    <row r="455" spans="3:81" ht="15">
      <c r="C455" s="157"/>
      <c r="D455" s="157"/>
      <c r="K455" s="131"/>
      <c r="M455" s="158"/>
      <c r="AG455" s="164"/>
      <c r="AI455" s="165"/>
      <c r="AM455" s="165"/>
      <c r="BG455" s="165"/>
      <c r="BI455" s="165"/>
      <c r="BK455" s="165"/>
      <c r="BM455" s="165"/>
      <c r="BO455" s="165"/>
      <c r="BQ455" s="165"/>
      <c r="BS455" s="165"/>
      <c r="BU455" s="165"/>
      <c r="BW455" s="165"/>
      <c r="CC455" s="165"/>
    </row>
    <row r="456" spans="3:81" ht="15">
      <c r="C456" s="157"/>
      <c r="D456" s="157"/>
      <c r="K456" s="131"/>
      <c r="M456" s="158"/>
      <c r="AG456" s="164"/>
      <c r="AI456" s="165"/>
      <c r="AM456" s="165"/>
      <c r="BG456" s="165"/>
      <c r="BI456" s="165"/>
      <c r="BK456" s="165"/>
      <c r="BM456" s="165"/>
      <c r="BO456" s="165"/>
      <c r="BQ456" s="165"/>
      <c r="BS456" s="165"/>
      <c r="BU456" s="165"/>
      <c r="BW456" s="165"/>
      <c r="CC456" s="165"/>
    </row>
    <row r="457" spans="3:81" ht="15">
      <c r="C457" s="157"/>
      <c r="D457" s="157"/>
      <c r="K457" s="131"/>
      <c r="M457" s="158"/>
      <c r="AG457" s="164"/>
      <c r="AI457" s="165"/>
      <c r="AM457" s="165"/>
      <c r="BG457" s="165"/>
      <c r="BI457" s="165"/>
      <c r="BK457" s="165"/>
      <c r="BM457" s="165"/>
      <c r="BO457" s="165"/>
      <c r="BQ457" s="165"/>
      <c r="BS457" s="165"/>
      <c r="BU457" s="165"/>
      <c r="BW457" s="165"/>
      <c r="CC457" s="165"/>
    </row>
    <row r="458" spans="3:81" ht="15">
      <c r="C458" s="157"/>
      <c r="D458" s="157"/>
      <c r="K458" s="131"/>
      <c r="M458" s="158"/>
      <c r="AG458" s="164"/>
      <c r="AI458" s="165"/>
      <c r="AM458" s="165"/>
      <c r="BG458" s="165"/>
      <c r="BI458" s="165"/>
      <c r="BK458" s="165"/>
      <c r="BM458" s="165"/>
      <c r="BO458" s="165"/>
      <c r="BQ458" s="165"/>
      <c r="BS458" s="165"/>
      <c r="BU458" s="165"/>
      <c r="BW458" s="165"/>
      <c r="CC458" s="165"/>
    </row>
    <row r="459" spans="3:81" ht="15">
      <c r="C459" s="157"/>
      <c r="D459" s="157"/>
      <c r="K459" s="131"/>
      <c r="M459" s="158"/>
      <c r="AG459" s="164"/>
      <c r="AI459" s="165"/>
      <c r="AM459" s="165"/>
      <c r="BG459" s="165"/>
      <c r="BI459" s="165"/>
      <c r="BK459" s="165"/>
      <c r="BM459" s="165"/>
      <c r="BO459" s="165"/>
      <c r="BQ459" s="165"/>
      <c r="BS459" s="165"/>
      <c r="BU459" s="165"/>
      <c r="BW459" s="165"/>
      <c r="CC459" s="165"/>
    </row>
    <row r="460" spans="3:81" ht="15">
      <c r="C460" s="157"/>
      <c r="D460" s="157"/>
      <c r="K460" s="131"/>
      <c r="M460" s="158"/>
      <c r="AG460" s="164"/>
      <c r="AI460" s="165"/>
      <c r="AM460" s="165"/>
      <c r="BG460" s="165"/>
      <c r="BI460" s="165"/>
      <c r="BK460" s="165"/>
      <c r="BM460" s="165"/>
      <c r="BO460" s="165"/>
      <c r="BQ460" s="165"/>
      <c r="BS460" s="165"/>
      <c r="BU460" s="165"/>
      <c r="BW460" s="165"/>
      <c r="CC460" s="165"/>
    </row>
    <row r="461" spans="3:81" ht="15">
      <c r="C461" s="157"/>
      <c r="D461" s="157"/>
      <c r="K461" s="131"/>
      <c r="M461" s="158"/>
      <c r="AG461" s="164"/>
      <c r="AI461" s="165"/>
      <c r="AM461" s="165"/>
      <c r="BG461" s="165"/>
      <c r="BI461" s="165"/>
      <c r="BK461" s="165"/>
      <c r="BM461" s="165"/>
      <c r="BO461" s="165"/>
      <c r="BQ461" s="165"/>
      <c r="BS461" s="165"/>
      <c r="BU461" s="165"/>
      <c r="BW461" s="165"/>
      <c r="CC461" s="165"/>
    </row>
    <row r="462" spans="3:81" ht="15">
      <c r="C462" s="157"/>
      <c r="D462" s="157"/>
      <c r="K462" s="131"/>
      <c r="M462" s="158"/>
      <c r="AG462" s="164"/>
      <c r="AI462" s="165"/>
      <c r="AM462" s="165"/>
      <c r="BG462" s="165"/>
      <c r="BI462" s="165"/>
      <c r="BK462" s="165"/>
      <c r="BM462" s="165"/>
      <c r="BO462" s="165"/>
      <c r="BQ462" s="165"/>
      <c r="BS462" s="165"/>
      <c r="BU462" s="165"/>
      <c r="BW462" s="165"/>
      <c r="CC462" s="165"/>
    </row>
    <row r="463" spans="3:81" ht="15">
      <c r="C463" s="157"/>
      <c r="D463" s="157"/>
      <c r="K463" s="131"/>
      <c r="M463" s="158"/>
      <c r="AG463" s="164"/>
      <c r="AI463" s="165"/>
      <c r="AM463" s="165"/>
      <c r="BG463" s="165"/>
      <c r="BI463" s="165"/>
      <c r="BK463" s="165"/>
      <c r="BM463" s="165"/>
      <c r="BO463" s="165"/>
      <c r="BQ463" s="165"/>
      <c r="BS463" s="165"/>
      <c r="BU463" s="165"/>
      <c r="BW463" s="165"/>
      <c r="CC463" s="165"/>
    </row>
    <row r="464" spans="3:81" ht="15">
      <c r="C464" s="157"/>
      <c r="D464" s="157"/>
      <c r="K464" s="131"/>
      <c r="M464" s="158"/>
      <c r="AG464" s="164"/>
      <c r="AI464" s="165"/>
      <c r="AM464" s="165"/>
      <c r="BG464" s="165"/>
      <c r="BI464" s="165"/>
      <c r="BK464" s="165"/>
      <c r="BM464" s="165"/>
      <c r="BO464" s="165"/>
      <c r="BQ464" s="165"/>
      <c r="BS464" s="165"/>
      <c r="BU464" s="165"/>
      <c r="BW464" s="165"/>
      <c r="CC464" s="165"/>
    </row>
    <row r="465" spans="3:81" ht="15">
      <c r="C465" s="157"/>
      <c r="D465" s="157"/>
      <c r="K465" s="131"/>
      <c r="M465" s="158"/>
      <c r="AG465" s="164"/>
      <c r="AI465" s="165"/>
      <c r="AM465" s="165"/>
      <c r="BG465" s="165"/>
      <c r="BI465" s="165"/>
      <c r="BK465" s="165"/>
      <c r="BM465" s="165"/>
      <c r="BO465" s="165"/>
      <c r="BQ465" s="165"/>
      <c r="BS465" s="165"/>
      <c r="BU465" s="165"/>
      <c r="BW465" s="165"/>
      <c r="CC465" s="165"/>
    </row>
    <row r="466" spans="3:81" ht="15">
      <c r="C466" s="157"/>
      <c r="D466" s="157"/>
      <c r="K466" s="131"/>
      <c r="M466" s="158"/>
      <c r="AG466" s="164"/>
      <c r="AI466" s="165"/>
      <c r="AM466" s="165"/>
      <c r="BG466" s="165"/>
      <c r="BI466" s="165"/>
      <c r="BK466" s="165"/>
      <c r="BM466" s="165"/>
      <c r="BO466" s="165"/>
      <c r="BQ466" s="165"/>
      <c r="BS466" s="165"/>
      <c r="BU466" s="165"/>
      <c r="BW466" s="165"/>
      <c r="CC466" s="165"/>
    </row>
    <row r="467" spans="3:81" ht="15">
      <c r="C467" s="157"/>
      <c r="D467" s="157"/>
      <c r="K467" s="131"/>
      <c r="M467" s="158"/>
      <c r="AG467" s="164"/>
      <c r="AI467" s="165"/>
      <c r="AM467" s="165"/>
      <c r="BG467" s="165"/>
      <c r="BI467" s="165"/>
      <c r="BK467" s="165"/>
      <c r="BM467" s="165"/>
      <c r="BO467" s="165"/>
      <c r="BQ467" s="165"/>
      <c r="BS467" s="165"/>
      <c r="BU467" s="165"/>
      <c r="BW467" s="165"/>
      <c r="CC467" s="165"/>
    </row>
    <row r="468" spans="3:81" ht="15">
      <c r="C468" s="157"/>
      <c r="D468" s="157"/>
      <c r="K468" s="131"/>
      <c r="M468" s="158"/>
      <c r="AG468" s="164"/>
      <c r="AI468" s="165"/>
      <c r="AM468" s="165"/>
      <c r="BG468" s="165"/>
      <c r="BI468" s="165"/>
      <c r="BK468" s="165"/>
      <c r="BM468" s="165"/>
      <c r="BO468" s="165"/>
      <c r="BQ468" s="165"/>
      <c r="BS468" s="165"/>
      <c r="BU468" s="165"/>
      <c r="BW468" s="165"/>
      <c r="CC468" s="165"/>
    </row>
    <row r="469" spans="3:81" ht="15">
      <c r="C469" s="157"/>
      <c r="D469" s="157"/>
      <c r="K469" s="131"/>
      <c r="M469" s="158"/>
      <c r="AG469" s="164"/>
      <c r="AI469" s="165"/>
      <c r="AM469" s="165"/>
      <c r="BG469" s="165"/>
      <c r="BI469" s="165"/>
      <c r="BK469" s="165"/>
      <c r="BM469" s="165"/>
      <c r="BO469" s="165"/>
      <c r="BQ469" s="165"/>
      <c r="BS469" s="165"/>
      <c r="BU469" s="165"/>
      <c r="BW469" s="165"/>
      <c r="CC469" s="165"/>
    </row>
    <row r="470" spans="3:81" ht="15">
      <c r="C470" s="157"/>
      <c r="D470" s="157"/>
      <c r="K470" s="131"/>
      <c r="M470" s="158"/>
      <c r="AG470" s="164"/>
      <c r="AI470" s="165"/>
      <c r="AM470" s="165"/>
      <c r="BG470" s="165"/>
      <c r="BI470" s="165"/>
      <c r="BK470" s="165"/>
      <c r="BM470" s="165"/>
      <c r="BO470" s="165"/>
      <c r="BQ470" s="165"/>
      <c r="BS470" s="165"/>
      <c r="BU470" s="165"/>
      <c r="BW470" s="165"/>
      <c r="CC470" s="165"/>
    </row>
    <row r="471" spans="3:81" ht="15">
      <c r="C471" s="157"/>
      <c r="D471" s="157"/>
      <c r="K471" s="131"/>
      <c r="M471" s="158"/>
      <c r="AG471" s="164"/>
      <c r="AI471" s="165"/>
      <c r="AM471" s="165"/>
      <c r="BG471" s="165"/>
      <c r="BI471" s="165"/>
      <c r="BK471" s="165"/>
      <c r="BM471" s="165"/>
      <c r="BO471" s="165"/>
      <c r="BQ471" s="165"/>
      <c r="BS471" s="165"/>
      <c r="BU471" s="165"/>
      <c r="BW471" s="165"/>
      <c r="CC471" s="165"/>
    </row>
    <row r="472" spans="3:81" ht="15">
      <c r="C472" s="157"/>
      <c r="D472" s="157"/>
      <c r="K472" s="131"/>
      <c r="M472" s="158"/>
      <c r="AG472" s="164"/>
      <c r="AI472" s="165"/>
      <c r="AM472" s="165"/>
      <c r="BG472" s="165"/>
      <c r="BI472" s="165"/>
      <c r="BK472" s="165"/>
      <c r="BM472" s="165"/>
      <c r="BO472" s="165"/>
      <c r="BQ472" s="165"/>
      <c r="BS472" s="165"/>
      <c r="BU472" s="165"/>
      <c r="BW472" s="165"/>
      <c r="CC472" s="165"/>
    </row>
    <row r="473" spans="3:81" ht="15">
      <c r="C473" s="157"/>
      <c r="D473" s="157"/>
      <c r="K473" s="131"/>
      <c r="M473" s="158"/>
      <c r="AG473" s="164"/>
      <c r="AI473" s="165"/>
      <c r="AM473" s="165"/>
      <c r="BG473" s="165"/>
      <c r="BI473" s="165"/>
      <c r="BK473" s="165"/>
      <c r="BM473" s="165"/>
      <c r="BO473" s="165"/>
      <c r="BQ473" s="165"/>
      <c r="BS473" s="165"/>
      <c r="BU473" s="165"/>
      <c r="BW473" s="165"/>
      <c r="CC473" s="165"/>
    </row>
    <row r="474" spans="3:81" ht="15">
      <c r="C474" s="157"/>
      <c r="D474" s="157"/>
      <c r="K474" s="131"/>
      <c r="M474" s="158"/>
      <c r="AG474" s="164"/>
      <c r="AI474" s="165"/>
      <c r="AM474" s="165"/>
      <c r="BG474" s="165"/>
      <c r="BI474" s="165"/>
      <c r="BK474" s="165"/>
      <c r="BM474" s="165"/>
      <c r="BO474" s="165"/>
      <c r="BQ474" s="165"/>
      <c r="BS474" s="165"/>
      <c r="BU474" s="165"/>
      <c r="BW474" s="165"/>
      <c r="CC474" s="165"/>
    </row>
    <row r="475" spans="3:81" ht="15">
      <c r="C475" s="157"/>
      <c r="D475" s="157"/>
      <c r="K475" s="131"/>
      <c r="M475" s="158"/>
      <c r="AG475" s="164"/>
      <c r="AI475" s="165"/>
      <c r="AM475" s="165"/>
      <c r="BG475" s="165"/>
      <c r="BI475" s="165"/>
      <c r="BK475" s="165"/>
      <c r="BM475" s="165"/>
      <c r="BO475" s="165"/>
      <c r="BQ475" s="165"/>
      <c r="BS475" s="165"/>
      <c r="BU475" s="165"/>
      <c r="BW475" s="165"/>
      <c r="CC475" s="165"/>
    </row>
    <row r="476" spans="3:81" ht="15">
      <c r="C476" s="157"/>
      <c r="D476" s="157"/>
      <c r="K476" s="131"/>
      <c r="M476" s="158"/>
      <c r="AG476" s="164"/>
      <c r="AI476" s="165"/>
      <c r="AM476" s="165"/>
      <c r="BG476" s="165"/>
      <c r="BI476" s="165"/>
      <c r="BK476" s="165"/>
      <c r="BM476" s="165"/>
      <c r="BO476" s="165"/>
      <c r="BQ476" s="165"/>
      <c r="BS476" s="165"/>
      <c r="BU476" s="165"/>
      <c r="BW476" s="165"/>
      <c r="CC476" s="165"/>
    </row>
    <row r="477" spans="3:81" ht="15">
      <c r="C477" s="157"/>
      <c r="D477" s="157"/>
      <c r="K477" s="131"/>
      <c r="M477" s="158"/>
      <c r="AG477" s="164"/>
      <c r="AI477" s="165"/>
      <c r="AM477" s="165"/>
      <c r="BG477" s="165"/>
      <c r="BI477" s="165"/>
      <c r="BK477" s="165"/>
      <c r="BM477" s="165"/>
      <c r="BO477" s="165"/>
      <c r="BQ477" s="165"/>
      <c r="BS477" s="165"/>
      <c r="BU477" s="165"/>
      <c r="BW477" s="165"/>
      <c r="CC477" s="165"/>
    </row>
    <row r="478" spans="3:81" ht="15">
      <c r="C478" s="157"/>
      <c r="D478" s="157"/>
      <c r="K478" s="131"/>
      <c r="M478" s="158"/>
      <c r="AG478" s="164"/>
      <c r="AI478" s="165"/>
      <c r="AM478" s="165"/>
      <c r="BG478" s="165"/>
      <c r="BI478" s="165"/>
      <c r="BK478" s="165"/>
      <c r="BM478" s="165"/>
      <c r="BO478" s="165"/>
      <c r="BQ478" s="165"/>
      <c r="BS478" s="165"/>
      <c r="BU478" s="165"/>
      <c r="BW478" s="165"/>
      <c r="CC478" s="165"/>
    </row>
    <row r="479" spans="3:81" ht="15">
      <c r="C479" s="157"/>
      <c r="D479" s="157"/>
      <c r="K479" s="131"/>
      <c r="M479" s="158"/>
      <c r="AG479" s="164"/>
      <c r="AI479" s="165"/>
      <c r="AM479" s="165"/>
      <c r="BG479" s="165"/>
      <c r="BI479" s="165"/>
      <c r="BK479" s="165"/>
      <c r="BM479" s="165"/>
      <c r="BO479" s="165"/>
      <c r="BQ479" s="165"/>
      <c r="BS479" s="165"/>
      <c r="BU479" s="165"/>
      <c r="BW479" s="165"/>
      <c r="CC479" s="165"/>
    </row>
    <row r="480" spans="3:81" ht="15">
      <c r="C480" s="157"/>
      <c r="D480" s="157"/>
      <c r="K480" s="131"/>
      <c r="M480" s="158"/>
      <c r="AG480" s="164"/>
      <c r="AI480" s="165"/>
      <c r="AM480" s="165"/>
      <c r="BG480" s="165"/>
      <c r="BI480" s="165"/>
      <c r="BK480" s="165"/>
      <c r="BM480" s="165"/>
      <c r="BO480" s="165"/>
      <c r="BQ480" s="165"/>
      <c r="BS480" s="165"/>
      <c r="BU480" s="165"/>
      <c r="BW480" s="165"/>
      <c r="CC480" s="165"/>
    </row>
    <row r="481" spans="3:81" ht="15">
      <c r="C481" s="157"/>
      <c r="D481" s="157"/>
      <c r="K481" s="131"/>
      <c r="M481" s="158"/>
      <c r="AG481" s="164"/>
      <c r="AI481" s="165"/>
      <c r="AM481" s="165"/>
      <c r="BG481" s="165"/>
      <c r="BI481" s="165"/>
      <c r="BK481" s="165"/>
      <c r="BM481" s="165"/>
      <c r="BO481" s="165"/>
      <c r="BQ481" s="165"/>
      <c r="BS481" s="165"/>
      <c r="BU481" s="165"/>
      <c r="BW481" s="165"/>
      <c r="CC481" s="165"/>
    </row>
    <row r="482" spans="3:81" ht="15">
      <c r="C482" s="157"/>
      <c r="D482" s="157"/>
      <c r="K482" s="131"/>
      <c r="M482" s="158"/>
      <c r="AG482" s="164"/>
      <c r="AI482" s="165"/>
      <c r="AM482" s="165"/>
      <c r="BG482" s="165"/>
      <c r="BI482" s="165"/>
      <c r="BK482" s="165"/>
      <c r="BM482" s="165"/>
      <c r="BO482" s="165"/>
      <c r="BQ482" s="165"/>
      <c r="BS482" s="165"/>
      <c r="BU482" s="165"/>
      <c r="BW482" s="165"/>
      <c r="CC482" s="165"/>
    </row>
    <row r="483" spans="3:81" ht="15">
      <c r="C483" s="157"/>
      <c r="D483" s="157"/>
      <c r="K483" s="131"/>
      <c r="M483" s="158"/>
      <c r="AG483" s="164"/>
      <c r="AI483" s="165"/>
      <c r="AM483" s="165"/>
      <c r="BG483" s="165"/>
      <c r="BI483" s="165"/>
      <c r="BK483" s="165"/>
      <c r="BM483" s="165"/>
      <c r="BO483" s="165"/>
      <c r="BQ483" s="165"/>
      <c r="BS483" s="165"/>
      <c r="BU483" s="165"/>
      <c r="BW483" s="165"/>
      <c r="CC483" s="165"/>
    </row>
    <row r="484" spans="3:81" ht="15">
      <c r="C484" s="157"/>
      <c r="D484" s="157"/>
      <c r="K484" s="131"/>
      <c r="M484" s="158"/>
      <c r="AG484" s="164"/>
      <c r="AI484" s="165"/>
      <c r="AM484" s="165"/>
      <c r="BG484" s="165"/>
      <c r="BI484" s="165"/>
      <c r="BK484" s="165"/>
      <c r="BM484" s="165"/>
      <c r="BO484" s="165"/>
      <c r="BQ484" s="165"/>
      <c r="BS484" s="165"/>
      <c r="BU484" s="165"/>
      <c r="BW484" s="165"/>
      <c r="CC484" s="165"/>
    </row>
    <row r="485" spans="3:81" ht="15">
      <c r="C485" s="157"/>
      <c r="D485" s="157"/>
      <c r="K485" s="131"/>
      <c r="M485" s="158"/>
      <c r="AG485" s="164"/>
      <c r="AI485" s="165"/>
      <c r="AM485" s="165"/>
      <c r="BG485" s="165"/>
      <c r="BI485" s="165"/>
      <c r="BK485" s="165"/>
      <c r="BM485" s="165"/>
      <c r="BO485" s="165"/>
      <c r="BQ485" s="165"/>
      <c r="BS485" s="165"/>
      <c r="BU485" s="165"/>
      <c r="BW485" s="165"/>
      <c r="CC485" s="165"/>
    </row>
    <row r="486" spans="3:81" ht="15">
      <c r="C486" s="157"/>
      <c r="D486" s="157"/>
      <c r="K486" s="131"/>
      <c r="M486" s="158"/>
      <c r="AG486" s="164"/>
      <c r="AI486" s="165"/>
      <c r="AM486" s="165"/>
      <c r="BG486" s="165"/>
      <c r="BI486" s="165"/>
      <c r="BK486" s="165"/>
      <c r="BM486" s="165"/>
      <c r="BO486" s="165"/>
      <c r="BQ486" s="165"/>
      <c r="BS486" s="165"/>
      <c r="BU486" s="165"/>
      <c r="BW486" s="165"/>
      <c r="CC486" s="165"/>
    </row>
    <row r="487" spans="3:81" ht="15">
      <c r="C487" s="157"/>
      <c r="D487" s="157"/>
      <c r="K487" s="131"/>
      <c r="M487" s="158"/>
      <c r="AG487" s="164"/>
      <c r="AI487" s="165"/>
      <c r="AM487" s="165"/>
      <c r="BG487" s="165"/>
      <c r="BI487" s="165"/>
      <c r="BK487" s="165"/>
      <c r="BM487" s="165"/>
      <c r="BO487" s="165"/>
      <c r="BQ487" s="165"/>
      <c r="BS487" s="165"/>
      <c r="BU487" s="165"/>
      <c r="BW487" s="165"/>
      <c r="CC487" s="165"/>
    </row>
    <row r="488" spans="3:81" ht="15">
      <c r="C488" s="157"/>
      <c r="D488" s="157"/>
      <c r="K488" s="131"/>
      <c r="M488" s="158"/>
      <c r="AG488" s="164"/>
      <c r="AI488" s="165"/>
      <c r="AM488" s="165"/>
      <c r="BG488" s="165"/>
      <c r="BI488" s="165"/>
      <c r="BK488" s="165"/>
      <c r="BM488" s="165"/>
      <c r="BO488" s="165"/>
      <c r="BQ488" s="165"/>
      <c r="BS488" s="165"/>
      <c r="BU488" s="165"/>
      <c r="BW488" s="165"/>
      <c r="CC488" s="165"/>
    </row>
    <row r="489" spans="3:81" ht="15">
      <c r="C489" s="157"/>
      <c r="D489" s="157"/>
      <c r="K489" s="131"/>
      <c r="M489" s="158"/>
      <c r="AG489" s="164"/>
      <c r="AI489" s="165"/>
      <c r="AM489" s="165"/>
      <c r="BG489" s="165"/>
      <c r="BI489" s="165"/>
      <c r="BK489" s="165"/>
      <c r="BM489" s="165"/>
      <c r="BO489" s="165"/>
      <c r="BQ489" s="165"/>
      <c r="BS489" s="165"/>
      <c r="BU489" s="165"/>
      <c r="BW489" s="165"/>
      <c r="CC489" s="165"/>
    </row>
    <row r="490" spans="3:81" ht="15">
      <c r="C490" s="157"/>
      <c r="D490" s="157"/>
      <c r="K490" s="131"/>
      <c r="M490" s="158"/>
      <c r="AG490" s="164"/>
      <c r="AI490" s="165"/>
      <c r="AM490" s="165"/>
      <c r="BG490" s="165"/>
      <c r="BI490" s="165"/>
      <c r="BK490" s="165"/>
      <c r="BM490" s="165"/>
      <c r="BO490" s="165"/>
      <c r="BQ490" s="165"/>
      <c r="BS490" s="165"/>
      <c r="BU490" s="165"/>
      <c r="BW490" s="165"/>
      <c r="CC490" s="165"/>
    </row>
    <row r="491" spans="3:81" ht="15">
      <c r="C491" s="157"/>
      <c r="D491" s="157"/>
      <c r="K491" s="131"/>
      <c r="M491" s="158"/>
      <c r="AG491" s="164"/>
      <c r="AI491" s="165"/>
      <c r="AM491" s="165"/>
      <c r="BG491" s="165"/>
      <c r="BI491" s="165"/>
      <c r="BK491" s="165"/>
      <c r="BM491" s="165"/>
      <c r="BO491" s="165"/>
      <c r="BQ491" s="165"/>
      <c r="BS491" s="165"/>
      <c r="BU491" s="165"/>
      <c r="BW491" s="165"/>
      <c r="CC491" s="165"/>
    </row>
    <row r="492" spans="3:81" ht="15">
      <c r="C492" s="157"/>
      <c r="D492" s="157"/>
      <c r="K492" s="131"/>
      <c r="M492" s="158"/>
      <c r="AG492" s="164"/>
      <c r="AI492" s="165"/>
      <c r="AM492" s="165"/>
      <c r="BG492" s="165"/>
      <c r="BI492" s="165"/>
      <c r="BK492" s="165"/>
      <c r="BM492" s="165"/>
      <c r="BO492" s="165"/>
      <c r="BQ492" s="165"/>
      <c r="BS492" s="165"/>
      <c r="BU492" s="165"/>
      <c r="BW492" s="165"/>
      <c r="CC492" s="165"/>
    </row>
    <row r="493" spans="3:81" ht="15">
      <c r="C493" s="157"/>
      <c r="D493" s="157"/>
      <c r="K493" s="131"/>
      <c r="M493" s="158"/>
      <c r="AG493" s="164"/>
      <c r="AI493" s="165"/>
      <c r="AM493" s="165"/>
      <c r="BG493" s="165"/>
      <c r="BI493" s="165"/>
      <c r="BK493" s="165"/>
      <c r="BM493" s="165"/>
      <c r="BO493" s="165"/>
      <c r="BQ493" s="165"/>
      <c r="BS493" s="165"/>
      <c r="BU493" s="165"/>
      <c r="BW493" s="165"/>
      <c r="CC493" s="165"/>
    </row>
    <row r="494" spans="3:81" ht="15">
      <c r="C494" s="157"/>
      <c r="D494" s="157"/>
      <c r="K494" s="131"/>
      <c r="M494" s="158"/>
      <c r="AG494" s="164"/>
      <c r="AI494" s="165"/>
      <c r="AM494" s="165"/>
      <c r="BG494" s="165"/>
      <c r="BI494" s="165"/>
      <c r="BK494" s="165"/>
      <c r="BM494" s="165"/>
      <c r="BO494" s="165"/>
      <c r="BQ494" s="165"/>
      <c r="BS494" s="165"/>
      <c r="BU494" s="165"/>
      <c r="BW494" s="165"/>
      <c r="CC494" s="165"/>
    </row>
    <row r="495" spans="3:81" ht="15">
      <c r="C495" s="157"/>
      <c r="D495" s="157"/>
      <c r="K495" s="131"/>
      <c r="M495" s="158"/>
      <c r="AG495" s="164"/>
      <c r="AI495" s="165"/>
      <c r="AM495" s="165"/>
      <c r="BG495" s="165"/>
      <c r="BI495" s="165"/>
      <c r="BK495" s="165"/>
      <c r="BM495" s="165"/>
      <c r="BO495" s="165"/>
      <c r="BQ495" s="165"/>
      <c r="BS495" s="165"/>
      <c r="BU495" s="165"/>
      <c r="BW495" s="165"/>
      <c r="CC495" s="165"/>
    </row>
    <row r="496" spans="3:81" ht="15">
      <c r="C496" s="157"/>
      <c r="D496" s="157"/>
      <c r="K496" s="131"/>
      <c r="M496" s="158"/>
      <c r="AG496" s="164"/>
      <c r="AI496" s="165"/>
      <c r="AM496" s="165"/>
      <c r="BG496" s="165"/>
      <c r="BI496" s="165"/>
      <c r="BK496" s="165"/>
      <c r="BM496" s="165"/>
      <c r="BO496" s="165"/>
      <c r="BQ496" s="165"/>
      <c r="BS496" s="165"/>
      <c r="BU496" s="165"/>
      <c r="BW496" s="165"/>
      <c r="CC496" s="165"/>
    </row>
    <row r="497" spans="3:81" ht="15">
      <c r="C497" s="157"/>
      <c r="D497" s="157"/>
      <c r="K497" s="131"/>
      <c r="M497" s="158"/>
      <c r="AG497" s="164"/>
      <c r="AI497" s="165"/>
      <c r="AM497" s="165"/>
      <c r="BG497" s="165"/>
      <c r="BI497" s="165"/>
      <c r="BK497" s="165"/>
      <c r="BM497" s="165"/>
      <c r="BO497" s="165"/>
      <c r="BQ497" s="165"/>
      <c r="BS497" s="165"/>
      <c r="BU497" s="165"/>
      <c r="BW497" s="165"/>
      <c r="CC497" s="165"/>
    </row>
    <row r="498" spans="3:81" ht="15">
      <c r="C498" s="157"/>
      <c r="D498" s="157"/>
      <c r="K498" s="131"/>
      <c r="M498" s="158"/>
      <c r="AG498" s="164"/>
      <c r="AI498" s="165"/>
      <c r="AM498" s="165"/>
      <c r="BG498" s="165"/>
      <c r="BI498" s="165"/>
      <c r="BK498" s="165"/>
      <c r="BM498" s="165"/>
      <c r="BO498" s="165"/>
      <c r="BQ498" s="165"/>
      <c r="BS498" s="165"/>
      <c r="BU498" s="165"/>
      <c r="BW498" s="165"/>
      <c r="CC498" s="165"/>
    </row>
    <row r="499" spans="3:81" ht="15">
      <c r="C499" s="157"/>
      <c r="D499" s="157"/>
      <c r="K499" s="131"/>
      <c r="M499" s="158"/>
      <c r="AG499" s="164"/>
      <c r="AI499" s="165"/>
      <c r="AM499" s="165"/>
      <c r="BG499" s="165"/>
      <c r="BI499" s="165"/>
      <c r="BK499" s="165"/>
      <c r="BM499" s="165"/>
      <c r="BO499" s="165"/>
      <c r="BQ499" s="165"/>
      <c r="BS499" s="165"/>
      <c r="BU499" s="165"/>
      <c r="BW499" s="165"/>
      <c r="CC499" s="165"/>
    </row>
    <row r="500" spans="3:81" ht="15">
      <c r="C500" s="157"/>
      <c r="D500" s="157"/>
      <c r="K500" s="131"/>
      <c r="M500" s="158"/>
      <c r="AG500" s="164"/>
      <c r="AI500" s="165"/>
      <c r="AM500" s="165"/>
      <c r="BG500" s="165"/>
      <c r="BI500" s="165"/>
      <c r="BK500" s="165"/>
      <c r="BM500" s="165"/>
      <c r="BO500" s="165"/>
      <c r="BQ500" s="165"/>
      <c r="BS500" s="165"/>
      <c r="BU500" s="165"/>
      <c r="BW500" s="165"/>
      <c r="CC500" s="165"/>
    </row>
    <row r="501" spans="3:81" ht="15">
      <c r="C501" s="157"/>
      <c r="D501" s="157"/>
      <c r="K501" s="131"/>
      <c r="M501" s="158"/>
      <c r="AG501" s="164"/>
      <c r="AI501" s="165"/>
      <c r="AM501" s="165"/>
      <c r="BG501" s="165"/>
      <c r="BI501" s="165"/>
      <c r="BK501" s="165"/>
      <c r="BM501" s="165"/>
      <c r="BO501" s="165"/>
      <c r="BQ501" s="165"/>
      <c r="BS501" s="165"/>
      <c r="BU501" s="165"/>
      <c r="BW501" s="165"/>
      <c r="CC501" s="165"/>
    </row>
    <row r="502" spans="3:81" ht="15">
      <c r="C502" s="157"/>
      <c r="D502" s="157"/>
      <c r="K502" s="131"/>
      <c r="M502" s="158"/>
      <c r="AG502" s="164"/>
      <c r="AI502" s="165"/>
      <c r="AM502" s="165"/>
      <c r="BG502" s="165"/>
      <c r="BI502" s="165"/>
      <c r="BK502" s="165"/>
      <c r="BM502" s="165"/>
      <c r="BO502" s="165"/>
      <c r="BQ502" s="165"/>
      <c r="BS502" s="165"/>
      <c r="BU502" s="165"/>
      <c r="BW502" s="165"/>
      <c r="CC502" s="165"/>
    </row>
    <row r="503" spans="3:81" ht="15">
      <c r="C503" s="157"/>
      <c r="D503" s="157"/>
      <c r="K503" s="131"/>
      <c r="M503" s="158"/>
      <c r="AG503" s="164"/>
      <c r="AI503" s="165"/>
      <c r="AM503" s="165"/>
      <c r="BG503" s="165"/>
      <c r="BI503" s="165"/>
      <c r="BK503" s="165"/>
      <c r="BM503" s="165"/>
      <c r="BO503" s="165"/>
      <c r="BQ503" s="165"/>
      <c r="BS503" s="165"/>
      <c r="BU503" s="165"/>
      <c r="BW503" s="165"/>
      <c r="CC503" s="165"/>
    </row>
    <row r="504" spans="3:81" ht="15">
      <c r="C504" s="157"/>
      <c r="D504" s="157"/>
      <c r="K504" s="131"/>
      <c r="M504" s="158"/>
      <c r="AG504" s="164"/>
      <c r="AI504" s="165"/>
      <c r="AM504" s="165"/>
      <c r="BG504" s="165"/>
      <c r="BI504" s="165"/>
      <c r="BK504" s="165"/>
      <c r="BM504" s="165"/>
      <c r="BO504" s="165"/>
      <c r="BQ504" s="165"/>
      <c r="BS504" s="165"/>
      <c r="BU504" s="165"/>
      <c r="BW504" s="165"/>
      <c r="CC504" s="165"/>
    </row>
    <row r="505" spans="3:81" ht="15">
      <c r="C505" s="157"/>
      <c r="D505" s="157"/>
      <c r="K505" s="131"/>
      <c r="M505" s="158"/>
      <c r="AG505" s="164"/>
      <c r="AI505" s="165"/>
      <c r="AM505" s="165"/>
      <c r="BG505" s="165"/>
      <c r="BI505" s="165"/>
      <c r="BK505" s="165"/>
      <c r="BM505" s="165"/>
      <c r="BO505" s="165"/>
      <c r="BQ505" s="165"/>
      <c r="BS505" s="165"/>
      <c r="BU505" s="165"/>
      <c r="BW505" s="165"/>
      <c r="CC505" s="165"/>
    </row>
    <row r="506" spans="3:81" ht="15">
      <c r="C506" s="157"/>
      <c r="D506" s="157"/>
      <c r="K506" s="131"/>
      <c r="M506" s="158"/>
      <c r="AG506" s="164"/>
      <c r="AI506" s="165"/>
      <c r="AM506" s="165"/>
      <c r="BG506" s="165"/>
      <c r="BI506" s="165"/>
      <c r="BK506" s="165"/>
      <c r="BM506" s="165"/>
      <c r="BO506" s="165"/>
      <c r="BQ506" s="165"/>
      <c r="BS506" s="165"/>
      <c r="BU506" s="165"/>
      <c r="BW506" s="165"/>
      <c r="CC506" s="165"/>
    </row>
    <row r="507" spans="3:81" ht="15">
      <c r="C507" s="157"/>
      <c r="D507" s="157"/>
      <c r="K507" s="131"/>
      <c r="M507" s="158"/>
      <c r="AG507" s="164"/>
      <c r="AI507" s="165"/>
      <c r="AM507" s="165"/>
      <c r="BG507" s="165"/>
      <c r="BI507" s="165"/>
      <c r="BK507" s="165"/>
      <c r="BM507" s="165"/>
      <c r="BO507" s="165"/>
      <c r="BQ507" s="165"/>
      <c r="BS507" s="165"/>
      <c r="BU507" s="165"/>
      <c r="BW507" s="165"/>
      <c r="CC507" s="165"/>
    </row>
    <row r="508" spans="3:81" ht="15">
      <c r="C508" s="157"/>
      <c r="D508" s="157"/>
      <c r="K508" s="131"/>
      <c r="M508" s="158"/>
      <c r="AG508" s="164"/>
      <c r="AI508" s="165"/>
      <c r="AM508" s="165"/>
      <c r="BG508" s="165"/>
      <c r="BI508" s="165"/>
      <c r="BK508" s="165"/>
      <c r="BM508" s="165"/>
      <c r="BO508" s="165"/>
      <c r="BQ508" s="165"/>
      <c r="BS508" s="165"/>
      <c r="BU508" s="165"/>
      <c r="BW508" s="165"/>
      <c r="CC508" s="165"/>
    </row>
    <row r="509" spans="3:81" ht="15">
      <c r="C509" s="157"/>
      <c r="D509" s="157"/>
      <c r="K509" s="131"/>
      <c r="M509" s="158"/>
      <c r="AG509" s="164"/>
      <c r="AI509" s="165"/>
      <c r="AM509" s="165"/>
      <c r="BG509" s="165"/>
      <c r="BI509" s="165"/>
      <c r="BK509" s="165"/>
      <c r="BM509" s="165"/>
      <c r="BO509" s="165"/>
      <c r="BQ509" s="165"/>
      <c r="BS509" s="165"/>
      <c r="BU509" s="165"/>
      <c r="BW509" s="165"/>
      <c r="CC509" s="165"/>
    </row>
    <row r="510" spans="3:81" ht="15">
      <c r="C510" s="157"/>
      <c r="D510" s="157"/>
      <c r="K510" s="131"/>
      <c r="M510" s="158"/>
      <c r="AG510" s="164"/>
      <c r="AI510" s="165"/>
      <c r="AM510" s="165"/>
      <c r="BG510" s="165"/>
      <c r="BI510" s="165"/>
      <c r="BK510" s="165"/>
      <c r="BM510" s="165"/>
      <c r="BO510" s="165"/>
      <c r="BQ510" s="165"/>
      <c r="BS510" s="165"/>
      <c r="BU510" s="165"/>
      <c r="BW510" s="165"/>
      <c r="CC510" s="165"/>
    </row>
    <row r="511" spans="3:81" ht="15">
      <c r="C511" s="157"/>
      <c r="D511" s="157"/>
      <c r="K511" s="131"/>
      <c r="M511" s="158"/>
      <c r="AG511" s="164"/>
      <c r="AI511" s="165"/>
      <c r="AM511" s="165"/>
      <c r="BG511" s="165"/>
      <c r="BI511" s="165"/>
      <c r="BK511" s="165"/>
      <c r="BM511" s="165"/>
      <c r="BO511" s="165"/>
      <c r="BQ511" s="165"/>
      <c r="BS511" s="165"/>
      <c r="BU511" s="165"/>
      <c r="BW511" s="165"/>
      <c r="CC511" s="165"/>
    </row>
    <row r="512" spans="3:81" ht="15">
      <c r="C512" s="157"/>
      <c r="D512" s="157"/>
      <c r="K512" s="131"/>
      <c r="M512" s="158"/>
      <c r="AG512" s="164"/>
      <c r="AI512" s="165"/>
      <c r="AM512" s="165"/>
      <c r="BG512" s="165"/>
      <c r="BI512" s="165"/>
      <c r="BK512" s="165"/>
      <c r="BM512" s="165"/>
      <c r="BO512" s="165"/>
      <c r="BQ512" s="165"/>
      <c r="BS512" s="165"/>
      <c r="BU512" s="165"/>
      <c r="BW512" s="165"/>
      <c r="CC512" s="165"/>
    </row>
    <row r="513" spans="3:81" ht="15">
      <c r="C513" s="157"/>
      <c r="D513" s="157"/>
      <c r="K513" s="131"/>
      <c r="M513" s="158"/>
      <c r="AG513" s="164"/>
      <c r="AI513" s="165"/>
      <c r="AM513" s="165"/>
      <c r="BG513" s="165"/>
      <c r="BI513" s="165"/>
      <c r="BK513" s="165"/>
      <c r="BM513" s="165"/>
      <c r="BO513" s="165"/>
      <c r="BQ513" s="165"/>
      <c r="BS513" s="165"/>
      <c r="BU513" s="165"/>
      <c r="BW513" s="165"/>
      <c r="CC513" s="165"/>
    </row>
    <row r="514" spans="3:81" ht="15">
      <c r="C514" s="157"/>
      <c r="D514" s="157"/>
      <c r="K514" s="131"/>
      <c r="M514" s="158"/>
      <c r="AG514" s="164"/>
      <c r="AI514" s="165"/>
      <c r="AM514" s="165"/>
      <c r="BG514" s="165"/>
      <c r="BI514" s="165"/>
      <c r="BK514" s="165"/>
      <c r="BM514" s="165"/>
      <c r="BO514" s="165"/>
      <c r="BQ514" s="165"/>
      <c r="BS514" s="165"/>
      <c r="BU514" s="165"/>
      <c r="BW514" s="165"/>
      <c r="CC514" s="165"/>
    </row>
    <row r="515" spans="3:81" ht="15">
      <c r="C515" s="157"/>
      <c r="D515" s="157"/>
      <c r="K515" s="131"/>
      <c r="M515" s="158"/>
      <c r="AG515" s="164"/>
      <c r="AI515" s="165"/>
      <c r="AM515" s="165"/>
      <c r="BG515" s="165"/>
      <c r="BI515" s="165"/>
      <c r="BK515" s="165"/>
      <c r="BM515" s="165"/>
      <c r="BO515" s="165"/>
      <c r="BQ515" s="165"/>
      <c r="BS515" s="165"/>
      <c r="BU515" s="165"/>
      <c r="BW515" s="165"/>
      <c r="CC515" s="165"/>
    </row>
    <row r="516" spans="3:81" ht="15">
      <c r="C516" s="157"/>
      <c r="D516" s="157"/>
      <c r="K516" s="131"/>
      <c r="M516" s="158"/>
      <c r="AG516" s="164"/>
      <c r="AI516" s="165"/>
      <c r="AM516" s="165"/>
      <c r="BG516" s="165"/>
      <c r="BI516" s="165"/>
      <c r="BK516" s="165"/>
      <c r="BM516" s="165"/>
      <c r="BO516" s="165"/>
      <c r="BQ516" s="165"/>
      <c r="BS516" s="165"/>
      <c r="BU516" s="165"/>
      <c r="BW516" s="165"/>
      <c r="CC516" s="165"/>
    </row>
    <row r="517" spans="3:81" ht="15">
      <c r="C517" s="157"/>
      <c r="D517" s="157"/>
      <c r="K517" s="131"/>
      <c r="M517" s="158"/>
      <c r="AG517" s="164"/>
      <c r="AI517" s="165"/>
      <c r="AM517" s="165"/>
      <c r="BG517" s="165"/>
      <c r="BI517" s="165"/>
      <c r="BK517" s="165"/>
      <c r="BM517" s="165"/>
      <c r="BO517" s="165"/>
      <c r="BQ517" s="165"/>
      <c r="BS517" s="165"/>
      <c r="BU517" s="165"/>
      <c r="BW517" s="165"/>
      <c r="CC517" s="165"/>
    </row>
    <row r="518" spans="3:81" ht="15">
      <c r="C518" s="157"/>
      <c r="D518" s="157"/>
      <c r="K518" s="131"/>
      <c r="M518" s="158"/>
      <c r="AG518" s="164"/>
      <c r="AI518" s="165"/>
      <c r="AM518" s="165"/>
      <c r="BG518" s="165"/>
      <c r="BI518" s="165"/>
      <c r="BK518" s="165"/>
      <c r="BM518" s="165"/>
      <c r="BO518" s="165"/>
      <c r="BQ518" s="165"/>
      <c r="BS518" s="165"/>
      <c r="BU518" s="165"/>
      <c r="BW518" s="165"/>
      <c r="CC518" s="165"/>
    </row>
    <row r="519" spans="3:81" ht="15">
      <c r="C519" s="157"/>
      <c r="D519" s="157"/>
      <c r="K519" s="131"/>
      <c r="M519" s="158"/>
      <c r="AG519" s="164"/>
      <c r="AI519" s="165"/>
      <c r="AM519" s="165"/>
      <c r="BG519" s="165"/>
      <c r="BI519" s="165"/>
      <c r="BK519" s="165"/>
      <c r="BM519" s="165"/>
      <c r="BO519" s="165"/>
      <c r="BQ519" s="165"/>
      <c r="BS519" s="165"/>
      <c r="BU519" s="165"/>
      <c r="BW519" s="165"/>
      <c r="CC519" s="165"/>
    </row>
    <row r="520" spans="3:81" ht="15">
      <c r="C520" s="157"/>
      <c r="D520" s="157"/>
      <c r="K520" s="131"/>
      <c r="M520" s="158"/>
      <c r="AG520" s="164"/>
      <c r="AI520" s="165"/>
      <c r="AM520" s="165"/>
      <c r="BG520" s="165"/>
      <c r="BI520" s="165"/>
      <c r="BK520" s="165"/>
      <c r="BM520" s="165"/>
      <c r="BO520" s="165"/>
      <c r="BQ520" s="165"/>
      <c r="BS520" s="165"/>
      <c r="BU520" s="165"/>
      <c r="BW520" s="165"/>
      <c r="CC520" s="165"/>
    </row>
    <row r="521" spans="3:81" ht="15">
      <c r="C521" s="157"/>
      <c r="D521" s="157"/>
      <c r="K521" s="131"/>
      <c r="M521" s="158"/>
      <c r="AG521" s="164"/>
      <c r="AI521" s="165"/>
      <c r="AM521" s="165"/>
      <c r="BG521" s="165"/>
      <c r="BI521" s="165"/>
      <c r="BK521" s="165"/>
      <c r="BM521" s="165"/>
      <c r="BO521" s="165"/>
      <c r="BQ521" s="165"/>
      <c r="BS521" s="165"/>
      <c r="BU521" s="165"/>
      <c r="BW521" s="165"/>
      <c r="CC521" s="165"/>
    </row>
    <row r="522" spans="3:81" ht="15">
      <c r="C522" s="157"/>
      <c r="D522" s="157"/>
      <c r="K522" s="131"/>
      <c r="M522" s="158"/>
      <c r="AG522" s="164"/>
      <c r="AI522" s="165"/>
      <c r="AM522" s="165"/>
      <c r="BG522" s="165"/>
      <c r="BI522" s="165"/>
      <c r="BK522" s="165"/>
      <c r="BM522" s="165"/>
      <c r="BO522" s="165"/>
      <c r="BQ522" s="165"/>
      <c r="BS522" s="165"/>
      <c r="BU522" s="165"/>
      <c r="BW522" s="165"/>
      <c r="CC522" s="165"/>
    </row>
    <row r="523" spans="3:81" ht="15">
      <c r="C523" s="157"/>
      <c r="D523" s="157"/>
      <c r="K523" s="131"/>
      <c r="M523" s="158"/>
      <c r="AG523" s="164"/>
      <c r="AI523" s="165"/>
      <c r="AM523" s="165"/>
      <c r="BG523" s="165"/>
      <c r="BI523" s="165"/>
      <c r="BK523" s="165"/>
      <c r="BM523" s="165"/>
      <c r="BO523" s="165"/>
      <c r="BQ523" s="165"/>
      <c r="BS523" s="165"/>
      <c r="BU523" s="165"/>
      <c r="BW523" s="165"/>
      <c r="CC523" s="165"/>
    </row>
    <row r="524" spans="3:81" ht="15">
      <c r="C524" s="157"/>
      <c r="D524" s="157"/>
      <c r="K524" s="131"/>
      <c r="M524" s="158"/>
      <c r="AG524" s="164"/>
      <c r="AI524" s="165"/>
      <c r="AM524" s="165"/>
      <c r="BG524" s="165"/>
      <c r="BI524" s="165"/>
      <c r="BK524" s="165"/>
      <c r="BM524" s="165"/>
      <c r="BO524" s="165"/>
      <c r="BQ524" s="165"/>
      <c r="BS524" s="165"/>
      <c r="BU524" s="165"/>
      <c r="BW524" s="165"/>
      <c r="CC524" s="165"/>
    </row>
    <row r="525" spans="3:81" ht="15">
      <c r="C525" s="157"/>
      <c r="D525" s="157"/>
      <c r="K525" s="131"/>
      <c r="M525" s="158"/>
      <c r="AG525" s="164"/>
      <c r="AI525" s="165"/>
      <c r="AM525" s="165"/>
      <c r="BG525" s="165"/>
      <c r="BI525" s="165"/>
      <c r="BK525" s="165"/>
      <c r="BM525" s="165"/>
      <c r="BO525" s="165"/>
      <c r="BQ525" s="165"/>
      <c r="BS525" s="165"/>
      <c r="BU525" s="165"/>
      <c r="BW525" s="165"/>
      <c r="CC525" s="165"/>
    </row>
    <row r="526" spans="3:81" ht="15">
      <c r="C526" s="157"/>
      <c r="D526" s="157"/>
      <c r="K526" s="131"/>
      <c r="M526" s="158"/>
      <c r="AG526" s="164"/>
      <c r="AI526" s="165"/>
      <c r="AM526" s="165"/>
      <c r="BG526" s="165"/>
      <c r="BI526" s="165"/>
      <c r="BK526" s="165"/>
      <c r="BM526" s="165"/>
      <c r="BO526" s="165"/>
      <c r="BQ526" s="165"/>
      <c r="BS526" s="165"/>
      <c r="BU526" s="165"/>
      <c r="BW526" s="165"/>
      <c r="CC526" s="165"/>
    </row>
    <row r="527" spans="3:81" ht="15">
      <c r="C527" s="157"/>
      <c r="D527" s="157"/>
      <c r="K527" s="131"/>
      <c r="M527" s="158"/>
      <c r="AG527" s="164"/>
      <c r="AI527" s="165"/>
      <c r="AM527" s="165"/>
      <c r="BG527" s="165"/>
      <c r="BI527" s="165"/>
      <c r="BK527" s="165"/>
      <c r="BM527" s="165"/>
      <c r="BO527" s="165"/>
      <c r="BQ527" s="165"/>
      <c r="BS527" s="165"/>
      <c r="BU527" s="165"/>
      <c r="BW527" s="165"/>
      <c r="CC527" s="165"/>
    </row>
    <row r="528" spans="3:81" ht="15">
      <c r="C528" s="157"/>
      <c r="D528" s="157"/>
      <c r="K528" s="131"/>
      <c r="M528" s="158"/>
      <c r="AG528" s="164"/>
      <c r="AI528" s="165"/>
      <c r="AM528" s="165"/>
      <c r="BG528" s="165"/>
      <c r="BI528" s="165"/>
      <c r="BK528" s="165"/>
      <c r="BM528" s="165"/>
      <c r="BO528" s="165"/>
      <c r="BQ528" s="165"/>
      <c r="BS528" s="165"/>
      <c r="BU528" s="165"/>
      <c r="BW528" s="165"/>
      <c r="CC528" s="165"/>
    </row>
    <row r="529" spans="3:81" ht="15">
      <c r="C529" s="157"/>
      <c r="D529" s="157"/>
      <c r="K529" s="131"/>
      <c r="M529" s="158"/>
      <c r="AG529" s="164"/>
      <c r="AI529" s="165"/>
      <c r="AM529" s="165"/>
      <c r="BG529" s="165"/>
      <c r="BI529" s="165"/>
      <c r="BK529" s="165"/>
      <c r="BM529" s="165"/>
      <c r="BO529" s="165"/>
      <c r="BQ529" s="165"/>
      <c r="BS529" s="165"/>
      <c r="BU529" s="165"/>
      <c r="BW529" s="165"/>
      <c r="CC529" s="165"/>
    </row>
    <row r="530" spans="3:81" ht="15">
      <c r="C530" s="157"/>
      <c r="D530" s="157"/>
      <c r="K530" s="131"/>
      <c r="M530" s="158"/>
      <c r="AG530" s="164"/>
      <c r="AI530" s="165"/>
      <c r="AM530" s="165"/>
      <c r="BG530" s="165"/>
      <c r="BI530" s="165"/>
      <c r="BK530" s="165"/>
      <c r="BM530" s="165"/>
      <c r="BO530" s="165"/>
      <c r="BQ530" s="165"/>
      <c r="BS530" s="165"/>
      <c r="BU530" s="165"/>
      <c r="BW530" s="165"/>
      <c r="CC530" s="165"/>
    </row>
    <row r="531" spans="3:81" ht="15">
      <c r="C531" s="157"/>
      <c r="D531" s="157"/>
      <c r="K531" s="131"/>
      <c r="M531" s="158"/>
      <c r="AG531" s="164"/>
      <c r="AI531" s="165"/>
      <c r="AM531" s="165"/>
      <c r="BG531" s="165"/>
      <c r="BI531" s="165"/>
      <c r="BK531" s="165"/>
      <c r="BM531" s="165"/>
      <c r="BO531" s="165"/>
      <c r="BQ531" s="165"/>
      <c r="BS531" s="165"/>
      <c r="BU531" s="165"/>
      <c r="BW531" s="165"/>
      <c r="CC531" s="165"/>
    </row>
    <row r="532" spans="3:81" ht="15">
      <c r="C532" s="157"/>
      <c r="D532" s="157"/>
      <c r="K532" s="131"/>
      <c r="M532" s="158"/>
      <c r="AG532" s="164"/>
      <c r="AI532" s="165"/>
      <c r="AM532" s="165"/>
      <c r="BG532" s="165"/>
      <c r="BI532" s="165"/>
      <c r="BK532" s="165"/>
      <c r="BM532" s="165"/>
      <c r="BO532" s="165"/>
      <c r="BQ532" s="165"/>
      <c r="BS532" s="165"/>
      <c r="BU532" s="165"/>
      <c r="BW532" s="165"/>
      <c r="CC532" s="165"/>
    </row>
    <row r="533" spans="3:81" ht="15">
      <c r="C533" s="157"/>
      <c r="D533" s="157"/>
      <c r="K533" s="131"/>
      <c r="M533" s="158"/>
      <c r="AG533" s="164"/>
      <c r="AI533" s="165"/>
      <c r="AM533" s="165"/>
      <c r="BG533" s="165"/>
      <c r="BI533" s="165"/>
      <c r="BK533" s="165"/>
      <c r="BM533" s="165"/>
      <c r="BO533" s="165"/>
      <c r="BQ533" s="165"/>
      <c r="BS533" s="165"/>
      <c r="BU533" s="165"/>
      <c r="BW533" s="165"/>
      <c r="CC533" s="165"/>
    </row>
    <row r="534" spans="3:81" ht="15">
      <c r="C534" s="157"/>
      <c r="D534" s="157"/>
      <c r="K534" s="131"/>
      <c r="M534" s="158"/>
      <c r="AG534" s="164"/>
      <c r="AI534" s="165"/>
      <c r="AM534" s="165"/>
      <c r="BG534" s="165"/>
      <c r="BI534" s="165"/>
      <c r="BK534" s="165"/>
      <c r="BM534" s="165"/>
      <c r="BO534" s="165"/>
      <c r="BQ534" s="165"/>
      <c r="BS534" s="165"/>
      <c r="BU534" s="165"/>
      <c r="BW534" s="165"/>
      <c r="CC534" s="165"/>
    </row>
    <row r="535" spans="3:81" ht="15">
      <c r="C535" s="157"/>
      <c r="D535" s="157"/>
      <c r="K535" s="131"/>
      <c r="M535" s="158"/>
      <c r="AG535" s="164"/>
      <c r="AI535" s="165"/>
      <c r="AM535" s="165"/>
      <c r="BG535" s="165"/>
      <c r="BI535" s="165"/>
      <c r="BK535" s="165"/>
      <c r="BM535" s="165"/>
      <c r="BO535" s="165"/>
      <c r="BQ535" s="165"/>
      <c r="BS535" s="165"/>
      <c r="BU535" s="165"/>
      <c r="BW535" s="165"/>
      <c r="CC535" s="165"/>
    </row>
    <row r="536" spans="3:81" ht="15">
      <c r="C536" s="157"/>
      <c r="D536" s="157"/>
      <c r="K536" s="131"/>
      <c r="M536" s="158"/>
      <c r="AG536" s="164"/>
      <c r="AI536" s="165"/>
      <c r="AM536" s="165"/>
      <c r="BG536" s="165"/>
      <c r="BI536" s="165"/>
      <c r="BK536" s="165"/>
      <c r="BM536" s="165"/>
      <c r="BO536" s="165"/>
      <c r="BQ536" s="165"/>
      <c r="BS536" s="165"/>
      <c r="BU536" s="165"/>
      <c r="BW536" s="165"/>
      <c r="CC536" s="165"/>
    </row>
    <row r="537" spans="3:81" ht="15">
      <c r="C537" s="157"/>
      <c r="D537" s="157"/>
      <c r="K537" s="131"/>
      <c r="M537" s="158"/>
      <c r="AG537" s="164"/>
      <c r="AI537" s="165"/>
      <c r="AM537" s="165"/>
      <c r="BG537" s="165"/>
      <c r="BI537" s="165"/>
      <c r="BK537" s="165"/>
      <c r="BM537" s="165"/>
      <c r="BO537" s="165"/>
      <c r="BQ537" s="165"/>
      <c r="BS537" s="165"/>
      <c r="BU537" s="165"/>
      <c r="BW537" s="165"/>
      <c r="CC537" s="165"/>
    </row>
    <row r="538" spans="3:81" ht="15">
      <c r="C538" s="157"/>
      <c r="D538" s="157"/>
      <c r="K538" s="131"/>
      <c r="M538" s="158"/>
      <c r="AG538" s="164"/>
      <c r="AI538" s="165"/>
      <c r="AM538" s="165"/>
      <c r="BG538" s="165"/>
      <c r="BI538" s="165"/>
      <c r="BK538" s="165"/>
      <c r="BM538" s="165"/>
      <c r="BO538" s="165"/>
      <c r="BQ538" s="165"/>
      <c r="BS538" s="165"/>
      <c r="BU538" s="165"/>
      <c r="BW538" s="165"/>
      <c r="CC538" s="165"/>
    </row>
    <row r="539" spans="3:81" ht="15">
      <c r="C539" s="157"/>
      <c r="D539" s="157"/>
      <c r="K539" s="131"/>
      <c r="M539" s="158"/>
      <c r="AG539" s="164"/>
      <c r="AI539" s="165"/>
      <c r="AM539" s="165"/>
      <c r="BG539" s="165"/>
      <c r="BI539" s="165"/>
      <c r="BK539" s="165"/>
      <c r="BM539" s="165"/>
      <c r="BO539" s="165"/>
      <c r="BQ539" s="165"/>
      <c r="BS539" s="165"/>
      <c r="BU539" s="165"/>
      <c r="BW539" s="165"/>
      <c r="CC539" s="165"/>
    </row>
    <row r="540" spans="3:81" ht="15">
      <c r="C540" s="157"/>
      <c r="D540" s="157"/>
      <c r="K540" s="131"/>
      <c r="M540" s="158"/>
      <c r="AG540" s="164"/>
      <c r="AI540" s="165"/>
      <c r="AM540" s="165"/>
      <c r="BG540" s="165"/>
      <c r="BI540" s="165"/>
      <c r="BK540" s="165"/>
      <c r="BM540" s="165"/>
      <c r="BO540" s="165"/>
      <c r="BQ540" s="165"/>
      <c r="BS540" s="165"/>
      <c r="BU540" s="165"/>
      <c r="BW540" s="165"/>
      <c r="CC540" s="165"/>
    </row>
    <row r="541" spans="3:81" ht="15">
      <c r="C541" s="157"/>
      <c r="D541" s="157"/>
      <c r="K541" s="131"/>
      <c r="M541" s="158"/>
      <c r="AG541" s="164"/>
      <c r="AI541" s="165"/>
      <c r="AM541" s="165"/>
      <c r="BG541" s="165"/>
      <c r="BI541" s="165"/>
      <c r="BK541" s="165"/>
      <c r="BM541" s="165"/>
      <c r="BO541" s="165"/>
      <c r="BQ541" s="165"/>
      <c r="BS541" s="165"/>
      <c r="BU541" s="165"/>
      <c r="BW541" s="165"/>
      <c r="CC541" s="165"/>
    </row>
    <row r="542" spans="3:81" ht="15">
      <c r="C542" s="157"/>
      <c r="D542" s="157"/>
      <c r="K542" s="131"/>
      <c r="M542" s="158"/>
      <c r="AG542" s="164"/>
      <c r="AI542" s="165"/>
      <c r="AM542" s="165"/>
      <c r="BG542" s="165"/>
      <c r="BI542" s="165"/>
      <c r="BK542" s="165"/>
      <c r="BM542" s="165"/>
      <c r="BO542" s="165"/>
      <c r="BQ542" s="165"/>
      <c r="BS542" s="165"/>
      <c r="BU542" s="165"/>
      <c r="BW542" s="165"/>
      <c r="CC542" s="165"/>
    </row>
    <row r="543" spans="3:81" ht="15">
      <c r="C543" s="157"/>
      <c r="D543" s="157"/>
      <c r="K543" s="131"/>
      <c r="M543" s="158"/>
      <c r="AG543" s="164"/>
      <c r="AI543" s="165"/>
      <c r="AM543" s="165"/>
      <c r="BG543" s="165"/>
      <c r="BI543" s="165"/>
      <c r="BK543" s="165"/>
      <c r="BM543" s="165"/>
      <c r="BO543" s="165"/>
      <c r="BQ543" s="165"/>
      <c r="BS543" s="165"/>
      <c r="BU543" s="165"/>
      <c r="BW543" s="165"/>
      <c r="CC543" s="165"/>
    </row>
    <row r="544" spans="3:81" ht="15">
      <c r="C544" s="157"/>
      <c r="D544" s="157"/>
      <c r="K544" s="131"/>
      <c r="M544" s="158"/>
      <c r="AG544" s="164"/>
      <c r="AI544" s="165"/>
      <c r="AM544" s="165"/>
      <c r="BG544" s="165"/>
      <c r="BI544" s="165"/>
      <c r="BK544" s="165"/>
      <c r="BM544" s="165"/>
      <c r="BO544" s="165"/>
      <c r="BQ544" s="165"/>
      <c r="BS544" s="165"/>
      <c r="BU544" s="165"/>
      <c r="BW544" s="165"/>
      <c r="CC544" s="165"/>
    </row>
    <row r="545" spans="3:81" ht="15">
      <c r="C545" s="157"/>
      <c r="D545" s="157"/>
      <c r="K545" s="131"/>
      <c r="M545" s="158"/>
      <c r="AG545" s="164"/>
      <c r="AI545" s="165"/>
      <c r="AM545" s="165"/>
      <c r="BG545" s="165"/>
      <c r="BI545" s="165"/>
      <c r="BK545" s="165"/>
      <c r="BM545" s="165"/>
      <c r="BO545" s="165"/>
      <c r="BQ545" s="165"/>
      <c r="BS545" s="165"/>
      <c r="BU545" s="165"/>
      <c r="BW545" s="165"/>
      <c r="CC545" s="165"/>
    </row>
    <row r="546" spans="3:81" ht="15">
      <c r="C546" s="157"/>
      <c r="D546" s="157"/>
      <c r="K546" s="131"/>
      <c r="M546" s="158"/>
      <c r="AG546" s="164"/>
      <c r="AI546" s="165"/>
      <c r="AM546" s="165"/>
      <c r="BG546" s="165"/>
      <c r="BI546" s="165"/>
      <c r="BK546" s="165"/>
      <c r="BM546" s="165"/>
      <c r="BO546" s="165"/>
      <c r="BQ546" s="165"/>
      <c r="BS546" s="165"/>
      <c r="BU546" s="165"/>
      <c r="BW546" s="165"/>
      <c r="CC546" s="165"/>
    </row>
    <row r="547" spans="3:81" ht="15">
      <c r="C547" s="157"/>
      <c r="D547" s="157"/>
      <c r="K547" s="131"/>
      <c r="M547" s="158"/>
      <c r="AG547" s="164"/>
      <c r="AI547" s="165"/>
      <c r="AM547" s="165"/>
      <c r="BG547" s="165"/>
      <c r="BI547" s="165"/>
      <c r="BK547" s="165"/>
      <c r="BM547" s="165"/>
      <c r="BO547" s="165"/>
      <c r="BQ547" s="165"/>
      <c r="BS547" s="165"/>
      <c r="BU547" s="165"/>
      <c r="BW547" s="165"/>
      <c r="CC547" s="165"/>
    </row>
    <row r="548" spans="3:81" ht="15">
      <c r="C548" s="157"/>
      <c r="D548" s="157"/>
      <c r="K548" s="131"/>
      <c r="M548" s="158"/>
      <c r="AG548" s="164"/>
      <c r="AI548" s="165"/>
      <c r="AM548" s="165"/>
      <c r="BG548" s="165"/>
      <c r="BI548" s="165"/>
      <c r="BK548" s="165"/>
      <c r="BM548" s="165"/>
      <c r="BO548" s="165"/>
      <c r="BQ548" s="165"/>
      <c r="BS548" s="165"/>
      <c r="BU548" s="165"/>
      <c r="BW548" s="165"/>
      <c r="CC548" s="165"/>
    </row>
    <row r="549" spans="3:81" ht="15">
      <c r="C549" s="157"/>
      <c r="D549" s="157"/>
      <c r="K549" s="131"/>
      <c r="M549" s="158"/>
      <c r="AG549" s="164"/>
      <c r="AI549" s="165"/>
      <c r="AM549" s="165"/>
      <c r="BG549" s="165"/>
      <c r="BI549" s="165"/>
      <c r="BK549" s="165"/>
      <c r="BM549" s="165"/>
      <c r="BO549" s="165"/>
      <c r="BQ549" s="165"/>
      <c r="BS549" s="165"/>
      <c r="BU549" s="165"/>
      <c r="BW549" s="165"/>
      <c r="CC549" s="165"/>
    </row>
    <row r="550" spans="3:81" ht="15">
      <c r="C550" s="157"/>
      <c r="D550" s="157"/>
      <c r="K550" s="131"/>
      <c r="M550" s="158"/>
      <c r="AG550" s="164"/>
      <c r="AI550" s="165"/>
      <c r="AM550" s="165"/>
      <c r="BG550" s="165"/>
      <c r="BI550" s="165"/>
      <c r="BK550" s="165"/>
      <c r="BM550" s="165"/>
      <c r="BO550" s="165"/>
      <c r="BQ550" s="165"/>
      <c r="BS550" s="165"/>
      <c r="BU550" s="165"/>
      <c r="BW550" s="165"/>
      <c r="CC550" s="165"/>
    </row>
    <row r="551" spans="3:81" ht="15">
      <c r="C551" s="157"/>
      <c r="D551" s="157"/>
      <c r="K551" s="131"/>
      <c r="M551" s="158"/>
      <c r="AG551" s="164"/>
      <c r="AI551" s="165"/>
      <c r="AM551" s="165"/>
      <c r="BG551" s="165"/>
      <c r="BI551" s="165"/>
      <c r="BK551" s="165"/>
      <c r="BM551" s="165"/>
      <c r="BO551" s="165"/>
      <c r="BQ551" s="165"/>
      <c r="BS551" s="165"/>
      <c r="BU551" s="165"/>
      <c r="BW551" s="165"/>
      <c r="CC551" s="165"/>
    </row>
    <row r="552" spans="3:81" ht="15">
      <c r="C552" s="157"/>
      <c r="D552" s="157"/>
      <c r="K552" s="131"/>
      <c r="M552" s="158"/>
      <c r="AG552" s="164"/>
      <c r="AI552" s="165"/>
      <c r="AM552" s="165"/>
      <c r="BG552" s="165"/>
      <c r="BI552" s="165"/>
      <c r="BK552" s="165"/>
      <c r="BM552" s="165"/>
      <c r="BO552" s="165"/>
      <c r="BQ552" s="165"/>
      <c r="BS552" s="165"/>
      <c r="BU552" s="165"/>
      <c r="BW552" s="165"/>
      <c r="CC552" s="165"/>
    </row>
    <row r="553" spans="3:81" ht="15">
      <c r="C553" s="157"/>
      <c r="D553" s="157"/>
      <c r="K553" s="131"/>
      <c r="M553" s="158"/>
      <c r="AG553" s="164"/>
      <c r="AI553" s="165"/>
      <c r="AM553" s="165"/>
      <c r="BG553" s="165"/>
      <c r="BI553" s="165"/>
      <c r="BK553" s="165"/>
      <c r="BM553" s="165"/>
      <c r="BO553" s="165"/>
      <c r="BQ553" s="165"/>
      <c r="BS553" s="165"/>
      <c r="BU553" s="165"/>
      <c r="BW553" s="165"/>
      <c r="CC553" s="165"/>
    </row>
    <row r="554" spans="3:81" ht="15">
      <c r="C554" s="157"/>
      <c r="D554" s="157"/>
      <c r="K554" s="131"/>
      <c r="M554" s="158"/>
      <c r="AG554" s="164"/>
      <c r="AI554" s="165"/>
      <c r="AM554" s="165"/>
      <c r="BG554" s="165"/>
      <c r="BI554" s="165"/>
      <c r="BK554" s="165"/>
      <c r="BM554" s="165"/>
      <c r="BO554" s="165"/>
      <c r="BQ554" s="165"/>
      <c r="BS554" s="165"/>
      <c r="BU554" s="165"/>
      <c r="BW554" s="165"/>
      <c r="CC554" s="165"/>
    </row>
    <row r="555" spans="3:81" ht="15">
      <c r="C555" s="157"/>
      <c r="D555" s="157"/>
      <c r="K555" s="131"/>
      <c r="M555" s="158"/>
      <c r="AG555" s="164"/>
      <c r="AI555" s="165"/>
      <c r="AM555" s="165"/>
      <c r="BG555" s="165"/>
      <c r="BI555" s="165"/>
      <c r="BK555" s="165"/>
      <c r="BM555" s="165"/>
      <c r="BO555" s="165"/>
      <c r="BQ555" s="165"/>
      <c r="BS555" s="165"/>
      <c r="BU555" s="165"/>
      <c r="BW555" s="165"/>
      <c r="CC555" s="165"/>
    </row>
    <row r="556" spans="3:81" ht="15">
      <c r="C556" s="157"/>
      <c r="D556" s="157"/>
      <c r="K556" s="131"/>
      <c r="M556" s="158"/>
      <c r="AG556" s="164"/>
      <c r="AI556" s="165"/>
      <c r="AM556" s="165"/>
      <c r="BG556" s="165"/>
      <c r="BI556" s="165"/>
      <c r="BK556" s="165"/>
      <c r="BM556" s="165"/>
      <c r="BO556" s="165"/>
      <c r="BQ556" s="165"/>
      <c r="BS556" s="165"/>
      <c r="BU556" s="165"/>
      <c r="BW556" s="165"/>
      <c r="CC556" s="165"/>
    </row>
    <row r="557" spans="3:81" ht="15">
      <c r="C557" s="157"/>
      <c r="D557" s="157"/>
      <c r="K557" s="131"/>
      <c r="M557" s="158"/>
      <c r="AG557" s="164"/>
      <c r="AI557" s="165"/>
      <c r="AM557" s="165"/>
      <c r="BG557" s="165"/>
      <c r="BI557" s="165"/>
      <c r="BK557" s="165"/>
      <c r="BM557" s="165"/>
      <c r="BO557" s="165"/>
      <c r="BQ557" s="165"/>
      <c r="BS557" s="165"/>
      <c r="BU557" s="165"/>
      <c r="BW557" s="165"/>
      <c r="CC557" s="165"/>
    </row>
    <row r="558" spans="3:81" ht="15">
      <c r="C558" s="157"/>
      <c r="D558" s="157"/>
      <c r="K558" s="131"/>
      <c r="M558" s="158"/>
      <c r="AG558" s="164"/>
      <c r="AI558" s="165"/>
      <c r="AM558" s="165"/>
      <c r="BG558" s="165"/>
      <c r="BI558" s="165"/>
      <c r="BK558" s="165"/>
      <c r="BM558" s="165"/>
      <c r="BO558" s="165"/>
      <c r="BQ558" s="165"/>
      <c r="BS558" s="165"/>
      <c r="BU558" s="165"/>
      <c r="BW558" s="165"/>
      <c r="CC558" s="165"/>
    </row>
    <row r="559" spans="3:81" ht="15">
      <c r="C559" s="157"/>
      <c r="D559" s="157"/>
      <c r="K559" s="131"/>
      <c r="M559" s="158"/>
      <c r="AG559" s="164"/>
      <c r="AI559" s="165"/>
      <c r="AM559" s="165"/>
      <c r="BG559" s="165"/>
      <c r="BI559" s="165"/>
      <c r="BK559" s="165"/>
      <c r="BM559" s="165"/>
      <c r="BO559" s="165"/>
      <c r="BQ559" s="165"/>
      <c r="BS559" s="165"/>
      <c r="BU559" s="165"/>
      <c r="BW559" s="165"/>
      <c r="CC559" s="165"/>
    </row>
    <row r="560" spans="3:81" ht="15">
      <c r="C560" s="157"/>
      <c r="D560" s="157"/>
      <c r="K560" s="131"/>
      <c r="M560" s="158"/>
      <c r="AG560" s="164"/>
      <c r="AI560" s="165"/>
      <c r="AM560" s="165"/>
      <c r="BG560" s="165"/>
      <c r="BI560" s="165"/>
      <c r="BK560" s="165"/>
      <c r="BM560" s="165"/>
      <c r="BO560" s="165"/>
      <c r="BQ560" s="165"/>
      <c r="BS560" s="165"/>
      <c r="BU560" s="165"/>
      <c r="BW560" s="165"/>
      <c r="CC560" s="165"/>
    </row>
    <row r="561" spans="3:81" ht="15">
      <c r="C561" s="157"/>
      <c r="D561" s="157"/>
      <c r="K561" s="131"/>
      <c r="M561" s="158"/>
      <c r="AG561" s="164"/>
      <c r="AI561" s="165"/>
      <c r="AM561" s="165"/>
      <c r="BG561" s="165"/>
      <c r="BI561" s="165"/>
      <c r="BK561" s="165"/>
      <c r="BM561" s="165"/>
      <c r="BO561" s="165"/>
      <c r="BQ561" s="165"/>
      <c r="BS561" s="165"/>
      <c r="BU561" s="165"/>
      <c r="BW561" s="165"/>
      <c r="CC561" s="165"/>
    </row>
    <row r="562" spans="3:81" ht="15">
      <c r="C562" s="157"/>
      <c r="D562" s="157"/>
      <c r="K562" s="131"/>
      <c r="M562" s="158"/>
      <c r="AG562" s="164"/>
      <c r="AI562" s="165"/>
      <c r="AM562" s="165"/>
      <c r="BG562" s="165"/>
      <c r="BI562" s="165"/>
      <c r="BK562" s="165"/>
      <c r="BM562" s="165"/>
      <c r="BO562" s="165"/>
      <c r="BQ562" s="165"/>
      <c r="BS562" s="165"/>
      <c r="BU562" s="165"/>
      <c r="BW562" s="165"/>
      <c r="CC562" s="165"/>
    </row>
    <row r="563" spans="3:81" ht="15">
      <c r="C563" s="157"/>
      <c r="D563" s="157"/>
      <c r="K563" s="131"/>
      <c r="M563" s="158"/>
      <c r="AG563" s="164"/>
      <c r="AI563" s="165"/>
      <c r="AM563" s="165"/>
      <c r="BG563" s="165"/>
      <c r="BI563" s="165"/>
      <c r="BK563" s="165"/>
      <c r="BM563" s="165"/>
      <c r="BO563" s="165"/>
      <c r="BQ563" s="165"/>
      <c r="BS563" s="165"/>
      <c r="BU563" s="165"/>
      <c r="BW563" s="165"/>
      <c r="CC563" s="165"/>
    </row>
    <row r="564" spans="3:81" ht="15">
      <c r="C564" s="157"/>
      <c r="D564" s="157"/>
      <c r="K564" s="131"/>
      <c r="M564" s="158"/>
      <c r="AG564" s="164"/>
      <c r="AI564" s="165"/>
      <c r="AM564" s="165"/>
      <c r="BG564" s="165"/>
      <c r="BI564" s="165"/>
      <c r="BK564" s="165"/>
      <c r="BM564" s="165"/>
      <c r="BO564" s="165"/>
      <c r="BQ564" s="165"/>
      <c r="BS564" s="165"/>
      <c r="BU564" s="165"/>
      <c r="BW564" s="165"/>
      <c r="CC564" s="165"/>
    </row>
    <row r="565" spans="3:81" ht="15">
      <c r="C565" s="157"/>
      <c r="D565" s="157"/>
      <c r="K565" s="131"/>
      <c r="M565" s="158"/>
      <c r="AG565" s="164"/>
      <c r="AI565" s="165"/>
      <c r="AM565" s="165"/>
      <c r="BG565" s="165"/>
      <c r="BI565" s="165"/>
      <c r="BK565" s="165"/>
      <c r="BM565" s="165"/>
      <c r="BO565" s="165"/>
      <c r="BQ565" s="165"/>
      <c r="BS565" s="165"/>
      <c r="BU565" s="165"/>
      <c r="BW565" s="165"/>
      <c r="CC565" s="165"/>
    </row>
    <row r="566" spans="3:81" ht="15">
      <c r="C566" s="157"/>
      <c r="D566" s="157"/>
      <c r="K566" s="131"/>
      <c r="M566" s="158"/>
      <c r="AG566" s="164"/>
      <c r="AI566" s="165"/>
      <c r="AM566" s="165"/>
      <c r="BG566" s="165"/>
      <c r="BI566" s="165"/>
      <c r="BK566" s="165"/>
      <c r="BM566" s="165"/>
      <c r="BO566" s="165"/>
      <c r="BQ566" s="165"/>
      <c r="BS566" s="165"/>
      <c r="BU566" s="165"/>
      <c r="BW566" s="165"/>
      <c r="CC566" s="165"/>
    </row>
    <row r="567" spans="3:81" ht="15">
      <c r="C567" s="157"/>
      <c r="D567" s="157"/>
      <c r="K567" s="131"/>
      <c r="M567" s="158"/>
      <c r="AG567" s="164"/>
      <c r="AI567" s="165"/>
      <c r="AM567" s="165"/>
      <c r="BG567" s="165"/>
      <c r="BI567" s="165"/>
      <c r="BK567" s="165"/>
      <c r="BM567" s="165"/>
      <c r="BO567" s="165"/>
      <c r="BQ567" s="165"/>
      <c r="BS567" s="165"/>
      <c r="BU567" s="165"/>
      <c r="BW567" s="165"/>
      <c r="CC567" s="165"/>
    </row>
    <row r="568" spans="3:81" ht="15">
      <c r="C568" s="157"/>
      <c r="D568" s="157"/>
      <c r="K568" s="131"/>
      <c r="M568" s="158"/>
      <c r="AG568" s="164"/>
      <c r="AI568" s="165"/>
      <c r="AM568" s="165"/>
      <c r="BG568" s="165"/>
      <c r="BI568" s="165"/>
      <c r="BK568" s="165"/>
      <c r="BM568" s="165"/>
      <c r="BO568" s="165"/>
      <c r="BQ568" s="165"/>
      <c r="BS568" s="165"/>
      <c r="BU568" s="165"/>
      <c r="BW568" s="165"/>
      <c r="CC568" s="165"/>
    </row>
    <row r="569" spans="3:81" ht="15">
      <c r="C569" s="157"/>
      <c r="D569" s="157"/>
      <c r="K569" s="131"/>
      <c r="M569" s="158"/>
      <c r="AG569" s="164"/>
      <c r="AI569" s="165"/>
      <c r="AM569" s="165"/>
      <c r="BG569" s="165"/>
      <c r="BI569" s="165"/>
      <c r="BK569" s="165"/>
      <c r="BM569" s="165"/>
      <c r="BO569" s="165"/>
      <c r="BQ569" s="165"/>
      <c r="BS569" s="165"/>
      <c r="BU569" s="165"/>
      <c r="BW569" s="165"/>
      <c r="CC569" s="165"/>
    </row>
    <row r="570" spans="3:81" ht="15">
      <c r="C570" s="157"/>
      <c r="D570" s="157"/>
      <c r="K570" s="131"/>
      <c r="M570" s="158"/>
      <c r="AG570" s="164"/>
      <c r="AI570" s="165"/>
      <c r="AM570" s="165"/>
      <c r="BG570" s="165"/>
      <c r="BI570" s="165"/>
      <c r="BK570" s="165"/>
      <c r="BM570" s="165"/>
      <c r="BO570" s="165"/>
      <c r="BQ570" s="165"/>
      <c r="BS570" s="165"/>
      <c r="BU570" s="165"/>
      <c r="BW570" s="165"/>
      <c r="CC570" s="165"/>
    </row>
    <row r="571" spans="3:81" ht="15">
      <c r="C571" s="157"/>
      <c r="D571" s="157"/>
      <c r="K571" s="131"/>
      <c r="M571" s="158"/>
      <c r="AG571" s="164"/>
      <c r="AI571" s="165"/>
      <c r="AM571" s="165"/>
      <c r="BG571" s="165"/>
      <c r="BI571" s="165"/>
      <c r="BK571" s="165"/>
      <c r="BM571" s="165"/>
      <c r="BO571" s="165"/>
      <c r="BQ571" s="165"/>
      <c r="BS571" s="165"/>
      <c r="BU571" s="165"/>
      <c r="BW571" s="165"/>
      <c r="CC571" s="165"/>
    </row>
    <row r="572" spans="3:81" ht="15">
      <c r="C572" s="157"/>
      <c r="D572" s="157"/>
      <c r="K572" s="131"/>
      <c r="M572" s="158"/>
      <c r="AG572" s="164"/>
      <c r="AI572" s="165"/>
      <c r="AM572" s="165"/>
      <c r="BG572" s="165"/>
      <c r="BI572" s="165"/>
      <c r="BK572" s="165"/>
      <c r="BM572" s="165"/>
      <c r="BO572" s="165"/>
      <c r="BQ572" s="165"/>
      <c r="BS572" s="165"/>
      <c r="BU572" s="165"/>
      <c r="BW572" s="165"/>
      <c r="CC572" s="165"/>
    </row>
    <row r="573" spans="3:81" ht="15">
      <c r="C573" s="157"/>
      <c r="D573" s="157"/>
      <c r="K573" s="131"/>
      <c r="M573" s="158"/>
      <c r="AG573" s="164"/>
      <c r="AI573" s="165"/>
      <c r="AM573" s="165"/>
      <c r="BG573" s="165"/>
      <c r="BI573" s="165"/>
      <c r="BK573" s="165"/>
      <c r="BM573" s="165"/>
      <c r="BO573" s="165"/>
      <c r="BQ573" s="165"/>
      <c r="BS573" s="165"/>
      <c r="BU573" s="165"/>
      <c r="BW573" s="165"/>
      <c r="CC573" s="165"/>
    </row>
    <row r="574" spans="3:81" ht="15">
      <c r="C574" s="157"/>
      <c r="D574" s="157"/>
      <c r="K574" s="131"/>
      <c r="M574" s="158"/>
      <c r="AG574" s="164"/>
      <c r="AI574" s="165"/>
      <c r="AM574" s="165"/>
      <c r="BG574" s="165"/>
      <c r="BI574" s="165"/>
      <c r="BK574" s="165"/>
      <c r="BM574" s="165"/>
      <c r="BO574" s="165"/>
      <c r="BQ574" s="165"/>
      <c r="BS574" s="165"/>
      <c r="BU574" s="165"/>
      <c r="BW574" s="165"/>
      <c r="CC574" s="165"/>
    </row>
    <row r="575" spans="3:81" ht="15">
      <c r="C575" s="157"/>
      <c r="D575" s="157"/>
      <c r="K575" s="131"/>
      <c r="M575" s="158"/>
      <c r="AG575" s="164"/>
      <c r="AI575" s="165"/>
      <c r="AM575" s="165"/>
      <c r="BG575" s="165"/>
      <c r="BI575" s="165"/>
      <c r="BK575" s="165"/>
      <c r="BM575" s="165"/>
      <c r="BO575" s="165"/>
      <c r="BQ575" s="165"/>
      <c r="BS575" s="165"/>
      <c r="BU575" s="165"/>
      <c r="BW575" s="165"/>
      <c r="CC575" s="165"/>
    </row>
    <row r="576" spans="3:81" ht="15">
      <c r="C576" s="157"/>
      <c r="D576" s="157"/>
      <c r="K576" s="131"/>
      <c r="M576" s="158"/>
      <c r="AG576" s="164"/>
      <c r="AI576" s="165"/>
      <c r="AM576" s="165"/>
      <c r="BG576" s="165"/>
      <c r="BI576" s="165"/>
      <c r="BK576" s="165"/>
      <c r="BM576" s="165"/>
      <c r="BO576" s="165"/>
      <c r="BQ576" s="165"/>
      <c r="BS576" s="165"/>
      <c r="BU576" s="165"/>
      <c r="BW576" s="165"/>
      <c r="CC576" s="165"/>
    </row>
    <row r="577" spans="3:81" ht="15">
      <c r="C577" s="157"/>
      <c r="D577" s="157"/>
      <c r="K577" s="131"/>
      <c r="M577" s="158"/>
      <c r="AG577" s="164"/>
      <c r="AI577" s="165"/>
      <c r="AM577" s="165"/>
      <c r="BG577" s="165"/>
      <c r="BI577" s="165"/>
      <c r="BK577" s="165"/>
      <c r="BM577" s="165"/>
      <c r="BO577" s="165"/>
      <c r="BQ577" s="165"/>
      <c r="BS577" s="165"/>
      <c r="BU577" s="165"/>
      <c r="BW577" s="165"/>
      <c r="CC577" s="165"/>
    </row>
    <row r="578" spans="3:81" ht="15">
      <c r="C578" s="157"/>
      <c r="D578" s="157"/>
      <c r="K578" s="131"/>
      <c r="M578" s="158"/>
      <c r="AG578" s="164"/>
      <c r="AI578" s="165"/>
      <c r="AM578" s="165"/>
      <c r="BG578" s="165"/>
      <c r="BI578" s="165"/>
      <c r="BK578" s="165"/>
      <c r="BM578" s="165"/>
      <c r="BO578" s="165"/>
      <c r="BQ578" s="165"/>
      <c r="BS578" s="165"/>
      <c r="BU578" s="165"/>
      <c r="BW578" s="165"/>
      <c r="CC578" s="165"/>
    </row>
    <row r="579" spans="3:81" ht="15">
      <c r="C579" s="157"/>
      <c r="D579" s="157"/>
      <c r="K579" s="131"/>
      <c r="M579" s="158"/>
      <c r="AG579" s="164"/>
      <c r="AI579" s="165"/>
      <c r="AM579" s="165"/>
      <c r="BG579" s="165"/>
      <c r="BI579" s="165"/>
      <c r="BK579" s="165"/>
      <c r="BM579" s="165"/>
      <c r="BO579" s="165"/>
      <c r="BQ579" s="165"/>
      <c r="BS579" s="165"/>
      <c r="BU579" s="165"/>
      <c r="BW579" s="165"/>
      <c r="CC579" s="165"/>
    </row>
    <row r="580" spans="3:81" ht="15">
      <c r="C580" s="157"/>
      <c r="D580" s="157"/>
      <c r="K580" s="131"/>
      <c r="M580" s="158"/>
      <c r="AG580" s="164"/>
      <c r="AI580" s="165"/>
      <c r="AM580" s="165"/>
      <c r="BG580" s="165"/>
      <c r="BI580" s="165"/>
      <c r="BK580" s="165"/>
      <c r="BM580" s="165"/>
      <c r="BO580" s="165"/>
      <c r="BQ580" s="165"/>
      <c r="BS580" s="165"/>
      <c r="BU580" s="165"/>
      <c r="BW580" s="165"/>
      <c r="CC580" s="165"/>
    </row>
    <row r="581" spans="3:81" ht="15">
      <c r="C581" s="157"/>
      <c r="D581" s="157"/>
      <c r="K581" s="131"/>
      <c r="M581" s="158"/>
      <c r="AG581" s="164"/>
      <c r="AI581" s="165"/>
      <c r="AM581" s="165"/>
      <c r="BG581" s="165"/>
      <c r="BI581" s="165"/>
      <c r="BK581" s="165"/>
      <c r="BM581" s="165"/>
      <c r="BO581" s="165"/>
      <c r="BQ581" s="165"/>
      <c r="BS581" s="165"/>
      <c r="BU581" s="165"/>
      <c r="BW581" s="165"/>
      <c r="CC581" s="165"/>
    </row>
    <row r="582" spans="3:81" ht="15">
      <c r="C582" s="157"/>
      <c r="D582" s="157"/>
      <c r="K582" s="131"/>
      <c r="M582" s="158"/>
      <c r="AG582" s="164"/>
      <c r="AI582" s="165"/>
      <c r="AM582" s="165"/>
      <c r="BG582" s="165"/>
      <c r="BI582" s="165"/>
      <c r="BK582" s="165"/>
      <c r="BM582" s="165"/>
      <c r="BO582" s="165"/>
      <c r="BQ582" s="165"/>
      <c r="BS582" s="165"/>
      <c r="BU582" s="165"/>
      <c r="BW582" s="165"/>
      <c r="CC582" s="165"/>
    </row>
    <row r="583" spans="3:81" ht="15">
      <c r="C583" s="157"/>
      <c r="D583" s="157"/>
      <c r="K583" s="131"/>
      <c r="M583" s="158"/>
      <c r="AG583" s="164"/>
      <c r="AI583" s="165"/>
      <c r="AM583" s="165"/>
      <c r="BG583" s="165"/>
      <c r="BI583" s="165"/>
      <c r="BK583" s="165"/>
      <c r="BM583" s="165"/>
      <c r="BO583" s="165"/>
      <c r="BQ583" s="165"/>
      <c r="BS583" s="165"/>
      <c r="BU583" s="165"/>
      <c r="BW583" s="165"/>
      <c r="CC583" s="165"/>
    </row>
    <row r="584" spans="3:81" ht="15">
      <c r="C584" s="157"/>
      <c r="D584" s="157"/>
      <c r="K584" s="131"/>
      <c r="M584" s="158"/>
      <c r="AG584" s="164"/>
      <c r="AI584" s="165"/>
      <c r="AM584" s="165"/>
      <c r="BG584" s="165"/>
      <c r="BI584" s="165"/>
      <c r="BK584" s="165"/>
      <c r="BM584" s="165"/>
      <c r="BO584" s="165"/>
      <c r="BQ584" s="165"/>
      <c r="BS584" s="165"/>
      <c r="BU584" s="165"/>
      <c r="BW584" s="165"/>
      <c r="CC584" s="165"/>
    </row>
    <row r="585" spans="3:81" ht="15">
      <c r="C585" s="157"/>
      <c r="D585" s="157"/>
      <c r="K585" s="131"/>
      <c r="M585" s="158"/>
      <c r="AG585" s="164"/>
      <c r="AI585" s="165"/>
      <c r="AM585" s="165"/>
      <c r="BG585" s="165"/>
      <c r="BI585" s="165"/>
      <c r="BK585" s="165"/>
      <c r="BM585" s="165"/>
      <c r="BO585" s="165"/>
      <c r="BQ585" s="165"/>
      <c r="BS585" s="165"/>
      <c r="BU585" s="165"/>
      <c r="BW585" s="165"/>
      <c r="CC585" s="165"/>
    </row>
    <row r="586" spans="3:81" ht="15">
      <c r="C586" s="157"/>
      <c r="D586" s="157"/>
      <c r="K586" s="131"/>
      <c r="M586" s="158"/>
      <c r="AG586" s="164"/>
      <c r="AI586" s="165"/>
      <c r="AM586" s="165"/>
      <c r="BG586" s="165"/>
      <c r="BI586" s="165"/>
      <c r="BK586" s="165"/>
      <c r="BM586" s="165"/>
      <c r="BO586" s="165"/>
      <c r="BQ586" s="165"/>
      <c r="BS586" s="165"/>
      <c r="BU586" s="165"/>
      <c r="BW586" s="165"/>
      <c r="CC586" s="165"/>
    </row>
    <row r="587" spans="3:81" ht="15">
      <c r="C587" s="157"/>
      <c r="D587" s="157"/>
      <c r="K587" s="131"/>
      <c r="M587" s="158"/>
      <c r="AG587" s="164"/>
      <c r="AI587" s="165"/>
      <c r="AM587" s="165"/>
      <c r="BG587" s="165"/>
      <c r="BI587" s="165"/>
      <c r="BK587" s="165"/>
      <c r="BM587" s="165"/>
      <c r="BO587" s="165"/>
      <c r="BQ587" s="165"/>
      <c r="BS587" s="165"/>
      <c r="BU587" s="165"/>
      <c r="BW587" s="165"/>
      <c r="CC587" s="165"/>
    </row>
    <row r="588" spans="3:81" ht="15">
      <c r="C588" s="157"/>
      <c r="D588" s="157"/>
      <c r="K588" s="131"/>
      <c r="M588" s="158"/>
      <c r="AG588" s="164"/>
      <c r="AI588" s="165"/>
      <c r="AM588" s="165"/>
      <c r="BG588" s="165"/>
      <c r="BI588" s="165"/>
      <c r="BK588" s="165"/>
      <c r="BM588" s="165"/>
      <c r="BO588" s="165"/>
      <c r="BQ588" s="165"/>
      <c r="BS588" s="165"/>
      <c r="BU588" s="165"/>
      <c r="BW588" s="165"/>
      <c r="CC588" s="165"/>
    </row>
    <row r="589" spans="3:81" ht="15">
      <c r="C589" s="157"/>
      <c r="D589" s="157"/>
      <c r="K589" s="131"/>
      <c r="M589" s="158"/>
      <c r="AG589" s="164"/>
      <c r="AI589" s="165"/>
      <c r="AM589" s="165"/>
      <c r="BG589" s="165"/>
      <c r="BI589" s="165"/>
      <c r="BK589" s="165"/>
      <c r="BM589" s="165"/>
      <c r="BO589" s="165"/>
      <c r="BQ589" s="165"/>
      <c r="BS589" s="165"/>
      <c r="BU589" s="165"/>
      <c r="BW589" s="165"/>
      <c r="CC589" s="165"/>
    </row>
    <row r="590" spans="3:81" ht="15">
      <c r="C590" s="157"/>
      <c r="D590" s="157"/>
      <c r="K590" s="131"/>
      <c r="M590" s="158"/>
      <c r="AG590" s="164"/>
      <c r="AI590" s="165"/>
      <c r="AM590" s="165"/>
      <c r="BG590" s="165"/>
      <c r="BI590" s="165"/>
      <c r="BK590" s="165"/>
      <c r="BM590" s="165"/>
      <c r="BO590" s="165"/>
      <c r="BQ590" s="165"/>
      <c r="BS590" s="165"/>
      <c r="BU590" s="165"/>
      <c r="BW590" s="165"/>
      <c r="CC590" s="165"/>
    </row>
    <row r="591" spans="3:81" ht="15">
      <c r="C591" s="157"/>
      <c r="D591" s="157"/>
      <c r="K591" s="131"/>
      <c r="M591" s="158"/>
      <c r="AG591" s="164"/>
      <c r="AI591" s="165"/>
      <c r="AM591" s="165"/>
      <c r="BG591" s="165"/>
      <c r="BI591" s="165"/>
      <c r="BK591" s="165"/>
      <c r="BM591" s="165"/>
      <c r="BO591" s="165"/>
      <c r="BQ591" s="165"/>
      <c r="BS591" s="165"/>
      <c r="BU591" s="165"/>
      <c r="BW591" s="165"/>
      <c r="CC591" s="165"/>
    </row>
    <row r="592" spans="3:81" ht="15">
      <c r="C592" s="157"/>
      <c r="D592" s="157"/>
      <c r="K592" s="131"/>
      <c r="M592" s="158"/>
      <c r="AG592" s="164"/>
      <c r="AI592" s="165"/>
      <c r="AM592" s="165"/>
      <c r="BG592" s="165"/>
      <c r="BI592" s="165"/>
      <c r="BK592" s="165"/>
      <c r="BM592" s="165"/>
      <c r="BO592" s="165"/>
      <c r="BQ592" s="165"/>
      <c r="BS592" s="165"/>
      <c r="BU592" s="165"/>
      <c r="BW592" s="165"/>
      <c r="CC592" s="165"/>
    </row>
    <row r="593" spans="3:81" ht="15">
      <c r="C593" s="157"/>
      <c r="D593" s="157"/>
      <c r="K593" s="131"/>
      <c r="M593" s="158"/>
      <c r="AG593" s="164"/>
      <c r="AI593" s="165"/>
      <c r="AM593" s="165"/>
      <c r="BG593" s="165"/>
      <c r="BI593" s="165"/>
      <c r="BK593" s="165"/>
      <c r="BM593" s="165"/>
      <c r="BO593" s="165"/>
      <c r="BQ593" s="165"/>
      <c r="BS593" s="165"/>
      <c r="BU593" s="165"/>
      <c r="BW593" s="165"/>
      <c r="CC593" s="165"/>
    </row>
    <row r="594" spans="3:81" ht="15">
      <c r="C594" s="157"/>
      <c r="D594" s="157"/>
      <c r="K594" s="131"/>
      <c r="M594" s="158"/>
      <c r="AG594" s="164"/>
      <c r="AI594" s="165"/>
      <c r="AM594" s="165"/>
      <c r="BG594" s="165"/>
      <c r="BI594" s="165"/>
      <c r="BK594" s="165"/>
      <c r="BM594" s="165"/>
      <c r="BO594" s="165"/>
      <c r="BQ594" s="165"/>
      <c r="BS594" s="165"/>
      <c r="BU594" s="165"/>
      <c r="BW594" s="165"/>
      <c r="CC594" s="165"/>
    </row>
    <row r="595" spans="3:81" ht="15">
      <c r="C595" s="157"/>
      <c r="D595" s="157"/>
      <c r="K595" s="131"/>
      <c r="M595" s="158"/>
      <c r="AG595" s="164"/>
      <c r="AI595" s="165"/>
      <c r="AM595" s="165"/>
      <c r="BG595" s="165"/>
      <c r="BI595" s="165"/>
      <c r="BK595" s="165"/>
      <c r="BM595" s="165"/>
      <c r="BO595" s="165"/>
      <c r="BQ595" s="165"/>
      <c r="BS595" s="165"/>
      <c r="BU595" s="165"/>
      <c r="BW595" s="165"/>
      <c r="CC595" s="165"/>
    </row>
    <row r="596" spans="3:81" ht="15">
      <c r="C596" s="157"/>
      <c r="D596" s="157"/>
      <c r="K596" s="131"/>
      <c r="M596" s="158"/>
      <c r="AG596" s="164"/>
      <c r="AI596" s="165"/>
      <c r="AM596" s="165"/>
      <c r="BG596" s="165"/>
      <c r="BI596" s="165"/>
      <c r="BK596" s="165"/>
      <c r="BM596" s="165"/>
      <c r="BO596" s="165"/>
      <c r="BQ596" s="165"/>
      <c r="BS596" s="165"/>
      <c r="BU596" s="165"/>
      <c r="BW596" s="165"/>
      <c r="CC596" s="165"/>
    </row>
    <row r="597" spans="3:81" ht="15">
      <c r="C597" s="157"/>
      <c r="D597" s="157"/>
      <c r="K597" s="131"/>
      <c r="M597" s="158"/>
      <c r="AG597" s="164"/>
      <c r="AI597" s="165"/>
      <c r="AM597" s="165"/>
      <c r="BG597" s="165"/>
      <c r="BI597" s="165"/>
      <c r="BK597" s="165"/>
      <c r="BM597" s="165"/>
      <c r="BO597" s="165"/>
      <c r="BQ597" s="165"/>
      <c r="BS597" s="165"/>
      <c r="BU597" s="165"/>
      <c r="BW597" s="165"/>
      <c r="CC597" s="165"/>
    </row>
    <row r="598" spans="3:81" ht="15">
      <c r="C598" s="157"/>
      <c r="D598" s="157"/>
      <c r="K598" s="131"/>
      <c r="M598" s="158"/>
      <c r="AG598" s="164"/>
      <c r="AI598" s="165"/>
      <c r="AM598" s="165"/>
      <c r="BG598" s="165"/>
      <c r="BI598" s="165"/>
      <c r="BK598" s="165"/>
      <c r="BM598" s="165"/>
      <c r="BO598" s="165"/>
      <c r="BQ598" s="165"/>
      <c r="BS598" s="165"/>
      <c r="BU598" s="165"/>
      <c r="BW598" s="165"/>
      <c r="CC598" s="165"/>
    </row>
    <row r="599" spans="3:81" ht="15">
      <c r="C599" s="157"/>
      <c r="D599" s="157"/>
      <c r="K599" s="131"/>
      <c r="M599" s="158"/>
      <c r="AG599" s="164"/>
      <c r="AI599" s="165"/>
      <c r="AM599" s="165"/>
      <c r="BG599" s="165"/>
      <c r="BI599" s="165"/>
      <c r="BK599" s="165"/>
      <c r="BM599" s="165"/>
      <c r="BO599" s="165"/>
      <c r="BQ599" s="165"/>
      <c r="BS599" s="165"/>
      <c r="BU599" s="165"/>
      <c r="BW599" s="165"/>
      <c r="CC599" s="165"/>
    </row>
    <row r="600" spans="3:81" ht="15">
      <c r="C600" s="157"/>
      <c r="D600" s="157"/>
      <c r="K600" s="131"/>
      <c r="M600" s="158"/>
      <c r="AG600" s="164"/>
      <c r="AI600" s="165"/>
      <c r="AM600" s="165"/>
      <c r="BG600" s="165"/>
      <c r="BI600" s="165"/>
      <c r="BK600" s="165"/>
      <c r="BM600" s="165"/>
      <c r="BO600" s="165"/>
      <c r="BQ600" s="165"/>
      <c r="BS600" s="165"/>
      <c r="BU600" s="165"/>
      <c r="BW600" s="165"/>
      <c r="CC600" s="165"/>
    </row>
    <row r="601" spans="3:81" ht="15">
      <c r="C601" s="157"/>
      <c r="D601" s="157"/>
      <c r="K601" s="131"/>
      <c r="M601" s="158"/>
      <c r="AG601" s="164"/>
      <c r="AI601" s="165"/>
      <c r="AM601" s="165"/>
      <c r="BG601" s="165"/>
      <c r="BI601" s="165"/>
      <c r="BK601" s="165"/>
      <c r="BM601" s="165"/>
      <c r="BO601" s="165"/>
      <c r="BQ601" s="165"/>
      <c r="BS601" s="165"/>
      <c r="BU601" s="165"/>
      <c r="BW601" s="165"/>
      <c r="CC601" s="165"/>
    </row>
    <row r="602" spans="3:81" ht="15">
      <c r="C602" s="157"/>
      <c r="D602" s="157"/>
      <c r="K602" s="131"/>
      <c r="M602" s="158"/>
      <c r="AG602" s="164"/>
      <c r="AI602" s="165"/>
      <c r="AM602" s="165"/>
      <c r="BG602" s="165"/>
      <c r="BI602" s="165"/>
      <c r="BK602" s="165"/>
      <c r="BM602" s="165"/>
      <c r="BO602" s="165"/>
      <c r="BQ602" s="165"/>
      <c r="BS602" s="165"/>
      <c r="BU602" s="165"/>
      <c r="BW602" s="165"/>
      <c r="CC602" s="165"/>
    </row>
    <row r="603" spans="3:81" ht="15">
      <c r="C603" s="157"/>
      <c r="D603" s="157"/>
      <c r="K603" s="131"/>
      <c r="M603" s="158"/>
      <c r="AG603" s="164"/>
      <c r="AI603" s="165"/>
      <c r="AM603" s="165"/>
      <c r="BG603" s="165"/>
      <c r="BI603" s="165"/>
      <c r="BK603" s="165"/>
      <c r="BM603" s="165"/>
      <c r="BO603" s="165"/>
      <c r="BQ603" s="165"/>
      <c r="BS603" s="165"/>
      <c r="BU603" s="165"/>
      <c r="BW603" s="165"/>
      <c r="CC603" s="165"/>
    </row>
    <row r="604" spans="3:81" ht="15">
      <c r="C604" s="157"/>
      <c r="D604" s="157"/>
      <c r="K604" s="131"/>
      <c r="M604" s="158"/>
      <c r="AG604" s="164"/>
      <c r="AI604" s="165"/>
      <c r="AM604" s="165"/>
      <c r="BG604" s="165"/>
      <c r="BI604" s="165"/>
      <c r="BK604" s="165"/>
      <c r="BM604" s="165"/>
      <c r="BO604" s="165"/>
      <c r="BQ604" s="165"/>
      <c r="BS604" s="165"/>
      <c r="BU604" s="165"/>
      <c r="BW604" s="165"/>
      <c r="CC604" s="165"/>
    </row>
    <row r="605" spans="3:81" ht="15">
      <c r="C605" s="157"/>
      <c r="D605" s="157"/>
      <c r="K605" s="131"/>
      <c r="M605" s="158"/>
      <c r="AG605" s="164"/>
      <c r="AI605" s="165"/>
      <c r="AM605" s="165"/>
      <c r="BG605" s="165"/>
      <c r="BI605" s="165"/>
      <c r="BK605" s="165"/>
      <c r="BM605" s="165"/>
      <c r="BO605" s="165"/>
      <c r="BQ605" s="165"/>
      <c r="BS605" s="165"/>
      <c r="BU605" s="165"/>
      <c r="BW605" s="165"/>
      <c r="CC605" s="165"/>
    </row>
    <row r="606" spans="3:81" ht="15">
      <c r="C606" s="157"/>
      <c r="D606" s="157"/>
      <c r="K606" s="131"/>
      <c r="M606" s="158"/>
      <c r="AG606" s="164"/>
      <c r="AI606" s="165"/>
      <c r="AM606" s="165"/>
      <c r="BG606" s="165"/>
      <c r="BI606" s="165"/>
      <c r="BK606" s="165"/>
      <c r="BM606" s="165"/>
      <c r="BO606" s="165"/>
      <c r="BQ606" s="165"/>
      <c r="BS606" s="165"/>
      <c r="BU606" s="165"/>
      <c r="BW606" s="165"/>
      <c r="CC606" s="165"/>
    </row>
    <row r="607" spans="3:81" ht="15">
      <c r="C607" s="157"/>
      <c r="D607" s="157"/>
      <c r="K607" s="131"/>
      <c r="M607" s="158"/>
      <c r="AG607" s="164"/>
      <c r="AI607" s="165"/>
      <c r="AM607" s="165"/>
      <c r="BG607" s="165"/>
      <c r="BI607" s="165"/>
      <c r="BK607" s="165"/>
      <c r="BM607" s="165"/>
      <c r="BO607" s="165"/>
      <c r="BQ607" s="165"/>
      <c r="BS607" s="165"/>
      <c r="BU607" s="165"/>
      <c r="BW607" s="165"/>
      <c r="CC607" s="165"/>
    </row>
    <row r="608" spans="3:81" ht="15">
      <c r="C608" s="157"/>
      <c r="D608" s="157"/>
      <c r="K608" s="131"/>
      <c r="M608" s="158"/>
      <c r="AG608" s="164"/>
      <c r="AI608" s="165"/>
      <c r="AM608" s="165"/>
      <c r="BG608" s="165"/>
      <c r="BI608" s="165"/>
      <c r="BK608" s="165"/>
      <c r="BM608" s="165"/>
      <c r="BO608" s="165"/>
      <c r="BQ608" s="165"/>
      <c r="BS608" s="165"/>
      <c r="BU608" s="165"/>
      <c r="BW608" s="165"/>
      <c r="CC608" s="165"/>
    </row>
    <row r="609" spans="3:81" ht="15">
      <c r="C609" s="157"/>
      <c r="D609" s="157"/>
      <c r="K609" s="131"/>
      <c r="M609" s="158"/>
      <c r="AG609" s="164"/>
      <c r="AI609" s="165"/>
      <c r="AM609" s="165"/>
      <c r="BG609" s="165"/>
      <c r="BI609" s="165"/>
      <c r="BK609" s="165"/>
      <c r="BM609" s="165"/>
      <c r="BO609" s="165"/>
      <c r="BQ609" s="165"/>
      <c r="BS609" s="165"/>
      <c r="BU609" s="165"/>
      <c r="BW609" s="165"/>
      <c r="CC609" s="165"/>
    </row>
    <row r="610" spans="3:81" ht="15">
      <c r="C610" s="157"/>
      <c r="D610" s="157"/>
      <c r="K610" s="131"/>
      <c r="M610" s="158"/>
      <c r="AG610" s="164"/>
      <c r="AI610" s="165"/>
      <c r="AM610" s="165"/>
      <c r="BG610" s="165"/>
      <c r="BI610" s="165"/>
      <c r="BK610" s="165"/>
      <c r="BM610" s="165"/>
      <c r="BO610" s="165"/>
      <c r="BQ610" s="165"/>
      <c r="BS610" s="165"/>
      <c r="BU610" s="165"/>
      <c r="BW610" s="165"/>
      <c r="CC610" s="165"/>
    </row>
    <row r="611" spans="3:81" ht="15">
      <c r="C611" s="157"/>
      <c r="D611" s="157"/>
      <c r="K611" s="131"/>
      <c r="M611" s="158"/>
      <c r="AG611" s="164"/>
      <c r="AI611" s="165"/>
      <c r="AM611" s="165"/>
      <c r="BG611" s="165"/>
      <c r="BI611" s="165"/>
      <c r="BK611" s="165"/>
      <c r="BM611" s="165"/>
      <c r="BO611" s="165"/>
      <c r="BQ611" s="165"/>
      <c r="BS611" s="165"/>
      <c r="BU611" s="165"/>
      <c r="BW611" s="165"/>
      <c r="CC611" s="165"/>
    </row>
    <row r="612" spans="3:81" ht="15">
      <c r="C612" s="157"/>
      <c r="D612" s="157"/>
      <c r="K612" s="131"/>
      <c r="M612" s="158"/>
      <c r="AG612" s="164"/>
      <c r="AI612" s="165"/>
      <c r="AM612" s="165"/>
      <c r="BG612" s="165"/>
      <c r="BI612" s="165"/>
      <c r="BK612" s="165"/>
      <c r="BM612" s="165"/>
      <c r="BO612" s="165"/>
      <c r="BQ612" s="165"/>
      <c r="BS612" s="165"/>
      <c r="BU612" s="165"/>
      <c r="BW612" s="165"/>
      <c r="CC612" s="165"/>
    </row>
    <row r="613" spans="3:81" ht="15">
      <c r="C613" s="157"/>
      <c r="D613" s="157"/>
      <c r="K613" s="131"/>
      <c r="M613" s="158"/>
      <c r="AG613" s="164"/>
      <c r="AI613" s="165"/>
      <c r="AM613" s="165"/>
      <c r="BG613" s="165"/>
      <c r="BI613" s="165"/>
      <c r="BK613" s="165"/>
      <c r="BM613" s="165"/>
      <c r="BO613" s="165"/>
      <c r="BQ613" s="165"/>
      <c r="BS613" s="165"/>
      <c r="BU613" s="165"/>
      <c r="BW613" s="165"/>
      <c r="CC613" s="165"/>
    </row>
    <row r="614" spans="3:81" ht="15">
      <c r="C614" s="157"/>
      <c r="D614" s="157"/>
      <c r="K614" s="131"/>
      <c r="M614" s="158"/>
      <c r="AG614" s="164"/>
      <c r="AI614" s="165"/>
      <c r="AM614" s="165"/>
      <c r="BG614" s="165"/>
      <c r="BI614" s="165"/>
      <c r="BK614" s="165"/>
      <c r="BM614" s="165"/>
      <c r="BO614" s="165"/>
      <c r="BQ614" s="165"/>
      <c r="BS614" s="165"/>
      <c r="BU614" s="165"/>
      <c r="BW614" s="165"/>
      <c r="CC614" s="165"/>
    </row>
    <row r="615" spans="3:81" ht="15">
      <c r="C615" s="157"/>
      <c r="D615" s="157"/>
      <c r="K615" s="131"/>
      <c r="M615" s="158"/>
      <c r="AG615" s="164"/>
      <c r="AI615" s="165"/>
      <c r="AM615" s="165"/>
      <c r="BG615" s="165"/>
      <c r="BI615" s="165"/>
      <c r="BK615" s="165"/>
      <c r="BM615" s="165"/>
      <c r="BO615" s="165"/>
      <c r="BQ615" s="165"/>
      <c r="BS615" s="165"/>
      <c r="BU615" s="165"/>
      <c r="BW615" s="165"/>
      <c r="CC615" s="165"/>
    </row>
    <row r="616" spans="3:81" ht="15">
      <c r="C616" s="157"/>
      <c r="D616" s="157"/>
      <c r="K616" s="131"/>
      <c r="M616" s="158"/>
      <c r="AG616" s="164"/>
      <c r="AI616" s="165"/>
      <c r="AM616" s="165"/>
      <c r="BG616" s="165"/>
      <c r="BI616" s="165"/>
      <c r="BK616" s="165"/>
      <c r="BM616" s="165"/>
      <c r="BO616" s="165"/>
      <c r="BQ616" s="165"/>
      <c r="BS616" s="165"/>
      <c r="BU616" s="165"/>
      <c r="BW616" s="165"/>
      <c r="CC616" s="165"/>
    </row>
    <row r="617" spans="3:81" ht="15">
      <c r="C617" s="157"/>
      <c r="D617" s="157"/>
      <c r="K617" s="131"/>
      <c r="M617" s="158"/>
      <c r="AG617" s="164"/>
      <c r="AI617" s="165"/>
      <c r="AM617" s="165"/>
      <c r="BG617" s="165"/>
      <c r="BI617" s="165"/>
      <c r="BK617" s="165"/>
      <c r="BM617" s="165"/>
      <c r="BO617" s="165"/>
      <c r="BQ617" s="165"/>
      <c r="BS617" s="165"/>
      <c r="BU617" s="165"/>
      <c r="BW617" s="165"/>
      <c r="CC617" s="165"/>
    </row>
    <row r="618" spans="3:81" ht="15">
      <c r="C618" s="157"/>
      <c r="D618" s="157"/>
      <c r="K618" s="131"/>
      <c r="M618" s="158"/>
      <c r="AG618" s="164"/>
      <c r="AI618" s="165"/>
      <c r="AM618" s="165"/>
      <c r="BG618" s="165"/>
      <c r="BI618" s="165"/>
      <c r="BK618" s="165"/>
      <c r="BM618" s="165"/>
      <c r="BO618" s="165"/>
      <c r="BQ618" s="165"/>
      <c r="BS618" s="165"/>
      <c r="BU618" s="165"/>
      <c r="BW618" s="165"/>
      <c r="CC618" s="165"/>
    </row>
    <row r="619" spans="3:81" ht="15">
      <c r="C619" s="157"/>
      <c r="D619" s="157"/>
      <c r="K619" s="131"/>
      <c r="M619" s="158"/>
      <c r="AG619" s="164"/>
      <c r="AI619" s="165"/>
      <c r="AM619" s="165"/>
      <c r="BG619" s="165"/>
      <c r="BI619" s="165"/>
      <c r="BK619" s="165"/>
      <c r="BM619" s="165"/>
      <c r="BO619" s="165"/>
      <c r="BQ619" s="165"/>
      <c r="BS619" s="165"/>
      <c r="BU619" s="165"/>
      <c r="BW619" s="165"/>
      <c r="CC619" s="165"/>
    </row>
    <row r="620" spans="3:81" ht="15">
      <c r="C620" s="157"/>
      <c r="D620" s="157"/>
      <c r="K620" s="131"/>
      <c r="M620" s="158"/>
      <c r="AG620" s="164"/>
      <c r="AI620" s="165"/>
      <c r="AM620" s="165"/>
      <c r="BG620" s="165"/>
      <c r="BI620" s="165"/>
      <c r="BK620" s="165"/>
      <c r="BM620" s="165"/>
      <c r="BO620" s="165"/>
      <c r="BQ620" s="165"/>
      <c r="BS620" s="165"/>
      <c r="BU620" s="165"/>
      <c r="BW620" s="165"/>
      <c r="CC620" s="165"/>
    </row>
    <row r="621" spans="3:81" ht="15">
      <c r="C621" s="157"/>
      <c r="D621" s="157"/>
      <c r="K621" s="131"/>
      <c r="M621" s="158"/>
      <c r="AG621" s="164"/>
      <c r="AI621" s="165"/>
      <c r="AM621" s="165"/>
      <c r="BG621" s="165"/>
      <c r="BI621" s="165"/>
      <c r="BK621" s="165"/>
      <c r="BM621" s="165"/>
      <c r="BO621" s="165"/>
      <c r="BQ621" s="165"/>
      <c r="BS621" s="165"/>
      <c r="BU621" s="165"/>
      <c r="BW621" s="165"/>
      <c r="CC621" s="165"/>
    </row>
    <row r="622" spans="3:81" ht="15">
      <c r="C622" s="157"/>
      <c r="D622" s="157"/>
      <c r="K622" s="131"/>
      <c r="M622" s="158"/>
      <c r="AG622" s="164"/>
      <c r="AI622" s="165"/>
      <c r="AM622" s="165"/>
      <c r="BG622" s="165"/>
      <c r="BI622" s="165"/>
      <c r="BK622" s="165"/>
      <c r="BM622" s="165"/>
      <c r="BO622" s="165"/>
      <c r="BQ622" s="165"/>
      <c r="BS622" s="165"/>
      <c r="BU622" s="165"/>
      <c r="BW622" s="165"/>
      <c r="CC622" s="165"/>
    </row>
    <row r="623" spans="3:81" ht="15">
      <c r="C623" s="157"/>
      <c r="D623" s="157"/>
      <c r="K623" s="131"/>
      <c r="M623" s="158"/>
      <c r="AG623" s="164"/>
      <c r="AI623" s="165"/>
      <c r="AM623" s="165"/>
      <c r="BG623" s="165"/>
      <c r="BI623" s="165"/>
      <c r="BK623" s="165"/>
      <c r="BM623" s="165"/>
      <c r="BO623" s="165"/>
      <c r="BQ623" s="165"/>
      <c r="BS623" s="165"/>
      <c r="BU623" s="165"/>
      <c r="BW623" s="165"/>
      <c r="CC623" s="165"/>
    </row>
    <row r="624" spans="3:81" ht="15">
      <c r="C624" s="157"/>
      <c r="D624" s="157"/>
      <c r="K624" s="131"/>
      <c r="M624" s="158"/>
      <c r="AG624" s="164"/>
      <c r="AI624" s="165"/>
      <c r="AM624" s="165"/>
      <c r="BG624" s="165"/>
      <c r="BI624" s="165"/>
      <c r="BK624" s="165"/>
      <c r="BM624" s="165"/>
      <c r="BO624" s="165"/>
      <c r="BQ624" s="165"/>
      <c r="BS624" s="165"/>
      <c r="BU624" s="165"/>
      <c r="BW624" s="165"/>
      <c r="CC624" s="165"/>
    </row>
    <row r="625" spans="3:81" ht="15">
      <c r="C625" s="157"/>
      <c r="D625" s="157"/>
      <c r="K625" s="131"/>
      <c r="M625" s="158"/>
      <c r="AG625" s="164"/>
      <c r="AI625" s="165"/>
      <c r="AM625" s="165"/>
      <c r="BG625" s="165"/>
      <c r="BI625" s="165"/>
      <c r="BK625" s="165"/>
      <c r="BM625" s="165"/>
      <c r="BO625" s="165"/>
      <c r="BQ625" s="165"/>
      <c r="BS625" s="165"/>
      <c r="BU625" s="165"/>
      <c r="BW625" s="165"/>
      <c r="CC625" s="165"/>
    </row>
    <row r="626" spans="3:81" ht="15">
      <c r="C626" s="157"/>
      <c r="D626" s="157"/>
      <c r="K626" s="131"/>
      <c r="M626" s="158"/>
      <c r="AG626" s="164"/>
      <c r="AI626" s="165"/>
      <c r="AM626" s="165"/>
      <c r="BG626" s="165"/>
      <c r="BI626" s="165"/>
      <c r="BK626" s="165"/>
      <c r="BM626" s="165"/>
      <c r="BO626" s="165"/>
      <c r="BQ626" s="165"/>
      <c r="BS626" s="165"/>
      <c r="BU626" s="165"/>
      <c r="BW626" s="165"/>
      <c r="CC626" s="165"/>
    </row>
    <row r="627" spans="3:81" ht="15">
      <c r="C627" s="157"/>
      <c r="D627" s="157"/>
      <c r="K627" s="131"/>
      <c r="M627" s="158"/>
      <c r="AG627" s="164"/>
      <c r="AI627" s="165"/>
      <c r="AM627" s="165"/>
      <c r="BG627" s="165"/>
      <c r="BI627" s="165"/>
      <c r="BK627" s="165"/>
      <c r="BM627" s="165"/>
      <c r="BO627" s="165"/>
      <c r="BQ627" s="165"/>
      <c r="BS627" s="165"/>
      <c r="BU627" s="165"/>
      <c r="BW627" s="165"/>
      <c r="CC627" s="165"/>
    </row>
    <row r="628" spans="3:81" ht="15">
      <c r="C628" s="157"/>
      <c r="D628" s="157"/>
      <c r="K628" s="131"/>
      <c r="M628" s="158"/>
      <c r="AG628" s="164"/>
      <c r="AI628" s="165"/>
      <c r="AM628" s="165"/>
      <c r="BG628" s="165"/>
      <c r="BI628" s="165"/>
      <c r="BK628" s="165"/>
      <c r="BM628" s="165"/>
      <c r="BO628" s="165"/>
      <c r="BQ628" s="165"/>
      <c r="BS628" s="165"/>
      <c r="BU628" s="165"/>
      <c r="BW628" s="165"/>
      <c r="CC628" s="165"/>
    </row>
    <row r="629" spans="3:81" ht="15">
      <c r="C629" s="157"/>
      <c r="D629" s="157"/>
      <c r="K629" s="131"/>
      <c r="M629" s="158"/>
      <c r="AG629" s="164"/>
      <c r="AI629" s="165"/>
      <c r="AM629" s="165"/>
      <c r="BG629" s="165"/>
      <c r="BI629" s="165"/>
      <c r="BK629" s="165"/>
      <c r="BM629" s="165"/>
      <c r="BO629" s="165"/>
      <c r="BQ629" s="165"/>
      <c r="BS629" s="165"/>
      <c r="BU629" s="165"/>
      <c r="BW629" s="165"/>
      <c r="CC629" s="165"/>
    </row>
    <row r="630" spans="3:81" ht="15">
      <c r="C630" s="157"/>
      <c r="D630" s="157"/>
      <c r="K630" s="131"/>
      <c r="M630" s="158"/>
      <c r="AG630" s="164"/>
      <c r="AI630" s="165"/>
      <c r="AM630" s="165"/>
      <c r="BG630" s="165"/>
      <c r="BI630" s="165"/>
      <c r="BK630" s="165"/>
      <c r="BM630" s="165"/>
      <c r="BO630" s="165"/>
      <c r="BQ630" s="165"/>
      <c r="BS630" s="165"/>
      <c r="BU630" s="165"/>
      <c r="BW630" s="165"/>
      <c r="CC630" s="165"/>
    </row>
    <row r="631" spans="3:81" ht="15">
      <c r="C631" s="157"/>
      <c r="D631" s="157"/>
      <c r="K631" s="131"/>
      <c r="M631" s="158"/>
      <c r="AG631" s="164"/>
      <c r="AI631" s="165"/>
      <c r="AM631" s="165"/>
      <c r="BG631" s="165"/>
      <c r="BI631" s="165"/>
      <c r="BK631" s="165"/>
      <c r="BM631" s="165"/>
      <c r="BO631" s="165"/>
      <c r="BQ631" s="165"/>
      <c r="BS631" s="165"/>
      <c r="BU631" s="165"/>
      <c r="BW631" s="165"/>
      <c r="CC631" s="165"/>
    </row>
    <row r="632" spans="3:81" ht="15">
      <c r="C632" s="157"/>
      <c r="D632" s="157"/>
      <c r="K632" s="131"/>
      <c r="M632" s="158"/>
      <c r="AG632" s="164"/>
      <c r="AI632" s="165"/>
      <c r="AM632" s="165"/>
      <c r="BG632" s="165"/>
      <c r="BI632" s="165"/>
      <c r="BK632" s="165"/>
      <c r="BM632" s="165"/>
      <c r="BO632" s="165"/>
      <c r="BQ632" s="165"/>
      <c r="BS632" s="165"/>
      <c r="BU632" s="165"/>
      <c r="BW632" s="165"/>
      <c r="CC632" s="165"/>
    </row>
    <row r="633" spans="3:81" ht="15">
      <c r="C633" s="157"/>
      <c r="D633" s="157"/>
      <c r="K633" s="131"/>
      <c r="M633" s="158"/>
      <c r="AG633" s="164"/>
      <c r="AI633" s="165"/>
      <c r="AM633" s="165"/>
      <c r="BG633" s="165"/>
      <c r="BI633" s="165"/>
      <c r="BK633" s="165"/>
      <c r="BM633" s="165"/>
      <c r="BO633" s="165"/>
      <c r="BQ633" s="165"/>
      <c r="BS633" s="165"/>
      <c r="BU633" s="165"/>
      <c r="BW633" s="165"/>
      <c r="CC633" s="165"/>
    </row>
    <row r="634" spans="3:81" ht="15">
      <c r="C634" s="157"/>
      <c r="D634" s="157"/>
      <c r="K634" s="131"/>
      <c r="M634" s="158"/>
      <c r="AG634" s="164"/>
      <c r="AI634" s="165"/>
      <c r="AM634" s="165"/>
      <c r="BG634" s="165"/>
      <c r="BI634" s="165"/>
      <c r="BK634" s="165"/>
      <c r="BM634" s="165"/>
      <c r="BO634" s="165"/>
      <c r="BQ634" s="165"/>
      <c r="BS634" s="165"/>
      <c r="BU634" s="165"/>
      <c r="BW634" s="165"/>
      <c r="CC634" s="165"/>
    </row>
    <row r="635" spans="3:81" ht="15">
      <c r="C635" s="157"/>
      <c r="D635" s="157"/>
      <c r="K635" s="131"/>
      <c r="M635" s="158"/>
      <c r="AG635" s="164"/>
      <c r="AI635" s="165"/>
      <c r="AM635" s="165"/>
      <c r="BG635" s="165"/>
      <c r="BI635" s="165"/>
      <c r="BK635" s="165"/>
      <c r="BM635" s="165"/>
      <c r="BO635" s="165"/>
      <c r="BQ635" s="165"/>
      <c r="BS635" s="165"/>
      <c r="BU635" s="165"/>
      <c r="BW635" s="165"/>
      <c r="CC635" s="165"/>
    </row>
    <row r="636" spans="3:81" ht="15">
      <c r="C636" s="157"/>
      <c r="D636" s="157"/>
      <c r="K636" s="131"/>
      <c r="M636" s="158"/>
      <c r="AG636" s="164"/>
      <c r="AI636" s="165"/>
      <c r="AM636" s="165"/>
      <c r="BG636" s="165"/>
      <c r="BI636" s="165"/>
      <c r="BK636" s="165"/>
      <c r="BM636" s="165"/>
      <c r="BO636" s="165"/>
      <c r="BQ636" s="165"/>
      <c r="BS636" s="165"/>
      <c r="BU636" s="165"/>
      <c r="BW636" s="165"/>
      <c r="CC636" s="165"/>
    </row>
    <row r="637" spans="3:81" ht="15">
      <c r="C637" s="157"/>
      <c r="D637" s="157"/>
      <c r="K637" s="131"/>
      <c r="M637" s="158"/>
      <c r="AG637" s="164"/>
      <c r="AI637" s="165"/>
      <c r="AM637" s="165"/>
      <c r="BG637" s="165"/>
      <c r="BI637" s="165"/>
      <c r="BK637" s="165"/>
      <c r="BM637" s="165"/>
      <c r="BO637" s="165"/>
      <c r="BQ637" s="165"/>
      <c r="BS637" s="165"/>
      <c r="BU637" s="165"/>
      <c r="BW637" s="165"/>
      <c r="CC637" s="165"/>
    </row>
    <row r="638" spans="3:81" ht="15">
      <c r="C638" s="157"/>
      <c r="D638" s="157"/>
      <c r="K638" s="131"/>
      <c r="M638" s="158"/>
      <c r="AG638" s="164"/>
      <c r="AI638" s="165"/>
      <c r="AM638" s="165"/>
      <c r="BG638" s="165"/>
      <c r="BI638" s="165"/>
      <c r="BK638" s="165"/>
      <c r="BM638" s="165"/>
      <c r="BO638" s="165"/>
      <c r="BQ638" s="165"/>
      <c r="BS638" s="165"/>
      <c r="BU638" s="165"/>
      <c r="BW638" s="165"/>
      <c r="CC638" s="165"/>
    </row>
    <row r="639" spans="3:81" ht="15">
      <c r="C639" s="157"/>
      <c r="D639" s="157"/>
      <c r="K639" s="131"/>
      <c r="M639" s="158"/>
      <c r="AG639" s="164"/>
      <c r="AI639" s="165"/>
      <c r="AM639" s="165"/>
      <c r="BG639" s="165"/>
      <c r="BI639" s="165"/>
      <c r="BK639" s="165"/>
      <c r="BM639" s="165"/>
      <c r="BO639" s="165"/>
      <c r="BQ639" s="165"/>
      <c r="BS639" s="165"/>
      <c r="BU639" s="165"/>
      <c r="BW639" s="165"/>
      <c r="CC639" s="165"/>
    </row>
    <row r="640" spans="3:81" ht="15">
      <c r="C640" s="157"/>
      <c r="D640" s="157"/>
      <c r="K640" s="131"/>
      <c r="M640" s="158"/>
      <c r="AG640" s="164"/>
      <c r="AI640" s="165"/>
      <c r="AM640" s="165"/>
      <c r="BG640" s="165"/>
      <c r="BI640" s="165"/>
      <c r="BK640" s="165"/>
      <c r="BM640" s="165"/>
      <c r="BO640" s="165"/>
      <c r="BQ640" s="165"/>
      <c r="BS640" s="165"/>
      <c r="BU640" s="165"/>
      <c r="BW640" s="165"/>
      <c r="CC640" s="165"/>
    </row>
    <row r="641" spans="3:81" ht="15">
      <c r="C641" s="157"/>
      <c r="D641" s="157"/>
      <c r="K641" s="131"/>
      <c r="M641" s="158"/>
      <c r="AG641" s="164"/>
      <c r="AI641" s="165"/>
      <c r="AM641" s="165"/>
      <c r="BG641" s="165"/>
      <c r="BI641" s="165"/>
      <c r="BK641" s="165"/>
      <c r="BM641" s="165"/>
      <c r="BO641" s="165"/>
      <c r="BQ641" s="165"/>
      <c r="BS641" s="165"/>
      <c r="BU641" s="165"/>
      <c r="BW641" s="165"/>
      <c r="CC641" s="165"/>
    </row>
    <row r="642" spans="3:81" ht="15">
      <c r="C642" s="157"/>
      <c r="D642" s="157"/>
      <c r="K642" s="131"/>
      <c r="M642" s="158"/>
      <c r="AG642" s="164"/>
      <c r="AI642" s="165"/>
      <c r="AM642" s="165"/>
      <c r="BG642" s="165"/>
      <c r="BI642" s="165"/>
      <c r="BK642" s="165"/>
      <c r="BM642" s="165"/>
      <c r="BO642" s="165"/>
      <c r="BQ642" s="165"/>
      <c r="BS642" s="165"/>
      <c r="BU642" s="165"/>
      <c r="BW642" s="165"/>
      <c r="CC642" s="165"/>
    </row>
    <row r="643" spans="3:81" ht="15">
      <c r="C643" s="157"/>
      <c r="D643" s="157"/>
      <c r="K643" s="131"/>
      <c r="M643" s="158"/>
      <c r="AG643" s="164"/>
      <c r="AI643" s="165"/>
      <c r="AM643" s="165"/>
      <c r="BG643" s="165"/>
      <c r="BI643" s="165"/>
      <c r="BK643" s="165"/>
      <c r="BM643" s="165"/>
      <c r="BO643" s="165"/>
      <c r="BQ643" s="165"/>
      <c r="BS643" s="165"/>
      <c r="BU643" s="165"/>
      <c r="BW643" s="165"/>
      <c r="CC643" s="165"/>
    </row>
    <row r="644" spans="3:81" ht="15">
      <c r="C644" s="157"/>
      <c r="D644" s="157"/>
      <c r="K644" s="131"/>
      <c r="M644" s="158"/>
      <c r="AG644" s="164"/>
      <c r="AI644" s="165"/>
      <c r="AM644" s="165"/>
      <c r="BG644" s="165"/>
      <c r="BI644" s="165"/>
      <c r="BK644" s="165"/>
      <c r="BM644" s="165"/>
      <c r="BO644" s="165"/>
      <c r="BQ644" s="165"/>
      <c r="BS644" s="165"/>
      <c r="BU644" s="165"/>
      <c r="BW644" s="165"/>
      <c r="CC644" s="165"/>
    </row>
    <row r="645" spans="3:81" ht="15">
      <c r="C645" s="157"/>
      <c r="D645" s="157"/>
      <c r="K645" s="131"/>
      <c r="M645" s="158"/>
      <c r="AG645" s="164"/>
      <c r="AI645" s="165"/>
      <c r="AM645" s="165"/>
      <c r="BG645" s="165"/>
      <c r="BI645" s="165"/>
      <c r="BK645" s="165"/>
      <c r="BM645" s="165"/>
      <c r="BO645" s="165"/>
      <c r="BQ645" s="165"/>
      <c r="BS645" s="165"/>
      <c r="BU645" s="165"/>
      <c r="BW645" s="165"/>
      <c r="CC645" s="165"/>
    </row>
    <row r="646" spans="3:81" ht="15">
      <c r="C646" s="157"/>
      <c r="D646" s="157"/>
      <c r="K646" s="131"/>
      <c r="M646" s="158"/>
      <c r="AG646" s="164"/>
      <c r="AI646" s="165"/>
      <c r="AM646" s="165"/>
      <c r="BG646" s="165"/>
      <c r="BI646" s="165"/>
      <c r="BK646" s="165"/>
      <c r="BM646" s="165"/>
      <c r="BO646" s="165"/>
      <c r="BQ646" s="165"/>
      <c r="BS646" s="165"/>
      <c r="BU646" s="165"/>
      <c r="BW646" s="165"/>
      <c r="CC646" s="165"/>
    </row>
    <row r="647" spans="3:81" ht="15">
      <c r="C647" s="157"/>
      <c r="D647" s="157"/>
      <c r="K647" s="131"/>
      <c r="M647" s="158"/>
      <c r="AG647" s="164"/>
      <c r="AI647" s="165"/>
      <c r="AM647" s="165"/>
      <c r="BG647" s="165"/>
      <c r="BI647" s="165"/>
      <c r="BK647" s="165"/>
      <c r="BM647" s="165"/>
      <c r="BO647" s="165"/>
      <c r="BQ647" s="165"/>
      <c r="BS647" s="165"/>
      <c r="BU647" s="165"/>
      <c r="BW647" s="165"/>
      <c r="CC647" s="165"/>
    </row>
    <row r="648" spans="3:81" ht="15">
      <c r="C648" s="157"/>
      <c r="D648" s="157"/>
      <c r="K648" s="131"/>
      <c r="M648" s="158"/>
      <c r="AG648" s="164"/>
      <c r="AI648" s="165"/>
      <c r="AM648" s="165"/>
      <c r="BG648" s="165"/>
      <c r="BI648" s="165"/>
      <c r="BK648" s="165"/>
      <c r="BM648" s="165"/>
      <c r="BO648" s="165"/>
      <c r="BQ648" s="165"/>
      <c r="BS648" s="165"/>
      <c r="BU648" s="165"/>
      <c r="BW648" s="165"/>
      <c r="CC648" s="165"/>
    </row>
    <row r="649" spans="3:81" ht="15">
      <c r="C649" s="157"/>
      <c r="D649" s="157"/>
      <c r="K649" s="131"/>
      <c r="M649" s="158"/>
      <c r="AG649" s="164"/>
      <c r="AI649" s="165"/>
      <c r="AM649" s="165"/>
      <c r="BG649" s="165"/>
      <c r="BI649" s="165"/>
      <c r="BK649" s="165"/>
      <c r="BM649" s="165"/>
      <c r="BO649" s="165"/>
      <c r="BQ649" s="165"/>
      <c r="BS649" s="165"/>
      <c r="BU649" s="165"/>
      <c r="BW649" s="165"/>
      <c r="CC649" s="165"/>
    </row>
    <row r="650" spans="3:81" ht="15">
      <c r="C650" s="157"/>
      <c r="D650" s="157"/>
      <c r="K650" s="131"/>
      <c r="M650" s="158"/>
      <c r="AG650" s="164"/>
      <c r="AI650" s="165"/>
      <c r="AM650" s="165"/>
      <c r="BG650" s="165"/>
      <c r="BI650" s="165"/>
      <c r="BK650" s="165"/>
      <c r="BM650" s="165"/>
      <c r="BO650" s="165"/>
      <c r="BQ650" s="165"/>
      <c r="BS650" s="165"/>
      <c r="BU650" s="165"/>
      <c r="BW650" s="165"/>
      <c r="CC650" s="165"/>
    </row>
    <row r="651" spans="3:81" ht="15">
      <c r="C651" s="157"/>
      <c r="D651" s="157"/>
      <c r="K651" s="131"/>
      <c r="M651" s="158"/>
      <c r="AG651" s="164"/>
      <c r="AI651" s="165"/>
      <c r="AM651" s="165"/>
      <c r="BG651" s="165"/>
      <c r="BI651" s="165"/>
      <c r="BK651" s="165"/>
      <c r="BM651" s="165"/>
      <c r="BO651" s="165"/>
      <c r="BQ651" s="165"/>
      <c r="BS651" s="165"/>
      <c r="BU651" s="165"/>
      <c r="BW651" s="165"/>
      <c r="CC651" s="165"/>
    </row>
    <row r="652" spans="3:81" ht="15">
      <c r="C652" s="157"/>
      <c r="D652" s="157"/>
      <c r="K652" s="131"/>
      <c r="M652" s="158"/>
      <c r="AG652" s="164"/>
      <c r="AI652" s="165"/>
      <c r="AM652" s="165"/>
      <c r="BG652" s="165"/>
      <c r="BI652" s="165"/>
      <c r="BK652" s="165"/>
      <c r="BM652" s="165"/>
      <c r="BO652" s="165"/>
      <c r="BQ652" s="165"/>
      <c r="BS652" s="165"/>
      <c r="BU652" s="165"/>
      <c r="BW652" s="165"/>
      <c r="CC652" s="165"/>
    </row>
    <row r="653" spans="3:81" ht="15">
      <c r="C653" s="157"/>
      <c r="D653" s="157"/>
      <c r="K653" s="131"/>
      <c r="M653" s="158"/>
      <c r="AG653" s="164"/>
      <c r="AI653" s="165"/>
      <c r="AM653" s="165"/>
      <c r="BG653" s="165"/>
      <c r="BI653" s="165"/>
      <c r="BK653" s="165"/>
      <c r="BM653" s="165"/>
      <c r="BO653" s="165"/>
      <c r="BQ653" s="165"/>
      <c r="BS653" s="165"/>
      <c r="BU653" s="165"/>
      <c r="BW653" s="165"/>
      <c r="CC653" s="165"/>
    </row>
    <row r="654" spans="3:81" ht="15">
      <c r="C654" s="157"/>
      <c r="D654" s="157"/>
      <c r="K654" s="131"/>
      <c r="M654" s="158"/>
      <c r="AG654" s="164"/>
      <c r="AI654" s="165"/>
      <c r="AM654" s="165"/>
      <c r="BG654" s="165"/>
      <c r="BI654" s="165"/>
      <c r="BK654" s="165"/>
      <c r="BM654" s="165"/>
      <c r="BO654" s="165"/>
      <c r="BQ654" s="165"/>
      <c r="BS654" s="165"/>
      <c r="BU654" s="165"/>
      <c r="BW654" s="165"/>
      <c r="CC654" s="165"/>
    </row>
    <row r="655" spans="3:81" ht="15">
      <c r="C655" s="157"/>
      <c r="D655" s="157"/>
      <c r="K655" s="131"/>
      <c r="M655" s="158"/>
      <c r="AG655" s="164"/>
      <c r="AI655" s="165"/>
      <c r="AM655" s="165"/>
      <c r="BG655" s="165"/>
      <c r="BI655" s="165"/>
      <c r="BK655" s="165"/>
      <c r="BM655" s="165"/>
      <c r="BO655" s="165"/>
      <c r="BQ655" s="165"/>
      <c r="BS655" s="165"/>
      <c r="BU655" s="165"/>
      <c r="BW655" s="165"/>
      <c r="CC655" s="165"/>
    </row>
    <row r="656" spans="3:81" ht="15">
      <c r="C656" s="157"/>
      <c r="D656" s="157"/>
      <c r="K656" s="131"/>
      <c r="M656" s="158"/>
      <c r="AG656" s="164"/>
      <c r="AI656" s="165"/>
      <c r="AM656" s="165"/>
      <c r="BG656" s="165"/>
      <c r="BI656" s="165"/>
      <c r="BK656" s="165"/>
      <c r="BM656" s="165"/>
      <c r="BO656" s="165"/>
      <c r="BQ656" s="165"/>
      <c r="BS656" s="165"/>
      <c r="BU656" s="165"/>
      <c r="BW656" s="165"/>
      <c r="CC656" s="165"/>
    </row>
    <row r="657" spans="3:81" ht="15">
      <c r="C657" s="157"/>
      <c r="D657" s="157"/>
      <c r="K657" s="131"/>
      <c r="M657" s="158"/>
      <c r="AG657" s="164"/>
      <c r="AI657" s="165"/>
      <c r="AM657" s="165"/>
      <c r="BG657" s="165"/>
      <c r="BI657" s="165"/>
      <c r="BK657" s="165"/>
      <c r="BM657" s="165"/>
      <c r="BO657" s="165"/>
      <c r="BQ657" s="165"/>
      <c r="BS657" s="165"/>
      <c r="BU657" s="165"/>
      <c r="BW657" s="165"/>
      <c r="CC657" s="165"/>
    </row>
    <row r="658" spans="3:81" ht="15">
      <c r="C658" s="157"/>
      <c r="D658" s="157"/>
      <c r="K658" s="131"/>
      <c r="M658" s="158"/>
      <c r="AG658" s="164"/>
      <c r="AI658" s="165"/>
      <c r="AM658" s="165"/>
      <c r="BG658" s="165"/>
      <c r="BI658" s="165"/>
      <c r="BK658" s="165"/>
      <c r="BM658" s="165"/>
      <c r="BO658" s="165"/>
      <c r="BQ658" s="165"/>
      <c r="BS658" s="165"/>
      <c r="BU658" s="165"/>
      <c r="BW658" s="165"/>
      <c r="CC658" s="165"/>
    </row>
    <row r="659" spans="3:81" ht="15">
      <c r="C659" s="157"/>
      <c r="D659" s="157"/>
      <c r="K659" s="131"/>
      <c r="M659" s="158"/>
      <c r="AG659" s="164"/>
      <c r="AI659" s="165"/>
      <c r="AM659" s="165"/>
      <c r="BG659" s="165"/>
      <c r="BI659" s="165"/>
      <c r="BK659" s="165"/>
      <c r="BM659" s="165"/>
      <c r="BO659" s="165"/>
      <c r="BQ659" s="165"/>
      <c r="BS659" s="165"/>
      <c r="BU659" s="165"/>
      <c r="BW659" s="165"/>
      <c r="CC659" s="165"/>
    </row>
    <row r="660" spans="3:81" ht="15">
      <c r="C660" s="157"/>
      <c r="D660" s="157"/>
      <c r="K660" s="131"/>
      <c r="M660" s="158"/>
      <c r="AG660" s="164"/>
      <c r="AI660" s="165"/>
      <c r="AM660" s="165"/>
      <c r="BG660" s="165"/>
      <c r="BI660" s="165"/>
      <c r="BK660" s="165"/>
      <c r="BM660" s="165"/>
      <c r="BO660" s="165"/>
      <c r="BQ660" s="165"/>
      <c r="BS660" s="165"/>
      <c r="BU660" s="165"/>
      <c r="BW660" s="165"/>
      <c r="CC660" s="165"/>
    </row>
    <row r="661" spans="3:81" ht="15">
      <c r="C661" s="157"/>
      <c r="D661" s="157"/>
      <c r="K661" s="131"/>
      <c r="M661" s="158"/>
      <c r="AG661" s="164"/>
      <c r="AI661" s="165"/>
      <c r="AM661" s="165"/>
      <c r="BG661" s="165"/>
      <c r="BI661" s="165"/>
      <c r="BK661" s="165"/>
      <c r="BM661" s="165"/>
      <c r="BO661" s="165"/>
      <c r="BQ661" s="165"/>
      <c r="BS661" s="165"/>
      <c r="BU661" s="165"/>
      <c r="BW661" s="165"/>
      <c r="CC661" s="165"/>
    </row>
    <row r="662" spans="3:81" ht="15">
      <c r="C662" s="157"/>
      <c r="D662" s="157"/>
      <c r="K662" s="131"/>
      <c r="M662" s="158"/>
      <c r="AG662" s="164"/>
      <c r="AI662" s="165"/>
      <c r="AM662" s="165"/>
      <c r="BG662" s="165"/>
      <c r="BI662" s="165"/>
      <c r="BK662" s="165"/>
      <c r="BM662" s="165"/>
      <c r="BO662" s="165"/>
      <c r="BQ662" s="165"/>
      <c r="BS662" s="165"/>
      <c r="BU662" s="165"/>
      <c r="BW662" s="165"/>
      <c r="CC662" s="165"/>
    </row>
    <row r="663" spans="3:81" ht="15">
      <c r="C663" s="157"/>
      <c r="D663" s="157"/>
      <c r="K663" s="131"/>
      <c r="M663" s="158"/>
      <c r="AG663" s="164"/>
      <c r="AI663" s="165"/>
      <c r="AM663" s="165"/>
      <c r="BG663" s="165"/>
      <c r="BI663" s="165"/>
      <c r="BK663" s="165"/>
      <c r="BM663" s="165"/>
      <c r="BO663" s="165"/>
      <c r="BQ663" s="165"/>
      <c r="BS663" s="165"/>
      <c r="BU663" s="165"/>
      <c r="BW663" s="165"/>
      <c r="CC663" s="165"/>
    </row>
    <row r="664" spans="3:81" ht="15">
      <c r="C664" s="157"/>
      <c r="D664" s="157"/>
      <c r="K664" s="131"/>
      <c r="M664" s="158"/>
      <c r="AG664" s="164"/>
      <c r="AI664" s="165"/>
      <c r="AM664" s="165"/>
      <c r="BG664" s="165"/>
      <c r="BI664" s="165"/>
      <c r="BK664" s="165"/>
      <c r="BM664" s="165"/>
      <c r="BO664" s="165"/>
      <c r="BQ664" s="165"/>
      <c r="BS664" s="165"/>
      <c r="BU664" s="165"/>
      <c r="BW664" s="165"/>
      <c r="CC664" s="165"/>
    </row>
    <row r="665" spans="3:81" ht="15">
      <c r="C665" s="157"/>
      <c r="D665" s="157"/>
      <c r="K665" s="131"/>
      <c r="M665" s="158"/>
      <c r="AG665" s="164"/>
      <c r="AI665" s="165"/>
      <c r="AM665" s="165"/>
      <c r="BG665" s="165"/>
      <c r="BI665" s="165"/>
      <c r="BK665" s="165"/>
      <c r="BM665" s="165"/>
      <c r="BO665" s="165"/>
      <c r="BQ665" s="165"/>
      <c r="BS665" s="165"/>
      <c r="BU665" s="165"/>
      <c r="BW665" s="165"/>
      <c r="CC665" s="165"/>
    </row>
    <row r="666" spans="3:81" ht="15">
      <c r="C666" s="157"/>
      <c r="D666" s="157"/>
      <c r="K666" s="131"/>
      <c r="M666" s="158"/>
      <c r="AG666" s="164"/>
      <c r="AI666" s="165"/>
      <c r="AM666" s="165"/>
      <c r="BG666" s="165"/>
      <c r="BI666" s="165"/>
      <c r="BK666" s="165"/>
      <c r="BM666" s="165"/>
      <c r="BO666" s="165"/>
      <c r="BQ666" s="165"/>
      <c r="BS666" s="165"/>
      <c r="BU666" s="165"/>
      <c r="BW666" s="165"/>
      <c r="CC666" s="165"/>
    </row>
    <row r="667" spans="3:81" ht="15">
      <c r="C667" s="157"/>
      <c r="D667" s="157"/>
      <c r="K667" s="131"/>
      <c r="M667" s="158"/>
      <c r="AG667" s="164"/>
      <c r="AI667" s="165"/>
      <c r="AM667" s="165"/>
      <c r="BG667" s="165"/>
      <c r="BI667" s="165"/>
      <c r="BK667" s="165"/>
      <c r="BM667" s="165"/>
      <c r="BO667" s="165"/>
      <c r="BQ667" s="165"/>
      <c r="BS667" s="165"/>
      <c r="BU667" s="165"/>
      <c r="BW667" s="165"/>
      <c r="CC667" s="165"/>
    </row>
    <row r="668" spans="3:81" ht="15">
      <c r="C668" s="157"/>
      <c r="D668" s="157"/>
      <c r="K668" s="131"/>
      <c r="M668" s="158"/>
      <c r="AG668" s="164"/>
      <c r="AI668" s="165"/>
      <c r="AM668" s="165"/>
      <c r="BG668" s="165"/>
      <c r="BI668" s="165"/>
      <c r="BK668" s="165"/>
      <c r="BM668" s="165"/>
      <c r="BO668" s="165"/>
      <c r="BQ668" s="165"/>
      <c r="BS668" s="165"/>
      <c r="BU668" s="165"/>
      <c r="BW668" s="165"/>
      <c r="CC668" s="165"/>
    </row>
    <row r="669" spans="3:81" ht="15">
      <c r="C669" s="157"/>
      <c r="D669" s="157"/>
      <c r="K669" s="131"/>
      <c r="M669" s="158"/>
      <c r="AG669" s="164"/>
      <c r="AI669" s="165"/>
      <c r="AM669" s="165"/>
      <c r="BG669" s="165"/>
      <c r="BI669" s="165"/>
      <c r="BK669" s="165"/>
      <c r="BM669" s="165"/>
      <c r="BO669" s="165"/>
      <c r="BQ669" s="165"/>
      <c r="BS669" s="165"/>
      <c r="BU669" s="165"/>
      <c r="BW669" s="165"/>
      <c r="CC669" s="165"/>
    </row>
    <row r="670" spans="3:81" ht="15">
      <c r="C670" s="157"/>
      <c r="D670" s="157"/>
      <c r="K670" s="131"/>
      <c r="M670" s="158"/>
      <c r="AG670" s="164"/>
      <c r="AI670" s="165"/>
      <c r="AM670" s="165"/>
      <c r="BG670" s="165"/>
      <c r="BI670" s="165"/>
      <c r="BK670" s="165"/>
      <c r="BM670" s="165"/>
      <c r="BO670" s="165"/>
      <c r="BQ670" s="165"/>
      <c r="BS670" s="165"/>
      <c r="BU670" s="165"/>
      <c r="BW670" s="165"/>
      <c r="CC670" s="165"/>
    </row>
    <row r="671" spans="3:81" ht="15">
      <c r="C671" s="157"/>
      <c r="D671" s="157"/>
      <c r="K671" s="131"/>
      <c r="M671" s="158"/>
      <c r="AG671" s="164"/>
      <c r="AI671" s="165"/>
      <c r="AM671" s="165"/>
      <c r="BG671" s="165"/>
      <c r="BI671" s="165"/>
      <c r="BK671" s="165"/>
      <c r="BM671" s="165"/>
      <c r="BO671" s="165"/>
      <c r="BQ671" s="165"/>
      <c r="BS671" s="165"/>
      <c r="BU671" s="165"/>
      <c r="BW671" s="165"/>
      <c r="CC671" s="165"/>
    </row>
    <row r="672" spans="3:81" ht="15">
      <c r="C672" s="157"/>
      <c r="D672" s="157"/>
      <c r="K672" s="131"/>
      <c r="M672" s="158"/>
      <c r="AG672" s="164"/>
      <c r="AI672" s="165"/>
      <c r="AM672" s="165"/>
      <c r="BG672" s="165"/>
      <c r="BI672" s="165"/>
      <c r="BK672" s="165"/>
      <c r="BM672" s="165"/>
      <c r="BO672" s="165"/>
      <c r="BQ672" s="165"/>
      <c r="BS672" s="165"/>
      <c r="BU672" s="165"/>
      <c r="BW672" s="165"/>
      <c r="CC672" s="165"/>
    </row>
    <row r="673" spans="3:81" ht="15">
      <c r="C673" s="157"/>
      <c r="D673" s="157"/>
      <c r="K673" s="131"/>
      <c r="M673" s="158"/>
      <c r="AG673" s="164"/>
      <c r="AI673" s="165"/>
      <c r="AM673" s="165"/>
      <c r="BG673" s="165"/>
      <c r="BI673" s="165"/>
      <c r="BK673" s="165"/>
      <c r="BM673" s="165"/>
      <c r="BO673" s="165"/>
      <c r="BQ673" s="165"/>
      <c r="BS673" s="165"/>
      <c r="BU673" s="165"/>
      <c r="BW673" s="165"/>
      <c r="CC673" s="165"/>
    </row>
    <row r="674" spans="3:81" ht="15">
      <c r="C674" s="157"/>
      <c r="D674" s="157"/>
      <c r="K674" s="131"/>
      <c r="M674" s="158"/>
      <c r="AG674" s="164"/>
      <c r="AI674" s="165"/>
      <c r="AM674" s="165"/>
      <c r="BG674" s="165"/>
      <c r="BI674" s="165"/>
      <c r="BK674" s="165"/>
      <c r="BM674" s="165"/>
      <c r="BO674" s="165"/>
      <c r="BQ674" s="165"/>
      <c r="BS674" s="165"/>
      <c r="BU674" s="165"/>
      <c r="BW674" s="165"/>
      <c r="CC674" s="165"/>
    </row>
    <row r="675" spans="3:81" ht="15">
      <c r="C675" s="157"/>
      <c r="D675" s="157"/>
      <c r="K675" s="131"/>
      <c r="M675" s="158"/>
      <c r="AG675" s="164"/>
      <c r="AI675" s="165"/>
      <c r="AM675" s="165"/>
      <c r="BG675" s="165"/>
      <c r="BI675" s="165"/>
      <c r="BK675" s="165"/>
      <c r="BM675" s="165"/>
      <c r="BO675" s="165"/>
      <c r="BQ675" s="165"/>
      <c r="BS675" s="165"/>
      <c r="BU675" s="165"/>
      <c r="BW675" s="165"/>
      <c r="CC675" s="165"/>
    </row>
    <row r="676" spans="3:81" ht="15">
      <c r="C676" s="157"/>
      <c r="D676" s="157"/>
      <c r="K676" s="131"/>
      <c r="M676" s="158"/>
      <c r="AG676" s="164"/>
      <c r="AI676" s="165"/>
      <c r="AM676" s="165"/>
      <c r="BG676" s="165"/>
      <c r="BI676" s="165"/>
      <c r="BK676" s="165"/>
      <c r="BM676" s="165"/>
      <c r="BO676" s="165"/>
      <c r="BQ676" s="165"/>
      <c r="BS676" s="165"/>
      <c r="BU676" s="165"/>
      <c r="BW676" s="165"/>
      <c r="CC676" s="165"/>
    </row>
    <row r="677" spans="3:81" ht="15">
      <c r="C677" s="157"/>
      <c r="D677" s="157"/>
      <c r="K677" s="131"/>
      <c r="M677" s="158"/>
      <c r="AG677" s="164"/>
      <c r="AI677" s="165"/>
      <c r="AM677" s="165"/>
      <c r="BG677" s="165"/>
      <c r="BI677" s="165"/>
      <c r="BK677" s="165"/>
      <c r="BM677" s="165"/>
      <c r="BO677" s="165"/>
      <c r="BQ677" s="165"/>
      <c r="BS677" s="165"/>
      <c r="BU677" s="165"/>
      <c r="BW677" s="165"/>
      <c r="CC677" s="165"/>
    </row>
    <row r="678" spans="3:81" ht="15">
      <c r="C678" s="157"/>
      <c r="D678" s="157"/>
      <c r="K678" s="131"/>
      <c r="M678" s="158"/>
      <c r="AG678" s="164"/>
      <c r="AI678" s="165"/>
      <c r="AM678" s="165"/>
      <c r="BG678" s="165"/>
      <c r="BI678" s="165"/>
      <c r="BK678" s="165"/>
      <c r="BM678" s="165"/>
      <c r="BO678" s="165"/>
      <c r="BQ678" s="165"/>
      <c r="BS678" s="165"/>
      <c r="BU678" s="165"/>
      <c r="BW678" s="165"/>
      <c r="CC678" s="165"/>
    </row>
    <row r="679" spans="3:81" ht="15">
      <c r="C679" s="157"/>
      <c r="D679" s="157"/>
      <c r="K679" s="131"/>
      <c r="M679" s="158"/>
      <c r="AG679" s="164"/>
      <c r="AI679" s="165"/>
      <c r="AM679" s="165"/>
      <c r="BG679" s="165"/>
      <c r="BI679" s="165"/>
      <c r="BK679" s="165"/>
      <c r="BM679" s="165"/>
      <c r="BO679" s="165"/>
      <c r="BQ679" s="165"/>
      <c r="BS679" s="165"/>
      <c r="BU679" s="165"/>
      <c r="BW679" s="165"/>
      <c r="CC679" s="165"/>
    </row>
    <row r="680" spans="3:81" ht="15">
      <c r="C680" s="157"/>
      <c r="D680" s="157"/>
      <c r="K680" s="131"/>
      <c r="M680" s="158"/>
      <c r="AG680" s="164"/>
      <c r="AI680" s="165"/>
      <c r="AM680" s="165"/>
      <c r="BG680" s="165"/>
      <c r="BI680" s="165"/>
      <c r="BK680" s="165"/>
      <c r="BM680" s="165"/>
      <c r="BO680" s="165"/>
      <c r="BQ680" s="165"/>
      <c r="BS680" s="165"/>
      <c r="BU680" s="165"/>
      <c r="BW680" s="165"/>
      <c r="CC680" s="165"/>
    </row>
    <row r="681" spans="3:81" ht="15">
      <c r="C681" s="157"/>
      <c r="D681" s="157"/>
      <c r="K681" s="131"/>
      <c r="M681" s="158"/>
      <c r="AG681" s="164"/>
      <c r="AI681" s="165"/>
      <c r="AM681" s="165"/>
      <c r="BG681" s="165"/>
      <c r="BI681" s="165"/>
      <c r="BK681" s="165"/>
      <c r="BM681" s="165"/>
      <c r="BO681" s="165"/>
      <c r="BQ681" s="165"/>
      <c r="BS681" s="165"/>
      <c r="BU681" s="165"/>
      <c r="BW681" s="165"/>
      <c r="CC681" s="165"/>
    </row>
    <row r="682" spans="3:81" ht="15">
      <c r="C682" s="157"/>
      <c r="D682" s="157"/>
      <c r="K682" s="131"/>
      <c r="M682" s="158"/>
      <c r="AG682" s="164"/>
      <c r="AI682" s="165"/>
      <c r="AM682" s="165"/>
      <c r="BG682" s="165"/>
      <c r="BI682" s="165"/>
      <c r="BK682" s="165"/>
      <c r="BM682" s="165"/>
      <c r="BO682" s="165"/>
      <c r="BQ682" s="165"/>
      <c r="BS682" s="165"/>
      <c r="BU682" s="165"/>
      <c r="BW682" s="165"/>
      <c r="CC682" s="165"/>
    </row>
    <row r="683" spans="3:81" ht="15">
      <c r="C683" s="157"/>
      <c r="D683" s="157"/>
      <c r="K683" s="131"/>
      <c r="M683" s="158"/>
      <c r="AG683" s="164"/>
      <c r="AI683" s="165"/>
      <c r="AM683" s="165"/>
      <c r="BG683" s="165"/>
      <c r="BI683" s="165"/>
      <c r="BK683" s="165"/>
      <c r="BM683" s="165"/>
      <c r="BO683" s="165"/>
      <c r="BQ683" s="165"/>
      <c r="BS683" s="165"/>
      <c r="BU683" s="165"/>
      <c r="BW683" s="165"/>
      <c r="CC683" s="165"/>
    </row>
    <row r="684" spans="3:81" ht="15">
      <c r="C684" s="157"/>
      <c r="D684" s="157"/>
      <c r="K684" s="131"/>
      <c r="M684" s="158"/>
      <c r="AG684" s="164"/>
      <c r="AI684" s="165"/>
      <c r="AM684" s="165"/>
      <c r="BG684" s="165"/>
      <c r="BI684" s="165"/>
      <c r="BK684" s="165"/>
      <c r="BM684" s="165"/>
      <c r="BO684" s="165"/>
      <c r="BQ684" s="165"/>
      <c r="BS684" s="165"/>
      <c r="BU684" s="165"/>
      <c r="BW684" s="165"/>
      <c r="CC684" s="165"/>
    </row>
    <row r="685" spans="3:81" ht="15">
      <c r="C685" s="157"/>
      <c r="D685" s="157"/>
      <c r="K685" s="131"/>
      <c r="M685" s="158"/>
      <c r="AG685" s="164"/>
      <c r="AI685" s="165"/>
      <c r="AM685" s="165"/>
      <c r="BG685" s="165"/>
      <c r="BI685" s="165"/>
      <c r="BK685" s="165"/>
      <c r="BM685" s="165"/>
      <c r="BO685" s="165"/>
      <c r="BQ685" s="165"/>
      <c r="BS685" s="165"/>
      <c r="BU685" s="165"/>
      <c r="BW685" s="165"/>
      <c r="CC685" s="165"/>
    </row>
    <row r="686" spans="3:81" ht="15">
      <c r="C686" s="157"/>
      <c r="D686" s="157"/>
      <c r="K686" s="131"/>
      <c r="M686" s="158"/>
      <c r="AG686" s="164"/>
      <c r="AI686" s="165"/>
      <c r="AM686" s="165"/>
      <c r="BG686" s="165"/>
      <c r="BI686" s="165"/>
      <c r="BK686" s="165"/>
      <c r="BM686" s="165"/>
      <c r="BO686" s="165"/>
      <c r="BQ686" s="165"/>
      <c r="BS686" s="165"/>
      <c r="BU686" s="165"/>
      <c r="BW686" s="165"/>
      <c r="CC686" s="165"/>
    </row>
    <row r="687" spans="3:81" ht="15">
      <c r="C687" s="157"/>
      <c r="D687" s="157"/>
      <c r="K687" s="131"/>
      <c r="M687" s="158"/>
      <c r="AG687" s="164"/>
      <c r="AI687" s="165"/>
      <c r="AM687" s="165"/>
      <c r="BG687" s="165"/>
      <c r="BI687" s="165"/>
      <c r="BK687" s="165"/>
      <c r="BM687" s="165"/>
      <c r="BO687" s="165"/>
      <c r="BQ687" s="165"/>
      <c r="BS687" s="165"/>
      <c r="BU687" s="165"/>
      <c r="BW687" s="165"/>
      <c r="CC687" s="165"/>
    </row>
    <row r="688" spans="3:81" ht="15">
      <c r="C688" s="157"/>
      <c r="D688" s="157"/>
      <c r="K688" s="131"/>
      <c r="M688" s="158"/>
      <c r="AG688" s="164"/>
      <c r="AI688" s="165"/>
      <c r="AM688" s="165"/>
      <c r="BG688" s="165"/>
      <c r="BI688" s="165"/>
      <c r="BK688" s="165"/>
      <c r="BM688" s="165"/>
      <c r="BO688" s="165"/>
      <c r="BQ688" s="165"/>
      <c r="BS688" s="165"/>
      <c r="BU688" s="165"/>
      <c r="BW688" s="165"/>
      <c r="CC688" s="165"/>
    </row>
    <row r="689" spans="3:81" ht="15">
      <c r="C689" s="157"/>
      <c r="D689" s="157"/>
      <c r="K689" s="131"/>
      <c r="M689" s="158"/>
      <c r="AG689" s="164"/>
      <c r="AI689" s="165"/>
      <c r="AM689" s="165"/>
      <c r="BG689" s="165"/>
      <c r="BI689" s="165"/>
      <c r="BK689" s="165"/>
      <c r="BM689" s="165"/>
      <c r="BO689" s="165"/>
      <c r="BQ689" s="165"/>
      <c r="BS689" s="165"/>
      <c r="BU689" s="165"/>
      <c r="BW689" s="165"/>
      <c r="CC689" s="165"/>
    </row>
    <row r="690" spans="3:81" ht="15">
      <c r="C690" s="157"/>
      <c r="D690" s="157"/>
      <c r="K690" s="131"/>
      <c r="M690" s="158"/>
      <c r="AG690" s="164"/>
      <c r="AI690" s="165"/>
      <c r="AM690" s="165"/>
      <c r="BG690" s="165"/>
      <c r="BI690" s="165"/>
      <c r="BK690" s="165"/>
      <c r="BM690" s="165"/>
      <c r="BO690" s="165"/>
      <c r="BQ690" s="165"/>
      <c r="BS690" s="165"/>
      <c r="BU690" s="165"/>
      <c r="BW690" s="165"/>
      <c r="CC690" s="165"/>
    </row>
    <row r="691" spans="3:81" ht="15">
      <c r="C691" s="157"/>
      <c r="D691" s="157"/>
      <c r="K691" s="131"/>
      <c r="M691" s="158"/>
      <c r="AG691" s="164"/>
      <c r="AI691" s="165"/>
      <c r="AM691" s="165"/>
      <c r="BG691" s="165"/>
      <c r="BI691" s="165"/>
      <c r="BK691" s="165"/>
      <c r="BM691" s="165"/>
      <c r="BO691" s="165"/>
      <c r="BQ691" s="165"/>
      <c r="BS691" s="165"/>
      <c r="BU691" s="165"/>
      <c r="BW691" s="165"/>
      <c r="CC691" s="165"/>
    </row>
    <row r="692" spans="3:81" ht="15">
      <c r="C692" s="157"/>
      <c r="D692" s="157"/>
      <c r="K692" s="131"/>
      <c r="M692" s="158"/>
      <c r="AG692" s="164"/>
      <c r="AI692" s="165"/>
      <c r="AM692" s="165"/>
      <c r="BG692" s="165"/>
      <c r="BI692" s="165"/>
      <c r="BK692" s="165"/>
      <c r="BM692" s="165"/>
      <c r="BO692" s="165"/>
      <c r="BQ692" s="165"/>
      <c r="BS692" s="165"/>
      <c r="BU692" s="165"/>
      <c r="BW692" s="165"/>
      <c r="CC692" s="165"/>
    </row>
    <row r="693" spans="3:81" ht="15">
      <c r="C693" s="157"/>
      <c r="D693" s="157"/>
      <c r="K693" s="131"/>
      <c r="M693" s="158"/>
      <c r="AG693" s="164"/>
      <c r="AI693" s="165"/>
      <c r="AM693" s="165"/>
      <c r="BG693" s="165"/>
      <c r="BI693" s="165"/>
      <c r="BK693" s="165"/>
      <c r="BM693" s="165"/>
      <c r="BO693" s="165"/>
      <c r="BQ693" s="165"/>
      <c r="BS693" s="165"/>
      <c r="BU693" s="165"/>
      <c r="BW693" s="165"/>
      <c r="CC693" s="165"/>
    </row>
    <row r="694" spans="3:81" ht="15">
      <c r="C694" s="157"/>
      <c r="D694" s="157"/>
      <c r="K694" s="131"/>
      <c r="M694" s="158"/>
      <c r="AG694" s="164"/>
      <c r="AI694" s="165"/>
      <c r="AM694" s="165"/>
      <c r="BG694" s="165"/>
      <c r="BI694" s="165"/>
      <c r="BK694" s="165"/>
      <c r="BM694" s="165"/>
      <c r="BO694" s="165"/>
      <c r="BQ694" s="165"/>
      <c r="BS694" s="165"/>
      <c r="BU694" s="165"/>
      <c r="BW694" s="165"/>
      <c r="CC694" s="165"/>
    </row>
    <row r="695" spans="3:81" ht="15">
      <c r="C695" s="157"/>
      <c r="D695" s="157"/>
      <c r="K695" s="131"/>
      <c r="M695" s="158"/>
      <c r="AG695" s="164"/>
      <c r="AI695" s="165"/>
      <c r="AM695" s="165"/>
      <c r="BG695" s="165"/>
      <c r="BI695" s="165"/>
      <c r="BK695" s="165"/>
      <c r="BM695" s="165"/>
      <c r="BO695" s="165"/>
      <c r="BQ695" s="165"/>
      <c r="BS695" s="165"/>
      <c r="BU695" s="165"/>
      <c r="BW695" s="165"/>
      <c r="CC695" s="165"/>
    </row>
    <row r="696" spans="3:81" ht="15">
      <c r="C696" s="157"/>
      <c r="D696" s="157"/>
      <c r="K696" s="131"/>
      <c r="M696" s="158"/>
      <c r="AG696" s="164"/>
      <c r="AI696" s="165"/>
      <c r="AM696" s="165"/>
      <c r="BG696" s="165"/>
      <c r="BI696" s="165"/>
      <c r="BK696" s="165"/>
      <c r="BM696" s="165"/>
      <c r="BO696" s="165"/>
      <c r="BQ696" s="165"/>
      <c r="BS696" s="165"/>
      <c r="BU696" s="165"/>
      <c r="BW696" s="165"/>
      <c r="CC696" s="165"/>
    </row>
    <row r="697" spans="3:81" ht="15">
      <c r="C697" s="157"/>
      <c r="D697" s="157"/>
      <c r="K697" s="131"/>
      <c r="M697" s="158"/>
      <c r="AG697" s="164"/>
      <c r="AI697" s="165"/>
      <c r="AM697" s="165"/>
      <c r="BG697" s="165"/>
      <c r="BI697" s="165"/>
      <c r="BK697" s="165"/>
      <c r="BM697" s="165"/>
      <c r="BO697" s="165"/>
      <c r="BQ697" s="165"/>
      <c r="BS697" s="165"/>
      <c r="BU697" s="165"/>
      <c r="BW697" s="165"/>
      <c r="CC697" s="165"/>
    </row>
    <row r="698" spans="3:81" ht="15">
      <c r="C698" s="157"/>
      <c r="D698" s="157"/>
      <c r="K698" s="131"/>
      <c r="M698" s="158"/>
      <c r="AG698" s="164"/>
      <c r="AI698" s="165"/>
      <c r="AM698" s="165"/>
      <c r="BG698" s="165"/>
      <c r="BI698" s="165"/>
      <c r="BK698" s="165"/>
      <c r="BM698" s="165"/>
      <c r="BO698" s="165"/>
      <c r="BQ698" s="165"/>
      <c r="BS698" s="165"/>
      <c r="BU698" s="165"/>
      <c r="BW698" s="165"/>
      <c r="CC698" s="165"/>
    </row>
    <row r="699" spans="3:81" ht="15">
      <c r="C699" s="157"/>
      <c r="D699" s="157"/>
      <c r="K699" s="131"/>
      <c r="M699" s="158"/>
      <c r="AG699" s="164"/>
      <c r="AI699" s="165"/>
      <c r="AM699" s="165"/>
      <c r="BG699" s="165"/>
      <c r="BI699" s="165"/>
      <c r="BK699" s="165"/>
      <c r="BM699" s="165"/>
      <c r="BO699" s="165"/>
      <c r="BQ699" s="165"/>
      <c r="BS699" s="165"/>
      <c r="BU699" s="165"/>
      <c r="BW699" s="165"/>
      <c r="CC699" s="165"/>
    </row>
    <row r="700" spans="3:81" ht="15">
      <c r="C700" s="157"/>
      <c r="D700" s="157"/>
      <c r="K700" s="131"/>
      <c r="M700" s="158"/>
      <c r="AG700" s="164"/>
      <c r="AI700" s="165"/>
      <c r="AM700" s="165"/>
      <c r="BG700" s="165"/>
      <c r="BI700" s="165"/>
      <c r="BK700" s="165"/>
      <c r="BM700" s="165"/>
      <c r="BO700" s="165"/>
      <c r="BQ700" s="165"/>
      <c r="BS700" s="165"/>
      <c r="BU700" s="165"/>
      <c r="BW700" s="165"/>
      <c r="CC700" s="165"/>
    </row>
    <row r="701" spans="3:81" ht="15">
      <c r="C701" s="157"/>
      <c r="D701" s="157"/>
      <c r="K701" s="131"/>
      <c r="M701" s="158"/>
      <c r="AG701" s="164"/>
      <c r="AI701" s="165"/>
      <c r="AM701" s="165"/>
      <c r="BG701" s="165"/>
      <c r="BI701" s="165"/>
      <c r="BK701" s="165"/>
      <c r="BM701" s="165"/>
      <c r="BO701" s="165"/>
      <c r="BQ701" s="165"/>
      <c r="BS701" s="165"/>
      <c r="BU701" s="165"/>
      <c r="BW701" s="165"/>
      <c r="CC701" s="165"/>
    </row>
    <row r="702" spans="3:81" ht="15">
      <c r="C702" s="157"/>
      <c r="D702" s="157"/>
      <c r="K702" s="131"/>
      <c r="M702" s="158"/>
      <c r="AG702" s="164"/>
      <c r="AI702" s="165"/>
      <c r="AM702" s="165"/>
      <c r="BG702" s="165"/>
      <c r="BI702" s="165"/>
      <c r="BK702" s="165"/>
      <c r="BM702" s="165"/>
      <c r="BO702" s="165"/>
      <c r="BQ702" s="165"/>
      <c r="BS702" s="165"/>
      <c r="BU702" s="165"/>
      <c r="BW702" s="165"/>
      <c r="CC702" s="165"/>
    </row>
    <row r="703" spans="3:81" ht="15">
      <c r="C703" s="157"/>
      <c r="D703" s="157"/>
      <c r="K703" s="131"/>
      <c r="M703" s="158"/>
      <c r="AG703" s="164"/>
      <c r="AI703" s="165"/>
      <c r="AM703" s="165"/>
      <c r="BG703" s="165"/>
      <c r="BI703" s="165"/>
      <c r="BK703" s="165"/>
      <c r="BM703" s="165"/>
      <c r="BO703" s="165"/>
      <c r="BQ703" s="165"/>
      <c r="BS703" s="165"/>
      <c r="BU703" s="165"/>
      <c r="BW703" s="165"/>
      <c r="CC703" s="165"/>
    </row>
    <row r="704" spans="3:81" ht="15">
      <c r="C704" s="157"/>
      <c r="D704" s="157"/>
      <c r="K704" s="131"/>
      <c r="M704" s="158"/>
      <c r="AG704" s="164"/>
      <c r="AI704" s="165"/>
      <c r="AM704" s="165"/>
      <c r="BG704" s="165"/>
      <c r="BI704" s="165"/>
      <c r="BK704" s="165"/>
      <c r="BM704" s="165"/>
      <c r="BO704" s="165"/>
      <c r="BQ704" s="165"/>
      <c r="BS704" s="165"/>
      <c r="BU704" s="165"/>
      <c r="BW704" s="165"/>
      <c r="CC704" s="165"/>
    </row>
    <row r="705" spans="3:81" ht="15">
      <c r="C705" s="157"/>
      <c r="D705" s="157"/>
      <c r="K705" s="131"/>
      <c r="M705" s="158"/>
      <c r="AG705" s="164"/>
      <c r="AI705" s="165"/>
      <c r="AM705" s="165"/>
      <c r="BG705" s="165"/>
      <c r="BI705" s="165"/>
      <c r="BK705" s="165"/>
      <c r="BM705" s="165"/>
      <c r="BO705" s="165"/>
      <c r="BQ705" s="165"/>
      <c r="BS705" s="165"/>
      <c r="BU705" s="165"/>
      <c r="BW705" s="165"/>
      <c r="CC705" s="165"/>
    </row>
    <row r="706" spans="3:81" ht="15">
      <c r="C706" s="157"/>
      <c r="D706" s="157"/>
      <c r="K706" s="131"/>
      <c r="M706" s="158"/>
      <c r="AG706" s="164"/>
      <c r="AI706" s="165"/>
      <c r="AM706" s="165"/>
      <c r="BG706" s="165"/>
      <c r="BI706" s="165"/>
      <c r="BK706" s="165"/>
      <c r="BM706" s="165"/>
      <c r="BO706" s="165"/>
      <c r="BQ706" s="165"/>
      <c r="BS706" s="165"/>
      <c r="BU706" s="165"/>
      <c r="BW706" s="165"/>
      <c r="CC706" s="165"/>
    </row>
    <row r="707" spans="3:81" ht="15">
      <c r="C707" s="157"/>
      <c r="D707" s="157"/>
      <c r="K707" s="131"/>
      <c r="M707" s="158"/>
      <c r="AG707" s="164"/>
      <c r="AI707" s="165"/>
      <c r="AM707" s="165"/>
      <c r="BG707" s="165"/>
      <c r="BI707" s="165"/>
      <c r="BK707" s="165"/>
      <c r="BM707" s="165"/>
      <c r="BO707" s="165"/>
      <c r="BQ707" s="165"/>
      <c r="BS707" s="165"/>
      <c r="BU707" s="165"/>
      <c r="BW707" s="165"/>
      <c r="CC707" s="165"/>
    </row>
    <row r="708" spans="3:81" ht="15">
      <c r="C708" s="157"/>
      <c r="D708" s="157"/>
      <c r="K708" s="131"/>
      <c r="M708" s="158"/>
      <c r="AG708" s="164"/>
      <c r="AI708" s="165"/>
      <c r="AM708" s="165"/>
      <c r="BG708" s="165"/>
      <c r="BI708" s="165"/>
      <c r="BK708" s="165"/>
      <c r="BM708" s="165"/>
      <c r="BO708" s="165"/>
      <c r="BQ708" s="165"/>
      <c r="BS708" s="165"/>
      <c r="BU708" s="165"/>
      <c r="BW708" s="165"/>
      <c r="CC708" s="165"/>
    </row>
    <row r="709" spans="3:81" ht="15">
      <c r="C709" s="157"/>
      <c r="D709" s="157"/>
      <c r="K709" s="131"/>
      <c r="M709" s="158"/>
      <c r="AG709" s="164"/>
      <c r="AI709" s="165"/>
      <c r="AM709" s="165"/>
      <c r="BG709" s="165"/>
      <c r="BI709" s="165"/>
      <c r="BK709" s="165"/>
      <c r="BM709" s="165"/>
      <c r="BO709" s="165"/>
      <c r="BQ709" s="165"/>
      <c r="BS709" s="165"/>
      <c r="BU709" s="165"/>
      <c r="BW709" s="165"/>
      <c r="CC709" s="165"/>
    </row>
    <row r="710" spans="3:81" ht="15">
      <c r="C710" s="157"/>
      <c r="D710" s="157"/>
      <c r="K710" s="131"/>
      <c r="M710" s="158"/>
      <c r="AG710" s="164"/>
      <c r="AI710" s="165"/>
      <c r="AM710" s="165"/>
      <c r="BG710" s="165"/>
      <c r="BI710" s="165"/>
      <c r="BK710" s="165"/>
      <c r="BM710" s="165"/>
      <c r="BO710" s="165"/>
      <c r="BQ710" s="165"/>
      <c r="BS710" s="165"/>
      <c r="BU710" s="165"/>
      <c r="BW710" s="165"/>
      <c r="CC710" s="165"/>
    </row>
    <row r="711" spans="3:81" ht="15">
      <c r="C711" s="157"/>
      <c r="D711" s="157"/>
      <c r="K711" s="131"/>
      <c r="M711" s="158"/>
      <c r="AG711" s="164"/>
      <c r="AI711" s="165"/>
      <c r="AM711" s="165"/>
      <c r="BG711" s="165"/>
      <c r="BI711" s="165"/>
      <c r="BK711" s="165"/>
      <c r="BM711" s="165"/>
      <c r="BO711" s="165"/>
      <c r="BQ711" s="165"/>
      <c r="BS711" s="165"/>
      <c r="BU711" s="165"/>
      <c r="BW711" s="165"/>
      <c r="CC711" s="165"/>
    </row>
    <row r="712" spans="3:81" ht="15">
      <c r="C712" s="157"/>
      <c r="D712" s="157"/>
      <c r="K712" s="131"/>
      <c r="M712" s="158"/>
      <c r="AG712" s="164"/>
      <c r="AI712" s="165"/>
      <c r="AM712" s="165"/>
      <c r="BG712" s="165"/>
      <c r="BI712" s="165"/>
      <c r="BK712" s="165"/>
      <c r="BM712" s="165"/>
      <c r="BO712" s="165"/>
      <c r="BQ712" s="165"/>
      <c r="BS712" s="165"/>
      <c r="BU712" s="165"/>
      <c r="BW712" s="165"/>
      <c r="CC712" s="165"/>
    </row>
    <row r="713" spans="3:81" ht="15">
      <c r="C713" s="157"/>
      <c r="D713" s="157"/>
      <c r="K713" s="131"/>
      <c r="M713" s="158"/>
      <c r="AG713" s="164"/>
      <c r="AI713" s="165"/>
      <c r="AM713" s="165"/>
      <c r="BG713" s="165"/>
      <c r="BI713" s="165"/>
      <c r="BK713" s="165"/>
      <c r="BM713" s="165"/>
      <c r="BO713" s="165"/>
      <c r="BQ713" s="165"/>
      <c r="BS713" s="165"/>
      <c r="BU713" s="165"/>
      <c r="BW713" s="165"/>
      <c r="CC713" s="165"/>
    </row>
    <row r="714" spans="3:81" ht="15">
      <c r="C714" s="157"/>
      <c r="D714" s="157"/>
      <c r="K714" s="131"/>
      <c r="M714" s="158"/>
      <c r="AG714" s="164"/>
      <c r="AI714" s="165"/>
      <c r="AM714" s="165"/>
      <c r="BG714" s="165"/>
      <c r="BI714" s="165"/>
      <c r="BK714" s="165"/>
      <c r="BM714" s="165"/>
      <c r="BO714" s="165"/>
      <c r="BQ714" s="165"/>
      <c r="BS714" s="165"/>
      <c r="BU714" s="165"/>
      <c r="BW714" s="165"/>
      <c r="CC714" s="165"/>
    </row>
    <row r="715" spans="3:81" ht="15">
      <c r="C715" s="157"/>
      <c r="D715" s="157"/>
      <c r="K715" s="131"/>
      <c r="M715" s="158"/>
      <c r="AG715" s="164"/>
      <c r="AI715" s="165"/>
      <c r="AM715" s="165"/>
      <c r="BG715" s="165"/>
      <c r="BI715" s="165"/>
      <c r="BK715" s="165"/>
      <c r="BM715" s="165"/>
      <c r="BO715" s="165"/>
      <c r="BQ715" s="165"/>
      <c r="BS715" s="165"/>
      <c r="BU715" s="165"/>
      <c r="BW715" s="165"/>
      <c r="CC715" s="165"/>
    </row>
    <row r="716" spans="3:81" ht="15">
      <c r="C716" s="157"/>
      <c r="D716" s="157"/>
      <c r="K716" s="131"/>
      <c r="M716" s="158"/>
      <c r="AG716" s="164"/>
      <c r="AI716" s="165"/>
      <c r="AM716" s="165"/>
      <c r="BG716" s="165"/>
      <c r="BI716" s="165"/>
      <c r="BK716" s="165"/>
      <c r="BM716" s="165"/>
      <c r="BO716" s="165"/>
      <c r="BQ716" s="165"/>
      <c r="BS716" s="165"/>
      <c r="BU716" s="165"/>
      <c r="BW716" s="165"/>
      <c r="CC716" s="165"/>
    </row>
    <row r="717" spans="3:81" ht="15">
      <c r="C717" s="157"/>
      <c r="D717" s="157"/>
      <c r="K717" s="131"/>
      <c r="M717" s="158"/>
      <c r="AG717" s="164"/>
      <c r="AI717" s="165"/>
      <c r="AM717" s="165"/>
      <c r="BG717" s="165"/>
      <c r="BI717" s="165"/>
      <c r="BK717" s="165"/>
      <c r="BM717" s="165"/>
      <c r="BO717" s="165"/>
      <c r="BQ717" s="165"/>
      <c r="BS717" s="165"/>
      <c r="BU717" s="165"/>
      <c r="BW717" s="165"/>
      <c r="CC717" s="165"/>
    </row>
    <row r="718" spans="3:81" ht="15">
      <c r="C718" s="157"/>
      <c r="D718" s="157"/>
      <c r="K718" s="131"/>
      <c r="M718" s="158"/>
      <c r="AG718" s="164"/>
      <c r="AI718" s="165"/>
      <c r="AM718" s="165"/>
      <c r="BG718" s="165"/>
      <c r="BI718" s="165"/>
      <c r="BK718" s="165"/>
      <c r="BM718" s="165"/>
      <c r="BO718" s="165"/>
      <c r="BQ718" s="165"/>
      <c r="BS718" s="165"/>
      <c r="BU718" s="165"/>
      <c r="BW718" s="165"/>
      <c r="CC718" s="165"/>
    </row>
    <row r="719" spans="3:81" ht="15">
      <c r="C719" s="157"/>
      <c r="D719" s="157"/>
      <c r="K719" s="131"/>
      <c r="M719" s="158"/>
      <c r="AG719" s="164"/>
      <c r="AI719" s="165"/>
      <c r="AM719" s="165"/>
      <c r="BG719" s="165"/>
      <c r="BI719" s="165"/>
      <c r="BK719" s="165"/>
      <c r="BM719" s="165"/>
      <c r="BO719" s="165"/>
      <c r="BQ719" s="165"/>
      <c r="BS719" s="165"/>
      <c r="BU719" s="165"/>
      <c r="BW719" s="165"/>
      <c r="CC719" s="165"/>
    </row>
    <row r="720" spans="3:81" ht="15">
      <c r="C720" s="157"/>
      <c r="D720" s="157"/>
      <c r="K720" s="131"/>
      <c r="M720" s="158"/>
      <c r="AG720" s="164"/>
      <c r="AI720" s="165"/>
      <c r="AM720" s="165"/>
      <c r="BG720" s="165"/>
      <c r="BI720" s="165"/>
      <c r="BK720" s="165"/>
      <c r="BM720" s="165"/>
      <c r="BO720" s="165"/>
      <c r="BQ720" s="165"/>
      <c r="BS720" s="165"/>
      <c r="BU720" s="165"/>
      <c r="BW720" s="165"/>
      <c r="CC720" s="165"/>
    </row>
    <row r="721" spans="3:81" ht="15">
      <c r="C721" s="157"/>
      <c r="D721" s="157"/>
      <c r="K721" s="131"/>
      <c r="M721" s="158"/>
      <c r="AG721" s="164"/>
      <c r="AI721" s="165"/>
      <c r="AM721" s="165"/>
      <c r="BG721" s="165"/>
      <c r="BI721" s="165"/>
      <c r="BK721" s="165"/>
      <c r="BM721" s="165"/>
      <c r="BO721" s="165"/>
      <c r="BQ721" s="165"/>
      <c r="BS721" s="165"/>
      <c r="BU721" s="165"/>
      <c r="BW721" s="165"/>
      <c r="CC721" s="165"/>
    </row>
    <row r="722" spans="3:81" ht="15">
      <c r="C722" s="157"/>
      <c r="D722" s="157"/>
      <c r="K722" s="131"/>
      <c r="M722" s="158"/>
      <c r="AG722" s="164"/>
      <c r="AI722" s="165"/>
      <c r="AM722" s="165"/>
      <c r="BG722" s="165"/>
      <c r="BI722" s="165"/>
      <c r="BK722" s="165"/>
      <c r="BM722" s="165"/>
      <c r="BO722" s="165"/>
      <c r="BQ722" s="165"/>
      <c r="BS722" s="165"/>
      <c r="BU722" s="165"/>
      <c r="BW722" s="165"/>
      <c r="CC722" s="165"/>
    </row>
    <row r="723" spans="3:81" ht="15">
      <c r="C723" s="157"/>
      <c r="D723" s="157"/>
      <c r="K723" s="131"/>
      <c r="M723" s="158"/>
      <c r="AG723" s="164"/>
      <c r="AI723" s="165"/>
      <c r="AM723" s="165"/>
      <c r="BG723" s="165"/>
      <c r="BI723" s="165"/>
      <c r="BK723" s="165"/>
      <c r="BM723" s="165"/>
      <c r="BO723" s="165"/>
      <c r="BQ723" s="165"/>
      <c r="BS723" s="165"/>
      <c r="BU723" s="165"/>
      <c r="BW723" s="165"/>
      <c r="CC723" s="165"/>
    </row>
    <row r="724" spans="3:81" ht="15">
      <c r="C724" s="157"/>
      <c r="D724" s="157"/>
      <c r="K724" s="131"/>
      <c r="M724" s="158"/>
      <c r="AG724" s="164"/>
      <c r="AI724" s="165"/>
      <c r="AM724" s="165"/>
      <c r="BG724" s="165"/>
      <c r="BI724" s="165"/>
      <c r="BK724" s="165"/>
      <c r="BM724" s="165"/>
      <c r="BO724" s="165"/>
      <c r="BQ724" s="165"/>
      <c r="BS724" s="165"/>
      <c r="BU724" s="165"/>
      <c r="BW724" s="165"/>
      <c r="CC724" s="165"/>
    </row>
    <row r="725" spans="3:81" ht="15">
      <c r="C725" s="157"/>
      <c r="D725" s="157"/>
      <c r="K725" s="131"/>
      <c r="M725" s="158"/>
      <c r="AG725" s="164"/>
      <c r="AI725" s="165"/>
      <c r="AM725" s="165"/>
      <c r="BG725" s="165"/>
      <c r="BI725" s="165"/>
      <c r="BK725" s="165"/>
      <c r="BM725" s="165"/>
      <c r="BO725" s="165"/>
      <c r="BQ725" s="165"/>
      <c r="BS725" s="165"/>
      <c r="BU725" s="165"/>
      <c r="BW725" s="165"/>
      <c r="CC725" s="165"/>
    </row>
    <row r="726" spans="3:81" ht="15">
      <c r="C726" s="157"/>
      <c r="D726" s="157"/>
      <c r="K726" s="131"/>
      <c r="M726" s="158"/>
      <c r="AG726" s="164"/>
      <c r="AI726" s="165"/>
      <c r="AM726" s="165"/>
      <c r="BG726" s="165"/>
      <c r="BI726" s="165"/>
      <c r="BK726" s="165"/>
      <c r="BM726" s="165"/>
      <c r="BO726" s="165"/>
      <c r="BQ726" s="165"/>
      <c r="BS726" s="165"/>
      <c r="BU726" s="165"/>
      <c r="BW726" s="165"/>
      <c r="CC726" s="165"/>
    </row>
    <row r="727" spans="3:81" ht="15">
      <c r="C727" s="157"/>
      <c r="D727" s="157"/>
      <c r="K727" s="131"/>
      <c r="M727" s="158"/>
      <c r="AG727" s="164"/>
      <c r="AI727" s="165"/>
      <c r="AM727" s="165"/>
      <c r="BG727" s="165"/>
      <c r="BI727" s="165"/>
      <c r="BK727" s="165"/>
      <c r="BM727" s="165"/>
      <c r="BO727" s="165"/>
      <c r="BQ727" s="165"/>
      <c r="BS727" s="165"/>
      <c r="BU727" s="165"/>
      <c r="BW727" s="165"/>
      <c r="CC727" s="165"/>
    </row>
    <row r="728" spans="3:81" ht="15">
      <c r="C728" s="157"/>
      <c r="D728" s="157"/>
      <c r="K728" s="131"/>
      <c r="M728" s="158"/>
      <c r="AG728" s="164"/>
      <c r="AI728" s="165"/>
      <c r="AM728" s="165"/>
      <c r="BG728" s="165"/>
      <c r="BI728" s="165"/>
      <c r="BK728" s="165"/>
      <c r="BM728" s="165"/>
      <c r="BO728" s="165"/>
      <c r="BQ728" s="165"/>
      <c r="BS728" s="165"/>
      <c r="BU728" s="165"/>
      <c r="BW728" s="165"/>
      <c r="CC728" s="165"/>
    </row>
    <row r="729" spans="3:81" ht="15">
      <c r="C729" s="157"/>
      <c r="D729" s="157"/>
      <c r="K729" s="131"/>
      <c r="M729" s="158"/>
      <c r="AG729" s="164"/>
      <c r="AI729" s="165"/>
      <c r="AM729" s="165"/>
      <c r="BG729" s="165"/>
      <c r="BI729" s="165"/>
      <c r="BK729" s="165"/>
      <c r="BM729" s="165"/>
      <c r="BO729" s="165"/>
      <c r="BQ729" s="165"/>
      <c r="BS729" s="165"/>
      <c r="BU729" s="165"/>
      <c r="BW729" s="165"/>
      <c r="CC729" s="165"/>
    </row>
    <row r="730" spans="3:81" ht="15">
      <c r="C730" s="157"/>
      <c r="D730" s="157"/>
      <c r="K730" s="131"/>
      <c r="M730" s="158"/>
      <c r="AG730" s="164"/>
      <c r="AI730" s="165"/>
      <c r="AM730" s="165"/>
      <c r="BG730" s="165"/>
      <c r="BI730" s="165"/>
      <c r="BK730" s="165"/>
      <c r="BM730" s="165"/>
      <c r="BO730" s="165"/>
      <c r="BQ730" s="165"/>
      <c r="BS730" s="165"/>
      <c r="BU730" s="165"/>
      <c r="BW730" s="165"/>
      <c r="CC730" s="165"/>
    </row>
    <row r="731" spans="3:81" ht="15">
      <c r="C731" s="157"/>
      <c r="D731" s="157"/>
      <c r="K731" s="131"/>
      <c r="M731" s="158"/>
      <c r="AG731" s="164"/>
      <c r="AI731" s="165"/>
      <c r="AM731" s="165"/>
      <c r="BG731" s="165"/>
      <c r="BI731" s="165"/>
      <c r="BK731" s="165"/>
      <c r="BM731" s="165"/>
      <c r="BO731" s="165"/>
      <c r="BQ731" s="165"/>
      <c r="BS731" s="165"/>
      <c r="BU731" s="165"/>
      <c r="BW731" s="165"/>
      <c r="CC731" s="165"/>
    </row>
    <row r="732" spans="3:81" ht="15">
      <c r="C732" s="157"/>
      <c r="D732" s="157"/>
      <c r="K732" s="131"/>
      <c r="M732" s="158"/>
      <c r="AG732" s="164"/>
      <c r="AI732" s="165"/>
      <c r="AM732" s="165"/>
      <c r="BG732" s="165"/>
      <c r="BI732" s="165"/>
      <c r="BK732" s="165"/>
      <c r="BM732" s="165"/>
      <c r="BO732" s="165"/>
      <c r="BQ732" s="165"/>
      <c r="BS732" s="165"/>
      <c r="BU732" s="165"/>
      <c r="BW732" s="165"/>
      <c r="CC732" s="165"/>
    </row>
    <row r="733" spans="3:81" ht="15">
      <c r="C733" s="157"/>
      <c r="D733" s="157"/>
      <c r="K733" s="131"/>
      <c r="M733" s="158"/>
      <c r="AG733" s="164"/>
      <c r="AI733" s="165"/>
      <c r="AM733" s="165"/>
      <c r="BG733" s="165"/>
      <c r="BI733" s="165"/>
      <c r="BK733" s="165"/>
      <c r="BM733" s="165"/>
      <c r="BO733" s="165"/>
      <c r="BQ733" s="165"/>
      <c r="BS733" s="165"/>
      <c r="BU733" s="165"/>
      <c r="BW733" s="165"/>
      <c r="CC733" s="165"/>
    </row>
    <row r="734" spans="3:81" ht="15">
      <c r="C734" s="157"/>
      <c r="D734" s="157"/>
      <c r="K734" s="131"/>
      <c r="M734" s="158"/>
      <c r="AG734" s="164"/>
      <c r="AI734" s="165"/>
      <c r="AM734" s="165"/>
      <c r="BG734" s="165"/>
      <c r="BI734" s="165"/>
      <c r="BK734" s="165"/>
      <c r="BM734" s="165"/>
      <c r="BO734" s="165"/>
      <c r="BQ734" s="165"/>
      <c r="BS734" s="165"/>
      <c r="BU734" s="165"/>
      <c r="BW734" s="165"/>
      <c r="CC734" s="165"/>
    </row>
    <row r="735" spans="3:81" ht="15">
      <c r="C735" s="157"/>
      <c r="D735" s="157"/>
      <c r="K735" s="131"/>
      <c r="M735" s="158"/>
      <c r="AG735" s="164"/>
      <c r="AI735" s="165"/>
      <c r="AM735" s="165"/>
      <c r="BG735" s="165"/>
      <c r="BI735" s="165"/>
      <c r="BK735" s="165"/>
      <c r="BM735" s="165"/>
      <c r="BO735" s="165"/>
      <c r="BQ735" s="165"/>
      <c r="BS735" s="165"/>
      <c r="BU735" s="165"/>
      <c r="BW735" s="165"/>
      <c r="CC735" s="165"/>
    </row>
    <row r="736" spans="3:81" ht="15">
      <c r="C736" s="157"/>
      <c r="D736" s="157"/>
      <c r="K736" s="131"/>
      <c r="M736" s="158"/>
      <c r="AG736" s="164"/>
      <c r="AI736" s="165"/>
      <c r="AM736" s="165"/>
      <c r="BG736" s="165"/>
      <c r="BI736" s="165"/>
      <c r="BK736" s="165"/>
      <c r="BM736" s="165"/>
      <c r="BO736" s="165"/>
      <c r="BQ736" s="165"/>
      <c r="BS736" s="165"/>
      <c r="BU736" s="165"/>
      <c r="BW736" s="165"/>
      <c r="CC736" s="165"/>
    </row>
    <row r="737" spans="3:81" ht="15">
      <c r="C737" s="157"/>
      <c r="D737" s="157"/>
      <c r="K737" s="131"/>
      <c r="M737" s="158"/>
      <c r="AG737" s="164"/>
      <c r="AI737" s="165"/>
      <c r="AM737" s="165"/>
      <c r="BG737" s="165"/>
      <c r="BI737" s="165"/>
      <c r="BK737" s="165"/>
      <c r="BM737" s="165"/>
      <c r="BO737" s="165"/>
      <c r="BQ737" s="165"/>
      <c r="BS737" s="165"/>
      <c r="BU737" s="165"/>
      <c r="BW737" s="165"/>
      <c r="CC737" s="165"/>
    </row>
    <row r="738" spans="3:81" ht="15">
      <c r="C738" s="157"/>
      <c r="D738" s="157"/>
      <c r="K738" s="131"/>
      <c r="M738" s="158"/>
      <c r="AG738" s="164"/>
      <c r="AI738" s="165"/>
      <c r="AM738" s="165"/>
      <c r="BG738" s="165"/>
      <c r="BI738" s="165"/>
      <c r="BK738" s="165"/>
      <c r="BM738" s="165"/>
      <c r="BO738" s="165"/>
      <c r="BQ738" s="165"/>
      <c r="BS738" s="165"/>
      <c r="BU738" s="165"/>
      <c r="BW738" s="165"/>
      <c r="CC738" s="165"/>
    </row>
    <row r="739" spans="3:81" ht="15">
      <c r="C739" s="157"/>
      <c r="D739" s="157"/>
      <c r="K739" s="131"/>
      <c r="M739" s="158"/>
      <c r="AG739" s="164"/>
      <c r="AI739" s="165"/>
      <c r="AM739" s="165"/>
      <c r="BG739" s="165"/>
      <c r="BI739" s="165"/>
      <c r="BK739" s="165"/>
      <c r="BM739" s="165"/>
      <c r="BO739" s="165"/>
      <c r="BQ739" s="165"/>
      <c r="BS739" s="165"/>
      <c r="BU739" s="165"/>
      <c r="BW739" s="165"/>
      <c r="CC739" s="165"/>
    </row>
    <row r="740" spans="3:81" ht="15">
      <c r="C740" s="157"/>
      <c r="D740" s="157"/>
      <c r="K740" s="131"/>
      <c r="M740" s="158"/>
      <c r="AG740" s="164"/>
      <c r="AI740" s="165"/>
      <c r="AM740" s="165"/>
      <c r="BG740" s="165"/>
      <c r="BI740" s="165"/>
      <c r="BK740" s="165"/>
      <c r="BM740" s="165"/>
      <c r="BO740" s="165"/>
      <c r="BQ740" s="165"/>
      <c r="BS740" s="165"/>
      <c r="BU740" s="165"/>
      <c r="BW740" s="165"/>
      <c r="CC740" s="165"/>
    </row>
    <row r="741" spans="3:81" ht="15">
      <c r="C741" s="157"/>
      <c r="D741" s="157"/>
      <c r="K741" s="131"/>
      <c r="M741" s="158"/>
      <c r="AG741" s="164"/>
      <c r="AI741" s="165"/>
      <c r="AM741" s="165"/>
      <c r="BG741" s="165"/>
      <c r="BI741" s="165"/>
      <c r="BK741" s="165"/>
      <c r="BM741" s="165"/>
      <c r="BO741" s="165"/>
      <c r="BQ741" s="165"/>
      <c r="BS741" s="165"/>
      <c r="BU741" s="165"/>
      <c r="BW741" s="165"/>
      <c r="CC741" s="165"/>
    </row>
    <row r="742" spans="3:81" ht="15">
      <c r="C742" s="157"/>
      <c r="D742" s="157"/>
      <c r="K742" s="131"/>
      <c r="M742" s="158"/>
      <c r="AG742" s="164"/>
      <c r="AI742" s="165"/>
      <c r="AM742" s="165"/>
      <c r="BG742" s="165"/>
      <c r="BI742" s="165"/>
      <c r="BK742" s="165"/>
      <c r="BM742" s="165"/>
      <c r="BO742" s="165"/>
      <c r="BQ742" s="165"/>
      <c r="BS742" s="165"/>
      <c r="BU742" s="165"/>
      <c r="BW742" s="165"/>
      <c r="CC742" s="165"/>
    </row>
    <row r="743" spans="3:81" ht="15">
      <c r="C743" s="157"/>
      <c r="D743" s="157"/>
      <c r="K743" s="131"/>
      <c r="M743" s="158"/>
      <c r="AG743" s="164"/>
      <c r="AI743" s="165"/>
      <c r="AM743" s="165"/>
      <c r="BG743" s="165"/>
      <c r="BI743" s="165"/>
      <c r="BK743" s="165"/>
      <c r="BM743" s="165"/>
      <c r="BO743" s="165"/>
      <c r="BQ743" s="165"/>
      <c r="BS743" s="165"/>
      <c r="BU743" s="165"/>
      <c r="BW743" s="165"/>
      <c r="CC743" s="165"/>
    </row>
    <row r="744" spans="3:81" ht="15">
      <c r="C744" s="157"/>
      <c r="D744" s="157"/>
      <c r="K744" s="131"/>
      <c r="M744" s="158"/>
      <c r="AG744" s="164"/>
      <c r="AI744" s="165"/>
      <c r="AM744" s="165"/>
      <c r="BG744" s="165"/>
      <c r="BI744" s="165"/>
      <c r="BK744" s="165"/>
      <c r="BM744" s="165"/>
      <c r="BO744" s="165"/>
      <c r="BQ744" s="165"/>
      <c r="BS744" s="165"/>
      <c r="BU744" s="165"/>
      <c r="BW744" s="165"/>
      <c r="CC744" s="165"/>
    </row>
    <row r="745" spans="3:81" ht="15">
      <c r="C745" s="157"/>
      <c r="D745" s="157"/>
      <c r="K745" s="131"/>
      <c r="M745" s="158"/>
      <c r="AG745" s="164"/>
      <c r="AI745" s="165"/>
      <c r="AM745" s="165"/>
      <c r="BG745" s="165"/>
      <c r="BI745" s="165"/>
      <c r="BK745" s="165"/>
      <c r="BM745" s="165"/>
      <c r="BO745" s="165"/>
      <c r="BQ745" s="165"/>
      <c r="BS745" s="165"/>
      <c r="BU745" s="165"/>
      <c r="BW745" s="165"/>
      <c r="CC745" s="165"/>
    </row>
    <row r="746" spans="3:81" ht="15">
      <c r="C746" s="157"/>
      <c r="D746" s="157"/>
      <c r="K746" s="131"/>
      <c r="M746" s="158"/>
      <c r="AG746" s="164"/>
      <c r="AI746" s="165"/>
      <c r="AM746" s="165"/>
      <c r="BG746" s="165"/>
      <c r="BI746" s="165"/>
      <c r="BK746" s="165"/>
      <c r="BM746" s="165"/>
      <c r="BO746" s="165"/>
      <c r="BQ746" s="165"/>
      <c r="BS746" s="165"/>
      <c r="BU746" s="165"/>
      <c r="BW746" s="165"/>
      <c r="CC746" s="165"/>
    </row>
    <row r="747" spans="3:81" ht="15">
      <c r="C747" s="157"/>
      <c r="D747" s="157"/>
      <c r="K747" s="131"/>
      <c r="M747" s="158"/>
      <c r="AG747" s="164"/>
      <c r="AI747" s="165"/>
      <c r="AM747" s="165"/>
      <c r="BG747" s="165"/>
      <c r="BI747" s="165"/>
      <c r="BK747" s="165"/>
      <c r="BM747" s="165"/>
      <c r="BO747" s="165"/>
      <c r="BQ747" s="165"/>
      <c r="BS747" s="165"/>
      <c r="BU747" s="165"/>
      <c r="BW747" s="165"/>
      <c r="CC747" s="165"/>
    </row>
    <row r="748" spans="3:81" ht="15">
      <c r="C748" s="157"/>
      <c r="D748" s="157"/>
      <c r="K748" s="131"/>
      <c r="M748" s="158"/>
      <c r="AG748" s="164"/>
      <c r="AI748" s="165"/>
      <c r="AM748" s="165"/>
      <c r="BG748" s="165"/>
      <c r="BI748" s="165"/>
      <c r="BK748" s="165"/>
      <c r="BM748" s="165"/>
      <c r="BO748" s="165"/>
      <c r="BQ748" s="165"/>
      <c r="BS748" s="165"/>
      <c r="BU748" s="165"/>
      <c r="BW748" s="165"/>
      <c r="CC748" s="165"/>
    </row>
    <row r="749" spans="3:81" ht="15">
      <c r="C749" s="157"/>
      <c r="D749" s="157"/>
      <c r="K749" s="131"/>
      <c r="M749" s="158"/>
      <c r="AG749" s="164"/>
      <c r="AI749" s="165"/>
      <c r="AM749" s="165"/>
      <c r="BG749" s="165"/>
      <c r="BI749" s="165"/>
      <c r="BK749" s="165"/>
      <c r="BM749" s="165"/>
      <c r="BO749" s="165"/>
      <c r="BQ749" s="165"/>
      <c r="BS749" s="165"/>
      <c r="BU749" s="165"/>
      <c r="BW749" s="165"/>
      <c r="CC749" s="165"/>
    </row>
    <row r="750" spans="3:81" ht="15">
      <c r="C750" s="157"/>
      <c r="D750" s="157"/>
      <c r="K750" s="131"/>
      <c r="M750" s="158"/>
      <c r="AG750" s="164"/>
      <c r="AI750" s="165"/>
      <c r="AM750" s="165"/>
      <c r="BG750" s="165"/>
      <c r="BI750" s="165"/>
      <c r="BK750" s="165"/>
      <c r="BM750" s="165"/>
      <c r="BO750" s="165"/>
      <c r="BQ750" s="165"/>
      <c r="BS750" s="165"/>
      <c r="BU750" s="165"/>
      <c r="BW750" s="165"/>
      <c r="CC750" s="165"/>
    </row>
    <row r="751" spans="3:81" ht="15">
      <c r="C751" s="157"/>
      <c r="D751" s="157"/>
      <c r="K751" s="131"/>
      <c r="M751" s="158"/>
      <c r="AG751" s="164"/>
      <c r="AI751" s="165"/>
      <c r="AM751" s="165"/>
      <c r="BG751" s="165"/>
      <c r="BI751" s="165"/>
      <c r="BK751" s="165"/>
      <c r="BM751" s="165"/>
      <c r="BO751" s="165"/>
      <c r="BQ751" s="165"/>
      <c r="BS751" s="165"/>
      <c r="BU751" s="165"/>
      <c r="BW751" s="165"/>
      <c r="CC751" s="165"/>
    </row>
    <row r="752" spans="3:81" ht="15">
      <c r="C752" s="157"/>
      <c r="D752" s="157"/>
      <c r="K752" s="131"/>
      <c r="M752" s="158"/>
      <c r="AG752" s="164"/>
      <c r="AI752" s="165"/>
      <c r="AM752" s="165"/>
      <c r="BG752" s="165"/>
      <c r="BI752" s="165"/>
      <c r="BK752" s="165"/>
      <c r="BM752" s="165"/>
      <c r="BO752" s="165"/>
      <c r="BQ752" s="165"/>
      <c r="BS752" s="165"/>
      <c r="BU752" s="165"/>
      <c r="BW752" s="165"/>
      <c r="CC752" s="165"/>
    </row>
    <row r="753" spans="3:81" ht="15">
      <c r="C753" s="157"/>
      <c r="D753" s="157"/>
      <c r="K753" s="131"/>
      <c r="M753" s="158"/>
      <c r="AG753" s="164"/>
      <c r="AI753" s="165"/>
      <c r="AM753" s="165"/>
      <c r="BG753" s="165"/>
      <c r="BI753" s="165"/>
      <c r="BK753" s="165"/>
      <c r="BM753" s="165"/>
      <c r="BO753" s="165"/>
      <c r="BQ753" s="165"/>
      <c r="BS753" s="165"/>
      <c r="BU753" s="165"/>
      <c r="BW753" s="165"/>
      <c r="CC753" s="165"/>
    </row>
    <row r="754" spans="3:81" ht="15">
      <c r="C754" s="157"/>
      <c r="D754" s="157"/>
      <c r="K754" s="131"/>
      <c r="M754" s="158"/>
      <c r="AG754" s="164"/>
      <c r="AI754" s="165"/>
      <c r="AM754" s="165"/>
      <c r="BG754" s="165"/>
      <c r="BI754" s="165"/>
      <c r="BK754" s="165"/>
      <c r="BM754" s="165"/>
      <c r="BO754" s="165"/>
      <c r="BQ754" s="165"/>
      <c r="BS754" s="165"/>
      <c r="BU754" s="165"/>
      <c r="BW754" s="165"/>
      <c r="CC754" s="165"/>
    </row>
    <row r="755" spans="3:81" ht="15">
      <c r="C755" s="157"/>
      <c r="D755" s="157"/>
      <c r="K755" s="131"/>
      <c r="M755" s="158"/>
      <c r="AG755" s="164"/>
      <c r="AI755" s="165"/>
      <c r="AM755" s="165"/>
      <c r="BG755" s="165"/>
      <c r="BI755" s="165"/>
      <c r="BK755" s="165"/>
      <c r="BM755" s="165"/>
      <c r="BO755" s="165"/>
      <c r="BQ755" s="165"/>
      <c r="BS755" s="165"/>
      <c r="BU755" s="165"/>
      <c r="BW755" s="165"/>
      <c r="CC755" s="165"/>
    </row>
    <row r="756" spans="3:81" ht="15">
      <c r="C756" s="157"/>
      <c r="D756" s="157"/>
      <c r="K756" s="131"/>
      <c r="M756" s="158"/>
      <c r="AG756" s="164"/>
      <c r="AI756" s="165"/>
      <c r="AM756" s="165"/>
      <c r="BG756" s="165"/>
      <c r="BI756" s="165"/>
      <c r="BK756" s="165"/>
      <c r="BM756" s="165"/>
      <c r="BO756" s="165"/>
      <c r="BQ756" s="165"/>
      <c r="BS756" s="165"/>
      <c r="BU756" s="165"/>
      <c r="BW756" s="165"/>
      <c r="CC756" s="165"/>
    </row>
    <row r="757" spans="3:81" ht="15">
      <c r="C757" s="157"/>
      <c r="D757" s="157"/>
      <c r="K757" s="131"/>
      <c r="M757" s="158"/>
      <c r="AG757" s="164"/>
      <c r="AI757" s="165"/>
      <c r="AM757" s="165"/>
      <c r="BG757" s="165"/>
      <c r="BI757" s="165"/>
      <c r="BK757" s="165"/>
      <c r="BM757" s="165"/>
      <c r="BO757" s="165"/>
      <c r="BQ757" s="165"/>
      <c r="BS757" s="165"/>
      <c r="BU757" s="165"/>
      <c r="BW757" s="165"/>
      <c r="CC757" s="165"/>
    </row>
    <row r="758" spans="3:81" ht="15">
      <c r="C758" s="157"/>
      <c r="D758" s="157"/>
      <c r="K758" s="131"/>
      <c r="M758" s="158"/>
      <c r="AG758" s="164"/>
      <c r="AI758" s="165"/>
      <c r="AM758" s="165"/>
      <c r="BG758" s="165"/>
      <c r="BI758" s="165"/>
      <c r="BK758" s="165"/>
      <c r="BM758" s="165"/>
      <c r="BO758" s="165"/>
      <c r="BQ758" s="165"/>
      <c r="BS758" s="165"/>
      <c r="BU758" s="165"/>
      <c r="BW758" s="165"/>
      <c r="CC758" s="165"/>
    </row>
    <row r="759" spans="3:81" ht="15">
      <c r="C759" s="157"/>
      <c r="D759" s="157"/>
      <c r="K759" s="131"/>
      <c r="M759" s="158"/>
      <c r="AG759" s="164"/>
      <c r="AI759" s="165"/>
      <c r="AM759" s="165"/>
      <c r="BG759" s="165"/>
      <c r="BI759" s="165"/>
      <c r="BK759" s="165"/>
      <c r="BM759" s="165"/>
      <c r="BO759" s="165"/>
      <c r="BQ759" s="165"/>
      <c r="BS759" s="165"/>
      <c r="BU759" s="165"/>
      <c r="BW759" s="165"/>
      <c r="CC759" s="165"/>
    </row>
    <row r="760" spans="3:81" ht="15">
      <c r="C760" s="157"/>
      <c r="D760" s="157"/>
      <c r="K760" s="131"/>
      <c r="M760" s="158"/>
      <c r="AG760" s="164"/>
      <c r="AI760" s="165"/>
      <c r="AM760" s="165"/>
      <c r="BG760" s="165"/>
      <c r="BI760" s="165"/>
      <c r="BK760" s="165"/>
      <c r="BM760" s="165"/>
      <c r="BO760" s="165"/>
      <c r="BQ760" s="165"/>
      <c r="BS760" s="165"/>
      <c r="BU760" s="165"/>
      <c r="BW760" s="165"/>
      <c r="CC760" s="165"/>
    </row>
    <row r="761" spans="3:81" ht="15">
      <c r="C761" s="157"/>
      <c r="D761" s="157"/>
      <c r="K761" s="131"/>
      <c r="M761" s="158"/>
      <c r="AG761" s="164"/>
      <c r="AI761" s="165"/>
      <c r="AM761" s="165"/>
      <c r="BG761" s="165"/>
      <c r="BI761" s="165"/>
      <c r="BK761" s="165"/>
      <c r="BM761" s="165"/>
      <c r="BO761" s="165"/>
      <c r="BQ761" s="165"/>
      <c r="BS761" s="165"/>
      <c r="BU761" s="165"/>
      <c r="BW761" s="165"/>
      <c r="CC761" s="165"/>
    </row>
    <row r="762" spans="3:81" ht="15">
      <c r="C762" s="157"/>
      <c r="D762" s="157"/>
      <c r="K762" s="131"/>
      <c r="M762" s="158"/>
      <c r="AG762" s="164"/>
      <c r="AI762" s="165"/>
      <c r="AM762" s="165"/>
      <c r="BG762" s="165"/>
      <c r="BI762" s="165"/>
      <c r="BK762" s="165"/>
      <c r="BM762" s="165"/>
      <c r="BO762" s="165"/>
      <c r="BQ762" s="165"/>
      <c r="BS762" s="165"/>
      <c r="BU762" s="165"/>
      <c r="BW762" s="165"/>
      <c r="CC762" s="165"/>
    </row>
    <row r="763" spans="3:81" ht="15">
      <c r="C763" s="157"/>
      <c r="D763" s="157"/>
      <c r="K763" s="131"/>
      <c r="M763" s="158"/>
      <c r="AG763" s="164"/>
      <c r="AI763" s="165"/>
      <c r="AM763" s="165"/>
      <c r="BG763" s="165"/>
      <c r="BI763" s="165"/>
      <c r="BK763" s="165"/>
      <c r="BM763" s="165"/>
      <c r="BO763" s="165"/>
      <c r="BQ763" s="165"/>
      <c r="BS763" s="165"/>
      <c r="BU763" s="165"/>
      <c r="BW763" s="165"/>
      <c r="CC763" s="165"/>
    </row>
    <row r="764" spans="3:81" ht="15">
      <c r="C764" s="157"/>
      <c r="D764" s="157"/>
      <c r="K764" s="131"/>
      <c r="M764" s="158"/>
      <c r="AG764" s="164"/>
      <c r="AI764" s="165"/>
      <c r="AM764" s="165"/>
      <c r="BG764" s="165"/>
      <c r="BI764" s="165"/>
      <c r="BK764" s="165"/>
      <c r="BM764" s="165"/>
      <c r="BO764" s="165"/>
      <c r="BQ764" s="165"/>
      <c r="BS764" s="165"/>
      <c r="BU764" s="165"/>
      <c r="BW764" s="165"/>
      <c r="CC764" s="165"/>
    </row>
    <row r="765" spans="3:81" ht="15">
      <c r="C765" s="157"/>
      <c r="D765" s="157"/>
      <c r="K765" s="131"/>
      <c r="M765" s="158"/>
      <c r="AG765" s="164"/>
      <c r="AI765" s="165"/>
      <c r="AM765" s="165"/>
      <c r="BG765" s="165"/>
      <c r="BI765" s="165"/>
      <c r="BK765" s="165"/>
      <c r="BM765" s="165"/>
      <c r="BO765" s="165"/>
      <c r="BQ765" s="165"/>
      <c r="BS765" s="165"/>
      <c r="BU765" s="165"/>
      <c r="BW765" s="165"/>
      <c r="CC765" s="165"/>
    </row>
    <row r="766" spans="3:81" ht="15">
      <c r="C766" s="157"/>
      <c r="D766" s="157"/>
      <c r="K766" s="131"/>
      <c r="M766" s="158"/>
      <c r="AG766" s="164"/>
      <c r="AI766" s="165"/>
      <c r="AM766" s="165"/>
      <c r="BG766" s="165"/>
      <c r="BI766" s="165"/>
      <c r="BK766" s="165"/>
      <c r="BM766" s="165"/>
      <c r="BO766" s="165"/>
      <c r="BQ766" s="165"/>
      <c r="BS766" s="165"/>
      <c r="BU766" s="165"/>
      <c r="BW766" s="165"/>
      <c r="CC766" s="165"/>
    </row>
    <row r="767" spans="3:81" ht="15">
      <c r="C767" s="157"/>
      <c r="D767" s="157"/>
      <c r="K767" s="131"/>
      <c r="M767" s="158"/>
      <c r="AG767" s="164"/>
      <c r="AI767" s="165"/>
      <c r="AM767" s="165"/>
      <c r="BG767" s="165"/>
      <c r="BI767" s="165"/>
      <c r="BK767" s="165"/>
      <c r="BM767" s="165"/>
      <c r="BO767" s="165"/>
      <c r="BQ767" s="165"/>
      <c r="BS767" s="165"/>
      <c r="BU767" s="165"/>
      <c r="BW767" s="165"/>
      <c r="CC767" s="165"/>
    </row>
    <row r="768" spans="3:81" ht="15">
      <c r="C768" s="157"/>
      <c r="D768" s="157"/>
      <c r="K768" s="131"/>
      <c r="M768" s="158"/>
      <c r="AG768" s="164"/>
      <c r="AI768" s="165"/>
      <c r="AM768" s="165"/>
      <c r="BG768" s="165"/>
      <c r="BI768" s="165"/>
      <c r="BK768" s="165"/>
      <c r="BM768" s="165"/>
      <c r="BO768" s="165"/>
      <c r="BQ768" s="165"/>
      <c r="BS768" s="165"/>
      <c r="BU768" s="165"/>
      <c r="BW768" s="165"/>
      <c r="CC768" s="165"/>
    </row>
    <row r="769" spans="3:81" ht="15">
      <c r="C769" s="157"/>
      <c r="D769" s="157"/>
      <c r="K769" s="131"/>
      <c r="M769" s="158"/>
      <c r="AG769" s="164"/>
      <c r="AI769" s="165"/>
      <c r="AM769" s="165"/>
      <c r="BG769" s="165"/>
      <c r="BI769" s="165"/>
      <c r="BK769" s="165"/>
      <c r="BM769" s="165"/>
      <c r="BO769" s="165"/>
      <c r="BQ769" s="165"/>
      <c r="BS769" s="165"/>
      <c r="BU769" s="165"/>
      <c r="BW769" s="165"/>
      <c r="CC769" s="165"/>
    </row>
    <row r="770" spans="3:81" ht="15">
      <c r="C770" s="157"/>
      <c r="D770" s="157"/>
      <c r="K770" s="131"/>
      <c r="M770" s="158"/>
      <c r="AG770" s="164"/>
      <c r="AI770" s="165"/>
      <c r="AM770" s="165"/>
      <c r="BG770" s="165"/>
      <c r="BI770" s="165"/>
      <c r="BK770" s="165"/>
      <c r="BM770" s="165"/>
      <c r="BO770" s="165"/>
      <c r="BQ770" s="165"/>
      <c r="BS770" s="165"/>
      <c r="BU770" s="165"/>
      <c r="BW770" s="165"/>
      <c r="CC770" s="165"/>
    </row>
    <row r="771" spans="3:81" ht="15">
      <c r="C771" s="157"/>
      <c r="D771" s="157"/>
      <c r="K771" s="131"/>
      <c r="M771" s="158"/>
      <c r="AG771" s="164"/>
      <c r="AI771" s="165"/>
      <c r="AM771" s="165"/>
      <c r="BG771" s="165"/>
      <c r="BI771" s="165"/>
      <c r="BK771" s="165"/>
      <c r="BM771" s="165"/>
      <c r="BO771" s="165"/>
      <c r="BQ771" s="165"/>
      <c r="BS771" s="165"/>
      <c r="BU771" s="165"/>
      <c r="BW771" s="165"/>
      <c r="CC771" s="165"/>
    </row>
    <row r="772" spans="3:81" ht="15">
      <c r="C772" s="157"/>
      <c r="D772" s="157"/>
      <c r="K772" s="131"/>
      <c r="M772" s="158"/>
      <c r="AG772" s="164"/>
      <c r="AI772" s="165"/>
      <c r="AM772" s="165"/>
      <c r="BG772" s="165"/>
      <c r="BI772" s="165"/>
      <c r="BK772" s="165"/>
      <c r="BM772" s="165"/>
      <c r="BO772" s="165"/>
      <c r="BQ772" s="165"/>
      <c r="BS772" s="165"/>
      <c r="BU772" s="165"/>
      <c r="BW772" s="165"/>
      <c r="CC772" s="165"/>
    </row>
    <row r="773" spans="3:81" ht="15">
      <c r="C773" s="157"/>
      <c r="D773" s="157"/>
      <c r="K773" s="131"/>
      <c r="M773" s="158"/>
      <c r="AG773" s="164"/>
      <c r="AI773" s="165"/>
      <c r="AM773" s="165"/>
      <c r="BG773" s="165"/>
      <c r="BI773" s="165"/>
      <c r="BK773" s="165"/>
      <c r="BM773" s="165"/>
      <c r="BO773" s="165"/>
      <c r="BQ773" s="165"/>
      <c r="BS773" s="165"/>
      <c r="BU773" s="165"/>
      <c r="BW773" s="165"/>
      <c r="CC773" s="165"/>
    </row>
    <row r="774" spans="3:81" ht="15">
      <c r="C774" s="157"/>
      <c r="D774" s="157"/>
      <c r="K774" s="131"/>
      <c r="M774" s="158"/>
      <c r="AG774" s="164"/>
      <c r="AI774" s="165"/>
      <c r="AM774" s="165"/>
      <c r="BG774" s="165"/>
      <c r="BI774" s="165"/>
      <c r="BK774" s="165"/>
      <c r="BM774" s="165"/>
      <c r="BO774" s="165"/>
      <c r="BQ774" s="165"/>
      <c r="BS774" s="165"/>
      <c r="BU774" s="165"/>
      <c r="BW774" s="165"/>
      <c r="CC774" s="165"/>
    </row>
    <row r="775" spans="3:81" ht="15">
      <c r="C775" s="157"/>
      <c r="D775" s="157"/>
      <c r="K775" s="131"/>
      <c r="M775" s="158"/>
      <c r="AG775" s="164"/>
      <c r="AI775" s="165"/>
      <c r="AM775" s="165"/>
      <c r="BG775" s="165"/>
      <c r="BI775" s="165"/>
      <c r="BK775" s="165"/>
      <c r="BM775" s="165"/>
      <c r="BO775" s="165"/>
      <c r="BQ775" s="165"/>
      <c r="BS775" s="165"/>
      <c r="BU775" s="165"/>
      <c r="BW775" s="165"/>
      <c r="CC775" s="165"/>
    </row>
    <row r="776" spans="3:81" ht="15">
      <c r="C776" s="157"/>
      <c r="D776" s="157"/>
      <c r="K776" s="131"/>
      <c r="M776" s="158"/>
      <c r="AG776" s="164"/>
      <c r="AI776" s="165"/>
      <c r="AM776" s="165"/>
      <c r="BG776" s="165"/>
      <c r="BI776" s="165"/>
      <c r="BK776" s="165"/>
      <c r="BM776" s="165"/>
      <c r="BO776" s="165"/>
      <c r="BQ776" s="165"/>
      <c r="BS776" s="165"/>
      <c r="BU776" s="165"/>
      <c r="BW776" s="165"/>
      <c r="CC776" s="165"/>
    </row>
    <row r="777" spans="3:81" ht="15">
      <c r="C777" s="157"/>
      <c r="D777" s="157"/>
      <c r="K777" s="131"/>
      <c r="M777" s="158"/>
      <c r="AG777" s="164"/>
      <c r="AI777" s="165"/>
      <c r="AM777" s="165"/>
      <c r="BG777" s="165"/>
      <c r="BI777" s="165"/>
      <c r="BK777" s="165"/>
      <c r="BM777" s="165"/>
      <c r="BO777" s="165"/>
      <c r="BQ777" s="165"/>
      <c r="BS777" s="165"/>
      <c r="BU777" s="165"/>
      <c r="BW777" s="165"/>
      <c r="CC777" s="165"/>
    </row>
    <row r="778" spans="3:81" ht="15">
      <c r="C778" s="157"/>
      <c r="D778" s="157"/>
      <c r="K778" s="131"/>
      <c r="M778" s="158"/>
      <c r="AG778" s="164"/>
      <c r="AI778" s="165"/>
      <c r="AM778" s="165"/>
      <c r="BG778" s="165"/>
      <c r="BI778" s="165"/>
      <c r="BK778" s="165"/>
      <c r="BM778" s="165"/>
      <c r="BO778" s="165"/>
      <c r="BQ778" s="165"/>
      <c r="BS778" s="165"/>
      <c r="BU778" s="165"/>
      <c r="BW778" s="165"/>
      <c r="CC778" s="165"/>
    </row>
    <row r="779" spans="3:81" ht="15">
      <c r="C779" s="157"/>
      <c r="D779" s="157"/>
      <c r="K779" s="131"/>
      <c r="M779" s="158"/>
      <c r="AG779" s="164"/>
      <c r="AI779" s="165"/>
      <c r="AM779" s="165"/>
      <c r="BG779" s="165"/>
      <c r="BI779" s="165"/>
      <c r="BK779" s="165"/>
      <c r="BM779" s="165"/>
      <c r="BO779" s="165"/>
      <c r="BQ779" s="165"/>
      <c r="BS779" s="165"/>
      <c r="BU779" s="165"/>
      <c r="BW779" s="165"/>
      <c r="CC779" s="165"/>
    </row>
    <row r="780" spans="3:81" ht="15">
      <c r="C780" s="157"/>
      <c r="D780" s="157"/>
      <c r="K780" s="131"/>
      <c r="M780" s="158"/>
      <c r="AG780" s="164"/>
      <c r="AI780" s="165"/>
      <c r="AM780" s="165"/>
      <c r="BG780" s="165"/>
      <c r="BI780" s="165"/>
      <c r="BK780" s="165"/>
      <c r="BM780" s="165"/>
      <c r="BO780" s="165"/>
      <c r="BQ780" s="165"/>
      <c r="BS780" s="165"/>
      <c r="BU780" s="165"/>
      <c r="BW780" s="165"/>
      <c r="CC780" s="165"/>
    </row>
    <row r="781" spans="3:81" ht="15">
      <c r="C781" s="157"/>
      <c r="D781" s="157"/>
      <c r="K781" s="131"/>
      <c r="M781" s="158"/>
      <c r="AG781" s="164"/>
      <c r="AI781" s="165"/>
      <c r="AM781" s="165"/>
      <c r="BG781" s="165"/>
      <c r="BI781" s="165"/>
      <c r="BK781" s="165"/>
      <c r="BM781" s="165"/>
      <c r="BO781" s="165"/>
      <c r="BQ781" s="165"/>
      <c r="BS781" s="165"/>
      <c r="BU781" s="165"/>
      <c r="BW781" s="165"/>
      <c r="CC781" s="165"/>
    </row>
    <row r="782" spans="3:81" ht="15">
      <c r="C782" s="157"/>
      <c r="D782" s="157"/>
      <c r="K782" s="131"/>
      <c r="M782" s="158"/>
      <c r="AG782" s="164"/>
      <c r="AI782" s="165"/>
      <c r="AM782" s="165"/>
      <c r="BG782" s="165"/>
      <c r="BI782" s="165"/>
      <c r="BK782" s="165"/>
      <c r="BM782" s="165"/>
      <c r="BO782" s="165"/>
      <c r="BQ782" s="165"/>
      <c r="BS782" s="165"/>
      <c r="BU782" s="165"/>
      <c r="BW782" s="165"/>
      <c r="CC782" s="165"/>
    </row>
    <row r="783" spans="3:81" ht="15">
      <c r="C783" s="157"/>
      <c r="D783" s="157"/>
      <c r="K783" s="131"/>
      <c r="M783" s="158"/>
      <c r="AG783" s="164"/>
      <c r="AI783" s="165"/>
      <c r="AM783" s="165"/>
      <c r="BG783" s="165"/>
      <c r="BI783" s="165"/>
      <c r="BK783" s="165"/>
      <c r="BM783" s="165"/>
      <c r="BO783" s="165"/>
      <c r="BQ783" s="165"/>
      <c r="BS783" s="165"/>
      <c r="BU783" s="165"/>
      <c r="BW783" s="165"/>
      <c r="CC783" s="165"/>
    </row>
    <row r="784" spans="3:81" ht="15">
      <c r="C784" s="157"/>
      <c r="D784" s="157"/>
      <c r="K784" s="131"/>
      <c r="M784" s="158"/>
      <c r="AG784" s="164"/>
      <c r="AI784" s="165"/>
      <c r="AM784" s="165"/>
      <c r="BG784" s="165"/>
      <c r="BI784" s="165"/>
      <c r="BK784" s="165"/>
      <c r="BM784" s="165"/>
      <c r="BO784" s="165"/>
      <c r="BQ784" s="165"/>
      <c r="BS784" s="165"/>
      <c r="BU784" s="165"/>
      <c r="BW784" s="165"/>
      <c r="CC784" s="165"/>
    </row>
    <row r="785" spans="3:81" ht="15">
      <c r="C785" s="157"/>
      <c r="D785" s="157"/>
      <c r="K785" s="131"/>
      <c r="M785" s="158"/>
      <c r="AG785" s="164"/>
      <c r="AI785" s="165"/>
      <c r="AM785" s="165"/>
      <c r="BG785" s="165"/>
      <c r="BI785" s="165"/>
      <c r="BK785" s="165"/>
      <c r="BM785" s="165"/>
      <c r="BO785" s="165"/>
      <c r="BQ785" s="165"/>
      <c r="BS785" s="165"/>
      <c r="BU785" s="165"/>
      <c r="BW785" s="165"/>
      <c r="CC785" s="165"/>
    </row>
    <row r="786" spans="3:81" ht="15">
      <c r="C786" s="157"/>
      <c r="D786" s="157"/>
      <c r="K786" s="131"/>
      <c r="M786" s="158"/>
      <c r="AG786" s="164"/>
      <c r="AI786" s="165"/>
      <c r="AM786" s="165"/>
      <c r="BG786" s="165"/>
      <c r="BI786" s="165"/>
      <c r="BK786" s="165"/>
      <c r="BM786" s="165"/>
      <c r="BO786" s="165"/>
      <c r="BQ786" s="165"/>
      <c r="BS786" s="165"/>
      <c r="BU786" s="165"/>
      <c r="BW786" s="165"/>
      <c r="CC786" s="165"/>
    </row>
    <row r="787" spans="3:81" ht="15">
      <c r="C787" s="157"/>
      <c r="D787" s="157"/>
      <c r="K787" s="131"/>
      <c r="M787" s="158"/>
      <c r="AG787" s="164"/>
      <c r="AI787" s="165"/>
      <c r="AM787" s="165"/>
      <c r="BG787" s="165"/>
      <c r="BI787" s="165"/>
      <c r="BK787" s="165"/>
      <c r="BM787" s="165"/>
      <c r="BO787" s="165"/>
      <c r="BQ787" s="165"/>
      <c r="BS787" s="165"/>
      <c r="BU787" s="165"/>
      <c r="BW787" s="165"/>
      <c r="CC787" s="165"/>
    </row>
    <row r="788" spans="3:81" ht="15">
      <c r="C788" s="157"/>
      <c r="D788" s="157"/>
      <c r="K788" s="131"/>
      <c r="M788" s="158"/>
      <c r="AG788" s="164"/>
      <c r="AI788" s="165"/>
      <c r="AM788" s="165"/>
      <c r="BG788" s="165"/>
      <c r="BI788" s="165"/>
      <c r="BK788" s="165"/>
      <c r="BM788" s="165"/>
      <c r="BO788" s="165"/>
      <c r="BQ788" s="165"/>
      <c r="BS788" s="165"/>
      <c r="BU788" s="165"/>
      <c r="BW788" s="165"/>
      <c r="CC788" s="165"/>
    </row>
    <row r="789" spans="3:81" ht="15">
      <c r="C789" s="157"/>
      <c r="D789" s="157"/>
      <c r="K789" s="131"/>
      <c r="M789" s="158"/>
      <c r="AG789" s="164"/>
      <c r="AI789" s="165"/>
      <c r="AM789" s="165"/>
      <c r="BG789" s="165"/>
      <c r="BI789" s="165"/>
      <c r="BK789" s="165"/>
      <c r="BM789" s="165"/>
      <c r="BO789" s="165"/>
      <c r="BQ789" s="165"/>
      <c r="BS789" s="165"/>
      <c r="BU789" s="165"/>
      <c r="BW789" s="165"/>
      <c r="CC789" s="165"/>
    </row>
    <row r="790" spans="3:81" ht="15">
      <c r="C790" s="157"/>
      <c r="D790" s="157"/>
      <c r="K790" s="131"/>
      <c r="M790" s="158"/>
      <c r="AG790" s="164"/>
      <c r="AI790" s="165"/>
      <c r="AM790" s="165"/>
      <c r="BG790" s="165"/>
      <c r="BI790" s="165"/>
      <c r="BK790" s="165"/>
      <c r="BM790" s="165"/>
      <c r="BO790" s="165"/>
      <c r="BQ790" s="165"/>
      <c r="BS790" s="165"/>
      <c r="BU790" s="165"/>
      <c r="BW790" s="165"/>
      <c r="CC790" s="165"/>
    </row>
    <row r="791" spans="3:81" ht="15">
      <c r="C791" s="157"/>
      <c r="D791" s="157"/>
      <c r="K791" s="131"/>
      <c r="M791" s="158"/>
      <c r="AG791" s="164"/>
      <c r="AI791" s="165"/>
      <c r="AM791" s="165"/>
      <c r="BG791" s="165"/>
      <c r="BI791" s="165"/>
      <c r="BK791" s="165"/>
      <c r="BM791" s="165"/>
      <c r="BO791" s="165"/>
      <c r="BQ791" s="165"/>
      <c r="BS791" s="165"/>
      <c r="BU791" s="165"/>
      <c r="BW791" s="165"/>
      <c r="CC791" s="165"/>
    </row>
    <row r="792" spans="3:81" ht="15">
      <c r="C792" s="157"/>
      <c r="D792" s="157"/>
      <c r="K792" s="131"/>
      <c r="M792" s="158"/>
      <c r="AG792" s="164"/>
      <c r="AI792" s="165"/>
      <c r="AM792" s="165"/>
      <c r="BG792" s="165"/>
      <c r="BI792" s="165"/>
      <c r="BK792" s="165"/>
      <c r="BM792" s="165"/>
      <c r="BO792" s="165"/>
      <c r="BQ792" s="165"/>
      <c r="BS792" s="165"/>
      <c r="BU792" s="165"/>
      <c r="BW792" s="165"/>
      <c r="CC792" s="165"/>
    </row>
    <row r="793" spans="3:81" ht="15">
      <c r="C793" s="157"/>
      <c r="D793" s="157"/>
      <c r="K793" s="131"/>
      <c r="M793" s="158"/>
      <c r="AG793" s="164"/>
      <c r="AI793" s="165"/>
      <c r="AM793" s="165"/>
      <c r="BG793" s="165"/>
      <c r="BI793" s="165"/>
      <c r="BK793" s="165"/>
      <c r="BM793" s="165"/>
      <c r="BO793" s="165"/>
      <c r="BQ793" s="165"/>
      <c r="BS793" s="165"/>
      <c r="BU793" s="165"/>
      <c r="BW793" s="165"/>
      <c r="CC793" s="165"/>
    </row>
    <row r="794" spans="3:81" ht="15">
      <c r="C794" s="157"/>
      <c r="D794" s="157"/>
      <c r="K794" s="131"/>
      <c r="M794" s="158"/>
      <c r="AG794" s="164"/>
      <c r="AI794" s="165"/>
      <c r="AM794" s="165"/>
      <c r="BG794" s="165"/>
      <c r="BI794" s="165"/>
      <c r="BK794" s="165"/>
      <c r="BM794" s="165"/>
      <c r="BO794" s="165"/>
      <c r="BQ794" s="165"/>
      <c r="BS794" s="165"/>
      <c r="BU794" s="165"/>
      <c r="BW794" s="165"/>
      <c r="CC794" s="165"/>
    </row>
    <row r="795" spans="3:81" ht="15">
      <c r="C795" s="157"/>
      <c r="D795" s="157"/>
      <c r="K795" s="131"/>
      <c r="M795" s="158"/>
      <c r="AG795" s="164"/>
      <c r="AI795" s="165"/>
      <c r="AM795" s="165"/>
      <c r="BG795" s="165"/>
      <c r="BI795" s="165"/>
      <c r="BK795" s="165"/>
      <c r="BM795" s="165"/>
      <c r="BO795" s="165"/>
      <c r="BQ795" s="165"/>
      <c r="BS795" s="165"/>
      <c r="BU795" s="165"/>
      <c r="BW795" s="165"/>
      <c r="CC795" s="165"/>
    </row>
    <row r="796" spans="3:81" ht="15">
      <c r="C796" s="157"/>
      <c r="D796" s="157"/>
      <c r="K796" s="131"/>
      <c r="M796" s="158"/>
      <c r="AG796" s="164"/>
      <c r="AI796" s="165"/>
      <c r="AM796" s="165"/>
      <c r="BG796" s="165"/>
      <c r="BI796" s="165"/>
      <c r="BK796" s="165"/>
      <c r="BM796" s="165"/>
      <c r="BO796" s="165"/>
      <c r="BQ796" s="165"/>
      <c r="BS796" s="165"/>
      <c r="BU796" s="165"/>
      <c r="BW796" s="165"/>
      <c r="CC796" s="165"/>
    </row>
    <row r="797" spans="3:81" ht="15">
      <c r="C797" s="157"/>
      <c r="D797" s="157"/>
      <c r="K797" s="131"/>
      <c r="M797" s="158"/>
      <c r="AG797" s="164"/>
      <c r="AI797" s="165"/>
      <c r="AM797" s="165"/>
      <c r="BG797" s="165"/>
      <c r="BI797" s="165"/>
      <c r="BK797" s="165"/>
      <c r="BM797" s="165"/>
      <c r="BO797" s="165"/>
      <c r="BQ797" s="165"/>
      <c r="BS797" s="165"/>
      <c r="BU797" s="165"/>
      <c r="BW797" s="165"/>
      <c r="CC797" s="165"/>
    </row>
    <row r="798" spans="3:81" ht="15">
      <c r="C798" s="157"/>
      <c r="D798" s="157"/>
      <c r="K798" s="131"/>
      <c r="M798" s="158"/>
      <c r="AG798" s="164"/>
      <c r="AI798" s="165"/>
      <c r="AM798" s="165"/>
      <c r="BG798" s="165"/>
      <c r="BI798" s="165"/>
      <c r="BK798" s="165"/>
      <c r="BM798" s="165"/>
      <c r="BO798" s="165"/>
      <c r="BQ798" s="165"/>
      <c r="BS798" s="165"/>
      <c r="BU798" s="165"/>
      <c r="BW798" s="165"/>
      <c r="CC798" s="165"/>
    </row>
    <row r="799" spans="3:81" ht="15">
      <c r="C799" s="157"/>
      <c r="D799" s="157"/>
      <c r="K799" s="131"/>
      <c r="M799" s="158"/>
      <c r="AG799" s="164"/>
      <c r="AI799" s="165"/>
      <c r="AM799" s="165"/>
      <c r="BG799" s="165"/>
      <c r="BI799" s="165"/>
      <c r="BK799" s="165"/>
      <c r="BM799" s="165"/>
      <c r="BO799" s="165"/>
      <c r="BQ799" s="165"/>
      <c r="BS799" s="165"/>
      <c r="BU799" s="165"/>
      <c r="BW799" s="165"/>
      <c r="CC799" s="165"/>
    </row>
    <row r="800" spans="3:81" ht="15">
      <c r="C800" s="157"/>
      <c r="D800" s="157"/>
      <c r="K800" s="131"/>
      <c r="M800" s="158"/>
      <c r="AG800" s="164"/>
      <c r="AI800" s="165"/>
      <c r="AM800" s="165"/>
      <c r="BG800" s="165"/>
      <c r="BI800" s="165"/>
      <c r="BK800" s="165"/>
      <c r="BM800" s="165"/>
      <c r="BO800" s="165"/>
      <c r="BQ800" s="165"/>
      <c r="BS800" s="165"/>
      <c r="BU800" s="165"/>
      <c r="BW800" s="165"/>
      <c r="CC800" s="165"/>
    </row>
    <row r="801" spans="3:81" ht="15">
      <c r="C801" s="157"/>
      <c r="D801" s="157"/>
      <c r="K801" s="131"/>
      <c r="M801" s="158"/>
      <c r="AG801" s="164"/>
      <c r="AI801" s="165"/>
      <c r="AM801" s="165"/>
      <c r="BG801" s="165"/>
      <c r="BI801" s="165"/>
      <c r="BK801" s="165"/>
      <c r="BM801" s="165"/>
      <c r="BO801" s="165"/>
      <c r="BQ801" s="165"/>
      <c r="BS801" s="165"/>
      <c r="BU801" s="165"/>
      <c r="BW801" s="165"/>
      <c r="CC801" s="165"/>
    </row>
    <row r="802" spans="3:81" ht="15">
      <c r="C802" s="157"/>
      <c r="D802" s="157"/>
      <c r="K802" s="131"/>
      <c r="M802" s="158"/>
      <c r="AG802" s="164"/>
      <c r="AI802" s="165"/>
      <c r="AM802" s="165"/>
      <c r="BG802" s="165"/>
      <c r="BI802" s="165"/>
      <c r="BK802" s="165"/>
      <c r="BM802" s="165"/>
      <c r="BO802" s="165"/>
      <c r="BQ802" s="165"/>
      <c r="BS802" s="165"/>
      <c r="BU802" s="165"/>
      <c r="BW802" s="165"/>
      <c r="CC802" s="165"/>
    </row>
    <row r="803" spans="3:81" ht="15">
      <c r="C803" s="157"/>
      <c r="D803" s="157"/>
      <c r="K803" s="131"/>
      <c r="M803" s="158"/>
      <c r="AG803" s="164"/>
      <c r="AI803" s="165"/>
      <c r="AM803" s="165"/>
      <c r="BG803" s="165"/>
      <c r="BI803" s="165"/>
      <c r="BK803" s="165"/>
      <c r="BM803" s="165"/>
      <c r="BO803" s="165"/>
      <c r="BQ803" s="165"/>
      <c r="BS803" s="165"/>
      <c r="BU803" s="165"/>
      <c r="BW803" s="165"/>
      <c r="CC803" s="165"/>
    </row>
    <row r="804" spans="3:81" ht="15">
      <c r="C804" s="157"/>
      <c r="D804" s="157"/>
      <c r="K804" s="131"/>
      <c r="M804" s="158"/>
      <c r="AG804" s="164"/>
      <c r="AI804" s="165"/>
      <c r="AM804" s="165"/>
      <c r="BG804" s="165"/>
      <c r="BI804" s="165"/>
      <c r="BK804" s="165"/>
      <c r="BM804" s="165"/>
      <c r="BO804" s="165"/>
      <c r="BQ804" s="165"/>
      <c r="BS804" s="165"/>
      <c r="BU804" s="165"/>
      <c r="BW804" s="165"/>
      <c r="CC804" s="165"/>
    </row>
    <row r="805" spans="3:81" ht="15">
      <c r="C805" s="157"/>
      <c r="D805" s="157"/>
      <c r="K805" s="131"/>
      <c r="M805" s="158"/>
      <c r="AG805" s="164"/>
      <c r="AI805" s="165"/>
      <c r="AM805" s="165"/>
      <c r="BG805" s="165"/>
      <c r="BI805" s="165"/>
      <c r="BK805" s="165"/>
      <c r="BM805" s="165"/>
      <c r="BO805" s="165"/>
      <c r="BQ805" s="165"/>
      <c r="BS805" s="165"/>
      <c r="BU805" s="165"/>
      <c r="BW805" s="165"/>
      <c r="CC805" s="165"/>
    </row>
    <row r="806" spans="3:81" ht="15">
      <c r="C806" s="157"/>
      <c r="D806" s="157"/>
      <c r="K806" s="131"/>
      <c r="M806" s="158"/>
      <c r="AG806" s="164"/>
      <c r="AI806" s="165"/>
      <c r="AM806" s="165"/>
      <c r="BG806" s="165"/>
      <c r="BI806" s="165"/>
      <c r="BK806" s="165"/>
      <c r="BM806" s="165"/>
      <c r="BO806" s="165"/>
      <c r="BQ806" s="165"/>
      <c r="BS806" s="165"/>
      <c r="BU806" s="165"/>
      <c r="BW806" s="165"/>
      <c r="CC806" s="165"/>
    </row>
    <row r="807" spans="3:81" ht="15">
      <c r="C807" s="157"/>
      <c r="D807" s="157"/>
      <c r="K807" s="131"/>
      <c r="M807" s="158"/>
      <c r="AG807" s="164"/>
      <c r="AI807" s="165"/>
      <c r="AM807" s="165"/>
      <c r="BG807" s="165"/>
      <c r="BI807" s="165"/>
      <c r="BK807" s="165"/>
      <c r="BM807" s="165"/>
      <c r="BO807" s="165"/>
      <c r="BQ807" s="165"/>
      <c r="BS807" s="165"/>
      <c r="BU807" s="165"/>
      <c r="BW807" s="165"/>
      <c r="CC807" s="165"/>
    </row>
    <row r="808" spans="3:81" ht="15">
      <c r="C808" s="157"/>
      <c r="D808" s="157"/>
      <c r="K808" s="131"/>
      <c r="M808" s="158"/>
      <c r="AG808" s="164"/>
      <c r="AI808" s="165"/>
      <c r="AM808" s="165"/>
      <c r="BG808" s="165"/>
      <c r="BI808" s="165"/>
      <c r="BK808" s="165"/>
      <c r="BM808" s="165"/>
      <c r="BO808" s="165"/>
      <c r="BQ808" s="165"/>
      <c r="BS808" s="165"/>
      <c r="BU808" s="165"/>
      <c r="BW808" s="165"/>
      <c r="CC808" s="165"/>
    </row>
    <row r="809" spans="3:81" ht="15">
      <c r="C809" s="157"/>
      <c r="D809" s="157"/>
      <c r="K809" s="131"/>
      <c r="M809" s="158"/>
      <c r="AG809" s="164"/>
      <c r="AI809" s="165"/>
      <c r="AM809" s="165"/>
      <c r="BG809" s="165"/>
      <c r="BI809" s="165"/>
      <c r="BK809" s="165"/>
      <c r="BM809" s="165"/>
      <c r="BO809" s="165"/>
      <c r="BQ809" s="165"/>
      <c r="BS809" s="165"/>
      <c r="BU809" s="165"/>
      <c r="BW809" s="165"/>
      <c r="CC809" s="165"/>
    </row>
    <row r="810" spans="3:81" ht="15">
      <c r="C810" s="157"/>
      <c r="D810" s="157"/>
      <c r="K810" s="131"/>
      <c r="M810" s="158"/>
      <c r="AG810" s="164"/>
      <c r="AI810" s="165"/>
      <c r="AM810" s="165"/>
      <c r="BG810" s="165"/>
      <c r="BI810" s="165"/>
      <c r="BK810" s="165"/>
      <c r="BM810" s="165"/>
      <c r="BO810" s="165"/>
      <c r="BQ810" s="165"/>
      <c r="BS810" s="165"/>
      <c r="BU810" s="165"/>
      <c r="BW810" s="165"/>
      <c r="CC810" s="165"/>
    </row>
    <row r="811" spans="3:81" ht="15">
      <c r="C811" s="157"/>
      <c r="D811" s="157"/>
      <c r="K811" s="131"/>
      <c r="M811" s="158"/>
      <c r="AG811" s="164"/>
      <c r="AI811" s="165"/>
      <c r="AM811" s="165"/>
      <c r="BG811" s="165"/>
      <c r="BI811" s="165"/>
      <c r="BK811" s="165"/>
      <c r="BM811" s="165"/>
      <c r="BO811" s="165"/>
      <c r="BQ811" s="165"/>
      <c r="BS811" s="165"/>
      <c r="BU811" s="165"/>
      <c r="BW811" s="165"/>
      <c r="CC811" s="165"/>
    </row>
    <row r="812" spans="3:81" ht="15">
      <c r="C812" s="157"/>
      <c r="D812" s="157"/>
      <c r="K812" s="131"/>
      <c r="M812" s="158"/>
      <c r="AG812" s="164"/>
      <c r="AI812" s="165"/>
      <c r="AM812" s="165"/>
      <c r="BG812" s="165"/>
      <c r="BI812" s="165"/>
      <c r="BK812" s="165"/>
      <c r="BM812" s="165"/>
      <c r="BO812" s="165"/>
      <c r="BQ812" s="165"/>
      <c r="BS812" s="165"/>
      <c r="BU812" s="165"/>
      <c r="BW812" s="165"/>
      <c r="CC812" s="165"/>
    </row>
    <row r="813" spans="3:81" ht="15">
      <c r="C813" s="157"/>
      <c r="D813" s="157"/>
      <c r="K813" s="131"/>
      <c r="M813" s="158"/>
      <c r="AG813" s="164"/>
      <c r="AI813" s="165"/>
      <c r="AM813" s="165"/>
      <c r="BG813" s="165"/>
      <c r="BI813" s="165"/>
      <c r="BK813" s="165"/>
      <c r="BM813" s="165"/>
      <c r="BO813" s="165"/>
      <c r="BQ813" s="165"/>
      <c r="BS813" s="165"/>
      <c r="BU813" s="165"/>
      <c r="BW813" s="165"/>
      <c r="CC813" s="165"/>
    </row>
    <row r="814" spans="3:81" ht="15">
      <c r="C814" s="157"/>
      <c r="D814" s="157"/>
      <c r="K814" s="131"/>
      <c r="M814" s="158"/>
      <c r="AG814" s="164"/>
      <c r="AI814" s="165"/>
      <c r="AM814" s="165"/>
      <c r="BG814" s="165"/>
      <c r="BI814" s="165"/>
      <c r="BK814" s="165"/>
      <c r="BM814" s="165"/>
      <c r="BO814" s="165"/>
      <c r="BQ814" s="165"/>
      <c r="BS814" s="165"/>
      <c r="BU814" s="165"/>
      <c r="BW814" s="165"/>
      <c r="CC814" s="165"/>
    </row>
    <row r="815" spans="3:81" ht="15">
      <c r="C815" s="157"/>
      <c r="D815" s="157"/>
      <c r="K815" s="131"/>
      <c r="M815" s="158"/>
      <c r="AG815" s="164"/>
      <c r="AI815" s="165"/>
      <c r="AM815" s="165"/>
      <c r="BG815" s="165"/>
      <c r="BI815" s="165"/>
      <c r="BK815" s="165"/>
      <c r="BM815" s="165"/>
      <c r="BO815" s="165"/>
      <c r="BQ815" s="165"/>
      <c r="BS815" s="165"/>
      <c r="BU815" s="165"/>
      <c r="BW815" s="165"/>
      <c r="CC815" s="165"/>
    </row>
    <row r="816" spans="3:81" ht="15">
      <c r="C816" s="157"/>
      <c r="D816" s="157"/>
      <c r="K816" s="131"/>
      <c r="M816" s="158"/>
      <c r="AG816" s="164"/>
      <c r="AI816" s="165"/>
      <c r="AM816" s="165"/>
      <c r="BG816" s="165"/>
      <c r="BI816" s="165"/>
      <c r="BK816" s="165"/>
      <c r="BM816" s="165"/>
      <c r="BO816" s="165"/>
      <c r="BQ816" s="165"/>
      <c r="BS816" s="165"/>
      <c r="BU816" s="165"/>
      <c r="BW816" s="165"/>
      <c r="CC816" s="165"/>
    </row>
    <row r="817" spans="3:81" ht="15">
      <c r="C817" s="157"/>
      <c r="D817" s="157"/>
      <c r="K817" s="131"/>
      <c r="M817" s="158"/>
      <c r="AG817" s="164"/>
      <c r="AI817" s="165"/>
      <c r="AM817" s="165"/>
      <c r="BG817" s="165"/>
      <c r="BI817" s="165"/>
      <c r="BK817" s="165"/>
      <c r="BM817" s="165"/>
      <c r="BO817" s="165"/>
      <c r="BQ817" s="165"/>
      <c r="BS817" s="165"/>
      <c r="BU817" s="165"/>
      <c r="BW817" s="165"/>
      <c r="CC817" s="165"/>
    </row>
    <row r="818" spans="3:81" ht="15">
      <c r="C818" s="157"/>
      <c r="D818" s="157"/>
      <c r="K818" s="131"/>
      <c r="M818" s="158"/>
      <c r="AG818" s="164"/>
      <c r="AI818" s="165"/>
      <c r="AM818" s="165"/>
      <c r="BG818" s="165"/>
      <c r="BI818" s="165"/>
      <c r="BK818" s="165"/>
      <c r="BM818" s="165"/>
      <c r="BO818" s="165"/>
      <c r="BQ818" s="165"/>
      <c r="BS818" s="165"/>
      <c r="BU818" s="165"/>
      <c r="BW818" s="165"/>
      <c r="CC818" s="165"/>
    </row>
    <row r="819" spans="3:81" ht="15">
      <c r="C819" s="157"/>
      <c r="D819" s="157"/>
      <c r="K819" s="131"/>
      <c r="M819" s="158"/>
      <c r="AG819" s="164"/>
      <c r="AI819" s="165"/>
      <c r="AM819" s="165"/>
      <c r="BG819" s="165"/>
      <c r="BI819" s="165"/>
      <c r="BK819" s="165"/>
      <c r="BM819" s="165"/>
      <c r="BO819" s="165"/>
      <c r="BQ819" s="165"/>
      <c r="BS819" s="165"/>
      <c r="BU819" s="165"/>
      <c r="BW819" s="165"/>
      <c r="CC819" s="165"/>
    </row>
    <row r="820" spans="3:81" ht="15">
      <c r="C820" s="157"/>
      <c r="D820" s="157"/>
      <c r="K820" s="131"/>
      <c r="M820" s="158"/>
      <c r="AG820" s="164"/>
      <c r="AI820" s="165"/>
      <c r="AM820" s="165"/>
      <c r="BG820" s="165"/>
      <c r="BI820" s="165"/>
      <c r="BK820" s="165"/>
      <c r="BM820" s="165"/>
      <c r="BO820" s="165"/>
      <c r="BQ820" s="165"/>
      <c r="BS820" s="165"/>
      <c r="BU820" s="165"/>
      <c r="BW820" s="165"/>
      <c r="CC820" s="165"/>
    </row>
    <row r="821" spans="3:81" ht="15">
      <c r="C821" s="157"/>
      <c r="D821" s="157"/>
      <c r="K821" s="131"/>
      <c r="M821" s="158"/>
      <c r="AG821" s="164"/>
      <c r="AI821" s="165"/>
      <c r="AM821" s="165"/>
      <c r="BG821" s="165"/>
      <c r="BI821" s="165"/>
      <c r="BK821" s="165"/>
      <c r="BM821" s="165"/>
      <c r="BO821" s="165"/>
      <c r="BQ821" s="165"/>
      <c r="BS821" s="165"/>
      <c r="BU821" s="165"/>
      <c r="BW821" s="165"/>
      <c r="CC821" s="165"/>
    </row>
    <row r="822" spans="3:81" ht="15">
      <c r="C822" s="157"/>
      <c r="D822" s="157"/>
      <c r="K822" s="131"/>
      <c r="M822" s="158"/>
      <c r="AG822" s="164"/>
      <c r="AI822" s="165"/>
      <c r="AM822" s="165"/>
      <c r="BG822" s="165"/>
      <c r="BI822" s="165"/>
      <c r="BK822" s="165"/>
      <c r="BM822" s="165"/>
      <c r="BO822" s="165"/>
      <c r="BQ822" s="165"/>
      <c r="BS822" s="165"/>
      <c r="BU822" s="165"/>
      <c r="BW822" s="165"/>
      <c r="CC822" s="165"/>
    </row>
    <row r="823" spans="3:81" ht="15">
      <c r="C823" s="157"/>
      <c r="D823" s="157"/>
      <c r="K823" s="131"/>
      <c r="M823" s="158"/>
      <c r="AG823" s="164"/>
      <c r="AI823" s="165"/>
      <c r="AM823" s="165"/>
      <c r="BG823" s="165"/>
      <c r="BI823" s="165"/>
      <c r="BK823" s="165"/>
      <c r="BM823" s="165"/>
      <c r="BO823" s="165"/>
      <c r="BQ823" s="165"/>
      <c r="BS823" s="165"/>
      <c r="BU823" s="165"/>
      <c r="BW823" s="165"/>
      <c r="CC823" s="165"/>
    </row>
    <row r="824" spans="3:81" ht="15">
      <c r="C824" s="157"/>
      <c r="D824" s="157"/>
      <c r="K824" s="131"/>
      <c r="M824" s="158"/>
      <c r="AG824" s="164"/>
      <c r="AI824" s="165"/>
      <c r="AM824" s="165"/>
      <c r="BG824" s="165"/>
      <c r="BI824" s="165"/>
      <c r="BK824" s="165"/>
      <c r="BM824" s="165"/>
      <c r="BO824" s="165"/>
      <c r="BQ824" s="165"/>
      <c r="BS824" s="165"/>
      <c r="BU824" s="165"/>
      <c r="BW824" s="165"/>
      <c r="CC824" s="165"/>
    </row>
    <row r="825" spans="3:81" ht="15">
      <c r="C825" s="157"/>
      <c r="D825" s="157"/>
      <c r="K825" s="131"/>
      <c r="M825" s="158"/>
      <c r="AG825" s="164"/>
      <c r="AI825" s="165"/>
      <c r="AM825" s="165"/>
      <c r="BG825" s="165"/>
      <c r="BI825" s="165"/>
      <c r="BK825" s="165"/>
      <c r="BM825" s="165"/>
      <c r="BO825" s="165"/>
      <c r="BQ825" s="165"/>
      <c r="BS825" s="165"/>
      <c r="BU825" s="165"/>
      <c r="BW825" s="165"/>
      <c r="CC825" s="165"/>
    </row>
    <row r="826" spans="3:81" ht="15">
      <c r="C826" s="157"/>
      <c r="D826" s="157"/>
      <c r="K826" s="131"/>
      <c r="M826" s="158"/>
      <c r="AG826" s="164"/>
      <c r="AI826" s="165"/>
      <c r="AM826" s="165"/>
      <c r="BG826" s="165"/>
      <c r="BI826" s="165"/>
      <c r="BK826" s="165"/>
      <c r="BM826" s="165"/>
      <c r="BO826" s="165"/>
      <c r="BQ826" s="165"/>
      <c r="BS826" s="165"/>
      <c r="BU826" s="165"/>
      <c r="BW826" s="165"/>
      <c r="CC826" s="165"/>
    </row>
    <row r="827" spans="3:81" ht="15">
      <c r="C827" s="157"/>
      <c r="D827" s="157"/>
      <c r="K827" s="131"/>
      <c r="M827" s="158"/>
      <c r="AG827" s="164"/>
      <c r="AI827" s="165"/>
      <c r="AM827" s="165"/>
      <c r="BG827" s="165"/>
      <c r="BI827" s="165"/>
      <c r="BK827" s="165"/>
      <c r="BM827" s="165"/>
      <c r="BO827" s="165"/>
      <c r="BQ827" s="165"/>
      <c r="BS827" s="165"/>
      <c r="BU827" s="165"/>
      <c r="BW827" s="165"/>
      <c r="CC827" s="165"/>
    </row>
    <row r="828" spans="3:81" ht="15">
      <c r="C828" s="157"/>
      <c r="D828" s="157"/>
      <c r="K828" s="131"/>
      <c r="M828" s="158"/>
      <c r="AG828" s="164"/>
      <c r="AI828" s="165"/>
      <c r="AM828" s="165"/>
      <c r="BG828" s="165"/>
      <c r="BI828" s="165"/>
      <c r="BK828" s="165"/>
      <c r="BM828" s="165"/>
      <c r="BO828" s="165"/>
      <c r="BQ828" s="165"/>
      <c r="BS828" s="165"/>
      <c r="BU828" s="165"/>
      <c r="BW828" s="165"/>
      <c r="CC828" s="165"/>
    </row>
    <row r="829" spans="3:81" ht="15">
      <c r="C829" s="157"/>
      <c r="D829" s="157"/>
      <c r="K829" s="131"/>
      <c r="M829" s="158"/>
      <c r="AG829" s="164"/>
      <c r="AI829" s="165"/>
      <c r="AM829" s="165"/>
      <c r="BG829" s="165"/>
      <c r="BI829" s="165"/>
      <c r="BK829" s="165"/>
      <c r="BM829" s="165"/>
      <c r="BO829" s="165"/>
      <c r="BQ829" s="165"/>
      <c r="BS829" s="165"/>
      <c r="BU829" s="165"/>
      <c r="BW829" s="165"/>
      <c r="CC829" s="165"/>
    </row>
    <row r="830" spans="3:81" ht="15">
      <c r="C830" s="157"/>
      <c r="D830" s="157"/>
      <c r="K830" s="131"/>
      <c r="M830" s="158"/>
      <c r="AG830" s="164"/>
      <c r="AI830" s="165"/>
      <c r="AM830" s="165"/>
      <c r="BG830" s="165"/>
      <c r="BI830" s="165"/>
      <c r="BK830" s="165"/>
      <c r="BM830" s="165"/>
      <c r="BO830" s="165"/>
      <c r="BQ830" s="165"/>
      <c r="BS830" s="165"/>
      <c r="BU830" s="165"/>
      <c r="BW830" s="165"/>
      <c r="CC830" s="165"/>
    </row>
    <row r="831" spans="3:81" ht="15">
      <c r="C831" s="157"/>
      <c r="D831" s="157"/>
      <c r="K831" s="131"/>
      <c r="M831" s="158"/>
      <c r="AG831" s="164"/>
      <c r="AI831" s="165"/>
      <c r="AM831" s="165"/>
      <c r="BG831" s="165"/>
      <c r="BI831" s="165"/>
      <c r="BK831" s="165"/>
      <c r="BM831" s="165"/>
      <c r="BO831" s="165"/>
      <c r="BQ831" s="165"/>
      <c r="BS831" s="165"/>
      <c r="BU831" s="165"/>
      <c r="BW831" s="165"/>
      <c r="CC831" s="165"/>
    </row>
    <row r="832" spans="3:81" ht="15">
      <c r="C832" s="157"/>
      <c r="D832" s="157"/>
      <c r="K832" s="131"/>
      <c r="M832" s="158"/>
      <c r="AG832" s="164"/>
      <c r="AI832" s="165"/>
      <c r="AM832" s="165"/>
      <c r="BG832" s="165"/>
      <c r="BI832" s="165"/>
      <c r="BK832" s="165"/>
      <c r="BM832" s="165"/>
      <c r="BO832" s="165"/>
      <c r="BQ832" s="165"/>
      <c r="BS832" s="165"/>
      <c r="BU832" s="165"/>
      <c r="BW832" s="165"/>
      <c r="CC832" s="165"/>
    </row>
    <row r="833" spans="3:81" ht="15">
      <c r="C833" s="157"/>
      <c r="D833" s="157"/>
      <c r="K833" s="131"/>
      <c r="M833" s="158"/>
      <c r="AG833" s="164"/>
      <c r="AI833" s="165"/>
      <c r="AM833" s="165"/>
      <c r="BG833" s="165"/>
      <c r="BI833" s="165"/>
      <c r="BK833" s="165"/>
      <c r="BM833" s="165"/>
      <c r="BO833" s="165"/>
      <c r="BQ833" s="165"/>
      <c r="BS833" s="165"/>
      <c r="BU833" s="165"/>
      <c r="BW833" s="165"/>
      <c r="CC833" s="165"/>
    </row>
    <row r="834" spans="3:81" ht="15">
      <c r="C834" s="157"/>
      <c r="D834" s="157"/>
      <c r="K834" s="131"/>
      <c r="M834" s="158"/>
      <c r="AG834" s="164"/>
      <c r="AI834" s="165"/>
      <c r="AM834" s="165"/>
      <c r="BG834" s="165"/>
      <c r="BI834" s="165"/>
      <c r="BK834" s="165"/>
      <c r="BM834" s="165"/>
      <c r="BO834" s="165"/>
      <c r="BQ834" s="165"/>
      <c r="BS834" s="165"/>
      <c r="BU834" s="165"/>
      <c r="BW834" s="165"/>
      <c r="CC834" s="165"/>
    </row>
    <row r="835" spans="3:81" ht="15">
      <c r="C835" s="157"/>
      <c r="D835" s="157"/>
      <c r="K835" s="131"/>
      <c r="M835" s="158"/>
      <c r="AG835" s="164"/>
      <c r="AI835" s="165"/>
      <c r="AM835" s="165"/>
      <c r="BG835" s="165"/>
      <c r="BI835" s="165"/>
      <c r="BK835" s="165"/>
      <c r="BM835" s="165"/>
      <c r="BO835" s="165"/>
      <c r="BQ835" s="165"/>
      <c r="BS835" s="165"/>
      <c r="BU835" s="165"/>
      <c r="BW835" s="165"/>
      <c r="CC835" s="165"/>
    </row>
    <row r="836" spans="3:81" ht="15">
      <c r="C836" s="157"/>
      <c r="D836" s="157"/>
      <c r="K836" s="131"/>
      <c r="M836" s="158"/>
      <c r="AG836" s="164"/>
      <c r="AI836" s="165"/>
      <c r="AM836" s="165"/>
      <c r="BG836" s="165"/>
      <c r="BI836" s="165"/>
      <c r="BK836" s="165"/>
      <c r="BM836" s="165"/>
      <c r="BO836" s="165"/>
      <c r="BQ836" s="165"/>
      <c r="BS836" s="165"/>
      <c r="BU836" s="165"/>
      <c r="BW836" s="165"/>
      <c r="CC836" s="165"/>
    </row>
    <row r="837" spans="3:81" ht="15">
      <c r="C837" s="157"/>
      <c r="D837" s="157"/>
      <c r="K837" s="131"/>
      <c r="M837" s="158"/>
      <c r="AG837" s="164"/>
      <c r="AI837" s="165"/>
      <c r="AM837" s="165"/>
      <c r="BG837" s="165"/>
      <c r="BI837" s="165"/>
      <c r="BK837" s="165"/>
      <c r="BM837" s="165"/>
      <c r="BO837" s="165"/>
      <c r="BQ837" s="165"/>
      <c r="BS837" s="165"/>
      <c r="BU837" s="165"/>
      <c r="BW837" s="165"/>
      <c r="CC837" s="165"/>
    </row>
    <row r="838" spans="3:81" ht="15">
      <c r="C838" s="157"/>
      <c r="D838" s="157"/>
      <c r="K838" s="131"/>
      <c r="M838" s="158"/>
      <c r="AG838" s="164"/>
      <c r="AI838" s="165"/>
      <c r="AM838" s="165"/>
      <c r="BG838" s="165"/>
      <c r="BI838" s="165"/>
      <c r="BK838" s="165"/>
      <c r="BM838" s="165"/>
      <c r="BO838" s="165"/>
      <c r="BQ838" s="165"/>
      <c r="BS838" s="165"/>
      <c r="BU838" s="165"/>
      <c r="BW838" s="165"/>
      <c r="CC838" s="165"/>
    </row>
    <row r="839" spans="3:81" ht="15">
      <c r="C839" s="157"/>
      <c r="D839" s="157"/>
      <c r="K839" s="131"/>
      <c r="M839" s="158"/>
      <c r="AG839" s="164"/>
      <c r="AI839" s="165"/>
      <c r="AM839" s="165"/>
      <c r="BG839" s="165"/>
      <c r="BI839" s="165"/>
      <c r="BK839" s="165"/>
      <c r="BM839" s="165"/>
      <c r="BO839" s="165"/>
      <c r="BQ839" s="165"/>
      <c r="BS839" s="165"/>
      <c r="BU839" s="165"/>
      <c r="BW839" s="165"/>
      <c r="CC839" s="165"/>
    </row>
    <row r="840" spans="3:81" ht="15">
      <c r="C840" s="157"/>
      <c r="D840" s="157"/>
      <c r="K840" s="131"/>
      <c r="M840" s="158"/>
      <c r="AG840" s="164"/>
      <c r="AI840" s="165"/>
      <c r="AM840" s="165"/>
      <c r="BG840" s="165"/>
      <c r="BI840" s="165"/>
      <c r="BK840" s="165"/>
      <c r="BM840" s="165"/>
      <c r="BO840" s="165"/>
      <c r="BQ840" s="165"/>
      <c r="BS840" s="165"/>
      <c r="BU840" s="165"/>
      <c r="BW840" s="165"/>
      <c r="CC840" s="165"/>
    </row>
    <row r="841" spans="3:81" ht="15">
      <c r="C841" s="157"/>
      <c r="D841" s="157"/>
      <c r="K841" s="131"/>
      <c r="M841" s="158"/>
      <c r="AG841" s="164"/>
      <c r="AI841" s="165"/>
      <c r="AM841" s="165"/>
      <c r="BG841" s="165"/>
      <c r="BI841" s="165"/>
      <c r="BK841" s="165"/>
      <c r="BM841" s="165"/>
      <c r="BO841" s="165"/>
      <c r="BQ841" s="165"/>
      <c r="BS841" s="165"/>
      <c r="BU841" s="165"/>
      <c r="BW841" s="165"/>
      <c r="CC841" s="165"/>
    </row>
    <row r="842" spans="3:81" ht="15">
      <c r="C842" s="157"/>
      <c r="D842" s="157"/>
      <c r="K842" s="131"/>
      <c r="M842" s="158"/>
      <c r="AG842" s="164"/>
      <c r="AI842" s="165"/>
      <c r="AM842" s="165"/>
      <c r="BG842" s="165"/>
      <c r="BI842" s="165"/>
      <c r="BK842" s="165"/>
      <c r="BM842" s="165"/>
      <c r="BO842" s="165"/>
      <c r="BQ842" s="165"/>
      <c r="BS842" s="165"/>
      <c r="BU842" s="165"/>
      <c r="BW842" s="165"/>
      <c r="CC842" s="165"/>
    </row>
    <row r="843" spans="3:81" ht="15">
      <c r="C843" s="157"/>
      <c r="D843" s="157"/>
      <c r="K843" s="131"/>
      <c r="M843" s="158"/>
      <c r="AG843" s="164"/>
      <c r="AI843" s="165"/>
      <c r="AM843" s="165"/>
      <c r="BG843" s="165"/>
      <c r="BI843" s="165"/>
      <c r="BK843" s="165"/>
      <c r="BM843" s="165"/>
      <c r="BO843" s="165"/>
      <c r="BQ843" s="165"/>
      <c r="BS843" s="165"/>
      <c r="BU843" s="165"/>
      <c r="BW843" s="165"/>
      <c r="CC843" s="165"/>
    </row>
    <row r="844" spans="3:81" ht="15">
      <c r="C844" s="157"/>
      <c r="D844" s="157"/>
      <c r="K844" s="131"/>
      <c r="M844" s="158"/>
      <c r="AG844" s="164"/>
      <c r="AI844" s="165"/>
      <c r="AM844" s="165"/>
      <c r="BG844" s="165"/>
      <c r="BI844" s="165"/>
      <c r="BK844" s="165"/>
      <c r="BM844" s="165"/>
      <c r="BO844" s="165"/>
      <c r="BQ844" s="165"/>
      <c r="BS844" s="165"/>
      <c r="BU844" s="165"/>
      <c r="BW844" s="165"/>
      <c r="CC844" s="165"/>
    </row>
    <row r="845" spans="3:81" ht="15">
      <c r="C845" s="157"/>
      <c r="D845" s="157"/>
      <c r="K845" s="131"/>
      <c r="M845" s="158"/>
      <c r="AG845" s="164"/>
      <c r="AI845" s="165"/>
      <c r="AM845" s="165"/>
      <c r="BG845" s="165"/>
      <c r="BI845" s="165"/>
      <c r="BK845" s="165"/>
      <c r="BM845" s="165"/>
      <c r="BO845" s="165"/>
      <c r="BQ845" s="165"/>
      <c r="BS845" s="165"/>
      <c r="BU845" s="165"/>
      <c r="BW845" s="165"/>
      <c r="CC845" s="165"/>
    </row>
    <row r="846" spans="3:81" ht="15">
      <c r="C846" s="157"/>
      <c r="D846" s="157"/>
      <c r="K846" s="131"/>
      <c r="M846" s="158"/>
      <c r="AG846" s="164"/>
      <c r="AI846" s="165"/>
      <c r="AM846" s="165"/>
      <c r="BG846" s="165"/>
      <c r="BI846" s="165"/>
      <c r="BK846" s="165"/>
      <c r="BM846" s="165"/>
      <c r="BO846" s="165"/>
      <c r="BQ846" s="165"/>
      <c r="BS846" s="165"/>
      <c r="BU846" s="165"/>
      <c r="BW846" s="165"/>
      <c r="CC846" s="165"/>
    </row>
    <row r="847" spans="3:81" ht="15">
      <c r="C847" s="157"/>
      <c r="D847" s="157"/>
      <c r="K847" s="131"/>
      <c r="M847" s="158"/>
      <c r="AG847" s="164"/>
      <c r="AI847" s="165"/>
      <c r="AM847" s="165"/>
      <c r="BG847" s="165"/>
      <c r="BI847" s="165"/>
      <c r="BK847" s="165"/>
      <c r="BM847" s="165"/>
      <c r="BO847" s="165"/>
      <c r="BQ847" s="165"/>
      <c r="BS847" s="165"/>
      <c r="BU847" s="165"/>
      <c r="BW847" s="165"/>
      <c r="CC847" s="165"/>
    </row>
    <row r="848" spans="3:81" ht="15">
      <c r="C848" s="157"/>
      <c r="D848" s="157"/>
      <c r="K848" s="131"/>
      <c r="M848" s="158"/>
      <c r="AG848" s="164"/>
      <c r="AI848" s="165"/>
      <c r="AM848" s="165"/>
      <c r="BG848" s="165"/>
      <c r="BI848" s="165"/>
      <c r="BK848" s="165"/>
      <c r="BM848" s="165"/>
      <c r="BO848" s="165"/>
      <c r="BQ848" s="165"/>
      <c r="BS848" s="165"/>
      <c r="BU848" s="165"/>
      <c r="BW848" s="165"/>
      <c r="CC848" s="165"/>
    </row>
    <row r="849" spans="3:81" ht="15">
      <c r="C849" s="157"/>
      <c r="D849" s="157"/>
      <c r="K849" s="131"/>
      <c r="M849" s="158"/>
      <c r="AG849" s="164"/>
      <c r="AI849" s="165"/>
      <c r="AM849" s="165"/>
      <c r="BG849" s="165"/>
      <c r="BI849" s="165"/>
      <c r="BK849" s="165"/>
      <c r="BM849" s="165"/>
      <c r="BO849" s="165"/>
      <c r="BQ849" s="165"/>
      <c r="BS849" s="165"/>
      <c r="BU849" s="165"/>
      <c r="BW849" s="165"/>
      <c r="CC849" s="165"/>
    </row>
    <row r="850" spans="3:81" ht="15">
      <c r="C850" s="157"/>
      <c r="D850" s="157"/>
      <c r="K850" s="131"/>
      <c r="M850" s="158"/>
      <c r="AG850" s="164"/>
      <c r="AI850" s="165"/>
      <c r="AM850" s="165"/>
      <c r="BG850" s="165"/>
      <c r="BI850" s="165"/>
      <c r="BK850" s="165"/>
      <c r="BM850" s="165"/>
      <c r="BO850" s="165"/>
      <c r="BQ850" s="165"/>
      <c r="BS850" s="165"/>
      <c r="BU850" s="165"/>
      <c r="BW850" s="165"/>
      <c r="CC850" s="165"/>
    </row>
    <row r="851" spans="3:81" ht="15">
      <c r="C851" s="157"/>
      <c r="D851" s="157"/>
      <c r="K851" s="131"/>
      <c r="M851" s="158"/>
      <c r="AG851" s="164"/>
      <c r="AI851" s="165"/>
      <c r="AM851" s="165"/>
      <c r="BG851" s="165"/>
      <c r="BI851" s="165"/>
      <c r="BK851" s="165"/>
      <c r="BM851" s="165"/>
      <c r="BO851" s="165"/>
      <c r="BQ851" s="165"/>
      <c r="BS851" s="165"/>
      <c r="BU851" s="165"/>
      <c r="BW851" s="165"/>
      <c r="CC851" s="165"/>
    </row>
    <row r="852" spans="3:81" ht="15">
      <c r="C852" s="157"/>
      <c r="D852" s="157"/>
      <c r="K852" s="131"/>
      <c r="M852" s="158"/>
      <c r="AG852" s="164"/>
      <c r="AI852" s="165"/>
      <c r="AM852" s="165"/>
      <c r="BG852" s="165"/>
      <c r="BI852" s="165"/>
      <c r="BK852" s="165"/>
      <c r="BM852" s="165"/>
      <c r="BO852" s="165"/>
      <c r="BQ852" s="165"/>
      <c r="BS852" s="165"/>
      <c r="BU852" s="165"/>
      <c r="BW852" s="165"/>
      <c r="CC852" s="165"/>
    </row>
    <row r="853" spans="3:81" ht="15">
      <c r="C853" s="157"/>
      <c r="D853" s="157"/>
      <c r="K853" s="131"/>
      <c r="M853" s="158"/>
      <c r="AG853" s="164"/>
      <c r="AI853" s="165"/>
      <c r="AM853" s="165"/>
      <c r="BG853" s="165"/>
      <c r="BI853" s="165"/>
      <c r="BK853" s="165"/>
      <c r="BM853" s="165"/>
      <c r="BO853" s="165"/>
      <c r="BQ853" s="165"/>
      <c r="BS853" s="165"/>
      <c r="BU853" s="165"/>
      <c r="BW853" s="165"/>
      <c r="CC853" s="165"/>
    </row>
    <row r="854" spans="3:81" ht="15">
      <c r="C854" s="157"/>
      <c r="D854" s="157"/>
      <c r="K854" s="131"/>
      <c r="M854" s="158"/>
      <c r="AG854" s="164"/>
      <c r="AI854" s="165"/>
      <c r="AM854" s="165"/>
      <c r="BG854" s="165"/>
      <c r="BI854" s="165"/>
      <c r="BK854" s="165"/>
      <c r="BM854" s="165"/>
      <c r="BO854" s="165"/>
      <c r="BQ854" s="165"/>
      <c r="BS854" s="165"/>
      <c r="BU854" s="165"/>
      <c r="BW854" s="165"/>
      <c r="CC854" s="165"/>
    </row>
    <row r="855" spans="3:81" ht="15">
      <c r="C855" s="157"/>
      <c r="D855" s="157"/>
      <c r="K855" s="131"/>
      <c r="M855" s="158"/>
      <c r="AG855" s="164"/>
      <c r="AI855" s="165"/>
      <c r="AM855" s="165"/>
      <c r="BG855" s="165"/>
      <c r="BI855" s="165"/>
      <c r="BK855" s="165"/>
      <c r="BM855" s="165"/>
      <c r="BO855" s="165"/>
      <c r="BQ855" s="165"/>
      <c r="BS855" s="165"/>
      <c r="BU855" s="165"/>
      <c r="BW855" s="165"/>
      <c r="CC855" s="165"/>
    </row>
    <row r="856" spans="3:81" ht="15">
      <c r="C856" s="157"/>
      <c r="D856" s="157"/>
      <c r="K856" s="131"/>
      <c r="M856" s="158"/>
      <c r="AG856" s="164"/>
      <c r="AI856" s="165"/>
      <c r="AM856" s="165"/>
      <c r="BG856" s="165"/>
      <c r="BI856" s="165"/>
      <c r="BK856" s="165"/>
      <c r="BM856" s="165"/>
      <c r="BO856" s="165"/>
      <c r="BQ856" s="165"/>
      <c r="BS856" s="165"/>
      <c r="BU856" s="165"/>
      <c r="BW856" s="165"/>
      <c r="CC856" s="165"/>
    </row>
    <row r="857" spans="3:81" ht="15">
      <c r="C857" s="157"/>
      <c r="D857" s="157"/>
      <c r="K857" s="131"/>
      <c r="M857" s="158"/>
      <c r="AG857" s="164"/>
      <c r="AI857" s="165"/>
      <c r="AM857" s="165"/>
      <c r="BG857" s="165"/>
      <c r="BI857" s="165"/>
      <c r="BK857" s="165"/>
      <c r="BM857" s="165"/>
      <c r="BO857" s="165"/>
      <c r="BQ857" s="165"/>
      <c r="BS857" s="165"/>
      <c r="BU857" s="165"/>
      <c r="BW857" s="165"/>
      <c r="CC857" s="165"/>
    </row>
    <row r="858" spans="3:81" ht="15">
      <c r="C858" s="157"/>
      <c r="D858" s="157"/>
      <c r="K858" s="131"/>
      <c r="M858" s="158"/>
      <c r="AG858" s="164"/>
      <c r="AI858" s="165"/>
      <c r="AM858" s="165"/>
      <c r="BG858" s="165"/>
      <c r="BI858" s="165"/>
      <c r="BK858" s="165"/>
      <c r="BM858" s="165"/>
      <c r="BO858" s="165"/>
      <c r="BQ858" s="165"/>
      <c r="BS858" s="165"/>
      <c r="BU858" s="165"/>
      <c r="BW858" s="165"/>
      <c r="CC858" s="165"/>
    </row>
    <row r="859" spans="3:81" ht="15">
      <c r="C859" s="157"/>
      <c r="D859" s="157"/>
      <c r="K859" s="131"/>
      <c r="M859" s="158"/>
      <c r="AG859" s="164"/>
      <c r="AI859" s="165"/>
      <c r="AM859" s="165"/>
      <c r="BG859" s="165"/>
      <c r="BI859" s="165"/>
      <c r="BK859" s="165"/>
      <c r="BM859" s="165"/>
      <c r="BO859" s="165"/>
      <c r="BQ859" s="165"/>
      <c r="BS859" s="165"/>
      <c r="BU859" s="165"/>
      <c r="BW859" s="165"/>
      <c r="CC859" s="165"/>
    </row>
    <row r="860" spans="3:81" ht="15">
      <c r="C860" s="157"/>
      <c r="D860" s="157"/>
      <c r="K860" s="131"/>
      <c r="M860" s="158"/>
      <c r="AG860" s="164"/>
      <c r="AI860" s="165"/>
      <c r="AM860" s="165"/>
      <c r="BG860" s="165"/>
      <c r="BI860" s="165"/>
      <c r="BK860" s="165"/>
      <c r="BM860" s="165"/>
      <c r="BO860" s="165"/>
      <c r="BQ860" s="165"/>
      <c r="BS860" s="165"/>
      <c r="BU860" s="165"/>
      <c r="BW860" s="165"/>
      <c r="CC860" s="165"/>
    </row>
    <row r="861" spans="3:81" ht="15">
      <c r="C861" s="157"/>
      <c r="D861" s="157"/>
      <c r="K861" s="131"/>
      <c r="M861" s="158"/>
      <c r="AG861" s="164"/>
      <c r="AI861" s="165"/>
      <c r="AM861" s="165"/>
      <c r="BG861" s="165"/>
      <c r="BI861" s="165"/>
      <c r="BK861" s="165"/>
      <c r="BM861" s="165"/>
      <c r="BO861" s="165"/>
      <c r="BQ861" s="165"/>
      <c r="BS861" s="165"/>
      <c r="BU861" s="165"/>
      <c r="BW861" s="165"/>
      <c r="CC861" s="16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1"/>
  <sheetViews>
    <sheetView zoomScale="95" zoomScaleNormal="95" workbookViewId="0">
      <selection activeCell="J11" sqref="J11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1"/>
  <sheetViews>
    <sheetView zoomScale="95" zoomScaleNormal="95" workbookViewId="0">
      <selection activeCell="E2" sqref="E2"/>
    </sheetView>
  </sheetViews>
  <sheetFormatPr baseColWidth="10" defaultColWidth="11.5703125" defaultRowHeight="12.75"/>
  <cols>
    <col min="1" max="1" width="10.28515625" style="132" customWidth="1"/>
    <col min="2" max="2" width="5.28515625" style="133" customWidth="1"/>
    <col min="3" max="3" width="9.42578125" style="132" customWidth="1"/>
    <col min="4" max="4" width="9" style="134" customWidth="1"/>
    <col min="5" max="5" width="14.140625" style="134" customWidth="1"/>
    <col min="6" max="6" width="12.42578125" style="134" customWidth="1"/>
    <col min="7" max="16384" width="11.5703125" style="135"/>
  </cols>
  <sheetData>
    <row r="1" spans="1:6">
      <c r="A1" s="136" t="s">
        <v>215</v>
      </c>
      <c r="B1" s="137" t="s">
        <v>216</v>
      </c>
      <c r="C1" s="136" t="s">
        <v>217</v>
      </c>
      <c r="D1" s="138" t="s">
        <v>218</v>
      </c>
      <c r="E1" s="138" t="s">
        <v>219</v>
      </c>
      <c r="F1" s="138" t="s">
        <v>29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="J37" sqref="J37"/>
    </sheetView>
  </sheetViews>
  <sheetFormatPr baseColWidth="10" defaultColWidth="10.7109375" defaultRowHeight="12"/>
  <cols>
    <col min="1" max="1" width="9.28515625" style="139" customWidth="1"/>
    <col min="2" max="2" width="10.42578125" style="139" customWidth="1"/>
    <col min="3" max="3" width="11" style="139" customWidth="1"/>
  </cols>
  <sheetData>
    <row r="1" spans="1:3" s="141" customFormat="1">
      <c r="A1" s="140" t="s">
        <v>233</v>
      </c>
      <c r="B1" s="140" t="s">
        <v>234</v>
      </c>
      <c r="C1" s="140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/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42" t="s">
        <v>146</v>
      </c>
      <c r="B1" s="142" t="s">
        <v>269</v>
      </c>
      <c r="C1" s="142" t="s">
        <v>149</v>
      </c>
      <c r="D1" s="142" t="s">
        <v>26</v>
      </c>
      <c r="E1" s="142" t="s">
        <v>65</v>
      </c>
    </row>
    <row r="2" spans="1:5">
      <c r="A2" s="142" t="s">
        <v>270</v>
      </c>
      <c r="B2" s="142" t="s">
        <v>271</v>
      </c>
      <c r="C2" s="142" t="s">
        <v>272</v>
      </c>
      <c r="D2" s="142" t="s">
        <v>273</v>
      </c>
      <c r="E2" s="142" t="s">
        <v>274</v>
      </c>
    </row>
    <row r="3" spans="1:5">
      <c r="A3" s="142" t="s">
        <v>275</v>
      </c>
      <c r="B3" s="142" t="s">
        <v>276</v>
      </c>
      <c r="C3" s="142" t="s">
        <v>277</v>
      </c>
      <c r="D3" s="142" t="s">
        <v>278</v>
      </c>
      <c r="E3" s="142" t="s">
        <v>279</v>
      </c>
    </row>
    <row r="4" spans="1:5">
      <c r="A4" s="142" t="s">
        <v>280</v>
      </c>
      <c r="B4" s="142" t="s">
        <v>281</v>
      </c>
      <c r="C4" s="142" t="s">
        <v>282</v>
      </c>
      <c r="D4" s="142" t="s">
        <v>283</v>
      </c>
      <c r="E4" s="142" t="s">
        <v>284</v>
      </c>
    </row>
    <row r="5" spans="1:5">
      <c r="A5" s="142" t="s">
        <v>285</v>
      </c>
      <c r="B5" s="142" t="s">
        <v>286</v>
      </c>
      <c r="C5" s="142" t="s">
        <v>287</v>
      </c>
      <c r="D5" s="142" t="s">
        <v>288</v>
      </c>
      <c r="E5" s="142" t="s">
        <v>289</v>
      </c>
    </row>
    <row r="6" spans="1:5">
      <c r="A6" s="142" t="s">
        <v>290</v>
      </c>
      <c r="B6" s="142" t="s">
        <v>291</v>
      </c>
      <c r="C6" s="142" t="s">
        <v>292</v>
      </c>
      <c r="D6" s="142" t="s">
        <v>293</v>
      </c>
      <c r="E6" s="142" t="s">
        <v>90</v>
      </c>
    </row>
    <row r="7" spans="1:5">
      <c r="A7" s="142" t="s">
        <v>294</v>
      </c>
      <c r="B7" s="142" t="s">
        <v>295</v>
      </c>
      <c r="C7" s="142" t="s">
        <v>296</v>
      </c>
      <c r="D7" s="142" t="s">
        <v>297</v>
      </c>
      <c r="E7" s="142" t="s">
        <v>298</v>
      </c>
    </row>
    <row r="8" spans="1:5">
      <c r="A8" s="142" t="s">
        <v>299</v>
      </c>
      <c r="B8" s="142" t="s">
        <v>300</v>
      </c>
      <c r="C8" s="142" t="s">
        <v>301</v>
      </c>
      <c r="D8" s="142" t="s">
        <v>302</v>
      </c>
      <c r="E8" s="142" t="s">
        <v>303</v>
      </c>
    </row>
    <row r="9" spans="1:5">
      <c r="A9" s="142" t="s">
        <v>304</v>
      </c>
      <c r="B9" s="142" t="s">
        <v>305</v>
      </c>
      <c r="C9" s="142" t="s">
        <v>306</v>
      </c>
      <c r="D9" s="142" t="s">
        <v>307</v>
      </c>
      <c r="E9" s="142" t="s">
        <v>308</v>
      </c>
    </row>
    <row r="10" spans="1:5">
      <c r="A10" s="142" t="s">
        <v>309</v>
      </c>
      <c r="B10" s="142" t="s">
        <v>310</v>
      </c>
      <c r="C10" s="142" t="s">
        <v>311</v>
      </c>
      <c r="D10" s="142" t="s">
        <v>312</v>
      </c>
      <c r="E10" s="142" t="s">
        <v>313</v>
      </c>
    </row>
    <row r="11" spans="1:5">
      <c r="A11" s="142" t="s">
        <v>314</v>
      </c>
      <c r="B11" s="142" t="s">
        <v>315</v>
      </c>
      <c r="C11" s="142" t="s">
        <v>316</v>
      </c>
      <c r="D11" s="142" t="s">
        <v>317</v>
      </c>
      <c r="E11" s="142" t="s">
        <v>318</v>
      </c>
    </row>
    <row r="12" spans="1:5">
      <c r="A12" s="142" t="s">
        <v>319</v>
      </c>
      <c r="B12" s="142" t="s">
        <v>320</v>
      </c>
      <c r="C12" s="142" t="s">
        <v>321</v>
      </c>
      <c r="D12" s="142" t="s">
        <v>322</v>
      </c>
      <c r="E12" s="142" t="s">
        <v>323</v>
      </c>
    </row>
    <row r="13" spans="1:5">
      <c r="A13" s="142" t="s">
        <v>324</v>
      </c>
      <c r="B13" s="142" t="s">
        <v>325</v>
      </c>
      <c r="C13" s="142" t="s">
        <v>326</v>
      </c>
      <c r="D13" s="142" t="s">
        <v>327</v>
      </c>
      <c r="E13" s="142" t="s">
        <v>328</v>
      </c>
    </row>
    <row r="14" spans="1:5">
      <c r="A14" s="142" t="s">
        <v>329</v>
      </c>
      <c r="B14" s="142" t="s">
        <v>330</v>
      </c>
      <c r="C14" s="142" t="s">
        <v>331</v>
      </c>
      <c r="D14" s="142" t="s">
        <v>332</v>
      </c>
      <c r="E14" s="142" t="s">
        <v>333</v>
      </c>
    </row>
    <row r="15" spans="1:5">
      <c r="A15" s="142" t="s">
        <v>334</v>
      </c>
      <c r="B15" s="142" t="s">
        <v>335</v>
      </c>
      <c r="C15" s="142" t="s">
        <v>336</v>
      </c>
      <c r="D15" s="142" t="s">
        <v>337</v>
      </c>
      <c r="E15" s="142" t="s">
        <v>338</v>
      </c>
    </row>
    <row r="16" spans="1:5">
      <c r="A16" s="142" t="s">
        <v>339</v>
      </c>
      <c r="B16" s="142" t="s">
        <v>340</v>
      </c>
      <c r="C16" s="142" t="s">
        <v>341</v>
      </c>
      <c r="D16" s="142" t="s">
        <v>342</v>
      </c>
      <c r="E16" s="142" t="s">
        <v>343</v>
      </c>
    </row>
    <row r="17" spans="1:5">
      <c r="A17" s="142" t="s">
        <v>344</v>
      </c>
      <c r="B17" s="142" t="s">
        <v>345</v>
      </c>
      <c r="C17" s="142" t="s">
        <v>346</v>
      </c>
      <c r="D17" s="142" t="s">
        <v>347</v>
      </c>
      <c r="E17" s="142" t="s">
        <v>348</v>
      </c>
    </row>
    <row r="18" spans="1:5">
      <c r="A18" s="142" t="s">
        <v>349</v>
      </c>
      <c r="B18" s="142" t="s">
        <v>350</v>
      </c>
      <c r="C18" s="142" t="s">
        <v>351</v>
      </c>
      <c r="D18" s="142" t="s">
        <v>352</v>
      </c>
      <c r="E18" s="142" t="s">
        <v>353</v>
      </c>
    </row>
    <row r="19" spans="1:5">
      <c r="A19" s="142" t="s">
        <v>354</v>
      </c>
      <c r="B19" s="142" t="s">
        <v>355</v>
      </c>
      <c r="C19" s="142" t="s">
        <v>356</v>
      </c>
      <c r="D19" s="142" t="s">
        <v>357</v>
      </c>
      <c r="E19" s="142" t="s">
        <v>358</v>
      </c>
    </row>
    <row r="20" spans="1:5">
      <c r="A20" s="142" t="s">
        <v>359</v>
      </c>
      <c r="B20" s="142" t="s">
        <v>360</v>
      </c>
      <c r="C20" s="142" t="s">
        <v>361</v>
      </c>
      <c r="D20" s="142" t="s">
        <v>362</v>
      </c>
      <c r="E20" s="142" t="s">
        <v>363</v>
      </c>
    </row>
    <row r="21" spans="1:5">
      <c r="A21" s="142" t="s">
        <v>364</v>
      </c>
      <c r="B21" s="142" t="s">
        <v>365</v>
      </c>
      <c r="C21" s="142" t="s">
        <v>366</v>
      </c>
      <c r="D21" s="142" t="s">
        <v>367</v>
      </c>
      <c r="E21" s="142" t="s">
        <v>368</v>
      </c>
    </row>
    <row r="22" spans="1:5">
      <c r="A22" s="142" t="s">
        <v>369</v>
      </c>
      <c r="B22" s="142" t="s">
        <v>370</v>
      </c>
      <c r="D22" s="142" t="s">
        <v>371</v>
      </c>
      <c r="E22" s="142" t="s">
        <v>372</v>
      </c>
    </row>
    <row r="23" spans="1:5">
      <c r="A23" s="142" t="s">
        <v>373</v>
      </c>
      <c r="B23" s="142" t="s">
        <v>374</v>
      </c>
      <c r="D23" s="142" t="s">
        <v>375</v>
      </c>
      <c r="E23" s="142" t="s">
        <v>376</v>
      </c>
    </row>
    <row r="24" spans="1:5">
      <c r="A24" s="142" t="s">
        <v>377</v>
      </c>
      <c r="B24" s="142" t="s">
        <v>378</v>
      </c>
      <c r="D24" s="142" t="s">
        <v>379</v>
      </c>
      <c r="E24" s="142" t="s">
        <v>380</v>
      </c>
    </row>
    <row r="25" spans="1:5">
      <c r="A25" s="142" t="s">
        <v>381</v>
      </c>
      <c r="B25" s="142" t="s">
        <v>382</v>
      </c>
      <c r="D25" s="142" t="s">
        <v>383</v>
      </c>
    </row>
    <row r="26" spans="1:5">
      <c r="A26" s="142" t="s">
        <v>384</v>
      </c>
      <c r="B26" s="142" t="s">
        <v>385</v>
      </c>
      <c r="D26" s="142" t="s">
        <v>386</v>
      </c>
    </row>
    <row r="27" spans="1:5">
      <c r="A27" s="142" t="s">
        <v>387</v>
      </c>
      <c r="B27" s="142" t="s">
        <v>388</v>
      </c>
      <c r="D27" s="142" t="s">
        <v>389</v>
      </c>
    </row>
    <row r="28" spans="1:5">
      <c r="A28" s="142" t="s">
        <v>390</v>
      </c>
      <c r="B28" s="142" t="s">
        <v>391</v>
      </c>
      <c r="D28" s="142" t="s">
        <v>392</v>
      </c>
    </row>
    <row r="29" spans="1:5">
      <c r="A29" s="142" t="s">
        <v>393</v>
      </c>
      <c r="B29" s="142" t="s">
        <v>394</v>
      </c>
      <c r="D29" s="142" t="s">
        <v>395</v>
      </c>
    </row>
    <row r="30" spans="1:5">
      <c r="A30" s="142" t="s">
        <v>396</v>
      </c>
      <c r="B30" s="142" t="s">
        <v>397</v>
      </c>
      <c r="D30" s="142" t="s">
        <v>398</v>
      </c>
    </row>
    <row r="31" spans="1:5">
      <c r="A31" s="142" t="s">
        <v>399</v>
      </c>
      <c r="B31" s="142" t="s">
        <v>400</v>
      </c>
      <c r="D31" s="142" t="s">
        <v>401</v>
      </c>
    </row>
    <row r="32" spans="1:5">
      <c r="A32" s="142" t="s">
        <v>402</v>
      </c>
      <c r="B32" s="142" t="s">
        <v>403</v>
      </c>
      <c r="D32" s="142" t="s">
        <v>404</v>
      </c>
    </row>
    <row r="33" spans="1:4">
      <c r="A33" s="142" t="s">
        <v>405</v>
      </c>
      <c r="B33" s="142" t="s">
        <v>406</v>
      </c>
      <c r="D33" s="142" t="s">
        <v>407</v>
      </c>
    </row>
    <row r="34" spans="1:4">
      <c r="A34" s="142" t="s">
        <v>408</v>
      </c>
      <c r="B34" s="142" t="s">
        <v>409</v>
      </c>
      <c r="D34" s="142" t="s">
        <v>410</v>
      </c>
    </row>
    <row r="35" spans="1:4">
      <c r="A35" s="142" t="s">
        <v>411</v>
      </c>
      <c r="B35" s="142" t="s">
        <v>412</v>
      </c>
      <c r="D35" s="142" t="s">
        <v>413</v>
      </c>
    </row>
    <row r="36" spans="1:4">
      <c r="A36" s="142" t="s">
        <v>414</v>
      </c>
      <c r="B36" s="142" t="s">
        <v>415</v>
      </c>
      <c r="D36" s="142" t="s">
        <v>416</v>
      </c>
    </row>
    <row r="37" spans="1:4">
      <c r="A37" s="142" t="s">
        <v>417</v>
      </c>
      <c r="B37" s="142" t="s">
        <v>418</v>
      </c>
      <c r="D37" s="142" t="s">
        <v>419</v>
      </c>
    </row>
    <row r="38" spans="1:4">
      <c r="A38" s="142" t="s">
        <v>420</v>
      </c>
      <c r="B38" s="142" t="s">
        <v>421</v>
      </c>
      <c r="D38" s="142" t="s">
        <v>422</v>
      </c>
    </row>
    <row r="39" spans="1:4">
      <c r="A39" s="142" t="s">
        <v>423</v>
      </c>
      <c r="B39" s="142" t="s">
        <v>424</v>
      </c>
      <c r="D39" s="142" t="s">
        <v>425</v>
      </c>
    </row>
    <row r="40" spans="1:4">
      <c r="A40" s="142" t="s">
        <v>426</v>
      </c>
      <c r="B40" s="142" t="s">
        <v>427</v>
      </c>
      <c r="D40" s="142" t="s">
        <v>428</v>
      </c>
    </row>
    <row r="41" spans="1:4">
      <c r="A41" s="142" t="s">
        <v>429</v>
      </c>
      <c r="B41" s="142" t="s">
        <v>430</v>
      </c>
      <c r="D41" s="142" t="s">
        <v>431</v>
      </c>
    </row>
    <row r="42" spans="1:4">
      <c r="A42" s="142" t="s">
        <v>432</v>
      </c>
      <c r="B42" s="142" t="s">
        <v>433</v>
      </c>
      <c r="D42" s="142" t="s">
        <v>434</v>
      </c>
    </row>
    <row r="43" spans="1:4">
      <c r="A43" s="142" t="s">
        <v>435</v>
      </c>
      <c r="B43" s="142" t="s">
        <v>436</v>
      </c>
      <c r="D43" s="142" t="s">
        <v>437</v>
      </c>
    </row>
    <row r="44" spans="1:4">
      <c r="A44" s="142" t="s">
        <v>438</v>
      </c>
      <c r="B44" s="142" t="s">
        <v>439</v>
      </c>
      <c r="D44" s="142" t="s">
        <v>440</v>
      </c>
    </row>
    <row r="45" spans="1:4">
      <c r="A45" s="142" t="s">
        <v>441</v>
      </c>
      <c r="B45" s="142" t="s">
        <v>442</v>
      </c>
      <c r="D45" s="142" t="s">
        <v>443</v>
      </c>
    </row>
    <row r="46" spans="1:4">
      <c r="A46" s="142" t="s">
        <v>444</v>
      </c>
      <c r="B46" s="142" t="s">
        <v>445</v>
      </c>
      <c r="D46" s="142" t="s">
        <v>446</v>
      </c>
    </row>
    <row r="47" spans="1:4">
      <c r="A47" s="142" t="s">
        <v>447</v>
      </c>
      <c r="B47" s="142" t="s">
        <v>448</v>
      </c>
      <c r="D47" s="142" t="s">
        <v>449</v>
      </c>
    </row>
    <row r="48" spans="1:4">
      <c r="A48" s="142" t="s">
        <v>450</v>
      </c>
      <c r="B48" s="142" t="s">
        <v>451</v>
      </c>
      <c r="D48" s="142" t="s">
        <v>452</v>
      </c>
    </row>
    <row r="49" spans="1:4">
      <c r="A49" s="142" t="s">
        <v>453</v>
      </c>
      <c r="B49" s="142" t="s">
        <v>454</v>
      </c>
      <c r="D49" s="142" t="s">
        <v>455</v>
      </c>
    </row>
    <row r="50" spans="1:4">
      <c r="A50" s="142" t="s">
        <v>456</v>
      </c>
      <c r="B50" s="142" t="s">
        <v>457</v>
      </c>
      <c r="D50" s="142" t="s">
        <v>458</v>
      </c>
    </row>
    <row r="51" spans="1:4">
      <c r="A51" s="142" t="s">
        <v>459</v>
      </c>
      <c r="B51" s="142" t="s">
        <v>460</v>
      </c>
      <c r="D51" s="142" t="s">
        <v>461</v>
      </c>
    </row>
    <row r="52" spans="1:4">
      <c r="A52" s="142" t="s">
        <v>462</v>
      </c>
      <c r="B52" s="142" t="s">
        <v>463</v>
      </c>
      <c r="D52" s="142" t="s">
        <v>464</v>
      </c>
    </row>
    <row r="53" spans="1:4">
      <c r="A53" s="142" t="s">
        <v>465</v>
      </c>
      <c r="B53" s="142" t="s">
        <v>466</v>
      </c>
      <c r="D53" s="142" t="s">
        <v>467</v>
      </c>
    </row>
    <row r="54" spans="1:4">
      <c r="A54" s="142" t="s">
        <v>468</v>
      </c>
      <c r="B54" s="142" t="s">
        <v>469</v>
      </c>
      <c r="D54" s="142" t="s">
        <v>470</v>
      </c>
    </row>
    <row r="55" spans="1:4">
      <c r="A55" s="142" t="s">
        <v>471</v>
      </c>
      <c r="B55" s="142" t="s">
        <v>472</v>
      </c>
      <c r="D55" s="142" t="s">
        <v>473</v>
      </c>
    </row>
    <row r="56" spans="1:4">
      <c r="A56" s="142" t="s">
        <v>474</v>
      </c>
      <c r="B56" s="142" t="s">
        <v>475</v>
      </c>
      <c r="D56" s="142" t="s">
        <v>476</v>
      </c>
    </row>
    <row r="57" spans="1:4">
      <c r="A57" s="142" t="s">
        <v>477</v>
      </c>
      <c r="B57" s="142" t="s">
        <v>478</v>
      </c>
      <c r="D57" s="142" t="s">
        <v>479</v>
      </c>
    </row>
    <row r="58" spans="1:4">
      <c r="A58" s="142" t="s">
        <v>480</v>
      </c>
      <c r="B58" s="142" t="s">
        <v>481</v>
      </c>
      <c r="D58" s="142" t="s">
        <v>482</v>
      </c>
    </row>
    <row r="59" spans="1:4">
      <c r="A59" s="142" t="s">
        <v>483</v>
      </c>
      <c r="B59" s="142" t="s">
        <v>484</v>
      </c>
      <c r="D59" s="142" t="s">
        <v>485</v>
      </c>
    </row>
    <row r="60" spans="1:4">
      <c r="A60" s="142" t="s">
        <v>486</v>
      </c>
      <c r="B60" s="142" t="s">
        <v>487</v>
      </c>
      <c r="D60" s="142" t="s">
        <v>488</v>
      </c>
    </row>
    <row r="61" spans="1:4">
      <c r="A61" s="142" t="s">
        <v>489</v>
      </c>
      <c r="B61" s="142" t="s">
        <v>490</v>
      </c>
      <c r="D61" s="142" t="s">
        <v>491</v>
      </c>
    </row>
    <row r="62" spans="1:4">
      <c r="A62" s="142" t="s">
        <v>492</v>
      </c>
      <c r="B62" s="142" t="s">
        <v>493</v>
      </c>
      <c r="D62" s="142" t="s">
        <v>494</v>
      </c>
    </row>
    <row r="63" spans="1:4">
      <c r="A63" s="142" t="s">
        <v>495</v>
      </c>
      <c r="B63" s="142" t="s">
        <v>496</v>
      </c>
      <c r="D63" s="142" t="s">
        <v>497</v>
      </c>
    </row>
    <row r="64" spans="1:4">
      <c r="A64" s="142" t="s">
        <v>498</v>
      </c>
      <c r="B64" s="142" t="s">
        <v>499</v>
      </c>
      <c r="D64" s="142" t="s">
        <v>500</v>
      </c>
    </row>
    <row r="65" spans="1:4">
      <c r="A65" s="142" t="s">
        <v>501</v>
      </c>
      <c r="B65" s="142" t="s">
        <v>502</v>
      </c>
      <c r="D65" s="142" t="s">
        <v>503</v>
      </c>
    </row>
    <row r="66" spans="1:4">
      <c r="A66" s="142" t="s">
        <v>504</v>
      </c>
      <c r="B66" s="142" t="s">
        <v>505</v>
      </c>
      <c r="D66" s="142" t="s">
        <v>506</v>
      </c>
    </row>
    <row r="67" spans="1:4">
      <c r="A67" s="142" t="s">
        <v>507</v>
      </c>
      <c r="B67" s="142" t="s">
        <v>508</v>
      </c>
      <c r="D67" s="142" t="s">
        <v>509</v>
      </c>
    </row>
    <row r="68" spans="1:4">
      <c r="A68" s="142" t="s">
        <v>510</v>
      </c>
      <c r="B68" s="142" t="s">
        <v>511</v>
      </c>
      <c r="D68" s="142" t="s">
        <v>512</v>
      </c>
    </row>
    <row r="69" spans="1:4">
      <c r="A69" s="142" t="s">
        <v>513</v>
      </c>
      <c r="B69" s="142" t="s">
        <v>514</v>
      </c>
      <c r="D69" s="142" t="s">
        <v>515</v>
      </c>
    </row>
    <row r="70" spans="1:4">
      <c r="A70" s="142" t="s">
        <v>516</v>
      </c>
      <c r="B70" s="142" t="s">
        <v>517</v>
      </c>
      <c r="D70" s="142" t="s">
        <v>518</v>
      </c>
    </row>
    <row r="71" spans="1:4">
      <c r="A71" s="142" t="s">
        <v>519</v>
      </c>
      <c r="B71" s="142" t="s">
        <v>520</v>
      </c>
      <c r="D71" s="142" t="s">
        <v>521</v>
      </c>
    </row>
    <row r="72" spans="1:4">
      <c r="A72" s="142" t="s">
        <v>522</v>
      </c>
      <c r="B72" s="142" t="s">
        <v>523</v>
      </c>
      <c r="D72" s="142" t="s">
        <v>524</v>
      </c>
    </row>
    <row r="73" spans="1:4">
      <c r="A73" s="142" t="s">
        <v>525</v>
      </c>
      <c r="B73" s="142" t="s">
        <v>526</v>
      </c>
      <c r="D73" s="142" t="s">
        <v>527</v>
      </c>
    </row>
    <row r="74" spans="1:4">
      <c r="A74" s="142" t="s">
        <v>528</v>
      </c>
      <c r="B74" s="142" t="s">
        <v>529</v>
      </c>
      <c r="D74" s="142" t="s">
        <v>530</v>
      </c>
    </row>
    <row r="75" spans="1:4">
      <c r="A75" s="142" t="s">
        <v>531</v>
      </c>
      <c r="B75" s="142" t="s">
        <v>532</v>
      </c>
      <c r="D75" s="142" t="s">
        <v>533</v>
      </c>
    </row>
    <row r="76" spans="1:4">
      <c r="A76" s="142" t="s">
        <v>255</v>
      </c>
      <c r="B76" s="142" t="s">
        <v>534</v>
      </c>
      <c r="D76" s="142" t="s">
        <v>535</v>
      </c>
    </row>
    <row r="77" spans="1:4">
      <c r="A77" s="142" t="s">
        <v>536</v>
      </c>
      <c r="B77" s="142" t="s">
        <v>537</v>
      </c>
      <c r="D77" s="142" t="s">
        <v>538</v>
      </c>
    </row>
    <row r="78" spans="1:4">
      <c r="A78" s="142" t="s">
        <v>539</v>
      </c>
      <c r="B78" s="142" t="s">
        <v>540</v>
      </c>
      <c r="D78" s="142" t="s">
        <v>541</v>
      </c>
    </row>
    <row r="79" spans="1:4">
      <c r="A79" s="142" t="s">
        <v>542</v>
      </c>
      <c r="B79" s="142" t="s">
        <v>543</v>
      </c>
      <c r="D79" s="142" t="s">
        <v>544</v>
      </c>
    </row>
    <row r="80" spans="1:4">
      <c r="A80" s="142" t="s">
        <v>545</v>
      </c>
      <c r="B80" s="142" t="s">
        <v>546</v>
      </c>
      <c r="D80" s="142" t="s">
        <v>547</v>
      </c>
    </row>
    <row r="81" spans="1:4">
      <c r="A81" s="142" t="s">
        <v>548</v>
      </c>
      <c r="B81" s="142" t="s">
        <v>549</v>
      </c>
      <c r="D81" s="142" t="s">
        <v>550</v>
      </c>
    </row>
    <row r="82" spans="1:4">
      <c r="A82" s="142" t="s">
        <v>551</v>
      </c>
      <c r="B82" s="142" t="s">
        <v>552</v>
      </c>
      <c r="D82" s="142" t="s">
        <v>553</v>
      </c>
    </row>
    <row r="83" spans="1:4">
      <c r="A83" s="142" t="s">
        <v>554</v>
      </c>
      <c r="B83" s="142" t="s">
        <v>555</v>
      </c>
      <c r="D83" s="142" t="s">
        <v>556</v>
      </c>
    </row>
    <row r="84" spans="1:4">
      <c r="A84" s="142" t="s">
        <v>557</v>
      </c>
      <c r="B84" s="142" t="s">
        <v>558</v>
      </c>
      <c r="D84" s="142" t="s">
        <v>559</v>
      </c>
    </row>
    <row r="85" spans="1:4">
      <c r="A85" s="142" t="s">
        <v>560</v>
      </c>
      <c r="B85" s="142" t="s">
        <v>561</v>
      </c>
      <c r="D85" s="142" t="s">
        <v>562</v>
      </c>
    </row>
    <row r="86" spans="1:4">
      <c r="A86" s="142" t="s">
        <v>563</v>
      </c>
      <c r="B86" s="142" t="s">
        <v>564</v>
      </c>
      <c r="D86" s="142" t="s">
        <v>565</v>
      </c>
    </row>
    <row r="87" spans="1:4">
      <c r="A87" s="142" t="s">
        <v>566</v>
      </c>
      <c r="B87" s="142" t="s">
        <v>567</v>
      </c>
      <c r="D87" s="142" t="s">
        <v>568</v>
      </c>
    </row>
    <row r="88" spans="1:4">
      <c r="A88" s="142" t="s">
        <v>569</v>
      </c>
      <c r="B88" s="142" t="s">
        <v>570</v>
      </c>
      <c r="D88" s="142" t="s">
        <v>571</v>
      </c>
    </row>
    <row r="89" spans="1:4">
      <c r="A89" s="142" t="s">
        <v>572</v>
      </c>
      <c r="B89" s="142" t="s">
        <v>573</v>
      </c>
      <c r="D89" s="142" t="s">
        <v>574</v>
      </c>
    </row>
    <row r="90" spans="1:4">
      <c r="A90" s="142" t="s">
        <v>575</v>
      </c>
      <c r="B90" s="142" t="s">
        <v>576</v>
      </c>
      <c r="D90" s="142" t="s">
        <v>577</v>
      </c>
    </row>
    <row r="91" spans="1:4">
      <c r="A91" s="142" t="s">
        <v>578</v>
      </c>
      <c r="B91" s="142" t="s">
        <v>579</v>
      </c>
      <c r="D91" s="142" t="s">
        <v>580</v>
      </c>
    </row>
    <row r="92" spans="1:4">
      <c r="A92" s="142" t="s">
        <v>581</v>
      </c>
      <c r="B92" s="142" t="s">
        <v>582</v>
      </c>
      <c r="D92" s="142" t="s">
        <v>583</v>
      </c>
    </row>
    <row r="93" spans="1:4">
      <c r="A93" s="142" t="s">
        <v>584</v>
      </c>
      <c r="B93" s="142" t="s">
        <v>585</v>
      </c>
      <c r="D93" s="142" t="s">
        <v>586</v>
      </c>
    </row>
    <row r="94" spans="1:4">
      <c r="A94" s="142" t="s">
        <v>587</v>
      </c>
      <c r="B94" s="142" t="s">
        <v>588</v>
      </c>
      <c r="D94" s="142" t="s">
        <v>589</v>
      </c>
    </row>
    <row r="95" spans="1:4">
      <c r="A95" s="142" t="s">
        <v>590</v>
      </c>
      <c r="B95" s="142" t="s">
        <v>591</v>
      </c>
      <c r="D95" s="142" t="s">
        <v>119</v>
      </c>
    </row>
    <row r="96" spans="1:4">
      <c r="A96" s="142" t="s">
        <v>592</v>
      </c>
      <c r="B96" s="142" t="s">
        <v>593</v>
      </c>
      <c r="D96" s="142" t="s">
        <v>594</v>
      </c>
    </row>
    <row r="97" spans="1:4">
      <c r="A97" s="142" t="s">
        <v>595</v>
      </c>
      <c r="B97" s="142" t="s">
        <v>596</v>
      </c>
      <c r="D97" s="142" t="s">
        <v>597</v>
      </c>
    </row>
    <row r="98" spans="1:4">
      <c r="A98" s="142" t="s">
        <v>598</v>
      </c>
      <c r="B98" s="142" t="s">
        <v>599</v>
      </c>
      <c r="D98" s="142" t="s">
        <v>600</v>
      </c>
    </row>
    <row r="99" spans="1:4">
      <c r="A99" s="142" t="s">
        <v>601</v>
      </c>
      <c r="B99" s="142" t="s">
        <v>602</v>
      </c>
      <c r="D99" s="142" t="s">
        <v>603</v>
      </c>
    </row>
    <row r="100" spans="1:4">
      <c r="A100" s="142" t="s">
        <v>604</v>
      </c>
      <c r="B100" s="142" t="s">
        <v>605</v>
      </c>
      <c r="D100" s="142" t="s">
        <v>606</v>
      </c>
    </row>
    <row r="101" spans="1:4">
      <c r="A101" s="142" t="s">
        <v>607</v>
      </c>
      <c r="B101" s="142" t="s">
        <v>608</v>
      </c>
      <c r="D101" s="142" t="s">
        <v>609</v>
      </c>
    </row>
    <row r="102" spans="1:4">
      <c r="A102" s="142" t="s">
        <v>610</v>
      </c>
      <c r="B102" s="142" t="s">
        <v>611</v>
      </c>
      <c r="D102" s="142" t="s">
        <v>612</v>
      </c>
    </row>
    <row r="103" spans="1:4">
      <c r="A103" s="142" t="s">
        <v>613</v>
      </c>
      <c r="B103" s="142" t="s">
        <v>614</v>
      </c>
      <c r="D103" s="142" t="s">
        <v>615</v>
      </c>
    </row>
    <row r="104" spans="1:4">
      <c r="A104" s="142" t="s">
        <v>616</v>
      </c>
      <c r="B104" s="142" t="s">
        <v>617</v>
      </c>
      <c r="D104" s="142" t="s">
        <v>618</v>
      </c>
    </row>
    <row r="105" spans="1:4">
      <c r="A105" s="142" t="s">
        <v>619</v>
      </c>
      <c r="B105" s="142" t="s">
        <v>620</v>
      </c>
      <c r="D105" s="142" t="s">
        <v>621</v>
      </c>
    </row>
    <row r="106" spans="1:4">
      <c r="A106" s="142" t="s">
        <v>622</v>
      </c>
      <c r="B106" s="142" t="s">
        <v>623</v>
      </c>
      <c r="D106" s="142" t="s">
        <v>624</v>
      </c>
    </row>
    <row r="107" spans="1:4">
      <c r="A107" s="142" t="s">
        <v>625</v>
      </c>
      <c r="B107" s="142" t="s">
        <v>626</v>
      </c>
      <c r="D107" s="142" t="s">
        <v>627</v>
      </c>
    </row>
    <row r="108" spans="1:4">
      <c r="A108" s="142" t="s">
        <v>628</v>
      </c>
      <c r="B108" s="142" t="s">
        <v>629</v>
      </c>
      <c r="D108" s="142" t="s">
        <v>630</v>
      </c>
    </row>
    <row r="109" spans="1:4">
      <c r="A109" s="142" t="s">
        <v>631</v>
      </c>
      <c r="B109" s="142" t="s">
        <v>632</v>
      </c>
      <c r="D109" s="142" t="s">
        <v>633</v>
      </c>
    </row>
    <row r="110" spans="1:4">
      <c r="A110" s="142" t="s">
        <v>634</v>
      </c>
      <c r="B110" s="142" t="s">
        <v>635</v>
      </c>
      <c r="D110" s="142" t="s">
        <v>636</v>
      </c>
    </row>
    <row r="111" spans="1:4">
      <c r="A111" s="142" t="s">
        <v>637</v>
      </c>
      <c r="B111" s="142" t="s">
        <v>638</v>
      </c>
      <c r="D111" s="142" t="s">
        <v>639</v>
      </c>
    </row>
    <row r="112" spans="1:4">
      <c r="A112" s="142" t="s">
        <v>640</v>
      </c>
      <c r="B112" s="142" t="s">
        <v>641</v>
      </c>
      <c r="D112" s="142" t="s">
        <v>642</v>
      </c>
    </row>
    <row r="113" spans="1:4">
      <c r="A113" s="142" t="s">
        <v>643</v>
      </c>
      <c r="B113" s="142" t="s">
        <v>644</v>
      </c>
      <c r="D113" s="142" t="s">
        <v>645</v>
      </c>
    </row>
    <row r="114" spans="1:4">
      <c r="A114" s="142" t="s">
        <v>646</v>
      </c>
      <c r="B114" s="142" t="s">
        <v>647</v>
      </c>
      <c r="D114" s="142" t="s">
        <v>648</v>
      </c>
    </row>
    <row r="115" spans="1:4">
      <c r="A115" s="142" t="s">
        <v>649</v>
      </c>
      <c r="B115" s="142" t="s">
        <v>650</v>
      </c>
      <c r="D115" s="142" t="s">
        <v>651</v>
      </c>
    </row>
    <row r="116" spans="1:4">
      <c r="A116" s="142" t="s">
        <v>652</v>
      </c>
      <c r="B116" s="142" t="s">
        <v>653</v>
      </c>
      <c r="D116" s="142" t="s">
        <v>654</v>
      </c>
    </row>
    <row r="117" spans="1:4">
      <c r="A117" s="142" t="s">
        <v>655</v>
      </c>
      <c r="B117" s="142" t="s">
        <v>656</v>
      </c>
      <c r="D117" s="142" t="s">
        <v>657</v>
      </c>
    </row>
    <row r="118" spans="1:4">
      <c r="A118" s="142" t="s">
        <v>658</v>
      </c>
      <c r="B118" s="142" t="s">
        <v>659</v>
      </c>
      <c r="D118" s="142" t="s">
        <v>660</v>
      </c>
    </row>
    <row r="119" spans="1:4">
      <c r="A119" s="142" t="s">
        <v>661</v>
      </c>
      <c r="B119" s="142" t="s">
        <v>662</v>
      </c>
      <c r="D119" s="142" t="s">
        <v>663</v>
      </c>
    </row>
    <row r="120" spans="1:4">
      <c r="A120" s="142" t="s">
        <v>664</v>
      </c>
      <c r="B120" s="142" t="s">
        <v>665</v>
      </c>
      <c r="D120" s="142" t="s">
        <v>666</v>
      </c>
    </row>
    <row r="121" spans="1:4">
      <c r="A121" s="142" t="s">
        <v>667</v>
      </c>
      <c r="B121" s="142" t="s">
        <v>668</v>
      </c>
      <c r="D121" s="142" t="s">
        <v>669</v>
      </c>
    </row>
    <row r="122" spans="1:4">
      <c r="A122" s="142" t="s">
        <v>670</v>
      </c>
      <c r="B122" s="142" t="s">
        <v>671</v>
      </c>
      <c r="D122" s="142" t="s">
        <v>672</v>
      </c>
    </row>
    <row r="123" spans="1:4">
      <c r="A123" s="142" t="s">
        <v>673</v>
      </c>
      <c r="B123" s="142" t="s">
        <v>674</v>
      </c>
      <c r="D123" s="142" t="s">
        <v>675</v>
      </c>
    </row>
    <row r="124" spans="1:4">
      <c r="A124" s="142" t="s">
        <v>676</v>
      </c>
      <c r="B124" s="142" t="s">
        <v>677</v>
      </c>
      <c r="D124" s="142" t="s">
        <v>678</v>
      </c>
    </row>
    <row r="125" spans="1:4">
      <c r="A125" s="142" t="s">
        <v>679</v>
      </c>
      <c r="B125" s="142" t="s">
        <v>680</v>
      </c>
      <c r="D125" s="142" t="s">
        <v>681</v>
      </c>
    </row>
    <row r="126" spans="1:4">
      <c r="A126" s="142" t="s">
        <v>682</v>
      </c>
      <c r="B126" s="142" t="s">
        <v>683</v>
      </c>
      <c r="D126" s="142" t="s">
        <v>684</v>
      </c>
    </row>
    <row r="127" spans="1:4">
      <c r="A127" s="142" t="s">
        <v>685</v>
      </c>
      <c r="B127" s="142" t="s">
        <v>686</v>
      </c>
      <c r="D127" s="142" t="s">
        <v>687</v>
      </c>
    </row>
    <row r="128" spans="1:4">
      <c r="A128" s="142" t="s">
        <v>688</v>
      </c>
      <c r="B128" s="142" t="s">
        <v>689</v>
      </c>
      <c r="D128" s="142" t="s">
        <v>690</v>
      </c>
    </row>
    <row r="129" spans="1:4">
      <c r="A129" s="142" t="s">
        <v>691</v>
      </c>
      <c r="B129" s="142" t="s">
        <v>692</v>
      </c>
      <c r="D129" s="142" t="s">
        <v>693</v>
      </c>
    </row>
    <row r="130" spans="1:4">
      <c r="A130" s="142" t="s">
        <v>694</v>
      </c>
      <c r="B130" s="142" t="s">
        <v>695</v>
      </c>
      <c r="D130" s="142" t="s">
        <v>696</v>
      </c>
    </row>
    <row r="131" spans="1:4">
      <c r="A131" s="142" t="s">
        <v>697</v>
      </c>
      <c r="B131" s="142" t="s">
        <v>698</v>
      </c>
      <c r="D131" s="142" t="s">
        <v>699</v>
      </c>
    </row>
    <row r="132" spans="1:4">
      <c r="A132" s="142" t="s">
        <v>700</v>
      </c>
      <c r="B132" s="142" t="s">
        <v>701</v>
      </c>
      <c r="D132" s="142" t="s">
        <v>702</v>
      </c>
    </row>
    <row r="133" spans="1:4">
      <c r="A133" s="142" t="s">
        <v>703</v>
      </c>
      <c r="B133" s="142" t="s">
        <v>704</v>
      </c>
      <c r="D133" s="142" t="s">
        <v>705</v>
      </c>
    </row>
    <row r="134" spans="1:4">
      <c r="A134" s="142" t="s">
        <v>706</v>
      </c>
      <c r="B134" s="142" t="s">
        <v>707</v>
      </c>
      <c r="D134" s="142" t="s">
        <v>708</v>
      </c>
    </row>
    <row r="135" spans="1:4">
      <c r="A135" s="142" t="s">
        <v>709</v>
      </c>
      <c r="B135" s="142" t="s">
        <v>710</v>
      </c>
      <c r="D135" s="142" t="s">
        <v>711</v>
      </c>
    </row>
    <row r="136" spans="1:4">
      <c r="A136" s="142" t="s">
        <v>712</v>
      </c>
      <c r="B136" s="142" t="s">
        <v>713</v>
      </c>
      <c r="D136" s="142" t="s">
        <v>714</v>
      </c>
    </row>
    <row r="137" spans="1:4">
      <c r="A137" s="142" t="s">
        <v>715</v>
      </c>
      <c r="B137" s="142" t="s">
        <v>716</v>
      </c>
      <c r="D137" s="142" t="s">
        <v>717</v>
      </c>
    </row>
    <row r="138" spans="1:4">
      <c r="A138" s="142" t="s">
        <v>718</v>
      </c>
      <c r="B138" s="142" t="s">
        <v>719</v>
      </c>
      <c r="D138" s="142" t="s">
        <v>720</v>
      </c>
    </row>
    <row r="139" spans="1:4">
      <c r="A139" s="142" t="s">
        <v>721</v>
      </c>
      <c r="B139" s="142" t="s">
        <v>722</v>
      </c>
      <c r="D139" s="142" t="s">
        <v>723</v>
      </c>
    </row>
    <row r="140" spans="1:4">
      <c r="A140" s="142" t="s">
        <v>724</v>
      </c>
      <c r="B140" s="142" t="s">
        <v>725</v>
      </c>
      <c r="D140" s="142" t="s">
        <v>726</v>
      </c>
    </row>
    <row r="141" spans="1:4">
      <c r="A141" s="142" t="s">
        <v>727</v>
      </c>
      <c r="B141" s="142" t="s">
        <v>728</v>
      </c>
      <c r="D141" s="142" t="s">
        <v>729</v>
      </c>
    </row>
    <row r="142" spans="1:4">
      <c r="A142" s="142" t="s">
        <v>730</v>
      </c>
      <c r="B142" s="142" t="s">
        <v>731</v>
      </c>
      <c r="D142" s="142" t="s">
        <v>732</v>
      </c>
    </row>
    <row r="143" spans="1:4">
      <c r="A143" s="142" t="s">
        <v>733</v>
      </c>
      <c r="B143" s="142" t="s">
        <v>734</v>
      </c>
      <c r="D143" s="142" t="s">
        <v>735</v>
      </c>
    </row>
    <row r="144" spans="1:4">
      <c r="A144" s="142" t="s">
        <v>736</v>
      </c>
      <c r="B144" s="142" t="s">
        <v>737</v>
      </c>
      <c r="D144" s="142" t="s">
        <v>738</v>
      </c>
    </row>
    <row r="145" spans="1:4">
      <c r="A145" s="142" t="s">
        <v>739</v>
      </c>
      <c r="B145" s="142" t="s">
        <v>740</v>
      </c>
      <c r="D145" s="142" t="s">
        <v>741</v>
      </c>
    </row>
    <row r="146" spans="1:4">
      <c r="A146" s="142" t="s">
        <v>742</v>
      </c>
      <c r="B146" s="142" t="s">
        <v>743</v>
      </c>
      <c r="D146" s="142" t="s">
        <v>744</v>
      </c>
    </row>
    <row r="147" spans="1:4">
      <c r="A147" s="142" t="s">
        <v>745</v>
      </c>
      <c r="B147" s="142" t="s">
        <v>746</v>
      </c>
      <c r="D147" s="142" t="s">
        <v>747</v>
      </c>
    </row>
    <row r="148" spans="1:4">
      <c r="A148" s="142" t="s">
        <v>748</v>
      </c>
      <c r="B148" s="142" t="s">
        <v>749</v>
      </c>
      <c r="D148" s="142" t="s">
        <v>750</v>
      </c>
    </row>
    <row r="149" spans="1:4">
      <c r="A149" s="142" t="s">
        <v>751</v>
      </c>
      <c r="B149" s="142" t="s">
        <v>752</v>
      </c>
      <c r="D149" s="142" t="s">
        <v>753</v>
      </c>
    </row>
    <row r="150" spans="1:4">
      <c r="A150" s="142" t="s">
        <v>754</v>
      </c>
      <c r="B150" s="142" t="s">
        <v>755</v>
      </c>
      <c r="D150" s="142" t="s">
        <v>756</v>
      </c>
    </row>
    <row r="151" spans="1:4">
      <c r="A151" s="142" t="s">
        <v>757</v>
      </c>
      <c r="B151" s="142" t="s">
        <v>758</v>
      </c>
      <c r="D151" s="142" t="s">
        <v>759</v>
      </c>
    </row>
    <row r="152" spans="1:4">
      <c r="A152" s="142" t="s">
        <v>760</v>
      </c>
      <c r="B152" s="142" t="s">
        <v>761</v>
      </c>
      <c r="D152" s="142" t="s">
        <v>762</v>
      </c>
    </row>
    <row r="153" spans="1:4">
      <c r="A153" s="142" t="s">
        <v>763</v>
      </c>
      <c r="B153" s="142" t="s">
        <v>764</v>
      </c>
      <c r="D153" s="142" t="s">
        <v>765</v>
      </c>
    </row>
    <row r="154" spans="1:4">
      <c r="A154" s="142" t="s">
        <v>766</v>
      </c>
      <c r="B154" s="142" t="s">
        <v>767</v>
      </c>
      <c r="D154" s="142" t="s">
        <v>768</v>
      </c>
    </row>
    <row r="155" spans="1:4">
      <c r="A155" s="142" t="s">
        <v>769</v>
      </c>
      <c r="B155" s="142" t="s">
        <v>770</v>
      </c>
      <c r="D155" s="142" t="s">
        <v>771</v>
      </c>
    </row>
    <row r="156" spans="1:4">
      <c r="A156" s="142" t="s">
        <v>772</v>
      </c>
      <c r="B156" s="142" t="s">
        <v>773</v>
      </c>
      <c r="D156" s="142" t="s">
        <v>774</v>
      </c>
    </row>
    <row r="157" spans="1:4">
      <c r="A157" s="142" t="s">
        <v>775</v>
      </c>
      <c r="B157" s="142" t="s">
        <v>776</v>
      </c>
      <c r="D157" s="142" t="s">
        <v>777</v>
      </c>
    </row>
    <row r="158" spans="1:4">
      <c r="A158" s="142" t="s">
        <v>778</v>
      </c>
      <c r="B158" s="142" t="s">
        <v>779</v>
      </c>
      <c r="D158" s="142" t="s">
        <v>780</v>
      </c>
    </row>
    <row r="159" spans="1:4">
      <c r="A159" s="142" t="s">
        <v>781</v>
      </c>
      <c r="B159" s="142" t="s">
        <v>782</v>
      </c>
      <c r="D159" s="142" t="s">
        <v>783</v>
      </c>
    </row>
    <row r="160" spans="1:4">
      <c r="A160" s="142" t="s">
        <v>784</v>
      </c>
      <c r="B160" s="142" t="s">
        <v>785</v>
      </c>
      <c r="D160" s="142" t="s">
        <v>786</v>
      </c>
    </row>
    <row r="161" spans="1:4">
      <c r="A161" s="142" t="s">
        <v>787</v>
      </c>
      <c r="B161" s="142" t="s">
        <v>788</v>
      </c>
      <c r="D161" s="142" t="s">
        <v>789</v>
      </c>
    </row>
    <row r="162" spans="1:4">
      <c r="A162" s="142" t="s">
        <v>790</v>
      </c>
      <c r="B162" s="142" t="s">
        <v>791</v>
      </c>
      <c r="D162" s="142" t="s">
        <v>792</v>
      </c>
    </row>
    <row r="163" spans="1:4">
      <c r="A163" s="142" t="s">
        <v>793</v>
      </c>
      <c r="B163" s="142" t="s">
        <v>794</v>
      </c>
      <c r="D163" s="142" t="s">
        <v>795</v>
      </c>
    </row>
    <row r="164" spans="1:4">
      <c r="A164" s="142" t="s">
        <v>796</v>
      </c>
      <c r="B164" s="142" t="s">
        <v>797</v>
      </c>
      <c r="D164" s="142" t="s">
        <v>798</v>
      </c>
    </row>
    <row r="165" spans="1:4">
      <c r="A165" s="142" t="s">
        <v>799</v>
      </c>
      <c r="B165" s="142" t="s">
        <v>800</v>
      </c>
      <c r="D165" s="142" t="s">
        <v>801</v>
      </c>
    </row>
    <row r="166" spans="1:4">
      <c r="A166" s="142" t="s">
        <v>802</v>
      </c>
      <c r="B166" s="142" t="s">
        <v>803</v>
      </c>
      <c r="D166" s="142" t="s">
        <v>804</v>
      </c>
    </row>
    <row r="167" spans="1:4">
      <c r="A167" s="142" t="s">
        <v>805</v>
      </c>
      <c r="B167" s="142" t="s">
        <v>806</v>
      </c>
      <c r="D167" s="142" t="s">
        <v>807</v>
      </c>
    </row>
    <row r="168" spans="1:4">
      <c r="A168" s="142" t="s">
        <v>808</v>
      </c>
      <c r="B168" s="142" t="s">
        <v>809</v>
      </c>
      <c r="D168" s="142" t="s">
        <v>810</v>
      </c>
    </row>
    <row r="169" spans="1:4">
      <c r="A169" s="142" t="s">
        <v>811</v>
      </c>
      <c r="B169" s="142" t="s">
        <v>812</v>
      </c>
      <c r="D169" s="142" t="s">
        <v>813</v>
      </c>
    </row>
    <row r="170" spans="1:4">
      <c r="A170" s="142" t="s">
        <v>814</v>
      </c>
      <c r="B170" s="142" t="s">
        <v>815</v>
      </c>
      <c r="D170" s="142" t="s">
        <v>816</v>
      </c>
    </row>
    <row r="171" spans="1:4">
      <c r="A171" s="142" t="s">
        <v>817</v>
      </c>
      <c r="B171" s="142" t="s">
        <v>818</v>
      </c>
      <c r="D171" s="142" t="s">
        <v>819</v>
      </c>
    </row>
    <row r="172" spans="1:4">
      <c r="A172" s="142" t="s">
        <v>820</v>
      </c>
      <c r="B172" s="142" t="s">
        <v>821</v>
      </c>
      <c r="D172" s="142" t="s">
        <v>822</v>
      </c>
    </row>
    <row r="173" spans="1:4">
      <c r="A173" s="142" t="s">
        <v>823</v>
      </c>
      <c r="B173" s="142" t="s">
        <v>824</v>
      </c>
      <c r="D173" s="142" t="s">
        <v>825</v>
      </c>
    </row>
    <row r="174" spans="1:4">
      <c r="A174" s="142" t="s">
        <v>826</v>
      </c>
      <c r="B174" s="142" t="s">
        <v>827</v>
      </c>
      <c r="D174" s="142" t="s">
        <v>828</v>
      </c>
    </row>
    <row r="175" spans="1:4">
      <c r="A175" s="142" t="s">
        <v>829</v>
      </c>
      <c r="B175" s="142" t="s">
        <v>830</v>
      </c>
      <c r="D175" s="142" t="s">
        <v>831</v>
      </c>
    </row>
    <row r="176" spans="1:4">
      <c r="A176" s="142" t="s">
        <v>832</v>
      </c>
      <c r="B176" s="142" t="s">
        <v>833</v>
      </c>
      <c r="D176" s="142" t="s">
        <v>834</v>
      </c>
    </row>
    <row r="177" spans="1:4">
      <c r="A177" s="142" t="s">
        <v>835</v>
      </c>
      <c r="B177" s="142" t="s">
        <v>836</v>
      </c>
      <c r="D177" s="142" t="s">
        <v>837</v>
      </c>
    </row>
    <row r="178" spans="1:4">
      <c r="A178" s="142" t="s">
        <v>838</v>
      </c>
      <c r="B178" s="142" t="s">
        <v>839</v>
      </c>
      <c r="D178" s="142" t="s">
        <v>840</v>
      </c>
    </row>
    <row r="179" spans="1:4">
      <c r="A179" s="142" t="s">
        <v>841</v>
      </c>
      <c r="B179" s="142" t="s">
        <v>842</v>
      </c>
      <c r="D179" s="142" t="s">
        <v>843</v>
      </c>
    </row>
    <row r="180" spans="1:4">
      <c r="A180" s="142" t="s">
        <v>844</v>
      </c>
      <c r="B180" s="142" t="s">
        <v>845</v>
      </c>
      <c r="D180" s="142" t="s">
        <v>846</v>
      </c>
    </row>
    <row r="181" spans="1:4">
      <c r="A181" s="142" t="s">
        <v>847</v>
      </c>
      <c r="B181" s="142" t="s">
        <v>848</v>
      </c>
      <c r="D181" s="142" t="s">
        <v>849</v>
      </c>
    </row>
    <row r="182" spans="1:4">
      <c r="A182" s="142" t="s">
        <v>850</v>
      </c>
      <c r="B182" s="142" t="s">
        <v>851</v>
      </c>
      <c r="D182" s="142" t="s">
        <v>852</v>
      </c>
    </row>
    <row r="183" spans="1:4">
      <c r="A183" s="142" t="s">
        <v>853</v>
      </c>
      <c r="B183" s="142" t="s">
        <v>854</v>
      </c>
      <c r="D183" s="142" t="s">
        <v>855</v>
      </c>
    </row>
    <row r="184" spans="1:4">
      <c r="A184" s="142" t="s">
        <v>856</v>
      </c>
      <c r="B184" s="142" t="s">
        <v>857</v>
      </c>
      <c r="D184" s="142" t="s">
        <v>858</v>
      </c>
    </row>
    <row r="185" spans="1:4">
      <c r="A185" s="142" t="s">
        <v>859</v>
      </c>
      <c r="B185" s="142" t="s">
        <v>860</v>
      </c>
      <c r="D185" s="142" t="s">
        <v>861</v>
      </c>
    </row>
    <row r="186" spans="1:4">
      <c r="A186" s="142" t="s">
        <v>862</v>
      </c>
      <c r="B186" s="142" t="s">
        <v>863</v>
      </c>
      <c r="D186" s="142" t="s">
        <v>864</v>
      </c>
    </row>
    <row r="187" spans="1:4">
      <c r="A187" s="142" t="s">
        <v>865</v>
      </c>
      <c r="B187" s="142" t="s">
        <v>866</v>
      </c>
      <c r="D187" s="142" t="s">
        <v>867</v>
      </c>
    </row>
    <row r="188" spans="1:4">
      <c r="A188" s="142" t="s">
        <v>868</v>
      </c>
      <c r="B188" s="142" t="s">
        <v>869</v>
      </c>
      <c r="D188" s="142" t="s">
        <v>870</v>
      </c>
    </row>
    <row r="189" spans="1:4">
      <c r="A189" s="142" t="s">
        <v>871</v>
      </c>
      <c r="B189" s="142" t="s">
        <v>872</v>
      </c>
      <c r="D189" s="142" t="s">
        <v>873</v>
      </c>
    </row>
    <row r="190" spans="1:4">
      <c r="A190" s="142" t="s">
        <v>874</v>
      </c>
      <c r="B190" s="142" t="s">
        <v>875</v>
      </c>
      <c r="D190" s="142" t="s">
        <v>876</v>
      </c>
    </row>
    <row r="191" spans="1:4">
      <c r="A191" s="142" t="s">
        <v>877</v>
      </c>
      <c r="B191" s="142" t="s">
        <v>878</v>
      </c>
      <c r="D191" s="142" t="s">
        <v>879</v>
      </c>
    </row>
    <row r="192" spans="1:4">
      <c r="A192" s="142" t="s">
        <v>880</v>
      </c>
      <c r="B192" s="142" t="s">
        <v>881</v>
      </c>
      <c r="D192" s="142" t="s">
        <v>882</v>
      </c>
    </row>
    <row r="193" spans="1:4">
      <c r="A193" s="142" t="s">
        <v>883</v>
      </c>
      <c r="B193" s="142" t="s">
        <v>884</v>
      </c>
      <c r="D193" s="142" t="s">
        <v>885</v>
      </c>
    </row>
    <row r="194" spans="1:4">
      <c r="A194" s="142" t="s">
        <v>886</v>
      </c>
      <c r="B194" s="142" t="s">
        <v>887</v>
      </c>
      <c r="D194" s="142" t="s">
        <v>888</v>
      </c>
    </row>
    <row r="195" spans="1:4">
      <c r="A195" s="142" t="s">
        <v>889</v>
      </c>
      <c r="B195" s="142" t="s">
        <v>890</v>
      </c>
      <c r="D195" s="142" t="s">
        <v>891</v>
      </c>
    </row>
    <row r="196" spans="1:4">
      <c r="A196" s="142" t="s">
        <v>892</v>
      </c>
      <c r="B196" s="142" t="s">
        <v>893</v>
      </c>
      <c r="D196" s="142" t="s">
        <v>894</v>
      </c>
    </row>
    <row r="197" spans="1:4">
      <c r="A197" s="142" t="s">
        <v>895</v>
      </c>
      <c r="B197" s="142" t="s">
        <v>896</v>
      </c>
      <c r="D197" s="142" t="s">
        <v>897</v>
      </c>
    </row>
    <row r="198" spans="1:4">
      <c r="A198" s="142" t="s">
        <v>898</v>
      </c>
      <c r="B198" s="142" t="s">
        <v>899</v>
      </c>
      <c r="D198" s="142" t="s">
        <v>900</v>
      </c>
    </row>
    <row r="199" spans="1:4">
      <c r="A199" s="142" t="s">
        <v>901</v>
      </c>
      <c r="B199" s="142" t="s">
        <v>902</v>
      </c>
      <c r="D199" s="142" t="s">
        <v>903</v>
      </c>
    </row>
    <row r="200" spans="1:4">
      <c r="A200" s="142" t="s">
        <v>904</v>
      </c>
      <c r="B200" s="142" t="s">
        <v>905</v>
      </c>
      <c r="D200" s="142" t="s">
        <v>906</v>
      </c>
    </row>
    <row r="201" spans="1:4">
      <c r="A201" s="142" t="s">
        <v>907</v>
      </c>
      <c r="B201" s="142" t="s">
        <v>908</v>
      </c>
      <c r="D201" s="142" t="s">
        <v>909</v>
      </c>
    </row>
    <row r="202" spans="1:4">
      <c r="A202" s="142" t="s">
        <v>910</v>
      </c>
      <c r="B202" s="142" t="s">
        <v>911</v>
      </c>
      <c r="D202" s="142" t="s">
        <v>912</v>
      </c>
    </row>
    <row r="203" spans="1:4">
      <c r="A203" s="142" t="s">
        <v>913</v>
      </c>
      <c r="B203" s="142" t="s">
        <v>914</v>
      </c>
      <c r="D203" s="142" t="s">
        <v>915</v>
      </c>
    </row>
    <row r="204" spans="1:4">
      <c r="A204" s="142" t="s">
        <v>916</v>
      </c>
      <c r="B204" s="142" t="s">
        <v>917</v>
      </c>
      <c r="D204" s="142" t="s">
        <v>918</v>
      </c>
    </row>
    <row r="205" spans="1:4">
      <c r="A205" s="142" t="s">
        <v>919</v>
      </c>
      <c r="B205" s="142" t="s">
        <v>920</v>
      </c>
      <c r="D205" s="142" t="s">
        <v>921</v>
      </c>
    </row>
    <row r="206" spans="1:4">
      <c r="A206" s="142" t="s">
        <v>922</v>
      </c>
      <c r="B206" s="142" t="s">
        <v>923</v>
      </c>
      <c r="D206" s="142" t="s">
        <v>924</v>
      </c>
    </row>
    <row r="207" spans="1:4">
      <c r="A207" s="142" t="s">
        <v>925</v>
      </c>
      <c r="B207" s="142" t="s">
        <v>926</v>
      </c>
      <c r="D207" s="142" t="s">
        <v>927</v>
      </c>
    </row>
    <row r="208" spans="1:4">
      <c r="A208" s="142" t="s">
        <v>928</v>
      </c>
      <c r="B208" s="142" t="s">
        <v>929</v>
      </c>
      <c r="D208" s="142" t="s">
        <v>930</v>
      </c>
    </row>
    <row r="209" spans="1:4">
      <c r="A209" s="142" t="s">
        <v>931</v>
      </c>
      <c r="B209" s="142" t="s">
        <v>932</v>
      </c>
      <c r="D209" s="142" t="s">
        <v>933</v>
      </c>
    </row>
    <row r="210" spans="1:4">
      <c r="A210" s="142" t="s">
        <v>934</v>
      </c>
      <c r="B210" s="142" t="s">
        <v>935</v>
      </c>
      <c r="D210" s="142" t="s">
        <v>936</v>
      </c>
    </row>
    <row r="211" spans="1:4">
      <c r="A211" s="142" t="s">
        <v>937</v>
      </c>
      <c r="B211" s="142" t="s">
        <v>938</v>
      </c>
      <c r="D211" s="142" t="s">
        <v>939</v>
      </c>
    </row>
    <row r="212" spans="1:4">
      <c r="A212" s="142" t="s">
        <v>940</v>
      </c>
      <c r="B212" s="142" t="s">
        <v>941</v>
      </c>
      <c r="D212" s="142" t="s">
        <v>942</v>
      </c>
    </row>
    <row r="213" spans="1:4">
      <c r="A213" s="142" t="s">
        <v>943</v>
      </c>
      <c r="B213" s="142" t="s">
        <v>944</v>
      </c>
      <c r="D213" s="142" t="s">
        <v>945</v>
      </c>
    </row>
    <row r="214" spans="1:4">
      <c r="A214" s="142" t="s">
        <v>946</v>
      </c>
      <c r="B214" s="142" t="s">
        <v>947</v>
      </c>
      <c r="D214" s="142" t="s">
        <v>948</v>
      </c>
    </row>
    <row r="215" spans="1:4">
      <c r="A215" s="142" t="s">
        <v>949</v>
      </c>
      <c r="B215" s="142" t="s">
        <v>950</v>
      </c>
      <c r="D215" s="142" t="s">
        <v>951</v>
      </c>
    </row>
    <row r="216" spans="1:4">
      <c r="A216" s="142" t="s">
        <v>952</v>
      </c>
      <c r="B216" s="142" t="s">
        <v>953</v>
      </c>
      <c r="D216" s="142" t="s">
        <v>954</v>
      </c>
    </row>
    <row r="217" spans="1:4">
      <c r="A217" s="142" t="s">
        <v>955</v>
      </c>
      <c r="B217" s="142" t="s">
        <v>956</v>
      </c>
      <c r="D217" s="142" t="s">
        <v>957</v>
      </c>
    </row>
    <row r="218" spans="1:4">
      <c r="A218" s="142" t="s">
        <v>958</v>
      </c>
      <c r="B218" s="142" t="s">
        <v>959</v>
      </c>
      <c r="D218" s="142" t="s">
        <v>960</v>
      </c>
    </row>
    <row r="219" spans="1:4">
      <c r="A219" s="142" t="s">
        <v>961</v>
      </c>
      <c r="B219" s="142" t="s">
        <v>962</v>
      </c>
      <c r="D219" s="142" t="s">
        <v>963</v>
      </c>
    </row>
    <row r="220" spans="1:4">
      <c r="A220" s="142" t="s">
        <v>964</v>
      </c>
      <c r="B220" s="142" t="s">
        <v>965</v>
      </c>
      <c r="D220" s="142" t="s">
        <v>966</v>
      </c>
    </row>
    <row r="221" spans="1:4">
      <c r="A221" s="142" t="s">
        <v>967</v>
      </c>
      <c r="B221" s="142" t="s">
        <v>968</v>
      </c>
      <c r="D221" s="142" t="s">
        <v>969</v>
      </c>
    </row>
    <row r="222" spans="1:4">
      <c r="A222" s="142" t="s">
        <v>970</v>
      </c>
      <c r="B222" s="142" t="s">
        <v>971</v>
      </c>
      <c r="D222" s="142" t="s">
        <v>972</v>
      </c>
    </row>
    <row r="223" spans="1:4">
      <c r="A223" s="142" t="s">
        <v>973</v>
      </c>
      <c r="B223" s="142" t="s">
        <v>974</v>
      </c>
      <c r="D223" s="142" t="s">
        <v>975</v>
      </c>
    </row>
    <row r="224" spans="1:4">
      <c r="A224" s="142" t="s">
        <v>976</v>
      </c>
      <c r="B224" s="142" t="s">
        <v>977</v>
      </c>
      <c r="D224" s="142" t="s">
        <v>978</v>
      </c>
    </row>
    <row r="225" spans="1:4">
      <c r="A225" s="142" t="s">
        <v>979</v>
      </c>
      <c r="B225" s="142" t="s">
        <v>980</v>
      </c>
      <c r="D225" s="143" t="s">
        <v>243</v>
      </c>
    </row>
    <row r="226" spans="1:4">
      <c r="A226" s="142" t="s">
        <v>981</v>
      </c>
      <c r="B226" s="142" t="s">
        <v>982</v>
      </c>
      <c r="D226" t="s">
        <v>243</v>
      </c>
    </row>
    <row r="227" spans="1:4">
      <c r="A227" s="142" t="s">
        <v>983</v>
      </c>
      <c r="B227" s="142" t="s">
        <v>984</v>
      </c>
    </row>
    <row r="228" spans="1:4">
      <c r="A228" s="142" t="s">
        <v>985</v>
      </c>
      <c r="B228" s="142" t="s">
        <v>986</v>
      </c>
    </row>
    <row r="229" spans="1:4">
      <c r="A229" s="142" t="s">
        <v>987</v>
      </c>
      <c r="B229" s="142" t="s">
        <v>988</v>
      </c>
    </row>
    <row r="230" spans="1:4">
      <c r="A230" s="142" t="s">
        <v>989</v>
      </c>
      <c r="B230" s="142" t="s">
        <v>990</v>
      </c>
    </row>
    <row r="231" spans="1:4">
      <c r="A231" s="142" t="s">
        <v>991</v>
      </c>
      <c r="B231" s="142" t="s">
        <v>992</v>
      </c>
    </row>
    <row r="232" spans="1:4">
      <c r="A232" s="142" t="s">
        <v>993</v>
      </c>
      <c r="B232" s="142" t="s">
        <v>994</v>
      </c>
    </row>
    <row r="233" spans="1:4">
      <c r="A233" s="142" t="s">
        <v>995</v>
      </c>
      <c r="B233" s="142" t="s">
        <v>996</v>
      </c>
    </row>
    <row r="234" spans="1:4">
      <c r="A234" s="142" t="s">
        <v>997</v>
      </c>
      <c r="B234" s="142" t="s">
        <v>998</v>
      </c>
    </row>
    <row r="235" spans="1:4">
      <c r="A235" s="142" t="s">
        <v>999</v>
      </c>
      <c r="B235" s="142" t="s">
        <v>1000</v>
      </c>
    </row>
    <row r="236" spans="1:4">
      <c r="A236" s="142" t="s">
        <v>1001</v>
      </c>
      <c r="B236" s="142" t="s">
        <v>1002</v>
      </c>
    </row>
    <row r="237" spans="1:4">
      <c r="A237" s="142" t="s">
        <v>1003</v>
      </c>
      <c r="B237" s="142" t="s">
        <v>1004</v>
      </c>
    </row>
    <row r="238" spans="1:4">
      <c r="A238" s="142" t="s">
        <v>1005</v>
      </c>
      <c r="B238" s="142" t="s">
        <v>1006</v>
      </c>
    </row>
    <row r="239" spans="1:4">
      <c r="A239" s="142" t="s">
        <v>1007</v>
      </c>
      <c r="B239" s="142" t="s">
        <v>1008</v>
      </c>
    </row>
    <row r="240" spans="1:4">
      <c r="A240" s="142" t="s">
        <v>1009</v>
      </c>
      <c r="B240" s="142" t="s">
        <v>1010</v>
      </c>
    </row>
    <row r="241" spans="1:2">
      <c r="A241" s="142" t="s">
        <v>1011</v>
      </c>
      <c r="B241" s="142" t="s">
        <v>1012</v>
      </c>
    </row>
    <row r="242" spans="1:2">
      <c r="A242" s="142" t="s">
        <v>1013</v>
      </c>
      <c r="B242" s="142" t="s">
        <v>1014</v>
      </c>
    </row>
    <row r="243" spans="1:2">
      <c r="A243" s="142" t="s">
        <v>1015</v>
      </c>
      <c r="B243" s="142" t="s">
        <v>1016</v>
      </c>
    </row>
    <row r="244" spans="1:2">
      <c r="A244" s="142" t="s">
        <v>1017</v>
      </c>
      <c r="B244" s="142" t="s">
        <v>1018</v>
      </c>
    </row>
    <row r="245" spans="1:2">
      <c r="A245" s="142" t="s">
        <v>1019</v>
      </c>
      <c r="B245" s="142" t="s">
        <v>1020</v>
      </c>
    </row>
    <row r="246" spans="1:2">
      <c r="A246" s="142" t="s">
        <v>1021</v>
      </c>
      <c r="B246" s="142" t="s">
        <v>1022</v>
      </c>
    </row>
    <row r="247" spans="1:2">
      <c r="A247" s="142" t="s">
        <v>1023</v>
      </c>
      <c r="B247" s="142" t="s">
        <v>1024</v>
      </c>
    </row>
    <row r="248" spans="1:2">
      <c r="A248" s="142" t="s">
        <v>1025</v>
      </c>
      <c r="B248" s="142" t="s">
        <v>1026</v>
      </c>
    </row>
    <row r="249" spans="1:2">
      <c r="A249" s="142" t="s">
        <v>1027</v>
      </c>
      <c r="B249" s="142" t="s">
        <v>1028</v>
      </c>
    </row>
    <row r="250" spans="1:2">
      <c r="A250" s="142" t="s">
        <v>1029</v>
      </c>
      <c r="B250" s="142" t="s">
        <v>1030</v>
      </c>
    </row>
    <row r="251" spans="1:2">
      <c r="A251" s="142" t="s">
        <v>1031</v>
      </c>
      <c r="B251" s="142" t="s">
        <v>1032</v>
      </c>
    </row>
    <row r="252" spans="1:2">
      <c r="A252" s="142" t="s">
        <v>1033</v>
      </c>
      <c r="B252" s="142" t="s">
        <v>1034</v>
      </c>
    </row>
    <row r="253" spans="1:2">
      <c r="A253" s="142" t="s">
        <v>1035</v>
      </c>
      <c r="B253" s="142" t="s">
        <v>1036</v>
      </c>
    </row>
    <row r="254" spans="1:2">
      <c r="A254" s="142" t="s">
        <v>1037</v>
      </c>
      <c r="B254" s="142" t="s">
        <v>1038</v>
      </c>
    </row>
    <row r="255" spans="1:2">
      <c r="A255" s="142" t="s">
        <v>1039</v>
      </c>
      <c r="B255" s="142" t="s">
        <v>1040</v>
      </c>
    </row>
    <row r="256" spans="1:2">
      <c r="A256" s="142" t="s">
        <v>1041</v>
      </c>
      <c r="B256" s="142" t="s">
        <v>1042</v>
      </c>
    </row>
    <row r="257" spans="1:2">
      <c r="A257" s="142" t="s">
        <v>1043</v>
      </c>
      <c r="B257" s="142" t="s">
        <v>1044</v>
      </c>
    </row>
    <row r="258" spans="1:2">
      <c r="A258" s="142" t="s">
        <v>1045</v>
      </c>
      <c r="B258" s="142" t="s">
        <v>1046</v>
      </c>
    </row>
    <row r="259" spans="1:2">
      <c r="A259" s="142" t="s">
        <v>1047</v>
      </c>
      <c r="B259" s="142" t="s">
        <v>1048</v>
      </c>
    </row>
    <row r="260" spans="1:2">
      <c r="A260" s="142" t="s">
        <v>1049</v>
      </c>
      <c r="B260" s="142" t="s">
        <v>1050</v>
      </c>
    </row>
    <row r="261" spans="1:2">
      <c r="A261" s="142" t="s">
        <v>1051</v>
      </c>
      <c r="B261" s="142" t="s">
        <v>1052</v>
      </c>
    </row>
    <row r="262" spans="1:2">
      <c r="A262" s="142" t="s">
        <v>1053</v>
      </c>
      <c r="B262" s="142" t="s">
        <v>1054</v>
      </c>
    </row>
    <row r="263" spans="1:2">
      <c r="A263" s="142" t="s">
        <v>1055</v>
      </c>
      <c r="B263" s="142" t="s">
        <v>1056</v>
      </c>
    </row>
    <row r="264" spans="1:2">
      <c r="A264" s="142" t="s">
        <v>1057</v>
      </c>
      <c r="B264" s="142" t="s">
        <v>1058</v>
      </c>
    </row>
    <row r="265" spans="1:2">
      <c r="A265" s="142" t="s">
        <v>1059</v>
      </c>
      <c r="B265" s="142" t="s">
        <v>1060</v>
      </c>
    </row>
    <row r="266" spans="1:2">
      <c r="A266" s="142" t="s">
        <v>1061</v>
      </c>
      <c r="B266" s="142" t="s">
        <v>1062</v>
      </c>
    </row>
    <row r="267" spans="1:2">
      <c r="A267" s="142" t="s">
        <v>1063</v>
      </c>
      <c r="B267" s="142" t="s">
        <v>1064</v>
      </c>
    </row>
    <row r="268" spans="1:2">
      <c r="A268" s="142" t="s">
        <v>1065</v>
      </c>
      <c r="B268" s="142" t="s">
        <v>1066</v>
      </c>
    </row>
    <row r="269" spans="1:2">
      <c r="A269" s="142" t="s">
        <v>1067</v>
      </c>
      <c r="B269" s="142" t="s">
        <v>1068</v>
      </c>
    </row>
    <row r="270" spans="1:2">
      <c r="A270" s="142" t="s">
        <v>1069</v>
      </c>
      <c r="B270" s="142" t="s">
        <v>1070</v>
      </c>
    </row>
    <row r="271" spans="1:2">
      <c r="A271" s="142" t="s">
        <v>1071</v>
      </c>
      <c r="B271" s="142" t="s">
        <v>1072</v>
      </c>
    </row>
    <row r="272" spans="1:2">
      <c r="A272" s="142" t="s">
        <v>1073</v>
      </c>
      <c r="B272" s="142" t="s">
        <v>1074</v>
      </c>
    </row>
    <row r="273" spans="1:2">
      <c r="A273" s="142" t="s">
        <v>1075</v>
      </c>
      <c r="B273" s="142" t="s">
        <v>1076</v>
      </c>
    </row>
    <row r="274" spans="1:2">
      <c r="A274" s="142" t="s">
        <v>1077</v>
      </c>
      <c r="B274" s="142" t="s">
        <v>1078</v>
      </c>
    </row>
    <row r="275" spans="1:2">
      <c r="A275" s="142" t="s">
        <v>1079</v>
      </c>
      <c r="B275" s="142" t="s">
        <v>1080</v>
      </c>
    </row>
    <row r="276" spans="1:2">
      <c r="A276" s="142" t="s">
        <v>1081</v>
      </c>
      <c r="B276" s="142" t="s">
        <v>1082</v>
      </c>
    </row>
    <row r="277" spans="1:2">
      <c r="A277" s="142" t="s">
        <v>1083</v>
      </c>
      <c r="B277" s="142" t="s">
        <v>1084</v>
      </c>
    </row>
    <row r="278" spans="1:2">
      <c r="A278" s="142" t="s">
        <v>1085</v>
      </c>
      <c r="B278" s="142" t="s">
        <v>1086</v>
      </c>
    </row>
    <row r="279" spans="1:2">
      <c r="A279" s="142" t="s">
        <v>1087</v>
      </c>
      <c r="B279" s="142" t="s">
        <v>1088</v>
      </c>
    </row>
    <row r="280" spans="1:2">
      <c r="A280" s="142" t="s">
        <v>1089</v>
      </c>
      <c r="B280" s="142" t="s">
        <v>272</v>
      </c>
    </row>
    <row r="281" spans="1:2">
      <c r="A281" s="142" t="s">
        <v>1090</v>
      </c>
      <c r="B281" s="142" t="s">
        <v>1091</v>
      </c>
    </row>
    <row r="282" spans="1:2">
      <c r="A282" s="142" t="s">
        <v>1092</v>
      </c>
      <c r="B282" s="142" t="s">
        <v>1093</v>
      </c>
    </row>
    <row r="283" spans="1:2">
      <c r="A283" s="142" t="s">
        <v>1094</v>
      </c>
      <c r="B283" s="142" t="s">
        <v>1095</v>
      </c>
    </row>
    <row r="284" spans="1:2">
      <c r="A284" s="142" t="s">
        <v>1096</v>
      </c>
      <c r="B284" s="142" t="s">
        <v>1097</v>
      </c>
    </row>
    <row r="285" spans="1:2">
      <c r="A285" s="142" t="s">
        <v>1098</v>
      </c>
      <c r="B285" s="142" t="s">
        <v>1099</v>
      </c>
    </row>
    <row r="286" spans="1:2">
      <c r="A286" s="142" t="s">
        <v>1100</v>
      </c>
      <c r="B286" s="142" t="s">
        <v>1101</v>
      </c>
    </row>
    <row r="287" spans="1:2">
      <c r="A287" s="142" t="s">
        <v>1102</v>
      </c>
      <c r="B287" s="142" t="s">
        <v>1103</v>
      </c>
    </row>
    <row r="288" spans="1:2">
      <c r="A288" s="142" t="s">
        <v>1104</v>
      </c>
      <c r="B288" s="142" t="s">
        <v>1105</v>
      </c>
    </row>
    <row r="289" spans="1:2">
      <c r="A289" s="142" t="s">
        <v>1106</v>
      </c>
      <c r="B289" s="142" t="s">
        <v>1107</v>
      </c>
    </row>
    <row r="290" spans="1:2">
      <c r="A290" s="142" t="s">
        <v>1108</v>
      </c>
      <c r="B290" s="142" t="s">
        <v>1109</v>
      </c>
    </row>
    <row r="291" spans="1:2">
      <c r="A291" s="142" t="s">
        <v>1110</v>
      </c>
      <c r="B291" s="142" t="s">
        <v>1111</v>
      </c>
    </row>
    <row r="292" spans="1:2">
      <c r="A292" s="142" t="s">
        <v>1112</v>
      </c>
      <c r="B292" s="142" t="s">
        <v>1113</v>
      </c>
    </row>
    <row r="293" spans="1:2">
      <c r="A293" s="142" t="s">
        <v>1114</v>
      </c>
      <c r="B293" s="142" t="s">
        <v>1115</v>
      </c>
    </row>
    <row r="294" spans="1:2">
      <c r="A294" s="142" t="s">
        <v>1116</v>
      </c>
      <c r="B294" s="142" t="s">
        <v>1117</v>
      </c>
    </row>
    <row r="295" spans="1:2">
      <c r="A295" s="142" t="s">
        <v>1118</v>
      </c>
      <c r="B295" s="142" t="s">
        <v>1119</v>
      </c>
    </row>
    <row r="296" spans="1:2">
      <c r="A296" s="142" t="s">
        <v>1120</v>
      </c>
      <c r="B296" s="142" t="s">
        <v>1121</v>
      </c>
    </row>
    <row r="297" spans="1:2">
      <c r="A297" s="142" t="s">
        <v>1122</v>
      </c>
      <c r="B297" s="142" t="s">
        <v>1123</v>
      </c>
    </row>
    <row r="298" spans="1:2">
      <c r="A298" s="142" t="s">
        <v>1124</v>
      </c>
      <c r="B298" s="142" t="s">
        <v>1125</v>
      </c>
    </row>
    <row r="299" spans="1:2">
      <c r="A299" s="142" t="s">
        <v>1126</v>
      </c>
      <c r="B299" s="142" t="s">
        <v>1127</v>
      </c>
    </row>
    <row r="300" spans="1:2">
      <c r="A300" s="142" t="s">
        <v>1128</v>
      </c>
      <c r="B300" s="142" t="s">
        <v>1129</v>
      </c>
    </row>
    <row r="301" spans="1:2">
      <c r="A301" s="142" t="s">
        <v>1130</v>
      </c>
      <c r="B301" s="142" t="s">
        <v>1131</v>
      </c>
    </row>
    <row r="302" spans="1:2">
      <c r="A302" s="142" t="s">
        <v>1132</v>
      </c>
      <c r="B302" s="142" t="s">
        <v>1133</v>
      </c>
    </row>
    <row r="303" spans="1:2">
      <c r="A303" s="142" t="s">
        <v>1134</v>
      </c>
      <c r="B303" s="142" t="s">
        <v>1135</v>
      </c>
    </row>
    <row r="304" spans="1:2">
      <c r="A304" s="142" t="s">
        <v>1136</v>
      </c>
      <c r="B304" s="142" t="s">
        <v>1137</v>
      </c>
    </row>
    <row r="305" spans="1:2">
      <c r="A305" s="142" t="s">
        <v>1138</v>
      </c>
      <c r="B305" s="142" t="s">
        <v>1139</v>
      </c>
    </row>
    <row r="306" spans="1:2">
      <c r="A306" s="142" t="s">
        <v>1140</v>
      </c>
      <c r="B306" s="142" t="s">
        <v>1141</v>
      </c>
    </row>
    <row r="307" spans="1:2">
      <c r="A307" s="142" t="s">
        <v>1142</v>
      </c>
      <c r="B307" s="142" t="s">
        <v>461</v>
      </c>
    </row>
    <row r="308" spans="1:2">
      <c r="A308" s="142" t="s">
        <v>1143</v>
      </c>
      <c r="B308" s="142" t="s">
        <v>1144</v>
      </c>
    </row>
    <row r="309" spans="1:2">
      <c r="A309" s="142" t="s">
        <v>1145</v>
      </c>
      <c r="B309" s="142" t="s">
        <v>1146</v>
      </c>
    </row>
    <row r="310" spans="1:2">
      <c r="A310" s="142" t="s">
        <v>1147</v>
      </c>
      <c r="B310" s="142" t="s">
        <v>1148</v>
      </c>
    </row>
    <row r="311" spans="1:2">
      <c r="A311" s="142" t="s">
        <v>1149</v>
      </c>
      <c r="B311" s="142" t="s">
        <v>1150</v>
      </c>
    </row>
    <row r="312" spans="1:2">
      <c r="A312" s="142" t="s">
        <v>1151</v>
      </c>
      <c r="B312" s="142" t="s">
        <v>1152</v>
      </c>
    </row>
    <row r="313" spans="1:2">
      <c r="A313" s="142" t="s">
        <v>1153</v>
      </c>
      <c r="B313" s="142" t="s">
        <v>1154</v>
      </c>
    </row>
    <row r="314" spans="1:2">
      <c r="A314" s="142" t="s">
        <v>1155</v>
      </c>
      <c r="B314" s="142" t="s">
        <v>1156</v>
      </c>
    </row>
    <row r="315" spans="1:2">
      <c r="A315" s="142" t="s">
        <v>1157</v>
      </c>
      <c r="B315" s="142" t="s">
        <v>1158</v>
      </c>
    </row>
    <row r="316" spans="1:2">
      <c r="A316" s="142" t="s">
        <v>1159</v>
      </c>
      <c r="B316" s="142" t="s">
        <v>1160</v>
      </c>
    </row>
    <row r="317" spans="1:2">
      <c r="A317" s="142" t="s">
        <v>1161</v>
      </c>
      <c r="B317" s="142" t="s">
        <v>1162</v>
      </c>
    </row>
    <row r="318" spans="1:2">
      <c r="A318" s="142" t="s">
        <v>1163</v>
      </c>
      <c r="B318" s="142" t="s">
        <v>1164</v>
      </c>
    </row>
    <row r="319" spans="1:2">
      <c r="A319" s="142" t="s">
        <v>1165</v>
      </c>
      <c r="B319" s="142" t="s">
        <v>1166</v>
      </c>
    </row>
    <row r="320" spans="1:2">
      <c r="A320" s="142" t="s">
        <v>1167</v>
      </c>
      <c r="B320" s="142" t="s">
        <v>1168</v>
      </c>
    </row>
    <row r="321" spans="1:2">
      <c r="A321" s="142" t="s">
        <v>1169</v>
      </c>
      <c r="B321" s="142" t="s">
        <v>1170</v>
      </c>
    </row>
    <row r="322" spans="1:2">
      <c r="A322" s="142" t="s">
        <v>1171</v>
      </c>
      <c r="B322" s="142" t="s">
        <v>1172</v>
      </c>
    </row>
    <row r="323" spans="1:2">
      <c r="A323" s="142" t="s">
        <v>1173</v>
      </c>
      <c r="B323" s="142" t="s">
        <v>1174</v>
      </c>
    </row>
    <row r="324" spans="1:2">
      <c r="A324" s="142" t="s">
        <v>1175</v>
      </c>
      <c r="B324" s="142" t="s">
        <v>1176</v>
      </c>
    </row>
    <row r="325" spans="1:2">
      <c r="A325" s="142" t="s">
        <v>1177</v>
      </c>
      <c r="B325" s="142" t="s">
        <v>1178</v>
      </c>
    </row>
    <row r="326" spans="1:2">
      <c r="A326" s="142" t="s">
        <v>1179</v>
      </c>
      <c r="B326" s="142" t="s">
        <v>1180</v>
      </c>
    </row>
    <row r="327" spans="1:2">
      <c r="A327" s="142" t="s">
        <v>1181</v>
      </c>
      <c r="B327" s="142" t="s">
        <v>1182</v>
      </c>
    </row>
    <row r="328" spans="1:2">
      <c r="A328" s="142" t="s">
        <v>1183</v>
      </c>
      <c r="B328" s="142" t="s">
        <v>1184</v>
      </c>
    </row>
    <row r="329" spans="1:2">
      <c r="A329" s="142" t="s">
        <v>1185</v>
      </c>
      <c r="B329" s="142" t="s">
        <v>1186</v>
      </c>
    </row>
    <row r="330" spans="1:2">
      <c r="A330" s="142" t="s">
        <v>1187</v>
      </c>
      <c r="B330" s="142" t="s">
        <v>1188</v>
      </c>
    </row>
    <row r="331" spans="1:2">
      <c r="A331" s="142" t="s">
        <v>1189</v>
      </c>
      <c r="B331" s="142" t="s">
        <v>1190</v>
      </c>
    </row>
    <row r="332" spans="1:2">
      <c r="A332" s="142" t="s">
        <v>1191</v>
      </c>
      <c r="B332" s="142" t="s">
        <v>1192</v>
      </c>
    </row>
    <row r="333" spans="1:2">
      <c r="A333" s="142" t="s">
        <v>1193</v>
      </c>
      <c r="B333" s="142" t="s">
        <v>1194</v>
      </c>
    </row>
    <row r="334" spans="1:2">
      <c r="A334" s="142" t="s">
        <v>1195</v>
      </c>
      <c r="B334" s="142" t="s">
        <v>1196</v>
      </c>
    </row>
    <row r="335" spans="1:2">
      <c r="A335" s="142" t="s">
        <v>1197</v>
      </c>
      <c r="B335" s="142" t="s">
        <v>1198</v>
      </c>
    </row>
    <row r="336" spans="1:2">
      <c r="A336" s="142" t="s">
        <v>1199</v>
      </c>
      <c r="B336" s="142" t="s">
        <v>1200</v>
      </c>
    </row>
    <row r="337" spans="1:2">
      <c r="A337" s="142" t="s">
        <v>1201</v>
      </c>
      <c r="B337" s="142" t="s">
        <v>1202</v>
      </c>
    </row>
    <row r="338" spans="1:2">
      <c r="A338" s="142" t="s">
        <v>1203</v>
      </c>
      <c r="B338" s="142" t="s">
        <v>1204</v>
      </c>
    </row>
    <row r="339" spans="1:2">
      <c r="A339" s="142" t="s">
        <v>1205</v>
      </c>
      <c r="B339" s="142" t="s">
        <v>1206</v>
      </c>
    </row>
    <row r="340" spans="1:2">
      <c r="A340" s="142" t="s">
        <v>1207</v>
      </c>
      <c r="B340" s="142" t="s">
        <v>1208</v>
      </c>
    </row>
    <row r="341" spans="1:2">
      <c r="A341" s="142" t="s">
        <v>1209</v>
      </c>
      <c r="B341" s="142" t="s">
        <v>1210</v>
      </c>
    </row>
    <row r="342" spans="1:2">
      <c r="A342" s="142" t="s">
        <v>1211</v>
      </c>
      <c r="B342" s="142" t="s">
        <v>1212</v>
      </c>
    </row>
    <row r="343" spans="1:2">
      <c r="A343" s="142" t="s">
        <v>1213</v>
      </c>
      <c r="B343" s="142" t="s">
        <v>1214</v>
      </c>
    </row>
    <row r="344" spans="1:2">
      <c r="A344" s="142" t="s">
        <v>1215</v>
      </c>
      <c r="B344" s="142" t="s">
        <v>1216</v>
      </c>
    </row>
    <row r="345" spans="1:2">
      <c r="A345" s="142" t="s">
        <v>1217</v>
      </c>
      <c r="B345" s="142" t="s">
        <v>1218</v>
      </c>
    </row>
    <row r="346" spans="1:2">
      <c r="A346" s="142" t="s">
        <v>1219</v>
      </c>
      <c r="B346" s="142" t="s">
        <v>1220</v>
      </c>
    </row>
    <row r="347" spans="1:2">
      <c r="A347" s="142" t="s">
        <v>1221</v>
      </c>
      <c r="B347" s="142" t="s">
        <v>1222</v>
      </c>
    </row>
    <row r="348" spans="1:2">
      <c r="A348" s="142" t="s">
        <v>1223</v>
      </c>
      <c r="B348" s="142" t="s">
        <v>1224</v>
      </c>
    </row>
    <row r="349" spans="1:2">
      <c r="A349" s="142" t="s">
        <v>1225</v>
      </c>
      <c r="B349" s="142" t="s">
        <v>1226</v>
      </c>
    </row>
    <row r="350" spans="1:2">
      <c r="A350" s="142" t="s">
        <v>1227</v>
      </c>
      <c r="B350" s="142" t="s">
        <v>1228</v>
      </c>
    </row>
    <row r="351" spans="1:2">
      <c r="A351" s="142" t="s">
        <v>1229</v>
      </c>
      <c r="B351" s="142" t="s">
        <v>1230</v>
      </c>
    </row>
    <row r="352" spans="1:2">
      <c r="A352" s="142" t="s">
        <v>1231</v>
      </c>
      <c r="B352" s="142" t="s">
        <v>1232</v>
      </c>
    </row>
    <row r="353" spans="1:2">
      <c r="A353" s="142" t="s">
        <v>1233</v>
      </c>
      <c r="B353" s="142" t="s">
        <v>1234</v>
      </c>
    </row>
    <row r="354" spans="1:2">
      <c r="A354" s="142" t="s">
        <v>1235</v>
      </c>
      <c r="B354" s="142" t="s">
        <v>1236</v>
      </c>
    </row>
    <row r="355" spans="1:2">
      <c r="A355" s="142" t="s">
        <v>1237</v>
      </c>
      <c r="B355" s="142" t="s">
        <v>1238</v>
      </c>
    </row>
    <row r="356" spans="1:2">
      <c r="A356" s="142" t="s">
        <v>1239</v>
      </c>
      <c r="B356" s="142" t="s">
        <v>1240</v>
      </c>
    </row>
    <row r="357" spans="1:2">
      <c r="A357" s="142" t="s">
        <v>1241</v>
      </c>
      <c r="B357" s="142" t="s">
        <v>1242</v>
      </c>
    </row>
    <row r="358" spans="1:2">
      <c r="A358" s="142" t="s">
        <v>1243</v>
      </c>
      <c r="B358" s="142" t="s">
        <v>1244</v>
      </c>
    </row>
    <row r="359" spans="1:2">
      <c r="A359" s="142" t="s">
        <v>1245</v>
      </c>
      <c r="B359" s="142" t="s">
        <v>1246</v>
      </c>
    </row>
    <row r="360" spans="1:2">
      <c r="A360" s="142" t="s">
        <v>1247</v>
      </c>
      <c r="B360" s="142" t="s">
        <v>1248</v>
      </c>
    </row>
    <row r="361" spans="1:2">
      <c r="A361" s="142" t="s">
        <v>1249</v>
      </c>
      <c r="B361" s="142" t="s">
        <v>1250</v>
      </c>
    </row>
    <row r="362" spans="1:2">
      <c r="A362" s="142" t="s">
        <v>1251</v>
      </c>
      <c r="B362" s="142" t="s">
        <v>1252</v>
      </c>
    </row>
    <row r="363" spans="1:2">
      <c r="A363" s="142" t="s">
        <v>1253</v>
      </c>
      <c r="B363" s="142" t="s">
        <v>1254</v>
      </c>
    </row>
    <row r="364" spans="1:2">
      <c r="A364" s="142" t="s">
        <v>1255</v>
      </c>
      <c r="B364" s="142" t="s">
        <v>1256</v>
      </c>
    </row>
    <row r="365" spans="1:2">
      <c r="A365" s="142" t="s">
        <v>1257</v>
      </c>
      <c r="B365" s="142" t="s">
        <v>1258</v>
      </c>
    </row>
    <row r="366" spans="1:2">
      <c r="A366" s="142" t="s">
        <v>1259</v>
      </c>
      <c r="B366" s="142" t="s">
        <v>1260</v>
      </c>
    </row>
    <row r="367" spans="1:2">
      <c r="A367" s="142" t="s">
        <v>1261</v>
      </c>
      <c r="B367" s="142" t="s">
        <v>1262</v>
      </c>
    </row>
    <row r="368" spans="1:2">
      <c r="A368" s="142" t="s">
        <v>1263</v>
      </c>
      <c r="B368" s="142" t="s">
        <v>1264</v>
      </c>
    </row>
    <row r="369" spans="1:2">
      <c r="A369" s="142" t="s">
        <v>1265</v>
      </c>
      <c r="B369" s="142" t="s">
        <v>1266</v>
      </c>
    </row>
    <row r="370" spans="1:2">
      <c r="A370" s="142" t="s">
        <v>1267</v>
      </c>
      <c r="B370" s="142" t="s">
        <v>1268</v>
      </c>
    </row>
    <row r="371" spans="1:2">
      <c r="A371" s="142" t="s">
        <v>1269</v>
      </c>
      <c r="B371" s="142" t="s">
        <v>1270</v>
      </c>
    </row>
    <row r="372" spans="1:2">
      <c r="A372" s="142" t="s">
        <v>1271</v>
      </c>
      <c r="B372" s="142" t="s">
        <v>1272</v>
      </c>
    </row>
    <row r="373" spans="1:2">
      <c r="A373" s="142" t="s">
        <v>1273</v>
      </c>
      <c r="B373" s="142" t="s">
        <v>1274</v>
      </c>
    </row>
    <row r="374" spans="1:2">
      <c r="A374" s="142" t="s">
        <v>1275</v>
      </c>
      <c r="B374" s="142" t="s">
        <v>1276</v>
      </c>
    </row>
    <row r="375" spans="1:2">
      <c r="A375" s="142" t="s">
        <v>1277</v>
      </c>
      <c r="B375" s="142" t="s">
        <v>1278</v>
      </c>
    </row>
    <row r="376" spans="1:2">
      <c r="A376" s="142" t="s">
        <v>1279</v>
      </c>
      <c r="B376" s="142" t="s">
        <v>1280</v>
      </c>
    </row>
    <row r="377" spans="1:2">
      <c r="A377" s="142" t="s">
        <v>1281</v>
      </c>
      <c r="B377" s="142" t="s">
        <v>1282</v>
      </c>
    </row>
    <row r="378" spans="1:2">
      <c r="A378" s="142" t="s">
        <v>1283</v>
      </c>
      <c r="B378" s="142" t="s">
        <v>1284</v>
      </c>
    </row>
    <row r="379" spans="1:2">
      <c r="A379" s="142" t="s">
        <v>1285</v>
      </c>
      <c r="B379" s="142" t="s">
        <v>1286</v>
      </c>
    </row>
    <row r="380" spans="1:2">
      <c r="A380" s="142" t="s">
        <v>1287</v>
      </c>
      <c r="B380" s="142" t="s">
        <v>1288</v>
      </c>
    </row>
    <row r="381" spans="1:2">
      <c r="A381" s="142" t="s">
        <v>1289</v>
      </c>
      <c r="B381" s="142" t="s">
        <v>1290</v>
      </c>
    </row>
    <row r="382" spans="1:2">
      <c r="A382" s="142" t="s">
        <v>1291</v>
      </c>
      <c r="B382" s="142" t="s">
        <v>1292</v>
      </c>
    </row>
    <row r="383" spans="1:2">
      <c r="A383" s="142" t="s">
        <v>1293</v>
      </c>
      <c r="B383" s="142" t="s">
        <v>1294</v>
      </c>
    </row>
    <row r="384" spans="1:2">
      <c r="A384" s="142" t="s">
        <v>1295</v>
      </c>
      <c r="B384" s="142" t="s">
        <v>1296</v>
      </c>
    </row>
    <row r="385" spans="1:2">
      <c r="A385" s="142" t="s">
        <v>1297</v>
      </c>
      <c r="B385" s="142" t="s">
        <v>1298</v>
      </c>
    </row>
    <row r="386" spans="1:2">
      <c r="A386" s="142" t="s">
        <v>1299</v>
      </c>
      <c r="B386" s="142" t="s">
        <v>1300</v>
      </c>
    </row>
    <row r="387" spans="1:2">
      <c r="A387" s="142" t="s">
        <v>1301</v>
      </c>
      <c r="B387" s="142" t="s">
        <v>1302</v>
      </c>
    </row>
    <row r="388" spans="1:2">
      <c r="A388" s="142" t="s">
        <v>1303</v>
      </c>
      <c r="B388" s="142" t="s">
        <v>1304</v>
      </c>
    </row>
    <row r="389" spans="1:2">
      <c r="A389" s="142" t="s">
        <v>1305</v>
      </c>
      <c r="B389" s="142" t="s">
        <v>1306</v>
      </c>
    </row>
    <row r="390" spans="1:2">
      <c r="A390" s="142" t="s">
        <v>1307</v>
      </c>
      <c r="B390" s="142" t="s">
        <v>1308</v>
      </c>
    </row>
    <row r="391" spans="1:2">
      <c r="A391" s="142" t="s">
        <v>1309</v>
      </c>
      <c r="B391" s="142" t="s">
        <v>1310</v>
      </c>
    </row>
    <row r="392" spans="1:2">
      <c r="A392" s="142" t="s">
        <v>1311</v>
      </c>
      <c r="B392" s="142" t="s">
        <v>1312</v>
      </c>
    </row>
    <row r="393" spans="1:2">
      <c r="A393" s="142" t="s">
        <v>1313</v>
      </c>
      <c r="B393" s="142" t="s">
        <v>1314</v>
      </c>
    </row>
    <row r="394" spans="1:2">
      <c r="A394" s="142" t="s">
        <v>1315</v>
      </c>
      <c r="B394" s="142" t="s">
        <v>1316</v>
      </c>
    </row>
    <row r="395" spans="1:2">
      <c r="A395" s="142" t="s">
        <v>1317</v>
      </c>
      <c r="B395" s="142" t="s">
        <v>1318</v>
      </c>
    </row>
    <row r="396" spans="1:2">
      <c r="A396" s="142" t="s">
        <v>1319</v>
      </c>
      <c r="B396" s="142" t="s">
        <v>1320</v>
      </c>
    </row>
    <row r="397" spans="1:2">
      <c r="A397" s="142" t="s">
        <v>1321</v>
      </c>
      <c r="B397" s="142" t="s">
        <v>1322</v>
      </c>
    </row>
    <row r="398" spans="1:2">
      <c r="A398" s="142" t="s">
        <v>1323</v>
      </c>
      <c r="B398" s="142" t="s">
        <v>1324</v>
      </c>
    </row>
    <row r="399" spans="1:2">
      <c r="A399" s="142" t="s">
        <v>1325</v>
      </c>
      <c r="B399" s="142" t="s">
        <v>1326</v>
      </c>
    </row>
    <row r="400" spans="1:2">
      <c r="A400" s="142" t="s">
        <v>1327</v>
      </c>
      <c r="B400" s="142" t="s">
        <v>1328</v>
      </c>
    </row>
    <row r="401" spans="1:2">
      <c r="A401" s="142" t="s">
        <v>1329</v>
      </c>
      <c r="B401" s="142" t="s">
        <v>1330</v>
      </c>
    </row>
    <row r="402" spans="1:2">
      <c r="A402" s="142" t="s">
        <v>1331</v>
      </c>
      <c r="B402" s="142" t="s">
        <v>1332</v>
      </c>
    </row>
    <row r="403" spans="1:2">
      <c r="A403" s="142" t="s">
        <v>1333</v>
      </c>
      <c r="B403" s="142" t="s">
        <v>1334</v>
      </c>
    </row>
    <row r="404" spans="1:2">
      <c r="A404" s="142" t="s">
        <v>1335</v>
      </c>
      <c r="B404" s="142" t="s">
        <v>1336</v>
      </c>
    </row>
    <row r="405" spans="1:2">
      <c r="A405" s="142" t="s">
        <v>1337</v>
      </c>
      <c r="B405" s="142" t="s">
        <v>1338</v>
      </c>
    </row>
    <row r="406" spans="1:2">
      <c r="A406" s="142" t="s">
        <v>1339</v>
      </c>
      <c r="B406" s="142" t="s">
        <v>1340</v>
      </c>
    </row>
    <row r="407" spans="1:2">
      <c r="A407" s="142" t="s">
        <v>1341</v>
      </c>
      <c r="B407" s="142" t="s">
        <v>1342</v>
      </c>
    </row>
    <row r="408" spans="1:2">
      <c r="A408" s="142" t="s">
        <v>1343</v>
      </c>
      <c r="B408" s="142" t="s">
        <v>1344</v>
      </c>
    </row>
    <row r="409" spans="1:2">
      <c r="A409" s="142" t="s">
        <v>1345</v>
      </c>
      <c r="B409" s="142" t="s">
        <v>1346</v>
      </c>
    </row>
    <row r="410" spans="1:2">
      <c r="A410" s="142" t="s">
        <v>1347</v>
      </c>
      <c r="B410" s="142" t="s">
        <v>1348</v>
      </c>
    </row>
    <row r="411" spans="1:2">
      <c r="A411" s="142" t="s">
        <v>1349</v>
      </c>
      <c r="B411" s="142" t="s">
        <v>1350</v>
      </c>
    </row>
    <row r="412" spans="1:2">
      <c r="A412" s="142" t="s">
        <v>1351</v>
      </c>
      <c r="B412" s="142" t="s">
        <v>1352</v>
      </c>
    </row>
    <row r="413" spans="1:2">
      <c r="A413" s="142" t="s">
        <v>1353</v>
      </c>
      <c r="B413" s="142" t="s">
        <v>1354</v>
      </c>
    </row>
    <row r="414" spans="1:2">
      <c r="A414" s="142" t="s">
        <v>1355</v>
      </c>
      <c r="B414" s="142" t="s">
        <v>1356</v>
      </c>
    </row>
    <row r="415" spans="1:2">
      <c r="A415" s="142" t="s">
        <v>1357</v>
      </c>
      <c r="B415" s="142" t="s">
        <v>1358</v>
      </c>
    </row>
    <row r="416" spans="1:2">
      <c r="A416" s="142" t="s">
        <v>1359</v>
      </c>
      <c r="B416" s="142" t="s">
        <v>1360</v>
      </c>
    </row>
    <row r="417" spans="1:2">
      <c r="A417" s="142" t="s">
        <v>1361</v>
      </c>
      <c r="B417" s="142" t="s">
        <v>1362</v>
      </c>
    </row>
    <row r="418" spans="1:2">
      <c r="A418" s="142" t="s">
        <v>1363</v>
      </c>
      <c r="B418" s="142" t="s">
        <v>1364</v>
      </c>
    </row>
    <row r="419" spans="1:2">
      <c r="A419" s="142" t="s">
        <v>1365</v>
      </c>
      <c r="B419" s="142" t="s">
        <v>1366</v>
      </c>
    </row>
    <row r="420" spans="1:2">
      <c r="A420" s="142" t="s">
        <v>1367</v>
      </c>
      <c r="B420" s="142" t="s">
        <v>1368</v>
      </c>
    </row>
    <row r="421" spans="1:2">
      <c r="A421" s="142" t="s">
        <v>1369</v>
      </c>
      <c r="B421" s="142" t="s">
        <v>1370</v>
      </c>
    </row>
    <row r="422" spans="1:2">
      <c r="A422" s="142" t="s">
        <v>1371</v>
      </c>
      <c r="B422" s="142" t="s">
        <v>1372</v>
      </c>
    </row>
    <row r="423" spans="1:2">
      <c r="A423" s="142" t="s">
        <v>1373</v>
      </c>
      <c r="B423" s="142" t="s">
        <v>1374</v>
      </c>
    </row>
    <row r="424" spans="1:2">
      <c r="A424" s="142" t="s">
        <v>1375</v>
      </c>
      <c r="B424" s="142" t="s">
        <v>1376</v>
      </c>
    </row>
    <row r="425" spans="1:2">
      <c r="A425" s="142" t="s">
        <v>1377</v>
      </c>
      <c r="B425" s="142" t="s">
        <v>1378</v>
      </c>
    </row>
    <row r="426" spans="1:2">
      <c r="A426" s="142" t="s">
        <v>1379</v>
      </c>
      <c r="B426" s="142" t="s">
        <v>1380</v>
      </c>
    </row>
    <row r="427" spans="1:2">
      <c r="A427" s="142" t="s">
        <v>1381</v>
      </c>
      <c r="B427" s="142" t="s">
        <v>1382</v>
      </c>
    </row>
    <row r="428" spans="1:2">
      <c r="A428" s="142" t="s">
        <v>1383</v>
      </c>
      <c r="B428" s="142" t="s">
        <v>1384</v>
      </c>
    </row>
    <row r="429" spans="1:2">
      <c r="A429" s="142" t="s">
        <v>1385</v>
      </c>
      <c r="B429" s="142" t="s">
        <v>1386</v>
      </c>
    </row>
    <row r="430" spans="1:2">
      <c r="A430" s="142" t="s">
        <v>1387</v>
      </c>
      <c r="B430" s="142" t="s">
        <v>1388</v>
      </c>
    </row>
    <row r="431" spans="1:2">
      <c r="A431" s="142" t="s">
        <v>1389</v>
      </c>
      <c r="B431" s="142" t="s">
        <v>1390</v>
      </c>
    </row>
    <row r="432" spans="1:2">
      <c r="A432" s="142" t="s">
        <v>1391</v>
      </c>
      <c r="B432" s="142" t="s">
        <v>1392</v>
      </c>
    </row>
    <row r="433" spans="1:2">
      <c r="A433" s="142" t="s">
        <v>1393</v>
      </c>
      <c r="B433" s="142" t="s">
        <v>1394</v>
      </c>
    </row>
    <row r="434" spans="1:2">
      <c r="A434" s="142" t="s">
        <v>1395</v>
      </c>
      <c r="B434" s="142" t="s">
        <v>1396</v>
      </c>
    </row>
    <row r="435" spans="1:2">
      <c r="A435" s="142" t="s">
        <v>1397</v>
      </c>
      <c r="B435" s="142" t="s">
        <v>1398</v>
      </c>
    </row>
    <row r="436" spans="1:2">
      <c r="A436" s="142" t="s">
        <v>1399</v>
      </c>
      <c r="B436" s="142" t="s">
        <v>1400</v>
      </c>
    </row>
    <row r="437" spans="1:2">
      <c r="A437" s="142" t="s">
        <v>1401</v>
      </c>
      <c r="B437" s="142" t="s">
        <v>1402</v>
      </c>
    </row>
    <row r="438" spans="1:2">
      <c r="A438" s="142" t="s">
        <v>1403</v>
      </c>
      <c r="B438" s="142" t="s">
        <v>1404</v>
      </c>
    </row>
    <row r="439" spans="1:2">
      <c r="A439" s="142" t="s">
        <v>1405</v>
      </c>
      <c r="B439" s="142" t="s">
        <v>1406</v>
      </c>
    </row>
    <row r="440" spans="1:2">
      <c r="A440" s="142" t="s">
        <v>1407</v>
      </c>
      <c r="B440" s="142" t="s">
        <v>1408</v>
      </c>
    </row>
    <row r="441" spans="1:2">
      <c r="A441" s="142" t="s">
        <v>1409</v>
      </c>
      <c r="B441" s="142" t="s">
        <v>1410</v>
      </c>
    </row>
    <row r="442" spans="1:2">
      <c r="A442" s="142" t="s">
        <v>1411</v>
      </c>
      <c r="B442" s="142" t="s">
        <v>1412</v>
      </c>
    </row>
    <row r="443" spans="1:2">
      <c r="A443" s="142" t="s">
        <v>1413</v>
      </c>
      <c r="B443" s="142" t="s">
        <v>1414</v>
      </c>
    </row>
    <row r="444" spans="1:2">
      <c r="A444" s="142" t="s">
        <v>1415</v>
      </c>
      <c r="B444" s="142" t="s">
        <v>1416</v>
      </c>
    </row>
    <row r="445" spans="1:2">
      <c r="A445" s="142" t="s">
        <v>1417</v>
      </c>
      <c r="B445" s="142" t="s">
        <v>1418</v>
      </c>
    </row>
    <row r="446" spans="1:2">
      <c r="A446" s="142" t="s">
        <v>1419</v>
      </c>
      <c r="B446" s="142" t="s">
        <v>1420</v>
      </c>
    </row>
    <row r="447" spans="1:2">
      <c r="A447" s="142" t="s">
        <v>1421</v>
      </c>
      <c r="B447" s="142" t="s">
        <v>1422</v>
      </c>
    </row>
    <row r="448" spans="1:2">
      <c r="A448" s="142" t="s">
        <v>1423</v>
      </c>
      <c r="B448" s="142" t="s">
        <v>1424</v>
      </c>
    </row>
    <row r="449" spans="1:2">
      <c r="A449" s="142" t="s">
        <v>1425</v>
      </c>
      <c r="B449" s="142" t="s">
        <v>1426</v>
      </c>
    </row>
    <row r="450" spans="1:2">
      <c r="A450" s="142" t="s">
        <v>1427</v>
      </c>
      <c r="B450" s="142" t="s">
        <v>1428</v>
      </c>
    </row>
    <row r="451" spans="1:2">
      <c r="A451" s="142" t="s">
        <v>1429</v>
      </c>
      <c r="B451" s="142" t="s">
        <v>1430</v>
      </c>
    </row>
    <row r="452" spans="1:2">
      <c r="A452" s="142" t="s">
        <v>1431</v>
      </c>
      <c r="B452" s="142" t="s">
        <v>1432</v>
      </c>
    </row>
    <row r="453" spans="1:2">
      <c r="A453" s="142" t="s">
        <v>1433</v>
      </c>
      <c r="B453" s="142" t="s">
        <v>1434</v>
      </c>
    </row>
    <row r="454" spans="1:2">
      <c r="A454" s="142" t="s">
        <v>1435</v>
      </c>
      <c r="B454" s="142" t="s">
        <v>1436</v>
      </c>
    </row>
    <row r="455" spans="1:2">
      <c r="A455" s="142" t="s">
        <v>1437</v>
      </c>
      <c r="B455" s="142" t="s">
        <v>1438</v>
      </c>
    </row>
    <row r="456" spans="1:2">
      <c r="A456" s="142" t="s">
        <v>1439</v>
      </c>
      <c r="B456" s="142" t="s">
        <v>1440</v>
      </c>
    </row>
    <row r="457" spans="1:2">
      <c r="A457" s="142" t="s">
        <v>1441</v>
      </c>
      <c r="B457" s="142" t="s">
        <v>1442</v>
      </c>
    </row>
    <row r="458" spans="1:2">
      <c r="A458" s="142" t="s">
        <v>1443</v>
      </c>
      <c r="B458" s="142" t="s">
        <v>1444</v>
      </c>
    </row>
    <row r="459" spans="1:2">
      <c r="A459" s="142" t="s">
        <v>1445</v>
      </c>
      <c r="B459" s="142" t="s">
        <v>1446</v>
      </c>
    </row>
    <row r="460" spans="1:2">
      <c r="A460" s="142" t="s">
        <v>1447</v>
      </c>
      <c r="B460" s="142" t="s">
        <v>1448</v>
      </c>
    </row>
    <row r="461" spans="1:2">
      <c r="A461" s="142" t="s">
        <v>1449</v>
      </c>
      <c r="B461" s="142" t="s">
        <v>1450</v>
      </c>
    </row>
    <row r="462" spans="1:2">
      <c r="A462" s="142" t="s">
        <v>1451</v>
      </c>
      <c r="B462" s="142" t="s">
        <v>1452</v>
      </c>
    </row>
    <row r="463" spans="1:2">
      <c r="A463" s="142" t="s">
        <v>1453</v>
      </c>
      <c r="B463" s="142" t="s">
        <v>1454</v>
      </c>
    </row>
    <row r="464" spans="1:2">
      <c r="A464" s="142" t="s">
        <v>1455</v>
      </c>
      <c r="B464" s="142" t="s">
        <v>1456</v>
      </c>
    </row>
    <row r="465" spans="1:2">
      <c r="A465" s="142" t="s">
        <v>1457</v>
      </c>
      <c r="B465" s="142" t="s">
        <v>1458</v>
      </c>
    </row>
    <row r="466" spans="1:2">
      <c r="A466" s="142" t="s">
        <v>1459</v>
      </c>
      <c r="B466" s="142" t="s">
        <v>1460</v>
      </c>
    </row>
    <row r="467" spans="1:2">
      <c r="A467" s="142" t="s">
        <v>1461</v>
      </c>
      <c r="B467" s="142" t="s">
        <v>1462</v>
      </c>
    </row>
    <row r="468" spans="1:2">
      <c r="A468" s="142" t="s">
        <v>1463</v>
      </c>
      <c r="B468" s="142" t="s">
        <v>1464</v>
      </c>
    </row>
    <row r="469" spans="1:2">
      <c r="A469" s="142" t="s">
        <v>1465</v>
      </c>
      <c r="B469" s="142" t="s">
        <v>1466</v>
      </c>
    </row>
    <row r="470" spans="1:2">
      <c r="A470" s="142" t="s">
        <v>1467</v>
      </c>
      <c r="B470" s="142" t="s">
        <v>1468</v>
      </c>
    </row>
    <row r="471" spans="1:2">
      <c r="A471" s="142" t="s">
        <v>1469</v>
      </c>
      <c r="B471" s="142" t="s">
        <v>1470</v>
      </c>
    </row>
    <row r="472" spans="1:2">
      <c r="A472" s="142" t="s">
        <v>1471</v>
      </c>
      <c r="B472" s="142" t="s">
        <v>1472</v>
      </c>
    </row>
    <row r="473" spans="1:2">
      <c r="A473" s="142" t="s">
        <v>1473</v>
      </c>
      <c r="B473" s="142" t="s">
        <v>1474</v>
      </c>
    </row>
    <row r="474" spans="1:2">
      <c r="A474" s="142" t="s">
        <v>1475</v>
      </c>
      <c r="B474" s="142" t="s">
        <v>1476</v>
      </c>
    </row>
    <row r="475" spans="1:2">
      <c r="A475" s="142" t="s">
        <v>1477</v>
      </c>
      <c r="B475" s="142" t="s">
        <v>1478</v>
      </c>
    </row>
    <row r="476" spans="1:2">
      <c r="A476" s="142" t="s">
        <v>1479</v>
      </c>
      <c r="B476" s="142" t="s">
        <v>1480</v>
      </c>
    </row>
    <row r="477" spans="1:2">
      <c r="A477" s="142" t="s">
        <v>1481</v>
      </c>
      <c r="B477" s="142" t="s">
        <v>1482</v>
      </c>
    </row>
    <row r="478" spans="1:2">
      <c r="A478" s="142" t="s">
        <v>1483</v>
      </c>
      <c r="B478" s="142" t="s">
        <v>1484</v>
      </c>
    </row>
    <row r="479" spans="1:2">
      <c r="A479" s="142" t="s">
        <v>1485</v>
      </c>
      <c r="B479" s="142" t="s">
        <v>1486</v>
      </c>
    </row>
    <row r="480" spans="1:2">
      <c r="A480" s="142" t="s">
        <v>1487</v>
      </c>
      <c r="B480" s="142" t="s">
        <v>1488</v>
      </c>
    </row>
    <row r="481" spans="1:2">
      <c r="A481" s="142" t="s">
        <v>1489</v>
      </c>
      <c r="B481" s="142" t="s">
        <v>1490</v>
      </c>
    </row>
    <row r="482" spans="1:2">
      <c r="A482" s="142" t="s">
        <v>1491</v>
      </c>
      <c r="B482" s="142" t="s">
        <v>1492</v>
      </c>
    </row>
    <row r="483" spans="1:2">
      <c r="A483" s="142" t="s">
        <v>1493</v>
      </c>
      <c r="B483" s="142" t="s">
        <v>1494</v>
      </c>
    </row>
    <row r="484" spans="1:2">
      <c r="A484" s="142" t="s">
        <v>1495</v>
      </c>
      <c r="B484" s="142" t="s">
        <v>1496</v>
      </c>
    </row>
    <row r="485" spans="1:2">
      <c r="A485" s="142" t="s">
        <v>1497</v>
      </c>
      <c r="B485" s="142" t="s">
        <v>1498</v>
      </c>
    </row>
    <row r="486" spans="1:2">
      <c r="A486" s="142" t="s">
        <v>1499</v>
      </c>
      <c r="B486" s="142" t="s">
        <v>1500</v>
      </c>
    </row>
    <row r="487" spans="1:2">
      <c r="A487" s="142" t="s">
        <v>1501</v>
      </c>
      <c r="B487" s="142" t="s">
        <v>1502</v>
      </c>
    </row>
    <row r="488" spans="1:2">
      <c r="A488" s="142" t="s">
        <v>1503</v>
      </c>
      <c r="B488" s="142" t="s">
        <v>1504</v>
      </c>
    </row>
    <row r="489" spans="1:2">
      <c r="A489" s="142" t="s">
        <v>1505</v>
      </c>
      <c r="B489" s="142" t="s">
        <v>1506</v>
      </c>
    </row>
    <row r="490" spans="1:2">
      <c r="A490" s="142" t="s">
        <v>1507</v>
      </c>
      <c r="B490" s="142" t="s">
        <v>1508</v>
      </c>
    </row>
    <row r="491" spans="1:2">
      <c r="A491" s="142" t="s">
        <v>1509</v>
      </c>
      <c r="B491" s="142" t="s">
        <v>1510</v>
      </c>
    </row>
    <row r="492" spans="1:2">
      <c r="A492" s="142" t="s">
        <v>1511</v>
      </c>
      <c r="B492" s="142" t="s">
        <v>1512</v>
      </c>
    </row>
    <row r="493" spans="1:2">
      <c r="A493" s="142" t="s">
        <v>1513</v>
      </c>
      <c r="B493" s="142" t="s">
        <v>1514</v>
      </c>
    </row>
    <row r="494" spans="1:2">
      <c r="A494" s="142" t="s">
        <v>1515</v>
      </c>
      <c r="B494" s="142" t="s">
        <v>1516</v>
      </c>
    </row>
    <row r="495" spans="1:2">
      <c r="A495" s="142" t="s">
        <v>1517</v>
      </c>
      <c r="B495" s="142" t="s">
        <v>1518</v>
      </c>
    </row>
    <row r="496" spans="1:2">
      <c r="A496" s="142" t="s">
        <v>1519</v>
      </c>
      <c r="B496" s="142" t="s">
        <v>1520</v>
      </c>
    </row>
    <row r="497" spans="1:2">
      <c r="A497" s="142" t="s">
        <v>1521</v>
      </c>
      <c r="B497" s="142" t="s">
        <v>1522</v>
      </c>
    </row>
    <row r="498" spans="1:2">
      <c r="A498" s="142" t="s">
        <v>1523</v>
      </c>
      <c r="B498" s="142" t="s">
        <v>1524</v>
      </c>
    </row>
    <row r="499" spans="1:2">
      <c r="A499" s="142" t="s">
        <v>1525</v>
      </c>
      <c r="B499" s="142" t="s">
        <v>1526</v>
      </c>
    </row>
    <row r="500" spans="1:2">
      <c r="A500" s="142" t="s">
        <v>1527</v>
      </c>
      <c r="B500" s="142" t="s">
        <v>1528</v>
      </c>
    </row>
    <row r="501" spans="1:2">
      <c r="A501" s="142" t="s">
        <v>1529</v>
      </c>
      <c r="B501" s="142" t="s">
        <v>277</v>
      </c>
    </row>
    <row r="502" spans="1:2">
      <c r="A502" s="142" t="s">
        <v>1530</v>
      </c>
      <c r="B502" s="142" t="s">
        <v>1531</v>
      </c>
    </row>
    <row r="503" spans="1:2">
      <c r="A503" s="142" t="s">
        <v>1532</v>
      </c>
      <c r="B503" s="142" t="s">
        <v>1533</v>
      </c>
    </row>
    <row r="504" spans="1:2">
      <c r="A504" s="142" t="s">
        <v>1534</v>
      </c>
      <c r="B504" s="142" t="s">
        <v>1535</v>
      </c>
    </row>
    <row r="505" spans="1:2">
      <c r="A505" s="142" t="s">
        <v>1536</v>
      </c>
      <c r="B505" s="142" t="s">
        <v>1537</v>
      </c>
    </row>
    <row r="506" spans="1:2">
      <c r="A506" s="142" t="s">
        <v>1538</v>
      </c>
      <c r="B506" s="142" t="s">
        <v>1539</v>
      </c>
    </row>
    <row r="507" spans="1:2">
      <c r="A507" s="142" t="s">
        <v>1540</v>
      </c>
      <c r="B507" s="142" t="s">
        <v>1541</v>
      </c>
    </row>
    <row r="508" spans="1:2">
      <c r="A508" s="142" t="s">
        <v>1542</v>
      </c>
      <c r="B508" s="142" t="s">
        <v>1543</v>
      </c>
    </row>
    <row r="509" spans="1:2">
      <c r="A509" s="142" t="s">
        <v>1544</v>
      </c>
      <c r="B509" s="142" t="s">
        <v>1545</v>
      </c>
    </row>
    <row r="510" spans="1:2">
      <c r="A510" s="142" t="s">
        <v>1546</v>
      </c>
      <c r="B510" s="142" t="s">
        <v>1547</v>
      </c>
    </row>
    <row r="511" spans="1:2">
      <c r="A511" s="142" t="s">
        <v>1548</v>
      </c>
      <c r="B511" s="142" t="s">
        <v>1549</v>
      </c>
    </row>
    <row r="512" spans="1:2">
      <c r="A512" s="142" t="s">
        <v>1550</v>
      </c>
      <c r="B512" s="142" t="s">
        <v>1551</v>
      </c>
    </row>
    <row r="513" spans="1:2">
      <c r="A513" s="142" t="s">
        <v>1552</v>
      </c>
      <c r="B513" s="142" t="s">
        <v>1553</v>
      </c>
    </row>
    <row r="514" spans="1:2">
      <c r="A514" s="142" t="s">
        <v>1554</v>
      </c>
      <c r="B514" s="142" t="s">
        <v>1555</v>
      </c>
    </row>
    <row r="515" spans="1:2">
      <c r="A515" s="142" t="s">
        <v>1556</v>
      </c>
      <c r="B515" s="142" t="s">
        <v>1557</v>
      </c>
    </row>
    <row r="516" spans="1:2">
      <c r="A516" s="142" t="s">
        <v>1558</v>
      </c>
      <c r="B516" s="142" t="s">
        <v>1559</v>
      </c>
    </row>
    <row r="517" spans="1:2">
      <c r="A517" s="142" t="s">
        <v>1560</v>
      </c>
      <c r="B517" s="142" t="s">
        <v>1561</v>
      </c>
    </row>
    <row r="518" spans="1:2">
      <c r="A518" s="142" t="s">
        <v>1562</v>
      </c>
      <c r="B518" s="142" t="s">
        <v>1563</v>
      </c>
    </row>
    <row r="519" spans="1:2">
      <c r="A519" s="142" t="s">
        <v>1564</v>
      </c>
      <c r="B519" s="142" t="s">
        <v>1565</v>
      </c>
    </row>
    <row r="520" spans="1:2">
      <c r="A520" s="142" t="s">
        <v>1566</v>
      </c>
      <c r="B520" s="142" t="s">
        <v>1567</v>
      </c>
    </row>
    <row r="521" spans="1:2">
      <c r="A521" s="142" t="s">
        <v>1568</v>
      </c>
      <c r="B521" s="142" t="s">
        <v>1569</v>
      </c>
    </row>
    <row r="522" spans="1:2">
      <c r="A522" s="142" t="s">
        <v>1570</v>
      </c>
      <c r="B522" s="142" t="s">
        <v>1571</v>
      </c>
    </row>
    <row r="523" spans="1:2">
      <c r="A523" s="142" t="s">
        <v>1572</v>
      </c>
      <c r="B523" s="142" t="s">
        <v>1573</v>
      </c>
    </row>
    <row r="524" spans="1:2">
      <c r="A524" s="142" t="s">
        <v>1574</v>
      </c>
      <c r="B524" s="142" t="s">
        <v>1575</v>
      </c>
    </row>
    <row r="525" spans="1:2">
      <c r="A525" s="142" t="s">
        <v>1576</v>
      </c>
      <c r="B525" s="142" t="s">
        <v>1577</v>
      </c>
    </row>
    <row r="526" spans="1:2">
      <c r="A526" s="142" t="s">
        <v>1578</v>
      </c>
      <c r="B526" s="142" t="s">
        <v>1579</v>
      </c>
    </row>
    <row r="527" spans="1:2">
      <c r="A527" s="142" t="s">
        <v>1580</v>
      </c>
      <c r="B527" s="142" t="s">
        <v>1581</v>
      </c>
    </row>
    <row r="528" spans="1:2">
      <c r="A528" s="142" t="s">
        <v>1582</v>
      </c>
      <c r="B528" s="142" t="s">
        <v>1583</v>
      </c>
    </row>
    <row r="529" spans="1:2">
      <c r="A529" s="142" t="s">
        <v>1584</v>
      </c>
      <c r="B529" s="142" t="s">
        <v>1585</v>
      </c>
    </row>
    <row r="530" spans="1:2">
      <c r="A530" s="142" t="s">
        <v>1586</v>
      </c>
      <c r="B530" s="142" t="s">
        <v>1587</v>
      </c>
    </row>
    <row r="531" spans="1:2">
      <c r="A531" s="142" t="s">
        <v>1588</v>
      </c>
      <c r="B531" s="142" t="s">
        <v>1589</v>
      </c>
    </row>
    <row r="532" spans="1:2">
      <c r="A532" s="142" t="s">
        <v>1590</v>
      </c>
      <c r="B532" s="142" t="s">
        <v>1591</v>
      </c>
    </row>
    <row r="533" spans="1:2">
      <c r="A533" s="142" t="s">
        <v>1592</v>
      </c>
      <c r="B533" s="142" t="s">
        <v>1593</v>
      </c>
    </row>
    <row r="534" spans="1:2">
      <c r="A534" s="142" t="s">
        <v>1594</v>
      </c>
      <c r="B534" s="142" t="s">
        <v>1595</v>
      </c>
    </row>
    <row r="535" spans="1:2">
      <c r="A535" s="142" t="s">
        <v>1596</v>
      </c>
      <c r="B535" s="142" t="s">
        <v>1597</v>
      </c>
    </row>
    <row r="536" spans="1:2">
      <c r="A536" s="142" t="s">
        <v>1598</v>
      </c>
      <c r="B536" s="142" t="s">
        <v>1599</v>
      </c>
    </row>
    <row r="537" spans="1:2">
      <c r="A537" s="142" t="s">
        <v>1600</v>
      </c>
      <c r="B537" s="142" t="s">
        <v>1601</v>
      </c>
    </row>
    <row r="538" spans="1:2">
      <c r="A538" s="142" t="s">
        <v>1602</v>
      </c>
      <c r="B538" s="142" t="s">
        <v>1603</v>
      </c>
    </row>
    <row r="539" spans="1:2">
      <c r="A539" s="142" t="s">
        <v>1604</v>
      </c>
      <c r="B539" s="142" t="s">
        <v>1605</v>
      </c>
    </row>
    <row r="540" spans="1:2">
      <c r="A540" s="142" t="s">
        <v>1606</v>
      </c>
      <c r="B540" s="142" t="s">
        <v>1607</v>
      </c>
    </row>
    <row r="541" spans="1:2">
      <c r="A541" s="142" t="s">
        <v>1608</v>
      </c>
      <c r="B541" s="142" t="s">
        <v>1609</v>
      </c>
    </row>
    <row r="542" spans="1:2">
      <c r="A542" s="142" t="s">
        <v>1610</v>
      </c>
      <c r="B542" s="142" t="s">
        <v>1611</v>
      </c>
    </row>
    <row r="543" spans="1:2">
      <c r="A543" s="142" t="s">
        <v>1612</v>
      </c>
      <c r="B543" s="142" t="s">
        <v>1613</v>
      </c>
    </row>
    <row r="544" spans="1:2">
      <c r="A544" s="142" t="s">
        <v>1614</v>
      </c>
      <c r="B544" s="142" t="s">
        <v>1615</v>
      </c>
    </row>
    <row r="545" spans="1:2">
      <c r="A545" s="142" t="s">
        <v>1616</v>
      </c>
      <c r="B545" s="142" t="s">
        <v>1617</v>
      </c>
    </row>
    <row r="546" spans="1:2">
      <c r="A546" s="142" t="s">
        <v>1618</v>
      </c>
      <c r="B546" s="142" t="s">
        <v>1619</v>
      </c>
    </row>
    <row r="547" spans="1:2">
      <c r="A547" s="142" t="s">
        <v>1620</v>
      </c>
      <c r="B547" s="142" t="s">
        <v>1621</v>
      </c>
    </row>
    <row r="548" spans="1:2">
      <c r="A548" s="142" t="s">
        <v>1622</v>
      </c>
      <c r="B548" s="142" t="s">
        <v>1623</v>
      </c>
    </row>
    <row r="549" spans="1:2">
      <c r="A549" s="142" t="s">
        <v>1624</v>
      </c>
      <c r="B549" s="142" t="s">
        <v>1625</v>
      </c>
    </row>
    <row r="550" spans="1:2">
      <c r="A550" s="142" t="s">
        <v>1626</v>
      </c>
      <c r="B550" s="142" t="s">
        <v>1627</v>
      </c>
    </row>
    <row r="551" spans="1:2">
      <c r="A551" s="142" t="s">
        <v>1628</v>
      </c>
      <c r="B551" s="142" t="s">
        <v>1629</v>
      </c>
    </row>
    <row r="552" spans="1:2">
      <c r="A552" s="142" t="s">
        <v>1630</v>
      </c>
      <c r="B552" s="142" t="s">
        <v>1631</v>
      </c>
    </row>
    <row r="553" spans="1:2">
      <c r="A553" s="142" t="s">
        <v>1632</v>
      </c>
      <c r="B553" s="142" t="s">
        <v>1633</v>
      </c>
    </row>
    <row r="554" spans="1:2">
      <c r="A554" s="142" t="s">
        <v>1634</v>
      </c>
      <c r="B554" s="142" t="s">
        <v>1635</v>
      </c>
    </row>
    <row r="555" spans="1:2">
      <c r="A555" s="142" t="s">
        <v>1636</v>
      </c>
      <c r="B555" s="142" t="s">
        <v>1637</v>
      </c>
    </row>
    <row r="556" spans="1:2">
      <c r="A556" s="142" t="s">
        <v>1638</v>
      </c>
      <c r="B556" s="142" t="s">
        <v>1639</v>
      </c>
    </row>
    <row r="557" spans="1:2">
      <c r="A557" s="142" t="s">
        <v>1640</v>
      </c>
      <c r="B557" s="142" t="s">
        <v>1641</v>
      </c>
    </row>
    <row r="558" spans="1:2">
      <c r="A558" s="142" t="s">
        <v>1642</v>
      </c>
      <c r="B558" s="142" t="s">
        <v>1643</v>
      </c>
    </row>
    <row r="559" spans="1:2">
      <c r="A559" s="142" t="s">
        <v>1644</v>
      </c>
      <c r="B559" s="142" t="s">
        <v>1645</v>
      </c>
    </row>
    <row r="560" spans="1:2">
      <c r="A560" s="142" t="s">
        <v>1646</v>
      </c>
      <c r="B560" s="142" t="s">
        <v>1647</v>
      </c>
    </row>
    <row r="561" spans="1:2">
      <c r="A561" s="142" t="s">
        <v>1648</v>
      </c>
      <c r="B561" s="142" t="s">
        <v>1649</v>
      </c>
    </row>
    <row r="562" spans="1:2">
      <c r="A562" s="142" t="s">
        <v>1650</v>
      </c>
      <c r="B562" s="142" t="s">
        <v>1651</v>
      </c>
    </row>
    <row r="563" spans="1:2">
      <c r="A563" s="142" t="s">
        <v>1652</v>
      </c>
      <c r="B563" s="142" t="s">
        <v>1653</v>
      </c>
    </row>
    <row r="564" spans="1:2">
      <c r="A564" s="142" t="s">
        <v>1654</v>
      </c>
      <c r="B564" s="142" t="s">
        <v>1655</v>
      </c>
    </row>
    <row r="565" spans="1:2">
      <c r="A565" s="142" t="s">
        <v>1656</v>
      </c>
      <c r="B565" s="142" t="s">
        <v>1657</v>
      </c>
    </row>
    <row r="566" spans="1:2">
      <c r="A566" s="142" t="s">
        <v>1658</v>
      </c>
      <c r="B566" s="142" t="s">
        <v>1659</v>
      </c>
    </row>
    <row r="567" spans="1:2">
      <c r="A567" s="142" t="s">
        <v>1660</v>
      </c>
      <c r="B567" s="142" t="s">
        <v>1661</v>
      </c>
    </row>
    <row r="568" spans="1:2">
      <c r="A568" s="142" t="s">
        <v>1662</v>
      </c>
      <c r="B568" s="142" t="s">
        <v>1663</v>
      </c>
    </row>
    <row r="569" spans="1:2">
      <c r="A569" s="142" t="s">
        <v>1664</v>
      </c>
      <c r="B569" s="142" t="s">
        <v>1665</v>
      </c>
    </row>
    <row r="570" spans="1:2">
      <c r="A570" s="142" t="s">
        <v>1666</v>
      </c>
      <c r="B570" s="142" t="s">
        <v>1667</v>
      </c>
    </row>
    <row r="571" spans="1:2">
      <c r="A571" s="142" t="s">
        <v>1668</v>
      </c>
      <c r="B571" s="142" t="s">
        <v>1669</v>
      </c>
    </row>
    <row r="572" spans="1:2">
      <c r="A572" s="142" t="s">
        <v>1670</v>
      </c>
      <c r="B572" s="142" t="s">
        <v>1671</v>
      </c>
    </row>
    <row r="573" spans="1:2">
      <c r="A573" s="142" t="s">
        <v>1672</v>
      </c>
      <c r="B573" s="142" t="s">
        <v>1673</v>
      </c>
    </row>
    <row r="574" spans="1:2">
      <c r="A574" s="142" t="s">
        <v>1674</v>
      </c>
      <c r="B574" s="142" t="s">
        <v>1675</v>
      </c>
    </row>
    <row r="575" spans="1:2">
      <c r="A575" s="142" t="s">
        <v>1676</v>
      </c>
      <c r="B575" s="142" t="s">
        <v>1677</v>
      </c>
    </row>
    <row r="576" spans="1:2">
      <c r="A576" s="142" t="s">
        <v>1678</v>
      </c>
      <c r="B576" s="142" t="s">
        <v>1679</v>
      </c>
    </row>
    <row r="577" spans="1:2">
      <c r="A577" s="142" t="s">
        <v>1680</v>
      </c>
      <c r="B577" s="142" t="s">
        <v>1681</v>
      </c>
    </row>
    <row r="578" spans="1:2">
      <c r="A578" s="142" t="s">
        <v>1682</v>
      </c>
      <c r="B578" s="142" t="s">
        <v>1683</v>
      </c>
    </row>
    <row r="579" spans="1:2">
      <c r="A579" s="142" t="s">
        <v>1684</v>
      </c>
      <c r="B579" s="142" t="s">
        <v>1685</v>
      </c>
    </row>
    <row r="580" spans="1:2">
      <c r="A580" s="142" t="s">
        <v>1686</v>
      </c>
      <c r="B580" s="142" t="s">
        <v>1687</v>
      </c>
    </row>
    <row r="581" spans="1:2">
      <c r="A581" s="142" t="s">
        <v>1688</v>
      </c>
      <c r="B581" s="142" t="s">
        <v>1689</v>
      </c>
    </row>
    <row r="582" spans="1:2">
      <c r="A582" s="142" t="s">
        <v>1690</v>
      </c>
      <c r="B582" s="142" t="s">
        <v>1691</v>
      </c>
    </row>
    <row r="583" spans="1:2">
      <c r="A583" s="142" t="s">
        <v>1692</v>
      </c>
      <c r="B583" s="142" t="s">
        <v>1693</v>
      </c>
    </row>
    <row r="584" spans="1:2">
      <c r="A584" s="142" t="s">
        <v>1694</v>
      </c>
      <c r="B584" s="142" t="s">
        <v>1695</v>
      </c>
    </row>
    <row r="585" spans="1:2">
      <c r="A585" s="142" t="s">
        <v>1696</v>
      </c>
      <c r="B585" s="142" t="s">
        <v>1697</v>
      </c>
    </row>
    <row r="586" spans="1:2">
      <c r="A586" s="142" t="s">
        <v>1698</v>
      </c>
      <c r="B586" s="142" t="s">
        <v>1699</v>
      </c>
    </row>
    <row r="587" spans="1:2">
      <c r="A587" s="142" t="s">
        <v>1700</v>
      </c>
      <c r="B587" s="142" t="s">
        <v>1701</v>
      </c>
    </row>
    <row r="588" spans="1:2">
      <c r="A588" s="142" t="s">
        <v>1702</v>
      </c>
      <c r="B588" s="142" t="s">
        <v>119</v>
      </c>
    </row>
    <row r="589" spans="1:2">
      <c r="A589" s="142" t="s">
        <v>1703</v>
      </c>
      <c r="B589" s="142" t="s">
        <v>1704</v>
      </c>
    </row>
    <row r="590" spans="1:2">
      <c r="A590" s="142" t="s">
        <v>1705</v>
      </c>
      <c r="B590" s="142" t="s">
        <v>1706</v>
      </c>
    </row>
    <row r="591" spans="1:2">
      <c r="A591" s="142" t="s">
        <v>1707</v>
      </c>
      <c r="B591" s="142" t="s">
        <v>1708</v>
      </c>
    </row>
    <row r="592" spans="1:2">
      <c r="A592" s="142" t="s">
        <v>1709</v>
      </c>
      <c r="B592" s="142" t="s">
        <v>1710</v>
      </c>
    </row>
    <row r="593" spans="1:2">
      <c r="A593" s="142" t="s">
        <v>1711</v>
      </c>
      <c r="B593" s="142" t="s">
        <v>1712</v>
      </c>
    </row>
    <row r="594" spans="1:2">
      <c r="A594" s="142" t="s">
        <v>1713</v>
      </c>
      <c r="B594" s="142" t="s">
        <v>1714</v>
      </c>
    </row>
    <row r="595" spans="1:2">
      <c r="A595" s="142" t="s">
        <v>1715</v>
      </c>
      <c r="B595" s="142" t="s">
        <v>1716</v>
      </c>
    </row>
    <row r="596" spans="1:2">
      <c r="A596" s="142" t="s">
        <v>1717</v>
      </c>
      <c r="B596" s="142" t="s">
        <v>1718</v>
      </c>
    </row>
    <row r="597" spans="1:2">
      <c r="A597" s="142" t="s">
        <v>1719</v>
      </c>
      <c r="B597" s="142" t="s">
        <v>1720</v>
      </c>
    </row>
    <row r="598" spans="1:2">
      <c r="A598" s="142" t="s">
        <v>1721</v>
      </c>
      <c r="B598" s="142" t="s">
        <v>1722</v>
      </c>
    </row>
    <row r="599" spans="1:2">
      <c r="A599" s="142" t="s">
        <v>1723</v>
      </c>
      <c r="B599" s="142" t="s">
        <v>1724</v>
      </c>
    </row>
    <row r="600" spans="1:2">
      <c r="A600" s="142" t="s">
        <v>1725</v>
      </c>
      <c r="B600" s="142" t="s">
        <v>1726</v>
      </c>
    </row>
    <row r="601" spans="1:2">
      <c r="A601" s="142" t="s">
        <v>1727</v>
      </c>
      <c r="B601" s="142" t="s">
        <v>1728</v>
      </c>
    </row>
    <row r="602" spans="1:2">
      <c r="A602" s="142" t="s">
        <v>1729</v>
      </c>
      <c r="B602" s="142" t="s">
        <v>1730</v>
      </c>
    </row>
    <row r="603" spans="1:2">
      <c r="A603" s="142" t="s">
        <v>1731</v>
      </c>
      <c r="B603" s="142" t="s">
        <v>1732</v>
      </c>
    </row>
    <row r="604" spans="1:2">
      <c r="A604" s="142" t="s">
        <v>1733</v>
      </c>
      <c r="B604" s="142" t="s">
        <v>1734</v>
      </c>
    </row>
    <row r="605" spans="1:2">
      <c r="A605" s="142" t="s">
        <v>1735</v>
      </c>
      <c r="B605" s="142" t="s">
        <v>1736</v>
      </c>
    </row>
    <row r="606" spans="1:2">
      <c r="A606" s="142" t="s">
        <v>1737</v>
      </c>
      <c r="B606" s="142" t="s">
        <v>1738</v>
      </c>
    </row>
    <row r="607" spans="1:2">
      <c r="A607" s="142" t="s">
        <v>1739</v>
      </c>
      <c r="B607" s="142" t="s">
        <v>1740</v>
      </c>
    </row>
    <row r="608" spans="1:2">
      <c r="A608" s="142" t="s">
        <v>1741</v>
      </c>
      <c r="B608" s="142" t="s">
        <v>1742</v>
      </c>
    </row>
    <row r="609" spans="1:2">
      <c r="A609" s="142" t="s">
        <v>1743</v>
      </c>
      <c r="B609" s="142" t="s">
        <v>1744</v>
      </c>
    </row>
    <row r="610" spans="1:2">
      <c r="A610" s="142" t="s">
        <v>1745</v>
      </c>
      <c r="B610" s="142" t="s">
        <v>1746</v>
      </c>
    </row>
    <row r="611" spans="1:2">
      <c r="A611" s="142" t="s">
        <v>1747</v>
      </c>
      <c r="B611" s="142" t="s">
        <v>1748</v>
      </c>
    </row>
    <row r="612" spans="1:2">
      <c r="A612" s="142" t="s">
        <v>1749</v>
      </c>
      <c r="B612" s="142" t="s">
        <v>1750</v>
      </c>
    </row>
    <row r="613" spans="1:2">
      <c r="A613" s="142" t="s">
        <v>1751</v>
      </c>
      <c r="B613" s="142" t="s">
        <v>1752</v>
      </c>
    </row>
    <row r="614" spans="1:2">
      <c r="A614" s="142" t="s">
        <v>1753</v>
      </c>
      <c r="B614" s="142" t="s">
        <v>1754</v>
      </c>
    </row>
    <row r="615" spans="1:2">
      <c r="A615" s="142" t="s">
        <v>1755</v>
      </c>
      <c r="B615" s="142" t="s">
        <v>1756</v>
      </c>
    </row>
    <row r="616" spans="1:2">
      <c r="A616" s="142" t="s">
        <v>1757</v>
      </c>
      <c r="B616" s="142" t="s">
        <v>1758</v>
      </c>
    </row>
    <row r="617" spans="1:2">
      <c r="A617" s="142" t="s">
        <v>1759</v>
      </c>
      <c r="B617" s="142" t="s">
        <v>1760</v>
      </c>
    </row>
    <row r="618" spans="1:2">
      <c r="A618" s="142" t="s">
        <v>1761</v>
      </c>
      <c r="B618" s="142" t="s">
        <v>1762</v>
      </c>
    </row>
    <row r="619" spans="1:2">
      <c r="A619" s="142" t="s">
        <v>1763</v>
      </c>
      <c r="B619" s="142" t="s">
        <v>1764</v>
      </c>
    </row>
    <row r="620" spans="1:2">
      <c r="A620" s="142" t="s">
        <v>1765</v>
      </c>
      <c r="B620" s="142" t="s">
        <v>1766</v>
      </c>
    </row>
    <row r="621" spans="1:2">
      <c r="A621" s="142" t="s">
        <v>1767</v>
      </c>
      <c r="B621" s="142" t="s">
        <v>1768</v>
      </c>
    </row>
    <row r="622" spans="1:2">
      <c r="A622" s="142" t="s">
        <v>1769</v>
      </c>
      <c r="B622" s="142" t="s">
        <v>1770</v>
      </c>
    </row>
    <row r="623" spans="1:2">
      <c r="A623" s="142" t="s">
        <v>1771</v>
      </c>
      <c r="B623" s="142" t="s">
        <v>1772</v>
      </c>
    </row>
    <row r="624" spans="1:2">
      <c r="A624" s="142" t="s">
        <v>1773</v>
      </c>
      <c r="B624" s="142" t="s">
        <v>1774</v>
      </c>
    </row>
    <row r="625" spans="1:2">
      <c r="A625" s="142" t="s">
        <v>1775</v>
      </c>
      <c r="B625" s="142" t="s">
        <v>1776</v>
      </c>
    </row>
    <row r="626" spans="1:2">
      <c r="A626" s="142" t="s">
        <v>1777</v>
      </c>
      <c r="B626" s="142" t="s">
        <v>1778</v>
      </c>
    </row>
    <row r="627" spans="1:2">
      <c r="A627" s="142" t="s">
        <v>1779</v>
      </c>
      <c r="B627" s="142" t="s">
        <v>282</v>
      </c>
    </row>
    <row r="628" spans="1:2">
      <c r="A628" s="142" t="s">
        <v>1780</v>
      </c>
      <c r="B628" s="142" t="s">
        <v>1781</v>
      </c>
    </row>
    <row r="629" spans="1:2">
      <c r="A629" s="142" t="s">
        <v>1782</v>
      </c>
      <c r="B629" s="142" t="s">
        <v>1783</v>
      </c>
    </row>
    <row r="630" spans="1:2">
      <c r="A630" s="142" t="s">
        <v>1784</v>
      </c>
      <c r="B630" s="142" t="s">
        <v>1785</v>
      </c>
    </row>
    <row r="631" spans="1:2">
      <c r="A631" s="142" t="s">
        <v>1786</v>
      </c>
      <c r="B631" s="142" t="s">
        <v>1787</v>
      </c>
    </row>
    <row r="632" spans="1:2">
      <c r="A632" s="142" t="s">
        <v>1788</v>
      </c>
      <c r="B632" s="142" t="s">
        <v>1789</v>
      </c>
    </row>
    <row r="633" spans="1:2">
      <c r="A633" s="142" t="s">
        <v>1790</v>
      </c>
      <c r="B633" s="142" t="s">
        <v>1791</v>
      </c>
    </row>
    <row r="634" spans="1:2">
      <c r="A634" s="142" t="s">
        <v>1792</v>
      </c>
      <c r="B634" s="142" t="s">
        <v>1793</v>
      </c>
    </row>
    <row r="635" spans="1:2">
      <c r="A635" s="142" t="s">
        <v>1794</v>
      </c>
      <c r="B635" s="142" t="s">
        <v>1795</v>
      </c>
    </row>
    <row r="636" spans="1:2">
      <c r="A636" s="142" t="s">
        <v>1796</v>
      </c>
      <c r="B636" s="142" t="s">
        <v>1797</v>
      </c>
    </row>
    <row r="637" spans="1:2">
      <c r="A637" s="142" t="s">
        <v>1798</v>
      </c>
      <c r="B637" s="142" t="s">
        <v>1799</v>
      </c>
    </row>
    <row r="638" spans="1:2">
      <c r="A638" s="142" t="s">
        <v>1800</v>
      </c>
      <c r="B638" s="142" t="s">
        <v>1801</v>
      </c>
    </row>
    <row r="639" spans="1:2">
      <c r="A639" s="142" t="s">
        <v>1802</v>
      </c>
      <c r="B639" s="142" t="s">
        <v>1803</v>
      </c>
    </row>
    <row r="640" spans="1:2">
      <c r="A640" s="142" t="s">
        <v>1804</v>
      </c>
      <c r="B640" s="142" t="s">
        <v>1805</v>
      </c>
    </row>
    <row r="641" spans="1:2">
      <c r="A641" s="142" t="s">
        <v>1806</v>
      </c>
      <c r="B641" s="142" t="s">
        <v>1807</v>
      </c>
    </row>
    <row r="642" spans="1:2">
      <c r="A642" s="142" t="s">
        <v>1808</v>
      </c>
      <c r="B642" s="142" t="s">
        <v>1809</v>
      </c>
    </row>
    <row r="643" spans="1:2">
      <c r="A643" s="142" t="s">
        <v>1810</v>
      </c>
      <c r="B643" s="142" t="s">
        <v>1811</v>
      </c>
    </row>
    <row r="644" spans="1:2">
      <c r="A644" s="142" t="s">
        <v>1812</v>
      </c>
      <c r="B644" s="142" t="s">
        <v>1813</v>
      </c>
    </row>
    <row r="645" spans="1:2">
      <c r="A645" s="142" t="s">
        <v>1814</v>
      </c>
      <c r="B645" s="142" t="s">
        <v>1815</v>
      </c>
    </row>
    <row r="646" spans="1:2">
      <c r="A646" s="142" t="s">
        <v>1816</v>
      </c>
      <c r="B646" s="142" t="s">
        <v>1817</v>
      </c>
    </row>
    <row r="647" spans="1:2">
      <c r="A647" s="142" t="s">
        <v>1818</v>
      </c>
      <c r="B647" s="142" t="s">
        <v>1819</v>
      </c>
    </row>
    <row r="648" spans="1:2">
      <c r="A648" s="142" t="s">
        <v>1820</v>
      </c>
      <c r="B648" s="142" t="s">
        <v>1821</v>
      </c>
    </row>
    <row r="649" spans="1:2">
      <c r="A649" s="142" t="s">
        <v>1822</v>
      </c>
      <c r="B649" s="142" t="s">
        <v>1823</v>
      </c>
    </row>
    <row r="650" spans="1:2">
      <c r="A650" s="142" t="s">
        <v>1824</v>
      </c>
      <c r="B650" s="142" t="s">
        <v>1825</v>
      </c>
    </row>
    <row r="651" spans="1:2">
      <c r="A651" s="142" t="s">
        <v>1826</v>
      </c>
      <c r="B651" s="142" t="s">
        <v>1827</v>
      </c>
    </row>
    <row r="652" spans="1:2">
      <c r="A652" s="142" t="s">
        <v>1828</v>
      </c>
      <c r="B652" s="142" t="s">
        <v>1829</v>
      </c>
    </row>
    <row r="653" spans="1:2">
      <c r="A653" s="142" t="s">
        <v>1830</v>
      </c>
      <c r="B653" s="142" t="s">
        <v>1831</v>
      </c>
    </row>
    <row r="654" spans="1:2">
      <c r="A654" s="142" t="s">
        <v>1832</v>
      </c>
      <c r="B654" s="142" t="s">
        <v>1833</v>
      </c>
    </row>
    <row r="655" spans="1:2">
      <c r="A655" s="142" t="s">
        <v>1834</v>
      </c>
      <c r="B655" s="142" t="s">
        <v>1835</v>
      </c>
    </row>
    <row r="656" spans="1:2">
      <c r="A656" s="142" t="s">
        <v>1836</v>
      </c>
      <c r="B656" s="142" t="s">
        <v>1837</v>
      </c>
    </row>
    <row r="657" spans="1:2">
      <c r="A657" s="142" t="s">
        <v>1838</v>
      </c>
      <c r="B657" s="142" t="s">
        <v>1839</v>
      </c>
    </row>
    <row r="658" spans="1:2">
      <c r="A658" s="142" t="s">
        <v>1840</v>
      </c>
      <c r="B658" s="142" t="s">
        <v>1841</v>
      </c>
    </row>
    <row r="659" spans="1:2">
      <c r="A659" s="142" t="s">
        <v>1842</v>
      </c>
      <c r="B659" s="142" t="s">
        <v>1843</v>
      </c>
    </row>
    <row r="660" spans="1:2">
      <c r="A660" s="142" t="s">
        <v>1844</v>
      </c>
      <c r="B660" s="142" t="s">
        <v>1845</v>
      </c>
    </row>
    <row r="661" spans="1:2">
      <c r="A661" s="142" t="s">
        <v>1846</v>
      </c>
      <c r="B661" s="142" t="s">
        <v>1847</v>
      </c>
    </row>
    <row r="662" spans="1:2">
      <c r="A662" s="142" t="s">
        <v>1848</v>
      </c>
      <c r="B662" s="142" t="s">
        <v>1849</v>
      </c>
    </row>
    <row r="663" spans="1:2">
      <c r="A663" s="142" t="s">
        <v>1850</v>
      </c>
      <c r="B663" s="142" t="s">
        <v>1851</v>
      </c>
    </row>
    <row r="664" spans="1:2">
      <c r="A664" s="142" t="s">
        <v>1852</v>
      </c>
      <c r="B664" s="142" t="s">
        <v>1853</v>
      </c>
    </row>
    <row r="665" spans="1:2">
      <c r="A665" s="142" t="s">
        <v>1854</v>
      </c>
      <c r="B665" s="142" t="s">
        <v>1855</v>
      </c>
    </row>
    <row r="666" spans="1:2">
      <c r="A666" s="142" t="s">
        <v>1856</v>
      </c>
      <c r="B666" s="142" t="s">
        <v>1857</v>
      </c>
    </row>
    <row r="667" spans="1:2">
      <c r="A667" s="142" t="s">
        <v>1858</v>
      </c>
      <c r="B667" s="142" t="s">
        <v>1859</v>
      </c>
    </row>
    <row r="668" spans="1:2">
      <c r="A668" s="142" t="s">
        <v>1860</v>
      </c>
      <c r="B668" s="142" t="s">
        <v>1861</v>
      </c>
    </row>
    <row r="669" spans="1:2">
      <c r="A669" s="142" t="s">
        <v>1862</v>
      </c>
      <c r="B669" s="142" t="s">
        <v>1863</v>
      </c>
    </row>
    <row r="670" spans="1:2">
      <c r="A670" s="142" t="s">
        <v>1864</v>
      </c>
      <c r="B670" s="142" t="s">
        <v>1865</v>
      </c>
    </row>
    <row r="671" spans="1:2">
      <c r="A671" s="142" t="s">
        <v>1866</v>
      </c>
      <c r="B671" s="142" t="s">
        <v>1867</v>
      </c>
    </row>
    <row r="672" spans="1:2">
      <c r="A672" s="142" t="s">
        <v>1868</v>
      </c>
      <c r="B672" s="142" t="s">
        <v>1869</v>
      </c>
    </row>
    <row r="673" spans="1:2">
      <c r="A673" s="142" t="s">
        <v>1870</v>
      </c>
      <c r="B673" s="142" t="s">
        <v>1871</v>
      </c>
    </row>
    <row r="674" spans="1:2">
      <c r="A674" s="142" t="s">
        <v>1872</v>
      </c>
      <c r="B674" s="142" t="s">
        <v>1873</v>
      </c>
    </row>
    <row r="675" spans="1:2">
      <c r="A675" s="142" t="s">
        <v>1874</v>
      </c>
      <c r="B675" s="142" t="s">
        <v>1875</v>
      </c>
    </row>
    <row r="676" spans="1:2">
      <c r="A676" s="142" t="s">
        <v>1876</v>
      </c>
      <c r="B676" s="142" t="s">
        <v>1877</v>
      </c>
    </row>
    <row r="677" spans="1:2">
      <c r="A677" s="142" t="s">
        <v>1878</v>
      </c>
      <c r="B677" s="142" t="s">
        <v>1879</v>
      </c>
    </row>
    <row r="678" spans="1:2">
      <c r="A678" s="142" t="s">
        <v>1880</v>
      </c>
      <c r="B678" s="142" t="s">
        <v>1881</v>
      </c>
    </row>
    <row r="679" spans="1:2">
      <c r="A679" s="142" t="s">
        <v>1882</v>
      </c>
      <c r="B679" s="142" t="s">
        <v>1883</v>
      </c>
    </row>
    <row r="680" spans="1:2">
      <c r="A680" s="142" t="s">
        <v>1884</v>
      </c>
      <c r="B680" s="142" t="s">
        <v>1885</v>
      </c>
    </row>
    <row r="681" spans="1:2">
      <c r="A681" s="142" t="s">
        <v>1886</v>
      </c>
      <c r="B681" s="142" t="s">
        <v>1887</v>
      </c>
    </row>
    <row r="682" spans="1:2">
      <c r="A682" s="142" t="s">
        <v>1888</v>
      </c>
      <c r="B682" s="142" t="s">
        <v>1889</v>
      </c>
    </row>
    <row r="683" spans="1:2">
      <c r="A683" s="142" t="s">
        <v>1890</v>
      </c>
      <c r="B683" s="142" t="s">
        <v>1891</v>
      </c>
    </row>
    <row r="684" spans="1:2">
      <c r="A684" s="142" t="s">
        <v>1892</v>
      </c>
      <c r="B684" s="142" t="s">
        <v>1893</v>
      </c>
    </row>
    <row r="685" spans="1:2">
      <c r="A685" s="142" t="s">
        <v>1894</v>
      </c>
      <c r="B685" s="142" t="s">
        <v>1895</v>
      </c>
    </row>
    <row r="686" spans="1:2">
      <c r="A686" s="142" t="s">
        <v>1896</v>
      </c>
      <c r="B686" s="142" t="s">
        <v>1897</v>
      </c>
    </row>
    <row r="687" spans="1:2">
      <c r="A687" s="142" t="s">
        <v>1898</v>
      </c>
      <c r="B687" s="142" t="s">
        <v>1899</v>
      </c>
    </row>
    <row r="688" spans="1:2">
      <c r="A688" s="142" t="s">
        <v>1900</v>
      </c>
      <c r="B688" s="142" t="s">
        <v>1901</v>
      </c>
    </row>
    <row r="689" spans="1:2">
      <c r="A689" s="142" t="s">
        <v>1902</v>
      </c>
      <c r="B689" s="142" t="s">
        <v>1903</v>
      </c>
    </row>
    <row r="690" spans="1:2">
      <c r="A690" s="142" t="s">
        <v>1904</v>
      </c>
      <c r="B690" s="142" t="s">
        <v>1905</v>
      </c>
    </row>
    <row r="691" spans="1:2">
      <c r="A691" s="142" t="s">
        <v>1906</v>
      </c>
      <c r="B691" s="142" t="s">
        <v>1907</v>
      </c>
    </row>
    <row r="692" spans="1:2">
      <c r="A692" s="142" t="s">
        <v>1908</v>
      </c>
      <c r="B692" s="142" t="s">
        <v>1909</v>
      </c>
    </row>
    <row r="693" spans="1:2">
      <c r="A693" s="142" t="s">
        <v>1910</v>
      </c>
      <c r="B693" s="142" t="s">
        <v>1911</v>
      </c>
    </row>
    <row r="694" spans="1:2">
      <c r="A694" s="142" t="s">
        <v>1912</v>
      </c>
      <c r="B694" s="142" t="s">
        <v>1913</v>
      </c>
    </row>
    <row r="695" spans="1:2">
      <c r="A695" s="142" t="s">
        <v>1914</v>
      </c>
      <c r="B695" s="142" t="s">
        <v>1915</v>
      </c>
    </row>
    <row r="696" spans="1:2">
      <c r="A696" s="142" t="s">
        <v>1916</v>
      </c>
      <c r="B696" s="142" t="s">
        <v>1917</v>
      </c>
    </row>
    <row r="697" spans="1:2">
      <c r="A697" s="142" t="s">
        <v>1918</v>
      </c>
      <c r="B697" s="142" t="s">
        <v>1919</v>
      </c>
    </row>
    <row r="698" spans="1:2">
      <c r="A698" s="142" t="s">
        <v>1920</v>
      </c>
      <c r="B698" s="142" t="s">
        <v>1921</v>
      </c>
    </row>
    <row r="699" spans="1:2">
      <c r="A699" s="142" t="s">
        <v>1922</v>
      </c>
      <c r="B699" s="142" t="s">
        <v>1923</v>
      </c>
    </row>
    <row r="700" spans="1:2">
      <c r="A700" s="142" t="s">
        <v>1924</v>
      </c>
      <c r="B700" s="142" t="s">
        <v>1925</v>
      </c>
    </row>
    <row r="701" spans="1:2">
      <c r="A701" s="142" t="s">
        <v>1926</v>
      </c>
      <c r="B701" s="142" t="s">
        <v>1927</v>
      </c>
    </row>
    <row r="702" spans="1:2">
      <c r="A702" s="142" t="s">
        <v>1928</v>
      </c>
      <c r="B702" s="142" t="s">
        <v>1929</v>
      </c>
    </row>
    <row r="703" spans="1:2">
      <c r="A703" s="142" t="s">
        <v>1930</v>
      </c>
      <c r="B703" s="142" t="s">
        <v>1931</v>
      </c>
    </row>
    <row r="704" spans="1:2">
      <c r="A704" s="142" t="s">
        <v>1932</v>
      </c>
      <c r="B704" s="142" t="s">
        <v>1933</v>
      </c>
    </row>
    <row r="705" spans="1:2">
      <c r="A705" s="142" t="s">
        <v>1934</v>
      </c>
      <c r="B705" s="142" t="s">
        <v>1935</v>
      </c>
    </row>
    <row r="706" spans="1:2">
      <c r="A706" s="142" t="s">
        <v>1936</v>
      </c>
      <c r="B706" s="142" t="s">
        <v>1937</v>
      </c>
    </row>
    <row r="707" spans="1:2">
      <c r="A707" s="142" t="s">
        <v>1938</v>
      </c>
      <c r="B707" s="142" t="s">
        <v>1939</v>
      </c>
    </row>
    <row r="708" spans="1:2">
      <c r="A708" s="142" t="s">
        <v>1940</v>
      </c>
      <c r="B708" s="142" t="s">
        <v>1941</v>
      </c>
    </row>
    <row r="709" spans="1:2">
      <c r="A709" s="142" t="s">
        <v>1942</v>
      </c>
      <c r="B709" s="142" t="s">
        <v>1943</v>
      </c>
    </row>
    <row r="710" spans="1:2">
      <c r="A710" s="142" t="s">
        <v>1944</v>
      </c>
      <c r="B710" s="142" t="s">
        <v>1945</v>
      </c>
    </row>
    <row r="711" spans="1:2">
      <c r="A711" s="142" t="s">
        <v>1946</v>
      </c>
      <c r="B711" s="142" t="s">
        <v>1947</v>
      </c>
    </row>
    <row r="712" spans="1:2">
      <c r="A712" s="142" t="s">
        <v>1948</v>
      </c>
      <c r="B712" s="142" t="s">
        <v>1949</v>
      </c>
    </row>
    <row r="713" spans="1:2">
      <c r="A713" s="142" t="s">
        <v>1950</v>
      </c>
      <c r="B713" s="142" t="s">
        <v>1951</v>
      </c>
    </row>
    <row r="714" spans="1:2">
      <c r="A714" s="142" t="s">
        <v>1952</v>
      </c>
      <c r="B714" s="142" t="s">
        <v>1953</v>
      </c>
    </row>
    <row r="715" spans="1:2">
      <c r="A715" s="142" t="s">
        <v>1954</v>
      </c>
      <c r="B715" s="142" t="s">
        <v>1955</v>
      </c>
    </row>
    <row r="716" spans="1:2">
      <c r="A716" s="142" t="s">
        <v>1956</v>
      </c>
      <c r="B716" s="142" t="s">
        <v>1957</v>
      </c>
    </row>
    <row r="717" spans="1:2">
      <c r="A717" s="142" t="s">
        <v>1958</v>
      </c>
      <c r="B717" s="142" t="s">
        <v>1959</v>
      </c>
    </row>
    <row r="718" spans="1:2">
      <c r="A718" s="142" t="s">
        <v>1960</v>
      </c>
      <c r="B718" s="142" t="s">
        <v>1961</v>
      </c>
    </row>
    <row r="719" spans="1:2">
      <c r="A719" s="142" t="s">
        <v>1962</v>
      </c>
      <c r="B719" s="142" t="s">
        <v>1963</v>
      </c>
    </row>
    <row r="720" spans="1:2">
      <c r="A720" s="142" t="s">
        <v>1964</v>
      </c>
      <c r="B720" s="142" t="s">
        <v>1965</v>
      </c>
    </row>
    <row r="721" spans="1:2">
      <c r="A721" s="142" t="s">
        <v>1966</v>
      </c>
      <c r="B721" s="142" t="s">
        <v>1967</v>
      </c>
    </row>
    <row r="722" spans="1:2">
      <c r="A722" s="142" t="s">
        <v>1968</v>
      </c>
      <c r="B722" s="142" t="s">
        <v>1969</v>
      </c>
    </row>
    <row r="723" spans="1:2">
      <c r="A723" s="142" t="s">
        <v>1970</v>
      </c>
      <c r="B723" s="142" t="s">
        <v>1971</v>
      </c>
    </row>
    <row r="724" spans="1:2">
      <c r="A724" s="142" t="s">
        <v>1972</v>
      </c>
      <c r="B724" s="142" t="s">
        <v>1973</v>
      </c>
    </row>
    <row r="725" spans="1:2">
      <c r="A725" s="142" t="s">
        <v>1974</v>
      </c>
      <c r="B725" s="142" t="s">
        <v>1975</v>
      </c>
    </row>
    <row r="726" spans="1:2">
      <c r="A726" s="142" t="s">
        <v>1976</v>
      </c>
      <c r="B726" s="142" t="s">
        <v>1977</v>
      </c>
    </row>
    <row r="727" spans="1:2">
      <c r="A727" s="142" t="s">
        <v>1978</v>
      </c>
      <c r="B727" s="142" t="s">
        <v>1979</v>
      </c>
    </row>
    <row r="728" spans="1:2">
      <c r="A728" s="142" t="s">
        <v>1980</v>
      </c>
      <c r="B728" s="142" t="s">
        <v>1981</v>
      </c>
    </row>
    <row r="729" spans="1:2">
      <c r="A729" s="142" t="s">
        <v>1982</v>
      </c>
      <c r="B729" s="142" t="s">
        <v>1983</v>
      </c>
    </row>
    <row r="730" spans="1:2">
      <c r="A730" s="142" t="s">
        <v>1984</v>
      </c>
      <c r="B730" s="142" t="s">
        <v>1985</v>
      </c>
    </row>
    <row r="731" spans="1:2">
      <c r="A731" s="142" t="s">
        <v>1986</v>
      </c>
      <c r="B731" s="142" t="s">
        <v>1987</v>
      </c>
    </row>
    <row r="732" spans="1:2">
      <c r="A732" s="142" t="s">
        <v>1988</v>
      </c>
      <c r="B732" s="142" t="s">
        <v>1989</v>
      </c>
    </row>
    <row r="733" spans="1:2">
      <c r="A733" s="142" t="s">
        <v>1990</v>
      </c>
      <c r="B733" s="142" t="s">
        <v>1991</v>
      </c>
    </row>
    <row r="734" spans="1:2">
      <c r="A734" s="142" t="s">
        <v>1992</v>
      </c>
      <c r="B734" s="142" t="s">
        <v>1993</v>
      </c>
    </row>
    <row r="735" spans="1:2">
      <c r="A735" s="142" t="s">
        <v>1994</v>
      </c>
      <c r="B735" s="142" t="s">
        <v>1995</v>
      </c>
    </row>
    <row r="736" spans="1:2">
      <c r="A736" s="142" t="s">
        <v>1996</v>
      </c>
      <c r="B736" s="142" t="s">
        <v>1997</v>
      </c>
    </row>
    <row r="737" spans="1:2">
      <c r="A737" s="142" t="s">
        <v>1998</v>
      </c>
      <c r="B737" s="142" t="s">
        <v>1999</v>
      </c>
    </row>
    <row r="738" spans="1:2">
      <c r="A738" s="142" t="s">
        <v>2000</v>
      </c>
      <c r="B738" s="142" t="s">
        <v>2001</v>
      </c>
    </row>
    <row r="739" spans="1:2">
      <c r="A739" s="142" t="s">
        <v>2002</v>
      </c>
      <c r="B739" s="142" t="s">
        <v>2003</v>
      </c>
    </row>
    <row r="740" spans="1:2">
      <c r="A740" s="142" t="s">
        <v>2004</v>
      </c>
      <c r="B740" s="142" t="s">
        <v>2005</v>
      </c>
    </row>
    <row r="741" spans="1:2">
      <c r="A741" s="142" t="s">
        <v>2006</v>
      </c>
      <c r="B741" s="142" t="s">
        <v>2007</v>
      </c>
    </row>
    <row r="742" spans="1:2">
      <c r="A742" s="142" t="s">
        <v>2008</v>
      </c>
      <c r="B742" s="142" t="s">
        <v>2009</v>
      </c>
    </row>
    <row r="743" spans="1:2">
      <c r="A743" s="142" t="s">
        <v>2010</v>
      </c>
      <c r="B743" s="142" t="s">
        <v>2011</v>
      </c>
    </row>
    <row r="744" spans="1:2">
      <c r="A744" s="142" t="s">
        <v>2012</v>
      </c>
      <c r="B744" s="142" t="s">
        <v>2013</v>
      </c>
    </row>
    <row r="745" spans="1:2">
      <c r="A745" s="142" t="s">
        <v>2014</v>
      </c>
      <c r="B745" s="142" t="s">
        <v>2015</v>
      </c>
    </row>
    <row r="746" spans="1:2">
      <c r="A746" s="142" t="s">
        <v>2016</v>
      </c>
      <c r="B746" s="142" t="s">
        <v>2017</v>
      </c>
    </row>
    <row r="747" spans="1:2">
      <c r="A747" s="142" t="s">
        <v>2018</v>
      </c>
      <c r="B747" s="142" t="s">
        <v>2019</v>
      </c>
    </row>
    <row r="748" spans="1:2">
      <c r="A748" s="142" t="s">
        <v>2020</v>
      </c>
      <c r="B748" s="142" t="s">
        <v>2021</v>
      </c>
    </row>
    <row r="749" spans="1:2">
      <c r="A749" s="142" t="s">
        <v>2022</v>
      </c>
      <c r="B749" s="142" t="s">
        <v>2023</v>
      </c>
    </row>
    <row r="750" spans="1:2">
      <c r="A750" s="142" t="s">
        <v>2024</v>
      </c>
      <c r="B750" s="142" t="s">
        <v>2025</v>
      </c>
    </row>
    <row r="751" spans="1:2">
      <c r="A751" s="142" t="s">
        <v>2026</v>
      </c>
      <c r="B751" s="142" t="s">
        <v>2027</v>
      </c>
    </row>
    <row r="752" spans="1:2">
      <c r="A752" s="142" t="s">
        <v>2028</v>
      </c>
      <c r="B752" s="142" t="s">
        <v>2029</v>
      </c>
    </row>
    <row r="753" spans="1:2">
      <c r="A753" s="142" t="s">
        <v>2030</v>
      </c>
      <c r="B753" s="142" t="s">
        <v>2031</v>
      </c>
    </row>
    <row r="754" spans="1:2">
      <c r="A754" s="142" t="s">
        <v>2032</v>
      </c>
      <c r="B754" s="142" t="s">
        <v>2033</v>
      </c>
    </row>
    <row r="755" spans="1:2">
      <c r="A755" s="142" t="s">
        <v>2034</v>
      </c>
      <c r="B755" s="142" t="s">
        <v>2035</v>
      </c>
    </row>
    <row r="756" spans="1:2">
      <c r="A756" s="142" t="s">
        <v>2036</v>
      </c>
      <c r="B756" s="142" t="s">
        <v>2037</v>
      </c>
    </row>
    <row r="757" spans="1:2">
      <c r="A757" s="142" t="s">
        <v>2038</v>
      </c>
      <c r="B757" s="142" t="s">
        <v>2039</v>
      </c>
    </row>
    <row r="758" spans="1:2">
      <c r="A758" s="142" t="s">
        <v>2040</v>
      </c>
      <c r="B758" s="142" t="s">
        <v>2041</v>
      </c>
    </row>
    <row r="759" spans="1:2">
      <c r="A759" s="142" t="s">
        <v>2042</v>
      </c>
      <c r="B759" s="142" t="s">
        <v>2043</v>
      </c>
    </row>
    <row r="760" spans="1:2">
      <c r="A760" s="142" t="s">
        <v>2044</v>
      </c>
      <c r="B760" s="142" t="s">
        <v>2045</v>
      </c>
    </row>
    <row r="761" spans="1:2">
      <c r="A761" s="142" t="s">
        <v>2046</v>
      </c>
      <c r="B761" s="142" t="s">
        <v>2047</v>
      </c>
    </row>
    <row r="762" spans="1:2">
      <c r="A762" s="142" t="s">
        <v>2048</v>
      </c>
      <c r="B762" s="142" t="s">
        <v>2049</v>
      </c>
    </row>
    <row r="763" spans="1:2">
      <c r="A763" s="142" t="s">
        <v>2050</v>
      </c>
      <c r="B763" s="142" t="s">
        <v>2051</v>
      </c>
    </row>
    <row r="764" spans="1:2">
      <c r="A764" s="142" t="s">
        <v>2052</v>
      </c>
      <c r="B764" s="142" t="s">
        <v>2053</v>
      </c>
    </row>
    <row r="765" spans="1:2">
      <c r="A765" s="142" t="s">
        <v>2054</v>
      </c>
      <c r="B765" s="142" t="s">
        <v>2055</v>
      </c>
    </row>
    <row r="766" spans="1:2">
      <c r="A766" s="142" t="s">
        <v>2056</v>
      </c>
      <c r="B766" s="142" t="s">
        <v>2057</v>
      </c>
    </row>
    <row r="767" spans="1:2">
      <c r="A767" s="142" t="s">
        <v>2058</v>
      </c>
      <c r="B767" s="142" t="s">
        <v>2059</v>
      </c>
    </row>
    <row r="768" spans="1:2">
      <c r="A768" s="142" t="s">
        <v>2060</v>
      </c>
      <c r="B768" s="142" t="s">
        <v>2061</v>
      </c>
    </row>
    <row r="769" spans="1:2">
      <c r="A769" s="142" t="s">
        <v>2062</v>
      </c>
      <c r="B769" s="142" t="s">
        <v>2063</v>
      </c>
    </row>
    <row r="770" spans="1:2">
      <c r="A770" s="142" t="s">
        <v>2064</v>
      </c>
      <c r="B770" s="142" t="s">
        <v>2065</v>
      </c>
    </row>
    <row r="771" spans="1:2">
      <c r="A771" s="142" t="s">
        <v>2066</v>
      </c>
      <c r="B771" s="142" t="s">
        <v>2067</v>
      </c>
    </row>
    <row r="772" spans="1:2">
      <c r="A772" s="142" t="s">
        <v>2068</v>
      </c>
      <c r="B772" s="142" t="s">
        <v>2069</v>
      </c>
    </row>
    <row r="773" spans="1:2">
      <c r="A773" s="142" t="s">
        <v>2070</v>
      </c>
      <c r="B773" s="142" t="s">
        <v>2071</v>
      </c>
    </row>
    <row r="774" spans="1:2">
      <c r="A774" s="142" t="s">
        <v>2072</v>
      </c>
      <c r="B774" s="142" t="s">
        <v>2073</v>
      </c>
    </row>
    <row r="775" spans="1:2">
      <c r="A775" s="142" t="s">
        <v>2074</v>
      </c>
      <c r="B775" s="142" t="s">
        <v>2075</v>
      </c>
    </row>
    <row r="776" spans="1:2">
      <c r="A776" s="142" t="s">
        <v>2076</v>
      </c>
      <c r="B776" s="142" t="s">
        <v>2077</v>
      </c>
    </row>
    <row r="777" spans="1:2">
      <c r="A777" s="142" t="s">
        <v>2078</v>
      </c>
      <c r="B777" s="142" t="s">
        <v>2079</v>
      </c>
    </row>
    <row r="778" spans="1:2">
      <c r="A778" s="142" t="s">
        <v>2080</v>
      </c>
      <c r="B778" s="142" t="s">
        <v>2081</v>
      </c>
    </row>
    <row r="779" spans="1:2">
      <c r="A779" s="142" t="s">
        <v>2082</v>
      </c>
      <c r="B779" s="142" t="s">
        <v>2083</v>
      </c>
    </row>
    <row r="780" spans="1:2">
      <c r="A780" s="142" t="s">
        <v>2084</v>
      </c>
      <c r="B780" s="142" t="s">
        <v>2085</v>
      </c>
    </row>
    <row r="781" spans="1:2">
      <c r="A781" s="142" t="s">
        <v>2086</v>
      </c>
      <c r="B781" s="142" t="s">
        <v>2087</v>
      </c>
    </row>
    <row r="782" spans="1:2">
      <c r="A782" s="142" t="s">
        <v>2088</v>
      </c>
      <c r="B782" s="142" t="s">
        <v>2089</v>
      </c>
    </row>
    <row r="783" spans="1:2">
      <c r="A783" s="142" t="s">
        <v>2090</v>
      </c>
      <c r="B783" s="142" t="s">
        <v>2091</v>
      </c>
    </row>
    <row r="784" spans="1:2">
      <c r="A784" s="142" t="s">
        <v>2092</v>
      </c>
      <c r="B784" s="142" t="s">
        <v>2093</v>
      </c>
    </row>
    <row r="785" spans="1:2">
      <c r="A785" s="142" t="s">
        <v>2094</v>
      </c>
      <c r="B785" s="142" t="s">
        <v>2095</v>
      </c>
    </row>
    <row r="786" spans="1:2">
      <c r="A786" s="142" t="s">
        <v>2096</v>
      </c>
      <c r="B786" s="142" t="s">
        <v>2097</v>
      </c>
    </row>
    <row r="787" spans="1:2">
      <c r="A787" s="142" t="s">
        <v>2098</v>
      </c>
      <c r="B787" s="142" t="s">
        <v>2099</v>
      </c>
    </row>
    <row r="788" spans="1:2">
      <c r="A788" s="142" t="s">
        <v>2100</v>
      </c>
      <c r="B788" s="142" t="s">
        <v>2101</v>
      </c>
    </row>
    <row r="789" spans="1:2">
      <c r="A789" s="142" t="s">
        <v>2102</v>
      </c>
      <c r="B789" s="142" t="s">
        <v>2103</v>
      </c>
    </row>
    <row r="790" spans="1:2">
      <c r="A790" s="142" t="s">
        <v>2104</v>
      </c>
      <c r="B790" s="142" t="s">
        <v>2105</v>
      </c>
    </row>
    <row r="791" spans="1:2">
      <c r="A791" s="142" t="s">
        <v>2106</v>
      </c>
      <c r="B791" s="142" t="s">
        <v>2107</v>
      </c>
    </row>
    <row r="792" spans="1:2">
      <c r="A792" s="142" t="s">
        <v>2108</v>
      </c>
      <c r="B792" s="142" t="s">
        <v>2109</v>
      </c>
    </row>
    <row r="793" spans="1:2">
      <c r="A793" s="142" t="s">
        <v>2110</v>
      </c>
      <c r="B793" s="142" t="s">
        <v>2111</v>
      </c>
    </row>
    <row r="794" spans="1:2">
      <c r="A794" s="142" t="s">
        <v>2112</v>
      </c>
      <c r="B794" s="142" t="s">
        <v>2113</v>
      </c>
    </row>
    <row r="795" spans="1:2">
      <c r="A795" s="142" t="s">
        <v>2114</v>
      </c>
      <c r="B795" s="142" t="s">
        <v>2115</v>
      </c>
    </row>
    <row r="796" spans="1:2">
      <c r="A796" s="142" t="s">
        <v>2116</v>
      </c>
      <c r="B796" s="142" t="s">
        <v>2117</v>
      </c>
    </row>
    <row r="797" spans="1:2">
      <c r="A797" s="142" t="s">
        <v>2118</v>
      </c>
      <c r="B797" s="142" t="s">
        <v>2119</v>
      </c>
    </row>
    <row r="798" spans="1:2">
      <c r="A798" s="142" t="s">
        <v>2120</v>
      </c>
      <c r="B798" s="142" t="s">
        <v>2121</v>
      </c>
    </row>
    <row r="799" spans="1:2">
      <c r="A799" s="142" t="s">
        <v>2122</v>
      </c>
      <c r="B799" s="142" t="s">
        <v>2123</v>
      </c>
    </row>
    <row r="800" spans="1:2">
      <c r="A800" s="142" t="s">
        <v>2124</v>
      </c>
      <c r="B800" s="142" t="s">
        <v>2125</v>
      </c>
    </row>
    <row r="801" spans="1:2">
      <c r="A801" s="142" t="s">
        <v>2126</v>
      </c>
      <c r="B801" s="142" t="s">
        <v>2127</v>
      </c>
    </row>
    <row r="802" spans="1:2">
      <c r="A802" s="142" t="s">
        <v>2128</v>
      </c>
      <c r="B802" s="142" t="s">
        <v>2129</v>
      </c>
    </row>
    <row r="803" spans="1:2">
      <c r="A803" s="142" t="s">
        <v>2130</v>
      </c>
      <c r="B803" s="142" t="s">
        <v>2131</v>
      </c>
    </row>
    <row r="804" spans="1:2">
      <c r="A804" s="142" t="s">
        <v>2132</v>
      </c>
      <c r="B804" s="142" t="s">
        <v>2133</v>
      </c>
    </row>
    <row r="805" spans="1:2">
      <c r="A805" s="142" t="s">
        <v>2134</v>
      </c>
      <c r="B805" s="142" t="s">
        <v>2135</v>
      </c>
    </row>
    <row r="806" spans="1:2">
      <c r="A806" s="142" t="s">
        <v>2136</v>
      </c>
      <c r="B806" s="142" t="s">
        <v>2137</v>
      </c>
    </row>
    <row r="807" spans="1:2">
      <c r="A807" s="142" t="s">
        <v>2138</v>
      </c>
      <c r="B807" s="142" t="s">
        <v>2139</v>
      </c>
    </row>
    <row r="808" spans="1:2">
      <c r="A808" s="142" t="s">
        <v>2140</v>
      </c>
      <c r="B808" s="142" t="s">
        <v>2141</v>
      </c>
    </row>
    <row r="809" spans="1:2">
      <c r="A809" s="142" t="s">
        <v>2142</v>
      </c>
      <c r="B809" s="142" t="s">
        <v>2143</v>
      </c>
    </row>
    <row r="810" spans="1:2">
      <c r="A810" s="142" t="s">
        <v>2144</v>
      </c>
      <c r="B810" s="142" t="s">
        <v>2145</v>
      </c>
    </row>
    <row r="811" spans="1:2">
      <c r="A811" s="142" t="s">
        <v>2146</v>
      </c>
      <c r="B811" s="142" t="s">
        <v>2147</v>
      </c>
    </row>
    <row r="812" spans="1:2">
      <c r="A812" s="142" t="s">
        <v>2148</v>
      </c>
      <c r="B812" s="142" t="s">
        <v>2149</v>
      </c>
    </row>
    <row r="813" spans="1:2">
      <c r="A813" s="142" t="s">
        <v>2150</v>
      </c>
      <c r="B813" s="142" t="s">
        <v>2151</v>
      </c>
    </row>
    <row r="814" spans="1:2">
      <c r="A814" s="142" t="s">
        <v>2152</v>
      </c>
      <c r="B814" s="142" t="s">
        <v>2153</v>
      </c>
    </row>
    <row r="815" spans="1:2">
      <c r="A815" s="142" t="s">
        <v>2154</v>
      </c>
      <c r="B815" s="142" t="s">
        <v>2155</v>
      </c>
    </row>
    <row r="816" spans="1:2">
      <c r="A816" s="142" t="s">
        <v>2156</v>
      </c>
      <c r="B816" s="142" t="s">
        <v>2157</v>
      </c>
    </row>
    <row r="817" spans="1:2">
      <c r="A817" s="142" t="s">
        <v>2158</v>
      </c>
      <c r="B817" s="142" t="s">
        <v>2159</v>
      </c>
    </row>
    <row r="818" spans="1:2">
      <c r="A818" s="142" t="s">
        <v>2160</v>
      </c>
      <c r="B818" s="142" t="s">
        <v>2161</v>
      </c>
    </row>
    <row r="819" spans="1:2">
      <c r="A819" s="142" t="s">
        <v>2162</v>
      </c>
      <c r="B819" s="142" t="s">
        <v>2163</v>
      </c>
    </row>
    <row r="820" spans="1:2">
      <c r="A820" s="142" t="s">
        <v>2164</v>
      </c>
      <c r="B820" s="142" t="s">
        <v>2165</v>
      </c>
    </row>
    <row r="821" spans="1:2">
      <c r="A821" s="142" t="s">
        <v>2166</v>
      </c>
      <c r="B821" s="142" t="s">
        <v>2167</v>
      </c>
    </row>
    <row r="822" spans="1:2">
      <c r="A822" s="142" t="s">
        <v>2168</v>
      </c>
      <c r="B822" s="142" t="s">
        <v>2169</v>
      </c>
    </row>
    <row r="823" spans="1:2">
      <c r="A823" s="142" t="s">
        <v>2170</v>
      </c>
      <c r="B823" s="142" t="s">
        <v>2171</v>
      </c>
    </row>
    <row r="824" spans="1:2">
      <c r="A824" s="142" t="s">
        <v>2172</v>
      </c>
      <c r="B824" s="142" t="s">
        <v>2173</v>
      </c>
    </row>
    <row r="825" spans="1:2">
      <c r="A825" s="142" t="s">
        <v>2174</v>
      </c>
      <c r="B825" s="142" t="s">
        <v>2175</v>
      </c>
    </row>
    <row r="826" spans="1:2">
      <c r="A826" s="142" t="s">
        <v>2176</v>
      </c>
      <c r="B826" s="142" t="s">
        <v>2177</v>
      </c>
    </row>
    <row r="827" spans="1:2">
      <c r="A827" s="142" t="s">
        <v>2178</v>
      </c>
      <c r="B827" s="142" t="s">
        <v>2179</v>
      </c>
    </row>
    <row r="828" spans="1:2">
      <c r="A828" s="142" t="s">
        <v>2180</v>
      </c>
      <c r="B828" s="142" t="s">
        <v>2181</v>
      </c>
    </row>
    <row r="829" spans="1:2">
      <c r="A829" s="142" t="s">
        <v>2182</v>
      </c>
      <c r="B829" s="142" t="s">
        <v>2183</v>
      </c>
    </row>
    <row r="830" spans="1:2">
      <c r="A830" s="142" t="s">
        <v>2184</v>
      </c>
      <c r="B830" s="142" t="s">
        <v>2185</v>
      </c>
    </row>
    <row r="831" spans="1:2">
      <c r="A831" s="142" t="s">
        <v>2186</v>
      </c>
      <c r="B831" s="142" t="s">
        <v>2187</v>
      </c>
    </row>
    <row r="832" spans="1:2">
      <c r="A832" s="142" t="s">
        <v>2188</v>
      </c>
      <c r="B832" s="142" t="s">
        <v>2189</v>
      </c>
    </row>
    <row r="833" spans="1:2">
      <c r="A833" s="142" t="s">
        <v>2190</v>
      </c>
      <c r="B833" s="142" t="s">
        <v>2191</v>
      </c>
    </row>
    <row r="834" spans="1:2">
      <c r="A834" s="142" t="s">
        <v>2192</v>
      </c>
      <c r="B834" s="142" t="s">
        <v>2193</v>
      </c>
    </row>
    <row r="835" spans="1:2">
      <c r="A835" s="142" t="s">
        <v>2194</v>
      </c>
      <c r="B835" s="142" t="s">
        <v>2195</v>
      </c>
    </row>
    <row r="836" spans="1:2">
      <c r="A836" s="142" t="s">
        <v>2196</v>
      </c>
      <c r="B836" s="142" t="s">
        <v>2197</v>
      </c>
    </row>
    <row r="837" spans="1:2">
      <c r="A837" s="142" t="s">
        <v>2198</v>
      </c>
      <c r="B837" s="142" t="s">
        <v>2199</v>
      </c>
    </row>
    <row r="838" spans="1:2">
      <c r="A838" s="142" t="s">
        <v>2200</v>
      </c>
      <c r="B838" s="142" t="s">
        <v>2201</v>
      </c>
    </row>
    <row r="839" spans="1:2">
      <c r="A839" s="142" t="s">
        <v>2202</v>
      </c>
      <c r="B839" s="142" t="s">
        <v>2203</v>
      </c>
    </row>
    <row r="840" spans="1:2">
      <c r="A840" s="142" t="s">
        <v>2204</v>
      </c>
      <c r="B840" s="142" t="s">
        <v>2205</v>
      </c>
    </row>
    <row r="841" spans="1:2">
      <c r="A841" s="142" t="s">
        <v>2206</v>
      </c>
      <c r="B841" s="142" t="s">
        <v>2207</v>
      </c>
    </row>
    <row r="842" spans="1:2">
      <c r="A842" s="142" t="s">
        <v>2208</v>
      </c>
      <c r="B842" s="142" t="s">
        <v>2209</v>
      </c>
    </row>
    <row r="843" spans="1:2">
      <c r="A843" s="142" t="s">
        <v>156</v>
      </c>
      <c r="B843" s="142" t="s">
        <v>2210</v>
      </c>
    </row>
    <row r="844" spans="1:2">
      <c r="A844" s="142" t="s">
        <v>2211</v>
      </c>
      <c r="B844" s="142" t="s">
        <v>2212</v>
      </c>
    </row>
    <row r="845" spans="1:2">
      <c r="A845" s="142" t="s">
        <v>2213</v>
      </c>
      <c r="B845" s="142" t="s">
        <v>2214</v>
      </c>
    </row>
    <row r="846" spans="1:2">
      <c r="A846" s="142" t="s">
        <v>2215</v>
      </c>
      <c r="B846" s="142" t="s">
        <v>2216</v>
      </c>
    </row>
    <row r="847" spans="1:2">
      <c r="A847" s="142" t="s">
        <v>2217</v>
      </c>
      <c r="B847" s="142" t="s">
        <v>2218</v>
      </c>
    </row>
    <row r="848" spans="1:2">
      <c r="A848" s="142" t="s">
        <v>2219</v>
      </c>
      <c r="B848" s="142" t="s">
        <v>2220</v>
      </c>
    </row>
    <row r="849" spans="1:2">
      <c r="A849" s="142" t="s">
        <v>2221</v>
      </c>
      <c r="B849" s="142" t="s">
        <v>2222</v>
      </c>
    </row>
    <row r="850" spans="1:2">
      <c r="A850" s="142" t="s">
        <v>2223</v>
      </c>
      <c r="B850" s="142" t="s">
        <v>2224</v>
      </c>
    </row>
    <row r="851" spans="1:2">
      <c r="A851" s="142" t="s">
        <v>2225</v>
      </c>
      <c r="B851" s="142" t="s">
        <v>2226</v>
      </c>
    </row>
    <row r="852" spans="1:2">
      <c r="A852" s="142" t="s">
        <v>2227</v>
      </c>
      <c r="B852" s="142" t="s">
        <v>2228</v>
      </c>
    </row>
    <row r="853" spans="1:2">
      <c r="A853" s="142" t="s">
        <v>2229</v>
      </c>
      <c r="B853" s="142" t="s">
        <v>2230</v>
      </c>
    </row>
    <row r="854" spans="1:2">
      <c r="A854" s="142" t="s">
        <v>2231</v>
      </c>
      <c r="B854" s="142" t="s">
        <v>2232</v>
      </c>
    </row>
    <row r="855" spans="1:2">
      <c r="A855" s="142" t="s">
        <v>2233</v>
      </c>
      <c r="B855" s="142" t="s">
        <v>2234</v>
      </c>
    </row>
    <row r="856" spans="1:2">
      <c r="A856" s="142" t="s">
        <v>2235</v>
      </c>
      <c r="B856" s="142" t="s">
        <v>2236</v>
      </c>
    </row>
    <row r="857" spans="1:2">
      <c r="A857" s="142" t="s">
        <v>2237</v>
      </c>
      <c r="B857" s="142" t="s">
        <v>2238</v>
      </c>
    </row>
    <row r="858" spans="1:2">
      <c r="A858" s="142" t="s">
        <v>2239</v>
      </c>
      <c r="B858" s="142" t="s">
        <v>2240</v>
      </c>
    </row>
    <row r="859" spans="1:2">
      <c r="A859" s="142" t="s">
        <v>2241</v>
      </c>
      <c r="B859" s="142" t="s">
        <v>2242</v>
      </c>
    </row>
    <row r="860" spans="1:2">
      <c r="A860" s="142" t="s">
        <v>2243</v>
      </c>
      <c r="B860" s="142" t="s">
        <v>2244</v>
      </c>
    </row>
    <row r="861" spans="1:2">
      <c r="A861" s="142" t="s">
        <v>2245</v>
      </c>
      <c r="B861" s="142" t="s">
        <v>2246</v>
      </c>
    </row>
    <row r="862" spans="1:2">
      <c r="A862" s="142" t="s">
        <v>2247</v>
      </c>
      <c r="B862" s="142" t="s">
        <v>2248</v>
      </c>
    </row>
    <row r="863" spans="1:2">
      <c r="A863" s="142" t="s">
        <v>2249</v>
      </c>
      <c r="B863" s="142" t="s">
        <v>2250</v>
      </c>
    </row>
    <row r="864" spans="1:2">
      <c r="A864" s="142" t="s">
        <v>2251</v>
      </c>
      <c r="B864" s="142" t="s">
        <v>2252</v>
      </c>
    </row>
    <row r="865" spans="1:2">
      <c r="A865" s="142" t="s">
        <v>2253</v>
      </c>
      <c r="B865" s="142" t="s">
        <v>2254</v>
      </c>
    </row>
    <row r="866" spans="1:2">
      <c r="A866" s="142" t="s">
        <v>2255</v>
      </c>
      <c r="B866" s="142" t="s">
        <v>2256</v>
      </c>
    </row>
    <row r="867" spans="1:2">
      <c r="A867" s="142" t="s">
        <v>2257</v>
      </c>
      <c r="B867" s="142" t="s">
        <v>2258</v>
      </c>
    </row>
    <row r="868" spans="1:2">
      <c r="A868" s="142" t="s">
        <v>2259</v>
      </c>
      <c r="B868" s="142" t="s">
        <v>2260</v>
      </c>
    </row>
    <row r="869" spans="1:2">
      <c r="A869" s="142" t="s">
        <v>2261</v>
      </c>
      <c r="B869" s="142" t="s">
        <v>2262</v>
      </c>
    </row>
    <row r="870" spans="1:2">
      <c r="A870" s="142" t="s">
        <v>2263</v>
      </c>
      <c r="B870" s="142" t="s">
        <v>2264</v>
      </c>
    </row>
    <row r="871" spans="1:2">
      <c r="A871" s="142" t="s">
        <v>2265</v>
      </c>
      <c r="B871" s="142" t="s">
        <v>2266</v>
      </c>
    </row>
    <row r="872" spans="1:2">
      <c r="A872" s="142" t="s">
        <v>2267</v>
      </c>
      <c r="B872" s="142" t="s">
        <v>358</v>
      </c>
    </row>
    <row r="873" spans="1:2">
      <c r="A873" s="142" t="s">
        <v>2268</v>
      </c>
      <c r="B873" s="142" t="s">
        <v>2269</v>
      </c>
    </row>
    <row r="874" spans="1:2">
      <c r="A874" s="142" t="s">
        <v>2270</v>
      </c>
      <c r="B874" s="142" t="s">
        <v>2271</v>
      </c>
    </row>
    <row r="875" spans="1:2">
      <c r="A875" s="142" t="s">
        <v>2272</v>
      </c>
      <c r="B875" s="142" t="s">
        <v>2273</v>
      </c>
    </row>
    <row r="876" spans="1:2">
      <c r="A876" s="142" t="s">
        <v>2274</v>
      </c>
      <c r="B876" s="142" t="s">
        <v>2275</v>
      </c>
    </row>
    <row r="877" spans="1:2">
      <c r="A877" s="142" t="s">
        <v>2276</v>
      </c>
      <c r="B877" s="142" t="s">
        <v>2277</v>
      </c>
    </row>
    <row r="878" spans="1:2">
      <c r="A878" s="142" t="s">
        <v>2278</v>
      </c>
      <c r="B878" s="142" t="s">
        <v>2279</v>
      </c>
    </row>
    <row r="879" spans="1:2">
      <c r="A879" s="142" t="s">
        <v>2280</v>
      </c>
      <c r="B879" s="142" t="s">
        <v>2281</v>
      </c>
    </row>
    <row r="880" spans="1:2">
      <c r="A880" s="142" t="s">
        <v>2282</v>
      </c>
      <c r="B880" s="142" t="s">
        <v>2283</v>
      </c>
    </row>
    <row r="881" spans="1:2">
      <c r="A881" s="142" t="s">
        <v>2284</v>
      </c>
      <c r="B881" s="142" t="s">
        <v>2285</v>
      </c>
    </row>
    <row r="882" spans="1:2">
      <c r="A882" s="142" t="s">
        <v>2286</v>
      </c>
      <c r="B882" s="142" t="s">
        <v>2287</v>
      </c>
    </row>
    <row r="883" spans="1:2">
      <c r="A883" s="142" t="s">
        <v>2288</v>
      </c>
      <c r="B883" s="142" t="s">
        <v>2289</v>
      </c>
    </row>
    <row r="884" spans="1:2">
      <c r="A884" s="142" t="s">
        <v>2290</v>
      </c>
      <c r="B884" s="142" t="s">
        <v>2291</v>
      </c>
    </row>
    <row r="885" spans="1:2">
      <c r="A885" s="142" t="s">
        <v>2292</v>
      </c>
      <c r="B885" s="142" t="s">
        <v>2293</v>
      </c>
    </row>
    <row r="886" spans="1:2">
      <c r="A886" s="142" t="s">
        <v>2294</v>
      </c>
      <c r="B886" s="142" t="s">
        <v>2295</v>
      </c>
    </row>
    <row r="887" spans="1:2">
      <c r="A887" s="142" t="s">
        <v>2296</v>
      </c>
      <c r="B887" s="142" t="s">
        <v>2297</v>
      </c>
    </row>
    <row r="888" spans="1:2">
      <c r="A888" s="142" t="s">
        <v>2298</v>
      </c>
      <c r="B888" s="142" t="s">
        <v>2299</v>
      </c>
    </row>
    <row r="889" spans="1:2">
      <c r="A889" s="142" t="s">
        <v>2300</v>
      </c>
      <c r="B889" s="142" t="s">
        <v>2301</v>
      </c>
    </row>
    <row r="890" spans="1:2">
      <c r="A890" s="142" t="s">
        <v>2302</v>
      </c>
      <c r="B890" s="142" t="s">
        <v>2303</v>
      </c>
    </row>
    <row r="891" spans="1:2">
      <c r="A891" s="142" t="s">
        <v>2304</v>
      </c>
      <c r="B891" s="142" t="s">
        <v>2305</v>
      </c>
    </row>
    <row r="892" spans="1:2">
      <c r="A892" s="142" t="s">
        <v>2306</v>
      </c>
      <c r="B892" s="142" t="s">
        <v>2307</v>
      </c>
    </row>
    <row r="893" spans="1:2">
      <c r="A893" s="142" t="s">
        <v>2308</v>
      </c>
      <c r="B893" s="142" t="s">
        <v>2309</v>
      </c>
    </row>
    <row r="894" spans="1:2">
      <c r="A894" s="142" t="s">
        <v>2310</v>
      </c>
      <c r="B894" s="142" t="s">
        <v>2311</v>
      </c>
    </row>
    <row r="895" spans="1:2">
      <c r="A895" s="142" t="s">
        <v>2312</v>
      </c>
      <c r="B895" s="142" t="s">
        <v>2313</v>
      </c>
    </row>
    <row r="896" spans="1:2">
      <c r="A896" s="142" t="s">
        <v>2314</v>
      </c>
      <c r="B896" s="142" t="s">
        <v>2315</v>
      </c>
    </row>
    <row r="897" spans="1:2">
      <c r="A897" s="142" t="s">
        <v>2316</v>
      </c>
      <c r="B897" s="142" t="s">
        <v>2317</v>
      </c>
    </row>
    <row r="898" spans="1:2">
      <c r="A898" s="142" t="s">
        <v>2318</v>
      </c>
      <c r="B898" s="142" t="s">
        <v>2319</v>
      </c>
    </row>
    <row r="899" spans="1:2">
      <c r="A899" s="142" t="s">
        <v>2320</v>
      </c>
      <c r="B899" s="142" t="s">
        <v>2321</v>
      </c>
    </row>
    <row r="900" spans="1:2">
      <c r="A900" s="142" t="s">
        <v>2322</v>
      </c>
      <c r="B900" s="142" t="s">
        <v>2323</v>
      </c>
    </row>
    <row r="901" spans="1:2">
      <c r="A901" s="142" t="s">
        <v>2324</v>
      </c>
      <c r="B901" s="142" t="s">
        <v>2325</v>
      </c>
    </row>
    <row r="902" spans="1:2">
      <c r="A902" s="142" t="s">
        <v>2326</v>
      </c>
      <c r="B902" s="142" t="s">
        <v>2327</v>
      </c>
    </row>
    <row r="903" spans="1:2">
      <c r="A903" s="142" t="s">
        <v>2328</v>
      </c>
      <c r="B903" s="142" t="s">
        <v>2329</v>
      </c>
    </row>
    <row r="904" spans="1:2">
      <c r="A904" s="142" t="s">
        <v>2330</v>
      </c>
      <c r="B904" s="142" t="s">
        <v>2331</v>
      </c>
    </row>
    <row r="905" spans="1:2">
      <c r="A905" s="142" t="s">
        <v>2332</v>
      </c>
      <c r="B905" s="142" t="s">
        <v>2333</v>
      </c>
    </row>
    <row r="906" spans="1:2">
      <c r="A906" s="142" t="s">
        <v>2334</v>
      </c>
      <c r="B906" s="142" t="s">
        <v>2335</v>
      </c>
    </row>
    <row r="907" spans="1:2">
      <c r="A907" s="142" t="s">
        <v>2336</v>
      </c>
      <c r="B907" s="142" t="s">
        <v>2337</v>
      </c>
    </row>
    <row r="908" spans="1:2">
      <c r="A908" s="142" t="s">
        <v>2338</v>
      </c>
      <c r="B908" s="142" t="s">
        <v>2339</v>
      </c>
    </row>
    <row r="909" spans="1:2">
      <c r="A909" s="142" t="s">
        <v>2340</v>
      </c>
      <c r="B909" s="142" t="s">
        <v>2341</v>
      </c>
    </row>
    <row r="910" spans="1:2">
      <c r="A910" s="142" t="s">
        <v>2342</v>
      </c>
      <c r="B910" s="142" t="s">
        <v>2343</v>
      </c>
    </row>
    <row r="911" spans="1:2">
      <c r="A911" s="142" t="s">
        <v>2344</v>
      </c>
      <c r="B911" s="142" t="s">
        <v>2345</v>
      </c>
    </row>
    <row r="912" spans="1:2">
      <c r="A912" s="142" t="s">
        <v>2346</v>
      </c>
      <c r="B912" s="142" t="s">
        <v>2347</v>
      </c>
    </row>
    <row r="913" spans="1:2">
      <c r="A913" s="142" t="s">
        <v>2348</v>
      </c>
      <c r="B913" s="142" t="s">
        <v>2349</v>
      </c>
    </row>
    <row r="914" spans="1:2">
      <c r="A914" s="142" t="s">
        <v>2350</v>
      </c>
      <c r="B914" s="142" t="s">
        <v>2351</v>
      </c>
    </row>
    <row r="915" spans="1:2">
      <c r="A915" s="142" t="s">
        <v>2352</v>
      </c>
      <c r="B915" s="142" t="s">
        <v>2353</v>
      </c>
    </row>
    <row r="916" spans="1:2">
      <c r="A916" s="142" t="s">
        <v>2354</v>
      </c>
      <c r="B916" s="142" t="s">
        <v>2355</v>
      </c>
    </row>
    <row r="917" spans="1:2">
      <c r="A917" s="142" t="s">
        <v>2356</v>
      </c>
      <c r="B917" s="142" t="s">
        <v>2357</v>
      </c>
    </row>
    <row r="918" spans="1:2">
      <c r="A918" s="142" t="s">
        <v>2358</v>
      </c>
      <c r="B918" s="142" t="s">
        <v>2359</v>
      </c>
    </row>
    <row r="919" spans="1:2">
      <c r="A919" s="142" t="s">
        <v>2360</v>
      </c>
      <c r="B919" s="142" t="s">
        <v>2361</v>
      </c>
    </row>
    <row r="920" spans="1:2">
      <c r="A920" s="142" t="s">
        <v>2362</v>
      </c>
      <c r="B920" s="142" t="s">
        <v>2363</v>
      </c>
    </row>
    <row r="921" spans="1:2">
      <c r="A921" s="142" t="s">
        <v>2364</v>
      </c>
      <c r="B921" s="142" t="s">
        <v>2365</v>
      </c>
    </row>
    <row r="922" spans="1:2">
      <c r="A922" s="142" t="s">
        <v>2366</v>
      </c>
      <c r="B922" s="142" t="s">
        <v>2367</v>
      </c>
    </row>
    <row r="923" spans="1:2">
      <c r="A923" s="142" t="s">
        <v>2368</v>
      </c>
      <c r="B923" s="142" t="s">
        <v>2369</v>
      </c>
    </row>
    <row r="924" spans="1:2">
      <c r="A924" s="142" t="s">
        <v>2370</v>
      </c>
      <c r="B924" s="142" t="s">
        <v>2371</v>
      </c>
    </row>
    <row r="925" spans="1:2">
      <c r="A925" s="142" t="s">
        <v>2372</v>
      </c>
      <c r="B925" s="142" t="s">
        <v>2373</v>
      </c>
    </row>
    <row r="926" spans="1:2">
      <c r="A926" s="142" t="s">
        <v>2374</v>
      </c>
      <c r="B926" s="142" t="s">
        <v>2375</v>
      </c>
    </row>
    <row r="927" spans="1:2">
      <c r="A927" s="142" t="s">
        <v>2376</v>
      </c>
      <c r="B927" s="142" t="s">
        <v>2377</v>
      </c>
    </row>
    <row r="928" spans="1:2">
      <c r="A928" s="142" t="s">
        <v>2378</v>
      </c>
      <c r="B928" s="142" t="s">
        <v>2379</v>
      </c>
    </row>
    <row r="929" spans="1:2">
      <c r="A929" s="142" t="s">
        <v>2380</v>
      </c>
      <c r="B929" s="142" t="s">
        <v>2381</v>
      </c>
    </row>
    <row r="930" spans="1:2">
      <c r="A930" s="142" t="s">
        <v>2382</v>
      </c>
      <c r="B930" s="142" t="s">
        <v>2383</v>
      </c>
    </row>
    <row r="931" spans="1:2">
      <c r="A931" s="142" t="s">
        <v>2384</v>
      </c>
      <c r="B931" s="142" t="s">
        <v>2385</v>
      </c>
    </row>
    <row r="932" spans="1:2">
      <c r="A932" s="142" t="s">
        <v>2386</v>
      </c>
      <c r="B932" s="142" t="s">
        <v>2387</v>
      </c>
    </row>
    <row r="933" spans="1:2">
      <c r="A933" s="142" t="s">
        <v>2388</v>
      </c>
      <c r="B933" s="142" t="s">
        <v>2389</v>
      </c>
    </row>
    <row r="934" spans="1:2">
      <c r="A934" s="142" t="s">
        <v>2390</v>
      </c>
      <c r="B934" s="142" t="s">
        <v>2391</v>
      </c>
    </row>
    <row r="935" spans="1:2">
      <c r="A935" s="142" t="s">
        <v>2392</v>
      </c>
      <c r="B935" s="142" t="s">
        <v>2393</v>
      </c>
    </row>
    <row r="936" spans="1:2">
      <c r="A936" s="142" t="s">
        <v>2394</v>
      </c>
      <c r="B936" s="142" t="s">
        <v>2395</v>
      </c>
    </row>
    <row r="937" spans="1:2">
      <c r="A937" s="142" t="s">
        <v>2396</v>
      </c>
      <c r="B937" s="142" t="s">
        <v>2397</v>
      </c>
    </row>
    <row r="938" spans="1:2">
      <c r="A938" s="142" t="s">
        <v>2398</v>
      </c>
      <c r="B938" s="142" t="s">
        <v>2399</v>
      </c>
    </row>
    <row r="939" spans="1:2">
      <c r="A939" s="142" t="s">
        <v>2400</v>
      </c>
      <c r="B939" s="142" t="s">
        <v>2401</v>
      </c>
    </row>
    <row r="940" spans="1:2">
      <c r="A940" s="142" t="s">
        <v>2402</v>
      </c>
      <c r="B940" s="142" t="s">
        <v>2403</v>
      </c>
    </row>
    <row r="941" spans="1:2">
      <c r="A941" s="142" t="s">
        <v>2404</v>
      </c>
      <c r="B941" s="142" t="s">
        <v>2405</v>
      </c>
    </row>
    <row r="942" spans="1:2">
      <c r="A942" s="142" t="s">
        <v>2406</v>
      </c>
      <c r="B942" s="142" t="s">
        <v>2407</v>
      </c>
    </row>
    <row r="943" spans="1:2">
      <c r="A943" s="142" t="s">
        <v>2408</v>
      </c>
      <c r="B943" s="142" t="s">
        <v>2409</v>
      </c>
    </row>
    <row r="944" spans="1:2">
      <c r="A944" s="142" t="s">
        <v>2410</v>
      </c>
      <c r="B944" s="142" t="s">
        <v>2411</v>
      </c>
    </row>
    <row r="945" spans="1:2">
      <c r="A945" s="142" t="s">
        <v>2412</v>
      </c>
      <c r="B945" s="142" t="s">
        <v>2413</v>
      </c>
    </row>
    <row r="946" spans="1:2">
      <c r="A946" s="142" t="s">
        <v>2414</v>
      </c>
      <c r="B946" s="142" t="s">
        <v>2415</v>
      </c>
    </row>
    <row r="947" spans="1:2">
      <c r="A947" s="142" t="s">
        <v>2416</v>
      </c>
      <c r="B947" s="142" t="s">
        <v>2417</v>
      </c>
    </row>
    <row r="948" spans="1:2">
      <c r="A948" s="142" t="s">
        <v>2418</v>
      </c>
      <c r="B948" s="142" t="s">
        <v>2419</v>
      </c>
    </row>
    <row r="949" spans="1:2">
      <c r="A949" s="142" t="s">
        <v>2420</v>
      </c>
      <c r="B949" s="142" t="s">
        <v>2421</v>
      </c>
    </row>
    <row r="950" spans="1:2">
      <c r="A950" s="142" t="s">
        <v>2422</v>
      </c>
      <c r="B950" s="142" t="s">
        <v>2423</v>
      </c>
    </row>
    <row r="951" spans="1:2">
      <c r="A951" s="142" t="s">
        <v>2424</v>
      </c>
      <c r="B951" s="142" t="s">
        <v>2425</v>
      </c>
    </row>
    <row r="952" spans="1:2">
      <c r="A952" s="142" t="s">
        <v>2426</v>
      </c>
      <c r="B952" s="142" t="s">
        <v>2427</v>
      </c>
    </row>
    <row r="953" spans="1:2">
      <c r="A953" s="142" t="s">
        <v>2428</v>
      </c>
      <c r="B953" s="142" t="s">
        <v>2429</v>
      </c>
    </row>
    <row r="954" spans="1:2">
      <c r="A954" s="142" t="s">
        <v>2430</v>
      </c>
      <c r="B954" s="142" t="s">
        <v>2431</v>
      </c>
    </row>
    <row r="955" spans="1:2">
      <c r="A955" s="142" t="s">
        <v>2432</v>
      </c>
      <c r="B955" s="142" t="s">
        <v>2433</v>
      </c>
    </row>
    <row r="956" spans="1:2">
      <c r="A956" s="142" t="s">
        <v>2434</v>
      </c>
      <c r="B956" s="142" t="s">
        <v>2435</v>
      </c>
    </row>
    <row r="957" spans="1:2">
      <c r="A957" s="142" t="s">
        <v>2436</v>
      </c>
      <c r="B957" s="142" t="s">
        <v>2437</v>
      </c>
    </row>
    <row r="958" spans="1:2">
      <c r="A958" s="142" t="s">
        <v>2438</v>
      </c>
      <c r="B958" s="142" t="s">
        <v>2439</v>
      </c>
    </row>
    <row r="959" spans="1:2">
      <c r="A959" s="142" t="s">
        <v>2440</v>
      </c>
      <c r="B959" s="142" t="s">
        <v>2441</v>
      </c>
    </row>
    <row r="960" spans="1:2">
      <c r="A960" s="142" t="s">
        <v>2442</v>
      </c>
      <c r="B960" s="142" t="s">
        <v>2443</v>
      </c>
    </row>
    <row r="961" spans="1:2">
      <c r="A961" s="142" t="s">
        <v>2444</v>
      </c>
      <c r="B961" s="142" t="s">
        <v>2445</v>
      </c>
    </row>
    <row r="962" spans="1:2">
      <c r="A962" s="142" t="s">
        <v>2446</v>
      </c>
      <c r="B962" s="142" t="s">
        <v>2447</v>
      </c>
    </row>
    <row r="963" spans="1:2">
      <c r="A963" s="142" t="s">
        <v>2448</v>
      </c>
      <c r="B963" s="142" t="s">
        <v>2449</v>
      </c>
    </row>
    <row r="964" spans="1:2">
      <c r="A964" s="142" t="s">
        <v>2450</v>
      </c>
      <c r="B964" s="142" t="s">
        <v>2451</v>
      </c>
    </row>
    <row r="965" spans="1:2">
      <c r="A965" s="142" t="s">
        <v>2452</v>
      </c>
      <c r="B965" s="142" t="s">
        <v>2453</v>
      </c>
    </row>
    <row r="966" spans="1:2">
      <c r="A966" s="142" t="s">
        <v>2454</v>
      </c>
      <c r="B966" s="142" t="s">
        <v>287</v>
      </c>
    </row>
    <row r="967" spans="1:2">
      <c r="A967" s="142" t="s">
        <v>2455</v>
      </c>
      <c r="B967" s="142" t="s">
        <v>2456</v>
      </c>
    </row>
    <row r="968" spans="1:2">
      <c r="A968" s="142" t="s">
        <v>2457</v>
      </c>
      <c r="B968" s="142" t="s">
        <v>2458</v>
      </c>
    </row>
    <row r="969" spans="1:2">
      <c r="A969" s="142" t="s">
        <v>2459</v>
      </c>
      <c r="B969" s="142" t="s">
        <v>2460</v>
      </c>
    </row>
    <row r="970" spans="1:2">
      <c r="A970" s="142" t="s">
        <v>2461</v>
      </c>
      <c r="B970" s="142" t="s">
        <v>2462</v>
      </c>
    </row>
    <row r="971" spans="1:2">
      <c r="A971" s="142" t="s">
        <v>2463</v>
      </c>
      <c r="B971" s="142" t="s">
        <v>2464</v>
      </c>
    </row>
    <row r="972" spans="1:2">
      <c r="A972" s="142" t="s">
        <v>2465</v>
      </c>
      <c r="B972" s="142" t="s">
        <v>2466</v>
      </c>
    </row>
    <row r="973" spans="1:2">
      <c r="A973" s="142" t="s">
        <v>2467</v>
      </c>
      <c r="B973" s="142" t="s">
        <v>2468</v>
      </c>
    </row>
    <row r="974" spans="1:2">
      <c r="A974" s="142" t="s">
        <v>2469</v>
      </c>
      <c r="B974" s="142" t="s">
        <v>2470</v>
      </c>
    </row>
    <row r="975" spans="1:2">
      <c r="A975" s="142" t="s">
        <v>2471</v>
      </c>
      <c r="B975" s="142" t="s">
        <v>2472</v>
      </c>
    </row>
    <row r="976" spans="1:2">
      <c r="A976" s="142" t="s">
        <v>2473</v>
      </c>
      <c r="B976" s="142" t="s">
        <v>2474</v>
      </c>
    </row>
    <row r="977" spans="1:2">
      <c r="A977" s="142" t="s">
        <v>2475</v>
      </c>
      <c r="B977" s="142" t="s">
        <v>2476</v>
      </c>
    </row>
    <row r="978" spans="1:2">
      <c r="A978" s="142" t="s">
        <v>2477</v>
      </c>
      <c r="B978" s="142" t="s">
        <v>2478</v>
      </c>
    </row>
    <row r="979" spans="1:2">
      <c r="A979" s="142" t="s">
        <v>2479</v>
      </c>
      <c r="B979" s="142" t="s">
        <v>2480</v>
      </c>
    </row>
    <row r="980" spans="1:2">
      <c r="A980" s="142" t="s">
        <v>2481</v>
      </c>
      <c r="B980" s="142" t="s">
        <v>2482</v>
      </c>
    </row>
    <row r="981" spans="1:2">
      <c r="A981" s="142" t="s">
        <v>2483</v>
      </c>
      <c r="B981" s="142" t="s">
        <v>2484</v>
      </c>
    </row>
    <row r="982" spans="1:2">
      <c r="A982" s="142" t="s">
        <v>2485</v>
      </c>
      <c r="B982" s="142" t="s">
        <v>2486</v>
      </c>
    </row>
    <row r="983" spans="1:2">
      <c r="A983" s="142" t="s">
        <v>2487</v>
      </c>
      <c r="B983" s="142" t="s">
        <v>2488</v>
      </c>
    </row>
    <row r="984" spans="1:2">
      <c r="A984" s="142" t="s">
        <v>2489</v>
      </c>
      <c r="B984" s="142" t="s">
        <v>2490</v>
      </c>
    </row>
    <row r="985" spans="1:2">
      <c r="A985" s="142" t="s">
        <v>2491</v>
      </c>
      <c r="B985" s="142" t="s">
        <v>2492</v>
      </c>
    </row>
    <row r="986" spans="1:2">
      <c r="A986" s="142" t="s">
        <v>2493</v>
      </c>
      <c r="B986" s="142" t="s">
        <v>2494</v>
      </c>
    </row>
    <row r="987" spans="1:2">
      <c r="A987" s="142" t="s">
        <v>2495</v>
      </c>
      <c r="B987" s="142" t="s">
        <v>2496</v>
      </c>
    </row>
    <row r="988" spans="1:2">
      <c r="A988" s="142" t="s">
        <v>2497</v>
      </c>
      <c r="B988" s="142" t="s">
        <v>2498</v>
      </c>
    </row>
    <row r="989" spans="1:2">
      <c r="A989" s="142" t="s">
        <v>2499</v>
      </c>
      <c r="B989" s="142" t="s">
        <v>2500</v>
      </c>
    </row>
    <row r="990" spans="1:2">
      <c r="A990" s="142" t="s">
        <v>2501</v>
      </c>
      <c r="B990" s="142" t="s">
        <v>2502</v>
      </c>
    </row>
    <row r="991" spans="1:2">
      <c r="A991" s="142" t="s">
        <v>2503</v>
      </c>
      <c r="B991" s="142" t="s">
        <v>292</v>
      </c>
    </row>
    <row r="992" spans="1:2">
      <c r="A992" s="142" t="s">
        <v>2504</v>
      </c>
      <c r="B992" s="142" t="s">
        <v>2505</v>
      </c>
    </row>
    <row r="993" spans="1:2">
      <c r="A993" s="142" t="s">
        <v>2506</v>
      </c>
      <c r="B993" s="142" t="s">
        <v>2507</v>
      </c>
    </row>
    <row r="994" spans="1:2">
      <c r="A994" s="142" t="s">
        <v>2508</v>
      </c>
      <c r="B994" s="142" t="s">
        <v>2509</v>
      </c>
    </row>
    <row r="995" spans="1:2">
      <c r="A995" s="142" t="s">
        <v>2510</v>
      </c>
      <c r="B995" s="142" t="s">
        <v>2511</v>
      </c>
    </row>
    <row r="996" spans="1:2">
      <c r="A996" s="142" t="s">
        <v>2512</v>
      </c>
      <c r="B996" s="142" t="s">
        <v>2513</v>
      </c>
    </row>
    <row r="997" spans="1:2">
      <c r="A997" s="142" t="s">
        <v>2514</v>
      </c>
      <c r="B997" s="142" t="s">
        <v>2515</v>
      </c>
    </row>
    <row r="998" spans="1:2">
      <c r="A998" s="142" t="s">
        <v>2516</v>
      </c>
      <c r="B998" s="142" t="s">
        <v>2517</v>
      </c>
    </row>
    <row r="999" spans="1:2">
      <c r="A999" s="142" t="s">
        <v>2518</v>
      </c>
      <c r="B999" s="142" t="s">
        <v>2519</v>
      </c>
    </row>
    <row r="1000" spans="1:2">
      <c r="A1000" s="142" t="s">
        <v>2520</v>
      </c>
      <c r="B1000" s="142" t="s">
        <v>2521</v>
      </c>
    </row>
    <row r="1001" spans="1:2">
      <c r="A1001" s="142" t="s">
        <v>2522</v>
      </c>
      <c r="B1001" s="142" t="s">
        <v>2523</v>
      </c>
    </row>
    <row r="1002" spans="1:2">
      <c r="A1002" s="142" t="s">
        <v>2524</v>
      </c>
      <c r="B1002" s="142" t="s">
        <v>2525</v>
      </c>
    </row>
    <row r="1003" spans="1:2">
      <c r="A1003" s="142" t="s">
        <v>2526</v>
      </c>
      <c r="B1003" s="142" t="s">
        <v>2527</v>
      </c>
    </row>
    <row r="1004" spans="1:2">
      <c r="A1004" s="142" t="s">
        <v>2528</v>
      </c>
      <c r="B1004" s="142" t="s">
        <v>2529</v>
      </c>
    </row>
    <row r="1005" spans="1:2">
      <c r="A1005" s="142" t="s">
        <v>2530</v>
      </c>
      <c r="B1005" s="142" t="s">
        <v>2531</v>
      </c>
    </row>
    <row r="1006" spans="1:2">
      <c r="A1006" s="142" t="s">
        <v>2532</v>
      </c>
      <c r="B1006" s="142" t="s">
        <v>2533</v>
      </c>
    </row>
    <row r="1007" spans="1:2">
      <c r="A1007" s="142" t="s">
        <v>2534</v>
      </c>
      <c r="B1007" s="142" t="s">
        <v>2535</v>
      </c>
    </row>
    <row r="1008" spans="1:2">
      <c r="A1008" s="142" t="s">
        <v>2536</v>
      </c>
      <c r="B1008" s="142" t="s">
        <v>2537</v>
      </c>
    </row>
    <row r="1009" spans="1:2">
      <c r="A1009" s="142" t="s">
        <v>2538</v>
      </c>
      <c r="B1009" s="142" t="s">
        <v>2539</v>
      </c>
    </row>
    <row r="1010" spans="1:2">
      <c r="A1010" s="142" t="s">
        <v>2540</v>
      </c>
      <c r="B1010" s="142" t="s">
        <v>2541</v>
      </c>
    </row>
    <row r="1011" spans="1:2">
      <c r="A1011" s="142" t="s">
        <v>2542</v>
      </c>
      <c r="B1011" s="142" t="s">
        <v>2543</v>
      </c>
    </row>
    <row r="1012" spans="1:2">
      <c r="A1012" s="142" t="s">
        <v>2544</v>
      </c>
      <c r="B1012" s="142" t="s">
        <v>2545</v>
      </c>
    </row>
    <row r="1013" spans="1:2">
      <c r="A1013" s="142" t="s">
        <v>2546</v>
      </c>
      <c r="B1013" s="142" t="s">
        <v>2547</v>
      </c>
    </row>
    <row r="1014" spans="1:2">
      <c r="A1014" s="142" t="s">
        <v>2548</v>
      </c>
      <c r="B1014" s="142" t="s">
        <v>2549</v>
      </c>
    </row>
    <row r="1015" spans="1:2">
      <c r="A1015" s="142" t="s">
        <v>2550</v>
      </c>
      <c r="B1015" s="142" t="s">
        <v>2551</v>
      </c>
    </row>
    <row r="1016" spans="1:2">
      <c r="A1016" s="142" t="s">
        <v>2552</v>
      </c>
      <c r="B1016" s="142" t="s">
        <v>2553</v>
      </c>
    </row>
    <row r="1017" spans="1:2">
      <c r="A1017" s="142" t="s">
        <v>2554</v>
      </c>
      <c r="B1017" s="142" t="s">
        <v>2555</v>
      </c>
    </row>
    <row r="1018" spans="1:2">
      <c r="A1018" s="142" t="s">
        <v>2556</v>
      </c>
      <c r="B1018" s="142" t="s">
        <v>2557</v>
      </c>
    </row>
    <row r="1019" spans="1:2">
      <c r="A1019" s="142" t="s">
        <v>2558</v>
      </c>
      <c r="B1019" s="142" t="s">
        <v>2559</v>
      </c>
    </row>
    <row r="1020" spans="1:2">
      <c r="A1020" s="142" t="s">
        <v>2560</v>
      </c>
      <c r="B1020" s="142" t="s">
        <v>2561</v>
      </c>
    </row>
    <row r="1021" spans="1:2">
      <c r="A1021" s="142" t="s">
        <v>2562</v>
      </c>
      <c r="B1021" s="142" t="s">
        <v>2563</v>
      </c>
    </row>
    <row r="1022" spans="1:2">
      <c r="A1022" s="142" t="s">
        <v>2564</v>
      </c>
      <c r="B1022" s="142" t="s">
        <v>2565</v>
      </c>
    </row>
    <row r="1023" spans="1:2">
      <c r="A1023" s="142" t="s">
        <v>2566</v>
      </c>
      <c r="B1023" s="142" t="s">
        <v>2567</v>
      </c>
    </row>
    <row r="1024" spans="1:2">
      <c r="A1024" s="142" t="s">
        <v>2568</v>
      </c>
      <c r="B1024" s="142" t="s">
        <v>2569</v>
      </c>
    </row>
    <row r="1025" spans="1:2">
      <c r="A1025" s="142" t="s">
        <v>2570</v>
      </c>
      <c r="B1025" s="142" t="s">
        <v>2571</v>
      </c>
    </row>
    <row r="1026" spans="1:2">
      <c r="A1026" s="142" t="s">
        <v>2572</v>
      </c>
      <c r="B1026" s="142" t="s">
        <v>2573</v>
      </c>
    </row>
    <row r="1027" spans="1:2">
      <c r="A1027" s="142" t="s">
        <v>2574</v>
      </c>
      <c r="B1027" s="142" t="s">
        <v>2575</v>
      </c>
    </row>
    <row r="1028" spans="1:2">
      <c r="A1028" s="142" t="s">
        <v>2576</v>
      </c>
      <c r="B1028" s="142" t="s">
        <v>2577</v>
      </c>
    </row>
    <row r="1029" spans="1:2">
      <c r="A1029" s="142" t="s">
        <v>2578</v>
      </c>
      <c r="B1029" s="142" t="s">
        <v>2579</v>
      </c>
    </row>
    <row r="1030" spans="1:2">
      <c r="A1030" s="142" t="s">
        <v>2580</v>
      </c>
      <c r="B1030" s="142" t="s">
        <v>2581</v>
      </c>
    </row>
    <row r="1031" spans="1:2">
      <c r="A1031" s="142" t="s">
        <v>2582</v>
      </c>
      <c r="B1031" s="142" t="s">
        <v>2583</v>
      </c>
    </row>
    <row r="1032" spans="1:2">
      <c r="A1032" s="142" t="s">
        <v>2584</v>
      </c>
      <c r="B1032" s="142" t="s">
        <v>2585</v>
      </c>
    </row>
    <row r="1033" spans="1:2">
      <c r="A1033" s="142" t="s">
        <v>2586</v>
      </c>
      <c r="B1033" s="142" t="s">
        <v>2587</v>
      </c>
    </row>
    <row r="1034" spans="1:2">
      <c r="A1034" s="142" t="s">
        <v>2588</v>
      </c>
      <c r="B1034" s="142" t="s">
        <v>2589</v>
      </c>
    </row>
    <row r="1035" spans="1:2">
      <c r="A1035" s="142" t="s">
        <v>2590</v>
      </c>
      <c r="B1035" s="142" t="s">
        <v>2591</v>
      </c>
    </row>
    <row r="1036" spans="1:2">
      <c r="A1036" s="142" t="s">
        <v>2592</v>
      </c>
      <c r="B1036" s="142" t="s">
        <v>2593</v>
      </c>
    </row>
    <row r="1037" spans="1:2">
      <c r="A1037" s="142" t="s">
        <v>2594</v>
      </c>
      <c r="B1037" s="142" t="s">
        <v>2595</v>
      </c>
    </row>
    <row r="1038" spans="1:2">
      <c r="A1038" s="142" t="s">
        <v>2596</v>
      </c>
      <c r="B1038" s="142" t="s">
        <v>2597</v>
      </c>
    </row>
    <row r="1039" spans="1:2">
      <c r="A1039" s="142" t="s">
        <v>2598</v>
      </c>
      <c r="B1039" s="142" t="s">
        <v>2599</v>
      </c>
    </row>
    <row r="1040" spans="1:2">
      <c r="A1040" s="142" t="s">
        <v>2600</v>
      </c>
      <c r="B1040" s="142" t="s">
        <v>2601</v>
      </c>
    </row>
    <row r="1041" spans="1:2">
      <c r="A1041" s="142" t="s">
        <v>2602</v>
      </c>
      <c r="B1041" s="142" t="s">
        <v>2603</v>
      </c>
    </row>
    <row r="1042" spans="1:2">
      <c r="A1042" s="142" t="s">
        <v>2604</v>
      </c>
      <c r="B1042" s="142" t="s">
        <v>2605</v>
      </c>
    </row>
    <row r="1043" spans="1:2">
      <c r="A1043" s="142" t="s">
        <v>2606</v>
      </c>
      <c r="B1043" s="142" t="s">
        <v>2607</v>
      </c>
    </row>
    <row r="1044" spans="1:2">
      <c r="A1044" s="142" t="s">
        <v>2608</v>
      </c>
      <c r="B1044" s="142" t="s">
        <v>2609</v>
      </c>
    </row>
    <row r="1045" spans="1:2">
      <c r="A1045" s="142" t="s">
        <v>2610</v>
      </c>
      <c r="B1045" s="142" t="s">
        <v>2611</v>
      </c>
    </row>
    <row r="1046" spans="1:2">
      <c r="A1046" s="142" t="s">
        <v>2612</v>
      </c>
      <c r="B1046" s="142" t="s">
        <v>2613</v>
      </c>
    </row>
    <row r="1047" spans="1:2">
      <c r="A1047" s="142" t="s">
        <v>2614</v>
      </c>
      <c r="B1047" s="142" t="s">
        <v>2615</v>
      </c>
    </row>
    <row r="1048" spans="1:2">
      <c r="A1048" s="142" t="s">
        <v>2616</v>
      </c>
      <c r="B1048" s="142" t="s">
        <v>2617</v>
      </c>
    </row>
    <row r="1049" spans="1:2">
      <c r="A1049" s="142" t="s">
        <v>2618</v>
      </c>
      <c r="B1049" s="142" t="s">
        <v>2619</v>
      </c>
    </row>
    <row r="1050" spans="1:2">
      <c r="A1050" s="142" t="s">
        <v>2620</v>
      </c>
      <c r="B1050" s="142" t="s">
        <v>2621</v>
      </c>
    </row>
    <row r="1051" spans="1:2">
      <c r="A1051" s="142" t="s">
        <v>2622</v>
      </c>
      <c r="B1051" s="142" t="s">
        <v>2623</v>
      </c>
    </row>
    <row r="1052" spans="1:2">
      <c r="A1052" s="142" t="s">
        <v>2624</v>
      </c>
      <c r="B1052" s="142" t="s">
        <v>2625</v>
      </c>
    </row>
    <row r="1053" spans="1:2">
      <c r="A1053" s="142" t="s">
        <v>2626</v>
      </c>
      <c r="B1053" s="142" t="s">
        <v>2627</v>
      </c>
    </row>
    <row r="1054" spans="1:2">
      <c r="A1054" s="142" t="s">
        <v>2628</v>
      </c>
      <c r="B1054" s="142" t="s">
        <v>2629</v>
      </c>
    </row>
    <row r="1055" spans="1:2">
      <c r="A1055" s="142" t="s">
        <v>2630</v>
      </c>
      <c r="B1055" s="142" t="s">
        <v>2631</v>
      </c>
    </row>
    <row r="1056" spans="1:2">
      <c r="A1056" s="142" t="s">
        <v>2632</v>
      </c>
      <c r="B1056" s="142" t="s">
        <v>2633</v>
      </c>
    </row>
    <row r="1057" spans="1:2">
      <c r="A1057" s="142" t="s">
        <v>2634</v>
      </c>
      <c r="B1057" s="142" t="s">
        <v>2635</v>
      </c>
    </row>
    <row r="1058" spans="1:2">
      <c r="A1058" s="142" t="s">
        <v>2636</v>
      </c>
      <c r="B1058" s="142" t="s">
        <v>2637</v>
      </c>
    </row>
    <row r="1059" spans="1:2">
      <c r="A1059" s="142" t="s">
        <v>2638</v>
      </c>
      <c r="B1059" s="142" t="s">
        <v>2639</v>
      </c>
    </row>
    <row r="1060" spans="1:2">
      <c r="A1060" s="142" t="s">
        <v>2640</v>
      </c>
      <c r="B1060" s="142" t="s">
        <v>2641</v>
      </c>
    </row>
    <row r="1061" spans="1:2">
      <c r="A1061" s="142" t="s">
        <v>2642</v>
      </c>
      <c r="B1061" s="142" t="s">
        <v>2643</v>
      </c>
    </row>
    <row r="1062" spans="1:2">
      <c r="A1062" s="142" t="s">
        <v>2644</v>
      </c>
      <c r="B1062" s="142" t="s">
        <v>2645</v>
      </c>
    </row>
    <row r="1063" spans="1:2">
      <c r="A1063" s="142" t="s">
        <v>2646</v>
      </c>
      <c r="B1063" s="142" t="s">
        <v>2647</v>
      </c>
    </row>
    <row r="1064" spans="1:2">
      <c r="A1064" s="142" t="s">
        <v>2648</v>
      </c>
      <c r="B1064" s="142" t="s">
        <v>2649</v>
      </c>
    </row>
    <row r="1065" spans="1:2">
      <c r="A1065" s="142" t="s">
        <v>2650</v>
      </c>
      <c r="B1065" s="142" t="s">
        <v>2651</v>
      </c>
    </row>
    <row r="1066" spans="1:2">
      <c r="A1066" s="142" t="s">
        <v>2652</v>
      </c>
      <c r="B1066" s="142" t="s">
        <v>2653</v>
      </c>
    </row>
    <row r="1067" spans="1:2">
      <c r="A1067" s="142" t="s">
        <v>2654</v>
      </c>
      <c r="B1067" s="142" t="s">
        <v>2655</v>
      </c>
    </row>
    <row r="1068" spans="1:2">
      <c r="A1068" s="142" t="s">
        <v>2656</v>
      </c>
      <c r="B1068" s="142" t="s">
        <v>2657</v>
      </c>
    </row>
    <row r="1069" spans="1:2">
      <c r="A1069" s="142" t="s">
        <v>2658</v>
      </c>
      <c r="B1069" s="142" t="s">
        <v>2659</v>
      </c>
    </row>
    <row r="1070" spans="1:2">
      <c r="A1070" s="142" t="s">
        <v>2660</v>
      </c>
      <c r="B1070" s="142" t="s">
        <v>2661</v>
      </c>
    </row>
    <row r="1071" spans="1:2">
      <c r="A1071" s="142" t="s">
        <v>2662</v>
      </c>
      <c r="B1071" s="142" t="s">
        <v>2663</v>
      </c>
    </row>
    <row r="1072" spans="1:2">
      <c r="A1072" s="142" t="s">
        <v>2664</v>
      </c>
      <c r="B1072" s="142" t="s">
        <v>2665</v>
      </c>
    </row>
    <row r="1073" spans="1:2">
      <c r="A1073" s="142" t="s">
        <v>2666</v>
      </c>
      <c r="B1073" s="142" t="s">
        <v>2667</v>
      </c>
    </row>
    <row r="1074" spans="1:2">
      <c r="A1074" s="142" t="s">
        <v>2668</v>
      </c>
      <c r="B1074" s="142" t="s">
        <v>2669</v>
      </c>
    </row>
    <row r="1075" spans="1:2">
      <c r="A1075" s="142" t="s">
        <v>2670</v>
      </c>
      <c r="B1075" s="142" t="s">
        <v>2671</v>
      </c>
    </row>
    <row r="1076" spans="1:2">
      <c r="A1076" s="142" t="s">
        <v>2672</v>
      </c>
      <c r="B1076" s="142" t="s">
        <v>2673</v>
      </c>
    </row>
    <row r="1077" spans="1:2">
      <c r="A1077" s="142" t="s">
        <v>2674</v>
      </c>
      <c r="B1077" s="142" t="s">
        <v>2675</v>
      </c>
    </row>
    <row r="1078" spans="1:2">
      <c r="A1078" s="142" t="s">
        <v>2676</v>
      </c>
      <c r="B1078" s="142" t="s">
        <v>2677</v>
      </c>
    </row>
    <row r="1079" spans="1:2">
      <c r="A1079" s="142" t="s">
        <v>2678</v>
      </c>
      <c r="B1079" s="142" t="s">
        <v>2679</v>
      </c>
    </row>
    <row r="1080" spans="1:2">
      <c r="A1080" s="142" t="s">
        <v>2680</v>
      </c>
      <c r="B1080" s="142" t="s">
        <v>2681</v>
      </c>
    </row>
    <row r="1081" spans="1:2">
      <c r="A1081" s="142" t="s">
        <v>2682</v>
      </c>
      <c r="B1081" s="142" t="s">
        <v>2683</v>
      </c>
    </row>
    <row r="1082" spans="1:2">
      <c r="A1082" s="142" t="s">
        <v>2684</v>
      </c>
      <c r="B1082" s="142" t="s">
        <v>2685</v>
      </c>
    </row>
    <row r="1083" spans="1:2">
      <c r="A1083" s="142" t="s">
        <v>2686</v>
      </c>
      <c r="B1083" s="142" t="s">
        <v>2687</v>
      </c>
    </row>
    <row r="1084" spans="1:2">
      <c r="A1084" s="142" t="s">
        <v>2688</v>
      </c>
      <c r="B1084" s="142" t="s">
        <v>2689</v>
      </c>
    </row>
    <row r="1085" spans="1:2">
      <c r="A1085" s="142" t="s">
        <v>2690</v>
      </c>
      <c r="B1085" s="142" t="s">
        <v>2691</v>
      </c>
    </row>
    <row r="1086" spans="1:2">
      <c r="A1086" s="142" t="s">
        <v>2692</v>
      </c>
      <c r="B1086" s="142" t="s">
        <v>2693</v>
      </c>
    </row>
    <row r="1087" spans="1:2">
      <c r="A1087" s="142" t="s">
        <v>2694</v>
      </c>
      <c r="B1087" s="142" t="s">
        <v>2695</v>
      </c>
    </row>
    <row r="1088" spans="1:2">
      <c r="A1088" s="142" t="s">
        <v>2696</v>
      </c>
      <c r="B1088" s="142" t="s">
        <v>2697</v>
      </c>
    </row>
    <row r="1089" spans="1:2">
      <c r="A1089" s="142" t="s">
        <v>2698</v>
      </c>
      <c r="B1089" s="142" t="s">
        <v>2699</v>
      </c>
    </row>
    <row r="1090" spans="1:2">
      <c r="A1090" s="142" t="s">
        <v>2700</v>
      </c>
      <c r="B1090" s="142" t="s">
        <v>2701</v>
      </c>
    </row>
    <row r="1091" spans="1:2">
      <c r="A1091" s="142" t="s">
        <v>2702</v>
      </c>
      <c r="B1091" s="142" t="s">
        <v>2703</v>
      </c>
    </row>
    <row r="1092" spans="1:2">
      <c r="A1092" s="142" t="s">
        <v>2704</v>
      </c>
      <c r="B1092" s="142" t="s">
        <v>2705</v>
      </c>
    </row>
    <row r="1093" spans="1:2">
      <c r="A1093" s="142" t="s">
        <v>2706</v>
      </c>
      <c r="B1093" s="142" t="s">
        <v>2707</v>
      </c>
    </row>
    <row r="1094" spans="1:2">
      <c r="A1094" s="142" t="s">
        <v>2708</v>
      </c>
      <c r="B1094" s="142" t="s">
        <v>2709</v>
      </c>
    </row>
    <row r="1095" spans="1:2">
      <c r="A1095" s="142" t="s">
        <v>2710</v>
      </c>
      <c r="B1095" s="142" t="s">
        <v>2711</v>
      </c>
    </row>
    <row r="1096" spans="1:2">
      <c r="A1096" s="142" t="s">
        <v>2712</v>
      </c>
      <c r="B1096" s="142" t="s">
        <v>2713</v>
      </c>
    </row>
    <row r="1097" spans="1:2">
      <c r="A1097" s="142" t="s">
        <v>2714</v>
      </c>
      <c r="B1097" s="142" t="s">
        <v>2715</v>
      </c>
    </row>
    <row r="1098" spans="1:2">
      <c r="A1098" s="142" t="s">
        <v>2716</v>
      </c>
      <c r="B1098" s="142" t="s">
        <v>2717</v>
      </c>
    </row>
    <row r="1099" spans="1:2">
      <c r="A1099" s="142" t="s">
        <v>2718</v>
      </c>
      <c r="B1099" s="142" t="s">
        <v>2719</v>
      </c>
    </row>
    <row r="1100" spans="1:2">
      <c r="A1100" s="142" t="s">
        <v>2720</v>
      </c>
      <c r="B1100" s="142" t="s">
        <v>2721</v>
      </c>
    </row>
    <row r="1101" spans="1:2">
      <c r="A1101" s="142" t="s">
        <v>2722</v>
      </c>
      <c r="B1101" s="142" t="s">
        <v>2723</v>
      </c>
    </row>
    <row r="1102" spans="1:2">
      <c r="A1102" s="142" t="s">
        <v>2724</v>
      </c>
      <c r="B1102" s="142" t="s">
        <v>2725</v>
      </c>
    </row>
    <row r="1103" spans="1:2">
      <c r="A1103" s="142" t="s">
        <v>2726</v>
      </c>
      <c r="B1103" s="142" t="s">
        <v>2727</v>
      </c>
    </row>
    <row r="1104" spans="1:2">
      <c r="A1104" s="142" t="s">
        <v>2728</v>
      </c>
      <c r="B1104" s="142" t="s">
        <v>2729</v>
      </c>
    </row>
    <row r="1105" spans="1:2">
      <c r="A1105" s="142" t="s">
        <v>2730</v>
      </c>
      <c r="B1105" s="142" t="s">
        <v>2731</v>
      </c>
    </row>
    <row r="1106" spans="1:2">
      <c r="A1106" s="142" t="s">
        <v>2732</v>
      </c>
      <c r="B1106" s="142" t="s">
        <v>2733</v>
      </c>
    </row>
    <row r="1107" spans="1:2">
      <c r="A1107" s="142" t="s">
        <v>2734</v>
      </c>
      <c r="B1107" s="142" t="s">
        <v>2735</v>
      </c>
    </row>
    <row r="1108" spans="1:2">
      <c r="A1108" s="142" t="s">
        <v>2736</v>
      </c>
      <c r="B1108" s="142" t="s">
        <v>2737</v>
      </c>
    </row>
    <row r="1109" spans="1:2">
      <c r="A1109" s="142" t="s">
        <v>2738</v>
      </c>
      <c r="B1109" s="142" t="s">
        <v>2739</v>
      </c>
    </row>
    <row r="1110" spans="1:2">
      <c r="A1110" s="142" t="s">
        <v>2740</v>
      </c>
      <c r="B1110" s="142" t="s">
        <v>2741</v>
      </c>
    </row>
    <row r="1111" spans="1:2">
      <c r="A1111" s="142" t="s">
        <v>2742</v>
      </c>
      <c r="B1111" s="142" t="s">
        <v>2743</v>
      </c>
    </row>
    <row r="1112" spans="1:2">
      <c r="A1112" s="142" t="s">
        <v>2744</v>
      </c>
      <c r="B1112" s="142" t="s">
        <v>2745</v>
      </c>
    </row>
    <row r="1113" spans="1:2">
      <c r="A1113" s="142" t="s">
        <v>2746</v>
      </c>
      <c r="B1113" s="142" t="s">
        <v>2747</v>
      </c>
    </row>
    <row r="1114" spans="1:2">
      <c r="A1114" s="142" t="s">
        <v>2748</v>
      </c>
      <c r="B1114" s="142" t="s">
        <v>2749</v>
      </c>
    </row>
    <row r="1115" spans="1:2">
      <c r="A1115" s="142" t="s">
        <v>2750</v>
      </c>
      <c r="B1115" s="142" t="s">
        <v>2751</v>
      </c>
    </row>
    <row r="1116" spans="1:2">
      <c r="A1116" s="142" t="s">
        <v>2752</v>
      </c>
      <c r="B1116" s="142" t="s">
        <v>2753</v>
      </c>
    </row>
    <row r="1117" spans="1:2">
      <c r="A1117" s="142" t="s">
        <v>2754</v>
      </c>
      <c r="B1117" s="142" t="s">
        <v>2755</v>
      </c>
    </row>
    <row r="1118" spans="1:2">
      <c r="A1118" s="142" t="s">
        <v>2756</v>
      </c>
      <c r="B1118" s="142" t="s">
        <v>2757</v>
      </c>
    </row>
    <row r="1119" spans="1:2">
      <c r="A1119" s="142" t="s">
        <v>2758</v>
      </c>
      <c r="B1119" s="142" t="s">
        <v>2759</v>
      </c>
    </row>
    <row r="1120" spans="1:2">
      <c r="A1120" s="142" t="s">
        <v>2760</v>
      </c>
      <c r="B1120" s="142" t="s">
        <v>2761</v>
      </c>
    </row>
    <row r="1121" spans="1:2">
      <c r="A1121" s="142" t="s">
        <v>2762</v>
      </c>
      <c r="B1121" s="142" t="s">
        <v>2763</v>
      </c>
    </row>
    <row r="1122" spans="1:2">
      <c r="A1122" s="142" t="s">
        <v>2764</v>
      </c>
      <c r="B1122" s="142" t="s">
        <v>2765</v>
      </c>
    </row>
    <row r="1123" spans="1:2">
      <c r="A1123" s="142" t="s">
        <v>2766</v>
      </c>
      <c r="B1123" s="142" t="s">
        <v>2767</v>
      </c>
    </row>
    <row r="1124" spans="1:2">
      <c r="A1124" s="142" t="s">
        <v>2768</v>
      </c>
      <c r="B1124" s="142" t="s">
        <v>2769</v>
      </c>
    </row>
    <row r="1125" spans="1:2">
      <c r="A1125" s="142" t="s">
        <v>2770</v>
      </c>
      <c r="B1125" s="142" t="s">
        <v>2771</v>
      </c>
    </row>
    <row r="1126" spans="1:2">
      <c r="A1126" s="142" t="s">
        <v>2772</v>
      </c>
      <c r="B1126" s="142" t="s">
        <v>2773</v>
      </c>
    </row>
    <row r="1127" spans="1:2">
      <c r="A1127" s="142" t="s">
        <v>2774</v>
      </c>
      <c r="B1127" s="142" t="s">
        <v>2775</v>
      </c>
    </row>
    <row r="1128" spans="1:2">
      <c r="A1128" s="142" t="s">
        <v>2776</v>
      </c>
      <c r="B1128" s="142" t="s">
        <v>2777</v>
      </c>
    </row>
    <row r="1129" spans="1:2">
      <c r="A1129" s="142" t="s">
        <v>2778</v>
      </c>
      <c r="B1129" s="142" t="s">
        <v>2779</v>
      </c>
    </row>
    <row r="1130" spans="1:2">
      <c r="A1130" s="142" t="s">
        <v>2780</v>
      </c>
      <c r="B1130" s="142" t="s">
        <v>2781</v>
      </c>
    </row>
    <row r="1131" spans="1:2">
      <c r="A1131" s="142" t="s">
        <v>2782</v>
      </c>
      <c r="B1131" s="142" t="s">
        <v>2783</v>
      </c>
    </row>
    <row r="1132" spans="1:2">
      <c r="A1132" s="142" t="s">
        <v>2784</v>
      </c>
      <c r="B1132" s="142" t="s">
        <v>2785</v>
      </c>
    </row>
    <row r="1133" spans="1:2">
      <c r="A1133" s="142" t="s">
        <v>2786</v>
      </c>
      <c r="B1133" s="142" t="s">
        <v>2787</v>
      </c>
    </row>
    <row r="1134" spans="1:2">
      <c r="A1134" s="142" t="s">
        <v>2788</v>
      </c>
      <c r="B1134" s="142" t="s">
        <v>2789</v>
      </c>
    </row>
    <row r="1135" spans="1:2">
      <c r="A1135" s="142" t="s">
        <v>2790</v>
      </c>
      <c r="B1135" s="142" t="s">
        <v>2791</v>
      </c>
    </row>
    <row r="1136" spans="1:2">
      <c r="A1136" s="142" t="s">
        <v>2792</v>
      </c>
      <c r="B1136" s="142" t="s">
        <v>2793</v>
      </c>
    </row>
    <row r="1137" spans="1:2">
      <c r="A1137" s="142" t="s">
        <v>2794</v>
      </c>
      <c r="B1137" s="142" t="s">
        <v>2795</v>
      </c>
    </row>
    <row r="1138" spans="1:2">
      <c r="A1138" s="142" t="s">
        <v>2796</v>
      </c>
      <c r="B1138" s="142" t="s">
        <v>2797</v>
      </c>
    </row>
    <row r="1139" spans="1:2">
      <c r="A1139" s="142" t="s">
        <v>2798</v>
      </c>
      <c r="B1139" s="142" t="s">
        <v>2799</v>
      </c>
    </row>
    <row r="1140" spans="1:2">
      <c r="A1140" s="142" t="s">
        <v>2800</v>
      </c>
      <c r="B1140" s="142" t="s">
        <v>2801</v>
      </c>
    </row>
    <row r="1141" spans="1:2">
      <c r="A1141" s="142" t="s">
        <v>2802</v>
      </c>
      <c r="B1141" s="142" t="s">
        <v>2803</v>
      </c>
    </row>
    <row r="1142" spans="1:2">
      <c r="A1142" s="142" t="s">
        <v>2804</v>
      </c>
      <c r="B1142" s="142" t="s">
        <v>2805</v>
      </c>
    </row>
    <row r="1143" spans="1:2">
      <c r="A1143" s="142" t="s">
        <v>2806</v>
      </c>
      <c r="B1143" s="142" t="s">
        <v>2807</v>
      </c>
    </row>
    <row r="1144" spans="1:2">
      <c r="A1144" s="142" t="s">
        <v>2808</v>
      </c>
      <c r="B1144" s="142" t="s">
        <v>2809</v>
      </c>
    </row>
    <row r="1145" spans="1:2">
      <c r="A1145" s="142" t="s">
        <v>2810</v>
      </c>
      <c r="B1145" s="142" t="s">
        <v>2811</v>
      </c>
    </row>
    <row r="1146" spans="1:2">
      <c r="A1146" s="142" t="s">
        <v>2812</v>
      </c>
      <c r="B1146" s="142" t="s">
        <v>2813</v>
      </c>
    </row>
    <row r="1147" spans="1:2">
      <c r="A1147" s="142" t="s">
        <v>2814</v>
      </c>
      <c r="B1147" s="142" t="s">
        <v>2815</v>
      </c>
    </row>
    <row r="1148" spans="1:2">
      <c r="A1148" s="142" t="s">
        <v>2816</v>
      </c>
      <c r="B1148" s="142" t="s">
        <v>2817</v>
      </c>
    </row>
    <row r="1149" spans="1:2">
      <c r="A1149" s="142" t="s">
        <v>2818</v>
      </c>
      <c r="B1149" s="142" t="s">
        <v>2819</v>
      </c>
    </row>
    <row r="1150" spans="1:2">
      <c r="A1150" s="142" t="s">
        <v>2820</v>
      </c>
      <c r="B1150" s="142" t="s">
        <v>2821</v>
      </c>
    </row>
    <row r="1151" spans="1:2">
      <c r="A1151" s="142" t="s">
        <v>2822</v>
      </c>
      <c r="B1151" s="142" t="s">
        <v>2823</v>
      </c>
    </row>
    <row r="1152" spans="1:2">
      <c r="A1152" s="142" t="s">
        <v>2824</v>
      </c>
      <c r="B1152" s="142" t="s">
        <v>2825</v>
      </c>
    </row>
    <row r="1153" spans="1:2">
      <c r="A1153" s="142" t="s">
        <v>2826</v>
      </c>
      <c r="B1153" s="142" t="s">
        <v>2827</v>
      </c>
    </row>
    <row r="1154" spans="1:2">
      <c r="A1154" s="142" t="s">
        <v>2828</v>
      </c>
      <c r="B1154" s="142" t="s">
        <v>2829</v>
      </c>
    </row>
    <row r="1155" spans="1:2">
      <c r="A1155" s="142" t="s">
        <v>2830</v>
      </c>
      <c r="B1155" s="142" t="s">
        <v>2831</v>
      </c>
    </row>
    <row r="1156" spans="1:2">
      <c r="A1156" s="142" t="s">
        <v>2832</v>
      </c>
      <c r="B1156" s="142" t="s">
        <v>2833</v>
      </c>
    </row>
    <row r="1157" spans="1:2">
      <c r="A1157" s="142" t="s">
        <v>2834</v>
      </c>
      <c r="B1157" s="142" t="s">
        <v>2835</v>
      </c>
    </row>
    <row r="1158" spans="1:2">
      <c r="A1158" s="142" t="s">
        <v>2836</v>
      </c>
      <c r="B1158" s="142" t="s">
        <v>2837</v>
      </c>
    </row>
    <row r="1159" spans="1:2">
      <c r="A1159" s="142" t="s">
        <v>2838</v>
      </c>
      <c r="B1159" s="142" t="s">
        <v>2839</v>
      </c>
    </row>
    <row r="1160" spans="1:2">
      <c r="A1160" s="142" t="s">
        <v>2840</v>
      </c>
      <c r="B1160" s="142" t="s">
        <v>2841</v>
      </c>
    </row>
    <row r="1161" spans="1:2">
      <c r="A1161" s="142" t="s">
        <v>2842</v>
      </c>
      <c r="B1161" s="142" t="s">
        <v>2843</v>
      </c>
    </row>
    <row r="1162" spans="1:2">
      <c r="A1162" s="142" t="s">
        <v>2844</v>
      </c>
      <c r="B1162" s="142" t="s">
        <v>2845</v>
      </c>
    </row>
    <row r="1163" spans="1:2">
      <c r="A1163" s="142" t="s">
        <v>2846</v>
      </c>
      <c r="B1163" s="142" t="s">
        <v>2847</v>
      </c>
    </row>
    <row r="1164" spans="1:2">
      <c r="A1164" s="142" t="s">
        <v>2848</v>
      </c>
      <c r="B1164" s="142" t="s">
        <v>2849</v>
      </c>
    </row>
    <row r="1165" spans="1:2">
      <c r="A1165" s="142" t="s">
        <v>2850</v>
      </c>
      <c r="B1165" s="142" t="s">
        <v>2851</v>
      </c>
    </row>
    <row r="1166" spans="1:2">
      <c r="A1166" s="142" t="s">
        <v>2852</v>
      </c>
      <c r="B1166" s="142" t="s">
        <v>2853</v>
      </c>
    </row>
    <row r="1167" spans="1:2">
      <c r="A1167" s="142" t="s">
        <v>2854</v>
      </c>
      <c r="B1167" s="142" t="s">
        <v>2855</v>
      </c>
    </row>
    <row r="1168" spans="1:2">
      <c r="A1168" s="142" t="s">
        <v>2856</v>
      </c>
      <c r="B1168" s="142" t="s">
        <v>2857</v>
      </c>
    </row>
    <row r="1169" spans="1:2">
      <c r="A1169" s="142" t="s">
        <v>2858</v>
      </c>
      <c r="B1169" s="142" t="s">
        <v>2859</v>
      </c>
    </row>
    <row r="1170" spans="1:2">
      <c r="A1170" s="142" t="s">
        <v>2860</v>
      </c>
      <c r="B1170" s="142" t="s">
        <v>2861</v>
      </c>
    </row>
    <row r="1171" spans="1:2">
      <c r="A1171" s="142" t="s">
        <v>2862</v>
      </c>
      <c r="B1171" s="142" t="s">
        <v>2863</v>
      </c>
    </row>
    <row r="1172" spans="1:2">
      <c r="A1172" s="142" t="s">
        <v>2864</v>
      </c>
      <c r="B1172" s="142" t="s">
        <v>2865</v>
      </c>
    </row>
    <row r="1173" spans="1:2">
      <c r="A1173" s="142" t="s">
        <v>2866</v>
      </c>
      <c r="B1173" s="142" t="s">
        <v>2867</v>
      </c>
    </row>
    <row r="1174" spans="1:2">
      <c r="A1174" s="142" t="s">
        <v>2868</v>
      </c>
      <c r="B1174" s="142" t="s">
        <v>2869</v>
      </c>
    </row>
    <row r="1175" spans="1:2">
      <c r="A1175" s="142" t="s">
        <v>2870</v>
      </c>
      <c r="B1175" s="142" t="s">
        <v>2871</v>
      </c>
    </row>
    <row r="1176" spans="1:2">
      <c r="A1176" s="142" t="s">
        <v>2872</v>
      </c>
      <c r="B1176" s="142" t="s">
        <v>2873</v>
      </c>
    </row>
    <row r="1177" spans="1:2">
      <c r="A1177" s="142" t="s">
        <v>2874</v>
      </c>
      <c r="B1177" s="142" t="s">
        <v>2875</v>
      </c>
    </row>
    <row r="1178" spans="1:2">
      <c r="A1178" s="142" t="s">
        <v>2876</v>
      </c>
      <c r="B1178" s="142" t="s">
        <v>2877</v>
      </c>
    </row>
    <row r="1179" spans="1:2">
      <c r="A1179" s="142" t="s">
        <v>2878</v>
      </c>
      <c r="B1179" s="142" t="s">
        <v>2879</v>
      </c>
    </row>
    <row r="1180" spans="1:2">
      <c r="A1180" s="142" t="s">
        <v>2880</v>
      </c>
      <c r="B1180" s="142" t="s">
        <v>2881</v>
      </c>
    </row>
    <row r="1181" spans="1:2">
      <c r="A1181" s="142" t="s">
        <v>2882</v>
      </c>
      <c r="B1181" s="142" t="s">
        <v>2883</v>
      </c>
    </row>
    <row r="1182" spans="1:2">
      <c r="A1182" s="142" t="s">
        <v>2884</v>
      </c>
      <c r="B1182" s="142" t="s">
        <v>2885</v>
      </c>
    </row>
    <row r="1183" spans="1:2">
      <c r="A1183" s="142" t="s">
        <v>2886</v>
      </c>
      <c r="B1183" s="142" t="s">
        <v>2887</v>
      </c>
    </row>
    <row r="1184" spans="1:2">
      <c r="A1184" s="142" t="s">
        <v>2888</v>
      </c>
      <c r="B1184" s="142" t="s">
        <v>2889</v>
      </c>
    </row>
    <row r="1185" spans="1:2">
      <c r="A1185" s="142" t="s">
        <v>2890</v>
      </c>
      <c r="B1185" s="142" t="s">
        <v>2891</v>
      </c>
    </row>
    <row r="1186" spans="1:2">
      <c r="A1186" s="142" t="s">
        <v>2892</v>
      </c>
      <c r="B1186" s="142" t="s">
        <v>2893</v>
      </c>
    </row>
    <row r="1187" spans="1:2">
      <c r="A1187" s="142" t="s">
        <v>2894</v>
      </c>
      <c r="B1187" s="142" t="s">
        <v>2895</v>
      </c>
    </row>
    <row r="1188" spans="1:2">
      <c r="A1188" s="142" t="s">
        <v>2896</v>
      </c>
      <c r="B1188" s="142" t="s">
        <v>2897</v>
      </c>
    </row>
    <row r="1189" spans="1:2">
      <c r="A1189" s="142" t="s">
        <v>2898</v>
      </c>
      <c r="B1189" s="142" t="s">
        <v>2899</v>
      </c>
    </row>
    <row r="1190" spans="1:2">
      <c r="A1190" s="142" t="s">
        <v>2900</v>
      </c>
      <c r="B1190" s="142" t="s">
        <v>2901</v>
      </c>
    </row>
    <row r="1191" spans="1:2">
      <c r="A1191" s="142" t="s">
        <v>2902</v>
      </c>
      <c r="B1191" s="142" t="s">
        <v>2903</v>
      </c>
    </row>
    <row r="1192" spans="1:2">
      <c r="A1192" s="142" t="s">
        <v>2904</v>
      </c>
      <c r="B1192" s="142" t="s">
        <v>2905</v>
      </c>
    </row>
    <row r="1193" spans="1:2">
      <c r="A1193" s="142" t="s">
        <v>2906</v>
      </c>
      <c r="B1193" s="142" t="s">
        <v>2907</v>
      </c>
    </row>
    <row r="1194" spans="1:2">
      <c r="A1194" s="142" t="s">
        <v>2908</v>
      </c>
      <c r="B1194" s="142" t="s">
        <v>2909</v>
      </c>
    </row>
    <row r="1195" spans="1:2">
      <c r="A1195" s="142" t="s">
        <v>2910</v>
      </c>
      <c r="B1195" s="142" t="s">
        <v>2911</v>
      </c>
    </row>
    <row r="1196" spans="1:2">
      <c r="A1196" s="142" t="s">
        <v>2912</v>
      </c>
      <c r="B1196" s="142" t="s">
        <v>2913</v>
      </c>
    </row>
    <row r="1197" spans="1:2">
      <c r="A1197" s="142" t="s">
        <v>2914</v>
      </c>
      <c r="B1197" s="142" t="s">
        <v>2915</v>
      </c>
    </row>
    <row r="1198" spans="1:2">
      <c r="A1198" s="142" t="s">
        <v>2916</v>
      </c>
      <c r="B1198" s="142" t="s">
        <v>2917</v>
      </c>
    </row>
    <row r="1199" spans="1:2">
      <c r="A1199" s="142" t="s">
        <v>2918</v>
      </c>
      <c r="B1199" s="142" t="s">
        <v>2919</v>
      </c>
    </row>
    <row r="1200" spans="1:2">
      <c r="A1200" s="142" t="s">
        <v>2920</v>
      </c>
      <c r="B1200" s="142" t="s">
        <v>2921</v>
      </c>
    </row>
    <row r="1201" spans="1:2">
      <c r="A1201" s="142" t="s">
        <v>2922</v>
      </c>
      <c r="B1201" s="142" t="s">
        <v>2923</v>
      </c>
    </row>
    <row r="1202" spans="1:2">
      <c r="A1202" s="142" t="s">
        <v>2924</v>
      </c>
      <c r="B1202" s="142" t="s">
        <v>2925</v>
      </c>
    </row>
    <row r="1203" spans="1:2">
      <c r="A1203" s="142" t="s">
        <v>2926</v>
      </c>
      <c r="B1203" s="142" t="s">
        <v>2927</v>
      </c>
    </row>
    <row r="1204" spans="1:2">
      <c r="A1204" s="142" t="s">
        <v>2928</v>
      </c>
      <c r="B1204" s="142" t="s">
        <v>2929</v>
      </c>
    </row>
    <row r="1205" spans="1:2">
      <c r="A1205" s="142" t="s">
        <v>2930</v>
      </c>
      <c r="B1205" s="142" t="s">
        <v>2931</v>
      </c>
    </row>
    <row r="1206" spans="1:2">
      <c r="A1206" s="142" t="s">
        <v>2932</v>
      </c>
      <c r="B1206" s="142" t="s">
        <v>2933</v>
      </c>
    </row>
    <row r="1207" spans="1:2">
      <c r="A1207" s="142" t="s">
        <v>2934</v>
      </c>
      <c r="B1207" s="142" t="s">
        <v>2935</v>
      </c>
    </row>
    <row r="1208" spans="1:2">
      <c r="A1208" s="142" t="s">
        <v>2936</v>
      </c>
      <c r="B1208" s="142" t="s">
        <v>2937</v>
      </c>
    </row>
    <row r="1209" spans="1:2">
      <c r="A1209" s="142" t="s">
        <v>2938</v>
      </c>
      <c r="B1209" s="142" t="s">
        <v>2939</v>
      </c>
    </row>
    <row r="1210" spans="1:2">
      <c r="A1210" s="142" t="s">
        <v>2940</v>
      </c>
      <c r="B1210" s="142" t="s">
        <v>2941</v>
      </c>
    </row>
    <row r="1211" spans="1:2">
      <c r="A1211" s="142" t="s">
        <v>2942</v>
      </c>
      <c r="B1211" s="142" t="s">
        <v>2943</v>
      </c>
    </row>
    <row r="1212" spans="1:2">
      <c r="A1212" s="142" t="s">
        <v>2944</v>
      </c>
      <c r="B1212" s="142" t="s">
        <v>2945</v>
      </c>
    </row>
    <row r="1213" spans="1:2">
      <c r="A1213" s="142" t="s">
        <v>2946</v>
      </c>
      <c r="B1213" s="142" t="s">
        <v>2947</v>
      </c>
    </row>
    <row r="1214" spans="1:2">
      <c r="A1214" s="142" t="s">
        <v>2948</v>
      </c>
      <c r="B1214" s="142" t="s">
        <v>2949</v>
      </c>
    </row>
    <row r="1215" spans="1:2">
      <c r="A1215" s="142" t="s">
        <v>2950</v>
      </c>
      <c r="B1215" s="142" t="s">
        <v>2951</v>
      </c>
    </row>
    <row r="1216" spans="1:2">
      <c r="A1216" s="142" t="s">
        <v>2952</v>
      </c>
      <c r="B1216" s="142" t="s">
        <v>2953</v>
      </c>
    </row>
    <row r="1217" spans="1:2">
      <c r="A1217" s="142" t="s">
        <v>2954</v>
      </c>
      <c r="B1217" s="142" t="s">
        <v>2955</v>
      </c>
    </row>
    <row r="1218" spans="1:2">
      <c r="A1218" s="142" t="s">
        <v>2956</v>
      </c>
      <c r="B1218" s="142" t="s">
        <v>2957</v>
      </c>
    </row>
    <row r="1219" spans="1:2">
      <c r="A1219" s="142" t="s">
        <v>2958</v>
      </c>
      <c r="B1219" s="142" t="s">
        <v>2959</v>
      </c>
    </row>
    <row r="1220" spans="1:2">
      <c r="A1220" s="142" t="s">
        <v>2960</v>
      </c>
      <c r="B1220" s="142" t="s">
        <v>2961</v>
      </c>
    </row>
    <row r="1221" spans="1:2">
      <c r="A1221" s="142" t="s">
        <v>2962</v>
      </c>
      <c r="B1221" s="142" t="s">
        <v>2963</v>
      </c>
    </row>
    <row r="1222" spans="1:2">
      <c r="A1222" s="142" t="s">
        <v>2964</v>
      </c>
      <c r="B1222" s="142" t="s">
        <v>2965</v>
      </c>
    </row>
    <row r="1223" spans="1:2">
      <c r="A1223" s="142" t="s">
        <v>2966</v>
      </c>
      <c r="B1223" s="142" t="s">
        <v>2967</v>
      </c>
    </row>
    <row r="1224" spans="1:2">
      <c r="A1224" s="142" t="s">
        <v>2968</v>
      </c>
      <c r="B1224" s="142" t="s">
        <v>2969</v>
      </c>
    </row>
    <row r="1225" spans="1:2">
      <c r="A1225" s="142" t="s">
        <v>2970</v>
      </c>
      <c r="B1225" s="142" t="s">
        <v>2971</v>
      </c>
    </row>
    <row r="1226" spans="1:2">
      <c r="A1226" s="142" t="s">
        <v>2972</v>
      </c>
      <c r="B1226" s="142" t="s">
        <v>2973</v>
      </c>
    </row>
    <row r="1227" spans="1:2">
      <c r="A1227" s="142" t="s">
        <v>2974</v>
      </c>
      <c r="B1227" s="142" t="s">
        <v>2975</v>
      </c>
    </row>
    <row r="1228" spans="1:2">
      <c r="A1228" s="142" t="s">
        <v>2976</v>
      </c>
      <c r="B1228" s="142" t="s">
        <v>2977</v>
      </c>
    </row>
    <row r="1229" spans="1:2">
      <c r="A1229" s="142" t="s">
        <v>2978</v>
      </c>
      <c r="B1229" s="142" t="s">
        <v>2979</v>
      </c>
    </row>
    <row r="1230" spans="1:2">
      <c r="A1230" s="142" t="s">
        <v>2980</v>
      </c>
      <c r="B1230" s="142" t="s">
        <v>2981</v>
      </c>
    </row>
    <row r="1231" spans="1:2">
      <c r="A1231" s="142" t="s">
        <v>2982</v>
      </c>
      <c r="B1231" s="142" t="s">
        <v>2983</v>
      </c>
    </row>
    <row r="1232" spans="1:2">
      <c r="A1232" s="142" t="s">
        <v>2984</v>
      </c>
      <c r="B1232" s="142" t="s">
        <v>2985</v>
      </c>
    </row>
    <row r="1233" spans="1:2">
      <c r="A1233" s="142" t="s">
        <v>2986</v>
      </c>
      <c r="B1233" s="142" t="s">
        <v>2987</v>
      </c>
    </row>
    <row r="1234" spans="1:2">
      <c r="A1234" s="142" t="s">
        <v>2988</v>
      </c>
      <c r="B1234" s="142" t="s">
        <v>2989</v>
      </c>
    </row>
    <row r="1235" spans="1:2">
      <c r="A1235" s="142" t="s">
        <v>2990</v>
      </c>
      <c r="B1235" s="142" t="s">
        <v>2991</v>
      </c>
    </row>
    <row r="1236" spans="1:2">
      <c r="A1236" s="142" t="s">
        <v>2992</v>
      </c>
      <c r="B1236" s="142" t="s">
        <v>2993</v>
      </c>
    </row>
    <row r="1237" spans="1:2">
      <c r="A1237" s="142" t="s">
        <v>2994</v>
      </c>
      <c r="B1237" s="142" t="s">
        <v>2995</v>
      </c>
    </row>
    <row r="1238" spans="1:2">
      <c r="A1238" s="142" t="s">
        <v>2996</v>
      </c>
      <c r="B1238" s="142" t="s">
        <v>2997</v>
      </c>
    </row>
    <row r="1239" spans="1:2">
      <c r="A1239" s="142" t="s">
        <v>2998</v>
      </c>
      <c r="B1239" s="142" t="s">
        <v>2999</v>
      </c>
    </row>
    <row r="1240" spans="1:2">
      <c r="A1240" s="142" t="s">
        <v>3000</v>
      </c>
      <c r="B1240" s="142" t="s">
        <v>3001</v>
      </c>
    </row>
    <row r="1241" spans="1:2">
      <c r="A1241" s="142" t="s">
        <v>3002</v>
      </c>
      <c r="B1241" s="142" t="s">
        <v>3003</v>
      </c>
    </row>
    <row r="1242" spans="1:2">
      <c r="A1242" s="142" t="s">
        <v>3004</v>
      </c>
      <c r="B1242" s="142" t="s">
        <v>3005</v>
      </c>
    </row>
    <row r="1243" spans="1:2">
      <c r="A1243" s="142" t="s">
        <v>3006</v>
      </c>
      <c r="B1243" s="142" t="s">
        <v>3007</v>
      </c>
    </row>
    <row r="1244" spans="1:2">
      <c r="A1244" s="142" t="s">
        <v>3008</v>
      </c>
      <c r="B1244" s="142" t="s">
        <v>3009</v>
      </c>
    </row>
    <row r="1245" spans="1:2">
      <c r="A1245" s="142" t="s">
        <v>3010</v>
      </c>
      <c r="B1245" s="142" t="s">
        <v>3011</v>
      </c>
    </row>
    <row r="1246" spans="1:2">
      <c r="A1246" s="142" t="s">
        <v>3012</v>
      </c>
      <c r="B1246" s="142" t="s">
        <v>3013</v>
      </c>
    </row>
    <row r="1247" spans="1:2">
      <c r="A1247" s="142" t="s">
        <v>3014</v>
      </c>
      <c r="B1247" s="142" t="s">
        <v>3015</v>
      </c>
    </row>
    <row r="1248" spans="1:2">
      <c r="A1248" s="142" t="s">
        <v>3016</v>
      </c>
      <c r="B1248" s="142" t="s">
        <v>3017</v>
      </c>
    </row>
    <row r="1249" spans="1:2">
      <c r="A1249" s="142" t="s">
        <v>3018</v>
      </c>
      <c r="B1249" s="142" t="s">
        <v>3019</v>
      </c>
    </row>
    <row r="1250" spans="1:2">
      <c r="A1250" s="142" t="s">
        <v>3020</v>
      </c>
      <c r="B1250" s="142" t="s">
        <v>3021</v>
      </c>
    </row>
    <row r="1251" spans="1:2">
      <c r="A1251" s="142" t="s">
        <v>3022</v>
      </c>
      <c r="B1251" s="142" t="s">
        <v>3023</v>
      </c>
    </row>
    <row r="1252" spans="1:2">
      <c r="A1252" s="142" t="s">
        <v>3024</v>
      </c>
      <c r="B1252" s="142" t="s">
        <v>3025</v>
      </c>
    </row>
    <row r="1253" spans="1:2">
      <c r="A1253" s="142" t="s">
        <v>3026</v>
      </c>
      <c r="B1253" s="142" t="s">
        <v>3027</v>
      </c>
    </row>
    <row r="1254" spans="1:2">
      <c r="A1254" s="142" t="s">
        <v>3028</v>
      </c>
      <c r="B1254" s="142" t="s">
        <v>3029</v>
      </c>
    </row>
    <row r="1255" spans="1:2">
      <c r="A1255" s="142" t="s">
        <v>3030</v>
      </c>
      <c r="B1255" s="142" t="s">
        <v>3031</v>
      </c>
    </row>
    <row r="1256" spans="1:2">
      <c r="A1256" s="142" t="s">
        <v>3032</v>
      </c>
      <c r="B1256" s="142" t="s">
        <v>3033</v>
      </c>
    </row>
    <row r="1257" spans="1:2">
      <c r="A1257" s="142" t="s">
        <v>3034</v>
      </c>
      <c r="B1257" s="142" t="s">
        <v>3035</v>
      </c>
    </row>
    <row r="1258" spans="1:2">
      <c r="A1258" s="142" t="s">
        <v>3036</v>
      </c>
      <c r="B1258" s="142" t="s">
        <v>3037</v>
      </c>
    </row>
    <row r="1259" spans="1:2">
      <c r="A1259" s="142" t="s">
        <v>3038</v>
      </c>
      <c r="B1259" s="142" t="s">
        <v>3039</v>
      </c>
    </row>
    <row r="1260" spans="1:2">
      <c r="A1260" s="142" t="s">
        <v>3040</v>
      </c>
      <c r="B1260" s="142" t="s">
        <v>3041</v>
      </c>
    </row>
    <row r="1261" spans="1:2">
      <c r="A1261" s="142" t="s">
        <v>3042</v>
      </c>
      <c r="B1261" s="142" t="s">
        <v>3043</v>
      </c>
    </row>
    <row r="1262" spans="1:2">
      <c r="A1262" s="142" t="s">
        <v>3044</v>
      </c>
      <c r="B1262" s="142" t="s">
        <v>296</v>
      </c>
    </row>
    <row r="1263" spans="1:2">
      <c r="A1263" s="142" t="s">
        <v>3045</v>
      </c>
      <c r="B1263" s="142" t="s">
        <v>3046</v>
      </c>
    </row>
    <row r="1264" spans="1:2">
      <c r="A1264" s="142" t="s">
        <v>3047</v>
      </c>
      <c r="B1264" s="142" t="s">
        <v>3048</v>
      </c>
    </row>
    <row r="1265" spans="1:2">
      <c r="A1265" s="142" t="s">
        <v>3049</v>
      </c>
      <c r="B1265" s="142" t="s">
        <v>3050</v>
      </c>
    </row>
    <row r="1266" spans="1:2">
      <c r="A1266" s="142" t="s">
        <v>3051</v>
      </c>
      <c r="B1266" s="142" t="s">
        <v>3052</v>
      </c>
    </row>
    <row r="1267" spans="1:2">
      <c r="A1267" s="142" t="s">
        <v>3053</v>
      </c>
      <c r="B1267" s="142" t="s">
        <v>3054</v>
      </c>
    </row>
    <row r="1268" spans="1:2">
      <c r="A1268" s="142" t="s">
        <v>3055</v>
      </c>
      <c r="B1268" s="142" t="s">
        <v>3056</v>
      </c>
    </row>
    <row r="1269" spans="1:2">
      <c r="A1269" s="142" t="s">
        <v>3057</v>
      </c>
      <c r="B1269" s="142" t="s">
        <v>301</v>
      </c>
    </row>
    <row r="1270" spans="1:2">
      <c r="A1270" s="142" t="s">
        <v>3058</v>
      </c>
      <c r="B1270" s="142" t="s">
        <v>3059</v>
      </c>
    </row>
    <row r="1271" spans="1:2">
      <c r="A1271" s="142" t="s">
        <v>3060</v>
      </c>
      <c r="B1271" s="142" t="s">
        <v>3061</v>
      </c>
    </row>
    <row r="1272" spans="1:2">
      <c r="A1272" s="142" t="s">
        <v>3062</v>
      </c>
      <c r="B1272" s="142" t="s">
        <v>3063</v>
      </c>
    </row>
    <row r="1273" spans="1:2">
      <c r="A1273" s="142" t="s">
        <v>3064</v>
      </c>
      <c r="B1273" s="142" t="s">
        <v>3065</v>
      </c>
    </row>
    <row r="1274" spans="1:2">
      <c r="A1274" s="142" t="s">
        <v>3066</v>
      </c>
      <c r="B1274" s="142" t="s">
        <v>3067</v>
      </c>
    </row>
    <row r="1275" spans="1:2">
      <c r="A1275" s="142" t="s">
        <v>3068</v>
      </c>
      <c r="B1275" s="142" t="s">
        <v>3069</v>
      </c>
    </row>
    <row r="1276" spans="1:2">
      <c r="A1276" s="142" t="s">
        <v>3070</v>
      </c>
      <c r="B1276" s="142" t="s">
        <v>3071</v>
      </c>
    </row>
    <row r="1277" spans="1:2">
      <c r="A1277" s="142" t="s">
        <v>3072</v>
      </c>
      <c r="B1277" s="142" t="s">
        <v>3073</v>
      </c>
    </row>
    <row r="1278" spans="1:2">
      <c r="A1278" s="142" t="s">
        <v>3074</v>
      </c>
      <c r="B1278" s="142" t="s">
        <v>3075</v>
      </c>
    </row>
    <row r="1279" spans="1:2">
      <c r="A1279" s="142" t="s">
        <v>3076</v>
      </c>
      <c r="B1279" s="142" t="s">
        <v>306</v>
      </c>
    </row>
    <row r="1280" spans="1:2">
      <c r="A1280" s="142" t="s">
        <v>3077</v>
      </c>
      <c r="B1280" s="142" t="s">
        <v>3078</v>
      </c>
    </row>
    <row r="1281" spans="1:2">
      <c r="A1281" s="142" t="s">
        <v>3079</v>
      </c>
      <c r="B1281" s="142" t="s">
        <v>3080</v>
      </c>
    </row>
    <row r="1282" spans="1:2">
      <c r="A1282" s="142" t="s">
        <v>3081</v>
      </c>
      <c r="B1282" s="142" t="s">
        <v>3082</v>
      </c>
    </row>
    <row r="1283" spans="1:2">
      <c r="A1283" s="142" t="s">
        <v>3083</v>
      </c>
      <c r="B1283" s="142" t="s">
        <v>311</v>
      </c>
    </row>
    <row r="1284" spans="1:2">
      <c r="A1284" s="142" t="s">
        <v>3084</v>
      </c>
      <c r="B1284" s="142" t="s">
        <v>316</v>
      </c>
    </row>
    <row r="1285" spans="1:2">
      <c r="A1285" s="142" t="s">
        <v>3085</v>
      </c>
      <c r="B1285" s="142" t="s">
        <v>321</v>
      </c>
    </row>
    <row r="1286" spans="1:2">
      <c r="A1286" s="142" t="s">
        <v>3086</v>
      </c>
      <c r="B1286" s="142" t="s">
        <v>3087</v>
      </c>
    </row>
    <row r="1287" spans="1:2">
      <c r="A1287" s="142" t="s">
        <v>3088</v>
      </c>
      <c r="B1287" s="142" t="s">
        <v>3089</v>
      </c>
    </row>
    <row r="1288" spans="1:2">
      <c r="A1288" s="142" t="s">
        <v>3090</v>
      </c>
      <c r="B1288" s="142" t="s">
        <v>3091</v>
      </c>
    </row>
    <row r="1289" spans="1:2">
      <c r="A1289" s="142" t="s">
        <v>3092</v>
      </c>
      <c r="B1289" s="142" t="s">
        <v>3093</v>
      </c>
    </row>
    <row r="1290" spans="1:2">
      <c r="A1290" s="142" t="s">
        <v>3094</v>
      </c>
      <c r="B1290" s="142" t="s">
        <v>3095</v>
      </c>
    </row>
    <row r="1291" spans="1:2">
      <c r="A1291" s="142" t="s">
        <v>3096</v>
      </c>
      <c r="B1291" s="142" t="s">
        <v>3097</v>
      </c>
    </row>
    <row r="1292" spans="1:2">
      <c r="A1292" s="142" t="s">
        <v>3098</v>
      </c>
      <c r="B1292" s="142" t="s">
        <v>3099</v>
      </c>
    </row>
    <row r="1293" spans="1:2">
      <c r="A1293" s="142" t="s">
        <v>3100</v>
      </c>
      <c r="B1293" s="142" t="s">
        <v>3101</v>
      </c>
    </row>
    <row r="1294" spans="1:2">
      <c r="A1294" s="142" t="s">
        <v>3102</v>
      </c>
      <c r="B1294" s="142" t="s">
        <v>3103</v>
      </c>
    </row>
    <row r="1295" spans="1:2">
      <c r="A1295" s="142" t="s">
        <v>3104</v>
      </c>
      <c r="B1295" s="142" t="s">
        <v>3105</v>
      </c>
    </row>
    <row r="1296" spans="1:2">
      <c r="A1296" s="142" t="s">
        <v>3106</v>
      </c>
      <c r="B1296" s="142" t="s">
        <v>3107</v>
      </c>
    </row>
    <row r="1297" spans="1:2">
      <c r="A1297" s="142" t="s">
        <v>3108</v>
      </c>
      <c r="B1297" s="142" t="s">
        <v>3109</v>
      </c>
    </row>
    <row r="1298" spans="1:2">
      <c r="A1298" s="142" t="s">
        <v>3110</v>
      </c>
      <c r="B1298" s="142" t="s">
        <v>3111</v>
      </c>
    </row>
    <row r="1299" spans="1:2">
      <c r="A1299" s="142" t="s">
        <v>3112</v>
      </c>
      <c r="B1299" s="142" t="s">
        <v>3113</v>
      </c>
    </row>
    <row r="1300" spans="1:2">
      <c r="A1300" s="142" t="s">
        <v>3114</v>
      </c>
      <c r="B1300" s="142" t="s">
        <v>326</v>
      </c>
    </row>
    <row r="1301" spans="1:2">
      <c r="A1301" s="142" t="s">
        <v>3115</v>
      </c>
      <c r="B1301" s="142" t="s">
        <v>3116</v>
      </c>
    </row>
    <row r="1302" spans="1:2">
      <c r="A1302" s="142" t="s">
        <v>3117</v>
      </c>
      <c r="B1302" s="142" t="s">
        <v>3118</v>
      </c>
    </row>
    <row r="1303" spans="1:2">
      <c r="A1303" s="142" t="s">
        <v>3119</v>
      </c>
      <c r="B1303" s="142" t="s">
        <v>331</v>
      </c>
    </row>
    <row r="1304" spans="1:2">
      <c r="A1304" s="142" t="s">
        <v>3120</v>
      </c>
      <c r="B1304" s="142" t="s">
        <v>3121</v>
      </c>
    </row>
    <row r="1305" spans="1:2">
      <c r="A1305" s="142" t="s">
        <v>3122</v>
      </c>
      <c r="B1305" s="142" t="s">
        <v>3123</v>
      </c>
    </row>
    <row r="1306" spans="1:2">
      <c r="A1306" s="142" t="s">
        <v>3124</v>
      </c>
      <c r="B1306" s="142" t="s">
        <v>3125</v>
      </c>
    </row>
    <row r="1307" spans="1:2">
      <c r="A1307" s="142" t="s">
        <v>3126</v>
      </c>
      <c r="B1307" s="142" t="s">
        <v>3127</v>
      </c>
    </row>
    <row r="1308" spans="1:2">
      <c r="A1308" s="142" t="s">
        <v>3128</v>
      </c>
      <c r="B1308" s="142" t="s">
        <v>3129</v>
      </c>
    </row>
    <row r="1309" spans="1:2">
      <c r="A1309" s="142" t="s">
        <v>3130</v>
      </c>
      <c r="B1309" s="142" t="s">
        <v>3131</v>
      </c>
    </row>
    <row r="1310" spans="1:2">
      <c r="A1310" s="142" t="s">
        <v>3132</v>
      </c>
      <c r="B1310" s="142" t="s">
        <v>3133</v>
      </c>
    </row>
    <row r="1311" spans="1:2">
      <c r="A1311" s="142" t="s">
        <v>3134</v>
      </c>
      <c r="B1311" s="142" t="s">
        <v>3135</v>
      </c>
    </row>
    <row r="1312" spans="1:2">
      <c r="A1312" s="142" t="s">
        <v>3136</v>
      </c>
      <c r="B1312" s="142" t="s">
        <v>3137</v>
      </c>
    </row>
    <row r="1313" spans="1:2">
      <c r="A1313" s="142" t="s">
        <v>3138</v>
      </c>
      <c r="B1313" s="142" t="s">
        <v>3139</v>
      </c>
    </row>
    <row r="1314" spans="1:2">
      <c r="A1314" s="142" t="s">
        <v>3140</v>
      </c>
      <c r="B1314" s="142" t="s">
        <v>3141</v>
      </c>
    </row>
    <row r="1315" spans="1:2">
      <c r="A1315" s="142" t="s">
        <v>3142</v>
      </c>
      <c r="B1315" s="142" t="s">
        <v>3143</v>
      </c>
    </row>
    <row r="1316" spans="1:2">
      <c r="A1316" s="142" t="s">
        <v>3144</v>
      </c>
      <c r="B1316" s="142" t="s">
        <v>3145</v>
      </c>
    </row>
    <row r="1317" spans="1:2">
      <c r="A1317" s="142" t="s">
        <v>3146</v>
      </c>
      <c r="B1317" s="142" t="s">
        <v>3147</v>
      </c>
    </row>
    <row r="1318" spans="1:2">
      <c r="A1318" s="142" t="s">
        <v>3148</v>
      </c>
      <c r="B1318" s="142" t="s">
        <v>3149</v>
      </c>
    </row>
    <row r="1319" spans="1:2">
      <c r="A1319" s="142" t="s">
        <v>3150</v>
      </c>
      <c r="B1319" s="142" t="s">
        <v>3151</v>
      </c>
    </row>
    <row r="1320" spans="1:2">
      <c r="A1320" s="142" t="s">
        <v>3152</v>
      </c>
      <c r="B1320" s="142" t="s">
        <v>3153</v>
      </c>
    </row>
    <row r="1321" spans="1:2">
      <c r="A1321" s="142" t="s">
        <v>3154</v>
      </c>
      <c r="B1321" s="142" t="s">
        <v>3155</v>
      </c>
    </row>
    <row r="1322" spans="1:2">
      <c r="A1322" s="142" t="s">
        <v>3156</v>
      </c>
      <c r="B1322" s="142" t="s">
        <v>3157</v>
      </c>
    </row>
    <row r="1323" spans="1:2">
      <c r="A1323" s="142" t="s">
        <v>3158</v>
      </c>
      <c r="B1323" s="142" t="s">
        <v>3159</v>
      </c>
    </row>
    <row r="1324" spans="1:2">
      <c r="A1324" s="142" t="s">
        <v>3160</v>
      </c>
      <c r="B1324" s="142" t="s">
        <v>3161</v>
      </c>
    </row>
    <row r="1325" spans="1:2">
      <c r="A1325" s="142" t="s">
        <v>3162</v>
      </c>
      <c r="B1325" s="142" t="s">
        <v>3163</v>
      </c>
    </row>
    <row r="1326" spans="1:2">
      <c r="A1326" s="142" t="s">
        <v>3164</v>
      </c>
      <c r="B1326" s="142" t="s">
        <v>3165</v>
      </c>
    </row>
    <row r="1327" spans="1:2">
      <c r="A1327" s="142" t="s">
        <v>3166</v>
      </c>
      <c r="B1327" s="142" t="s">
        <v>3167</v>
      </c>
    </row>
    <row r="1328" spans="1:2">
      <c r="A1328" s="142" t="s">
        <v>3168</v>
      </c>
      <c r="B1328" s="142" t="s">
        <v>3169</v>
      </c>
    </row>
    <row r="1329" spans="1:2">
      <c r="A1329" s="142" t="s">
        <v>3170</v>
      </c>
      <c r="B1329" s="142" t="s">
        <v>3171</v>
      </c>
    </row>
    <row r="1330" spans="1:2">
      <c r="A1330" s="142" t="s">
        <v>3172</v>
      </c>
      <c r="B1330" s="142" t="s">
        <v>3173</v>
      </c>
    </row>
    <row r="1331" spans="1:2">
      <c r="A1331" s="142" t="s">
        <v>3174</v>
      </c>
      <c r="B1331" s="142" t="s">
        <v>3175</v>
      </c>
    </row>
    <row r="1332" spans="1:2">
      <c r="A1332" s="142" t="s">
        <v>3176</v>
      </c>
      <c r="B1332" s="142" t="s">
        <v>3177</v>
      </c>
    </row>
    <row r="1333" spans="1:2">
      <c r="A1333" s="142" t="s">
        <v>3178</v>
      </c>
      <c r="B1333" s="142" t="s">
        <v>3179</v>
      </c>
    </row>
    <row r="1334" spans="1:2">
      <c r="A1334" s="142" t="s">
        <v>3180</v>
      </c>
      <c r="B1334" s="142" t="s">
        <v>3181</v>
      </c>
    </row>
    <row r="1335" spans="1:2">
      <c r="A1335" s="142" t="s">
        <v>3182</v>
      </c>
      <c r="B1335" s="142" t="s">
        <v>3183</v>
      </c>
    </row>
    <row r="1336" spans="1:2">
      <c r="A1336" s="142" t="s">
        <v>3184</v>
      </c>
      <c r="B1336" s="142" t="s">
        <v>3185</v>
      </c>
    </row>
    <row r="1337" spans="1:2">
      <c r="A1337" s="142" t="s">
        <v>3186</v>
      </c>
      <c r="B1337" s="142" t="s">
        <v>3187</v>
      </c>
    </row>
    <row r="1338" spans="1:2">
      <c r="A1338" s="142" t="s">
        <v>3188</v>
      </c>
      <c r="B1338" s="142" t="s">
        <v>3189</v>
      </c>
    </row>
    <row r="1339" spans="1:2">
      <c r="A1339" s="142" t="s">
        <v>3190</v>
      </c>
      <c r="B1339" s="142" t="s">
        <v>3191</v>
      </c>
    </row>
    <row r="1340" spans="1:2">
      <c r="A1340" s="142" t="s">
        <v>3192</v>
      </c>
      <c r="B1340" s="142" t="s">
        <v>3193</v>
      </c>
    </row>
    <row r="1341" spans="1:2">
      <c r="A1341" s="142" t="s">
        <v>3194</v>
      </c>
      <c r="B1341" s="142" t="s">
        <v>3195</v>
      </c>
    </row>
    <row r="1342" spans="1:2">
      <c r="A1342" s="142" t="s">
        <v>3196</v>
      </c>
      <c r="B1342" s="142" t="s">
        <v>3197</v>
      </c>
    </row>
    <row r="1343" spans="1:2">
      <c r="A1343" s="142" t="s">
        <v>3198</v>
      </c>
      <c r="B1343" s="142" t="s">
        <v>3199</v>
      </c>
    </row>
    <row r="1344" spans="1:2">
      <c r="A1344" s="142" t="s">
        <v>3200</v>
      </c>
      <c r="B1344" s="142" t="s">
        <v>3201</v>
      </c>
    </row>
    <row r="1345" spans="1:2">
      <c r="A1345" s="142" t="s">
        <v>3202</v>
      </c>
      <c r="B1345" s="142" t="s">
        <v>3203</v>
      </c>
    </row>
    <row r="1346" spans="1:2">
      <c r="A1346" s="142" t="s">
        <v>3204</v>
      </c>
      <c r="B1346" s="142" t="s">
        <v>3205</v>
      </c>
    </row>
    <row r="1347" spans="1:2">
      <c r="A1347" s="142" t="s">
        <v>3206</v>
      </c>
      <c r="B1347" s="142" t="s">
        <v>3207</v>
      </c>
    </row>
    <row r="1348" spans="1:2">
      <c r="A1348" s="142" t="s">
        <v>3208</v>
      </c>
      <c r="B1348" s="142" t="s">
        <v>3209</v>
      </c>
    </row>
    <row r="1349" spans="1:2">
      <c r="A1349" s="142" t="s">
        <v>3210</v>
      </c>
      <c r="B1349" s="142" t="s">
        <v>3211</v>
      </c>
    </row>
    <row r="1350" spans="1:2">
      <c r="A1350" s="142" t="s">
        <v>3212</v>
      </c>
      <c r="B1350" s="142" t="s">
        <v>3213</v>
      </c>
    </row>
    <row r="1351" spans="1:2">
      <c r="A1351" s="142" t="s">
        <v>3214</v>
      </c>
      <c r="B1351" s="142" t="s">
        <v>3215</v>
      </c>
    </row>
    <row r="1352" spans="1:2">
      <c r="A1352" s="142" t="s">
        <v>3216</v>
      </c>
      <c r="B1352" s="142" t="s">
        <v>3217</v>
      </c>
    </row>
    <row r="1353" spans="1:2">
      <c r="A1353" s="142" t="s">
        <v>3218</v>
      </c>
      <c r="B1353" s="142" t="s">
        <v>3219</v>
      </c>
    </row>
    <row r="1354" spans="1:2">
      <c r="A1354" s="142" t="s">
        <v>3220</v>
      </c>
      <c r="B1354" s="142" t="s">
        <v>3221</v>
      </c>
    </row>
    <row r="1355" spans="1:2">
      <c r="A1355" s="142" t="s">
        <v>3222</v>
      </c>
      <c r="B1355" s="142" t="s">
        <v>336</v>
      </c>
    </row>
    <row r="1356" spans="1:2">
      <c r="A1356" s="142" t="s">
        <v>3223</v>
      </c>
      <c r="B1356" s="142" t="s">
        <v>3224</v>
      </c>
    </row>
    <row r="1357" spans="1:2">
      <c r="A1357" s="142" t="s">
        <v>3225</v>
      </c>
      <c r="B1357" s="142" t="s">
        <v>341</v>
      </c>
    </row>
    <row r="1358" spans="1:2">
      <c r="A1358" s="142" t="s">
        <v>3226</v>
      </c>
      <c r="B1358" s="142" t="s">
        <v>3227</v>
      </c>
    </row>
    <row r="1359" spans="1:2">
      <c r="A1359" s="142" t="s">
        <v>3228</v>
      </c>
      <c r="B1359" s="142" t="s">
        <v>3229</v>
      </c>
    </row>
    <row r="1360" spans="1:2">
      <c r="A1360" s="142" t="s">
        <v>3230</v>
      </c>
      <c r="B1360" s="142" t="s">
        <v>3231</v>
      </c>
    </row>
    <row r="1361" spans="1:2">
      <c r="A1361" s="142" t="s">
        <v>3232</v>
      </c>
      <c r="B1361" s="142" t="s">
        <v>3233</v>
      </c>
    </row>
    <row r="1362" spans="1:2">
      <c r="A1362" s="142" t="s">
        <v>3234</v>
      </c>
      <c r="B1362" s="142" t="s">
        <v>3235</v>
      </c>
    </row>
    <row r="1363" spans="1:2">
      <c r="A1363" s="142" t="s">
        <v>3236</v>
      </c>
      <c r="B1363" s="142" t="s">
        <v>3237</v>
      </c>
    </row>
    <row r="1364" spans="1:2">
      <c r="A1364" s="142" t="s">
        <v>3238</v>
      </c>
      <c r="B1364" s="142" t="s">
        <v>3239</v>
      </c>
    </row>
    <row r="1365" spans="1:2">
      <c r="A1365" s="142" t="s">
        <v>3240</v>
      </c>
      <c r="B1365" s="142" t="s">
        <v>3241</v>
      </c>
    </row>
    <row r="1366" spans="1:2">
      <c r="A1366" s="142" t="s">
        <v>3242</v>
      </c>
      <c r="B1366" s="142" t="s">
        <v>3243</v>
      </c>
    </row>
    <row r="1367" spans="1:2">
      <c r="A1367" s="142" t="s">
        <v>3244</v>
      </c>
      <c r="B1367" s="142" t="s">
        <v>3245</v>
      </c>
    </row>
    <row r="1368" spans="1:2">
      <c r="A1368" s="142" t="s">
        <v>3246</v>
      </c>
      <c r="B1368" s="142" t="s">
        <v>3247</v>
      </c>
    </row>
    <row r="1369" spans="1:2">
      <c r="A1369" s="142" t="s">
        <v>3248</v>
      </c>
      <c r="B1369" s="142" t="s">
        <v>3249</v>
      </c>
    </row>
    <row r="1370" spans="1:2">
      <c r="A1370" s="142" t="s">
        <v>3250</v>
      </c>
      <c r="B1370" s="142" t="s">
        <v>3251</v>
      </c>
    </row>
    <row r="1371" spans="1:2">
      <c r="A1371" s="142" t="s">
        <v>3252</v>
      </c>
      <c r="B1371" s="142" t="s">
        <v>3253</v>
      </c>
    </row>
    <row r="1372" spans="1:2">
      <c r="A1372" s="142" t="s">
        <v>3254</v>
      </c>
      <c r="B1372" s="142" t="s">
        <v>3255</v>
      </c>
    </row>
    <row r="1373" spans="1:2">
      <c r="A1373" s="142" t="s">
        <v>3256</v>
      </c>
      <c r="B1373" s="142" t="s">
        <v>3257</v>
      </c>
    </row>
    <row r="1374" spans="1:2">
      <c r="A1374" s="142" t="s">
        <v>3258</v>
      </c>
      <c r="B1374" s="142" t="s">
        <v>3259</v>
      </c>
    </row>
    <row r="1375" spans="1:2">
      <c r="A1375" s="142" t="s">
        <v>3260</v>
      </c>
      <c r="B1375" s="142" t="s">
        <v>3261</v>
      </c>
    </row>
    <row r="1376" spans="1:2">
      <c r="A1376" s="142" t="s">
        <v>3262</v>
      </c>
      <c r="B1376" s="142" t="s">
        <v>3263</v>
      </c>
    </row>
    <row r="1377" spans="1:2">
      <c r="A1377" s="142" t="s">
        <v>3264</v>
      </c>
      <c r="B1377" s="142" t="s">
        <v>3265</v>
      </c>
    </row>
    <row r="1378" spans="1:2">
      <c r="A1378" s="142" t="s">
        <v>3266</v>
      </c>
      <c r="B1378" s="142" t="s">
        <v>3267</v>
      </c>
    </row>
    <row r="1379" spans="1:2">
      <c r="A1379" s="142" t="s">
        <v>3268</v>
      </c>
      <c r="B1379" s="142" t="s">
        <v>3269</v>
      </c>
    </row>
    <row r="1380" spans="1:2">
      <c r="A1380" s="142" t="s">
        <v>3270</v>
      </c>
      <c r="B1380" s="142" t="s">
        <v>3271</v>
      </c>
    </row>
    <row r="1381" spans="1:2">
      <c r="A1381" s="142" t="s">
        <v>3272</v>
      </c>
      <c r="B1381" s="142" t="s">
        <v>3273</v>
      </c>
    </row>
    <row r="1382" spans="1:2">
      <c r="A1382" s="142" t="s">
        <v>3274</v>
      </c>
      <c r="B1382" s="142" t="s">
        <v>3275</v>
      </c>
    </row>
    <row r="1383" spans="1:2">
      <c r="A1383" s="142" t="s">
        <v>3276</v>
      </c>
      <c r="B1383" s="142" t="s">
        <v>3277</v>
      </c>
    </row>
    <row r="1384" spans="1:2">
      <c r="A1384" s="142" t="s">
        <v>3278</v>
      </c>
      <c r="B1384" s="142" t="s">
        <v>3279</v>
      </c>
    </row>
    <row r="1385" spans="1:2">
      <c r="A1385" s="142" t="s">
        <v>3280</v>
      </c>
      <c r="B1385" s="142" t="s">
        <v>903</v>
      </c>
    </row>
    <row r="1386" spans="1:2">
      <c r="A1386" s="142" t="s">
        <v>3281</v>
      </c>
      <c r="B1386" s="142" t="s">
        <v>3282</v>
      </c>
    </row>
    <row r="1387" spans="1:2">
      <c r="A1387" s="142" t="s">
        <v>3283</v>
      </c>
      <c r="B1387" s="142" t="s">
        <v>346</v>
      </c>
    </row>
    <row r="1388" spans="1:2">
      <c r="A1388" s="142" t="s">
        <v>3284</v>
      </c>
      <c r="B1388" s="142" t="s">
        <v>3285</v>
      </c>
    </row>
    <row r="1389" spans="1:2">
      <c r="A1389" s="142" t="s">
        <v>3286</v>
      </c>
      <c r="B1389" s="142" t="s">
        <v>351</v>
      </c>
    </row>
    <row r="1390" spans="1:2">
      <c r="A1390" s="142" t="s">
        <v>3287</v>
      </c>
      <c r="B1390" s="142" t="s">
        <v>3288</v>
      </c>
    </row>
    <row r="1391" spans="1:2">
      <c r="A1391" s="142" t="s">
        <v>3289</v>
      </c>
      <c r="B1391" s="142" t="s">
        <v>356</v>
      </c>
    </row>
    <row r="1392" spans="1:2">
      <c r="A1392" s="142" t="s">
        <v>3290</v>
      </c>
      <c r="B1392" s="142" t="s">
        <v>361</v>
      </c>
    </row>
    <row r="1393" spans="1:2">
      <c r="A1393" s="142" t="s">
        <v>3291</v>
      </c>
      <c r="B1393" s="142" t="s">
        <v>120</v>
      </c>
    </row>
    <row r="1394" spans="1:2">
      <c r="A1394" s="142" t="s">
        <v>3292</v>
      </c>
      <c r="B1394" s="142" t="s">
        <v>3293</v>
      </c>
    </row>
    <row r="1395" spans="1:2">
      <c r="A1395" s="142" t="s">
        <v>3294</v>
      </c>
      <c r="B1395" s="142" t="s">
        <v>3295</v>
      </c>
    </row>
    <row r="1396" spans="1:2">
      <c r="A1396" s="142" t="s">
        <v>3296</v>
      </c>
      <c r="B1396" s="142" t="s">
        <v>3297</v>
      </c>
    </row>
    <row r="1397" spans="1:2">
      <c r="A1397" s="142" t="s">
        <v>3298</v>
      </c>
      <c r="B1397" s="142" t="s">
        <v>366</v>
      </c>
    </row>
    <row r="1398" spans="1:2">
      <c r="A1398" s="142" t="s">
        <v>3299</v>
      </c>
      <c r="B1398" s="142" t="s">
        <v>3300</v>
      </c>
    </row>
    <row r="1399" spans="1:2">
      <c r="A1399" s="142" t="s">
        <v>3301</v>
      </c>
      <c r="B1399" s="142" t="s">
        <v>3302</v>
      </c>
    </row>
    <row r="1400" spans="1:2">
      <c r="A1400" s="142" t="s">
        <v>3303</v>
      </c>
      <c r="B1400" s="142" t="s">
        <v>3304</v>
      </c>
    </row>
    <row r="1401" spans="1:2">
      <c r="A1401" s="142" t="s">
        <v>3305</v>
      </c>
      <c r="B1401" s="142" t="s">
        <v>3306</v>
      </c>
    </row>
    <row r="1402" spans="1:2">
      <c r="A1402" s="142" t="s">
        <v>3307</v>
      </c>
      <c r="B1402" s="142" t="s">
        <v>3308</v>
      </c>
    </row>
    <row r="1403" spans="1:2">
      <c r="A1403" s="142" t="s">
        <v>3309</v>
      </c>
      <c r="B1403" s="142" t="s">
        <v>3310</v>
      </c>
    </row>
    <row r="1404" spans="1:2">
      <c r="A1404" s="142" t="s">
        <v>3311</v>
      </c>
      <c r="B1404" s="142" t="s">
        <v>3312</v>
      </c>
    </row>
    <row r="1405" spans="1:2">
      <c r="A1405" s="142" t="s">
        <v>3313</v>
      </c>
      <c r="B1405" s="142" t="s">
        <v>3314</v>
      </c>
    </row>
    <row r="1406" spans="1:2">
      <c r="A1406" s="142" t="s">
        <v>3315</v>
      </c>
      <c r="B1406" s="142" t="s">
        <v>3316</v>
      </c>
    </row>
    <row r="1407" spans="1:2">
      <c r="A1407" s="142" t="s">
        <v>3317</v>
      </c>
      <c r="B1407" s="142" t="s">
        <v>3318</v>
      </c>
    </row>
    <row r="1408" spans="1:2">
      <c r="A1408" s="142" t="s">
        <v>3319</v>
      </c>
      <c r="B1408" s="142" t="s">
        <v>3320</v>
      </c>
    </row>
    <row r="1409" spans="1:2">
      <c r="A1409" s="142" t="s">
        <v>3321</v>
      </c>
      <c r="B1409" s="142" t="s">
        <v>3322</v>
      </c>
    </row>
    <row r="1410" spans="1:2">
      <c r="A1410" s="142" t="s">
        <v>3323</v>
      </c>
      <c r="B1410" s="142" t="s">
        <v>3324</v>
      </c>
    </row>
    <row r="1411" spans="1:2">
      <c r="A1411" s="142" t="s">
        <v>3325</v>
      </c>
      <c r="B1411" s="142" t="s">
        <v>3326</v>
      </c>
    </row>
    <row r="1412" spans="1:2">
      <c r="A1412" s="142" t="s">
        <v>3327</v>
      </c>
      <c r="B1412" s="142" t="s">
        <v>3328</v>
      </c>
    </row>
    <row r="1413" spans="1:2">
      <c r="A1413" s="142" t="s">
        <v>3329</v>
      </c>
      <c r="B1413" s="142" t="s">
        <v>3330</v>
      </c>
    </row>
    <row r="1414" spans="1:2">
      <c r="A1414" s="142" t="s">
        <v>3331</v>
      </c>
      <c r="B1414" s="142" t="s">
        <v>3332</v>
      </c>
    </row>
    <row r="1415" spans="1:2">
      <c r="A1415" s="142" t="s">
        <v>3333</v>
      </c>
      <c r="B1415" s="142" t="s">
        <v>3334</v>
      </c>
    </row>
    <row r="1416" spans="1:2">
      <c r="A1416" s="142" t="s">
        <v>3335</v>
      </c>
      <c r="B1416" s="142" t="s">
        <v>3336</v>
      </c>
    </row>
    <row r="1417" spans="1:2">
      <c r="A1417" s="142" t="s">
        <v>3337</v>
      </c>
      <c r="B1417" s="142" t="s">
        <v>3338</v>
      </c>
    </row>
    <row r="1418" spans="1:2">
      <c r="A1418" s="142" t="s">
        <v>3339</v>
      </c>
      <c r="B1418" s="142" t="s">
        <v>3340</v>
      </c>
    </row>
    <row r="1419" spans="1:2">
      <c r="A1419" s="142" t="s">
        <v>3341</v>
      </c>
      <c r="B1419" s="142" t="s">
        <v>3342</v>
      </c>
    </row>
    <row r="1420" spans="1:2">
      <c r="A1420" s="142" t="s">
        <v>3343</v>
      </c>
      <c r="B1420" s="142" t="s">
        <v>3344</v>
      </c>
    </row>
    <row r="1421" spans="1:2">
      <c r="A1421" s="142" t="s">
        <v>3345</v>
      </c>
      <c r="B1421" s="142" t="s">
        <v>3346</v>
      </c>
    </row>
    <row r="1422" spans="1:2">
      <c r="A1422" s="142" t="s">
        <v>3347</v>
      </c>
      <c r="B1422" s="142" t="s">
        <v>3348</v>
      </c>
    </row>
    <row r="1423" spans="1:2">
      <c r="A1423" s="142" t="s">
        <v>3349</v>
      </c>
      <c r="B1423" s="142" t="s">
        <v>3350</v>
      </c>
    </row>
    <row r="1424" spans="1:2">
      <c r="A1424" s="142" t="s">
        <v>3351</v>
      </c>
      <c r="B1424" s="142" t="s">
        <v>3352</v>
      </c>
    </row>
    <row r="1425" spans="1:2">
      <c r="A1425" s="142" t="s">
        <v>3353</v>
      </c>
      <c r="B1425" s="142" t="s">
        <v>3354</v>
      </c>
    </row>
    <row r="1426" spans="1:2">
      <c r="A1426" s="142" t="s">
        <v>3355</v>
      </c>
      <c r="B1426" s="142" t="s">
        <v>3356</v>
      </c>
    </row>
    <row r="1427" spans="1:2">
      <c r="A1427" s="142" t="s">
        <v>3357</v>
      </c>
      <c r="B1427" s="142" t="s">
        <v>3358</v>
      </c>
    </row>
    <row r="1428" spans="1:2">
      <c r="A1428" s="142" t="s">
        <v>3359</v>
      </c>
      <c r="B1428" s="142" t="s">
        <v>3360</v>
      </c>
    </row>
    <row r="1429" spans="1:2">
      <c r="A1429" s="142" t="s">
        <v>3361</v>
      </c>
      <c r="B1429" s="142" t="s">
        <v>3362</v>
      </c>
    </row>
    <row r="1430" spans="1:2">
      <c r="A1430" s="142" t="s">
        <v>3363</v>
      </c>
      <c r="B1430" s="142" t="s">
        <v>3364</v>
      </c>
    </row>
    <row r="1431" spans="1:2">
      <c r="A1431" s="142" t="s">
        <v>3365</v>
      </c>
      <c r="B1431" s="142" t="s">
        <v>3366</v>
      </c>
    </row>
    <row r="1432" spans="1:2">
      <c r="A1432" s="142" t="s">
        <v>3367</v>
      </c>
      <c r="B1432" s="142" t="s">
        <v>3368</v>
      </c>
    </row>
    <row r="1433" spans="1:2">
      <c r="A1433" s="142" t="s">
        <v>3369</v>
      </c>
      <c r="B1433" s="142" t="s">
        <v>3370</v>
      </c>
    </row>
    <row r="1434" spans="1:2">
      <c r="A1434" s="142" t="s">
        <v>3371</v>
      </c>
      <c r="B1434" s="142" t="s">
        <v>3372</v>
      </c>
    </row>
    <row r="1435" spans="1:2">
      <c r="A1435" s="142" t="s">
        <v>3373</v>
      </c>
      <c r="B1435" s="142" t="s">
        <v>3374</v>
      </c>
    </row>
    <row r="1436" spans="1:2">
      <c r="A1436" s="142" t="s">
        <v>3375</v>
      </c>
      <c r="B1436" s="142" t="s">
        <v>3376</v>
      </c>
    </row>
    <row r="1437" spans="1:2">
      <c r="A1437" s="142" t="s">
        <v>3377</v>
      </c>
      <c r="B1437" s="142" t="s">
        <v>3378</v>
      </c>
    </row>
    <row r="1438" spans="1:2">
      <c r="A1438" s="142" t="s">
        <v>3379</v>
      </c>
      <c r="B1438" s="142" t="s">
        <v>3380</v>
      </c>
    </row>
    <row r="1439" spans="1:2">
      <c r="A1439" s="142" t="s">
        <v>3381</v>
      </c>
      <c r="B1439" s="142" t="s">
        <v>3382</v>
      </c>
    </row>
    <row r="1440" spans="1:2">
      <c r="A1440" s="142" t="s">
        <v>3383</v>
      </c>
      <c r="B1440" s="142" t="s">
        <v>3384</v>
      </c>
    </row>
    <row r="1441" spans="1:2">
      <c r="A1441" s="142" t="s">
        <v>3385</v>
      </c>
      <c r="B1441" s="142" t="s">
        <v>3386</v>
      </c>
    </row>
    <row r="1442" spans="1:2">
      <c r="A1442" s="142" t="s">
        <v>3387</v>
      </c>
      <c r="B1442" s="142" t="s">
        <v>3388</v>
      </c>
    </row>
    <row r="1443" spans="1:2">
      <c r="A1443" s="142" t="s">
        <v>3389</v>
      </c>
      <c r="B1443" s="142" t="s">
        <v>3390</v>
      </c>
    </row>
    <row r="1444" spans="1:2">
      <c r="A1444" s="142" t="s">
        <v>3391</v>
      </c>
      <c r="B1444" s="142" t="s">
        <v>3392</v>
      </c>
    </row>
    <row r="1445" spans="1:2">
      <c r="A1445" s="142" t="s">
        <v>3393</v>
      </c>
      <c r="B1445" s="142" t="s">
        <v>3394</v>
      </c>
    </row>
    <row r="1446" spans="1:2">
      <c r="A1446" s="142" t="s">
        <v>3395</v>
      </c>
      <c r="B1446" s="142" t="s">
        <v>3396</v>
      </c>
    </row>
    <row r="1447" spans="1:2">
      <c r="A1447" s="142" t="s">
        <v>3397</v>
      </c>
      <c r="B1447" s="142" t="s">
        <v>3398</v>
      </c>
    </row>
    <row r="1448" spans="1:2">
      <c r="A1448" s="142" t="s">
        <v>3399</v>
      </c>
      <c r="B1448" s="142" t="s">
        <v>3400</v>
      </c>
    </row>
    <row r="1449" spans="1:2">
      <c r="A1449" s="142" t="s">
        <v>3401</v>
      </c>
      <c r="B1449" s="142" t="s">
        <v>3402</v>
      </c>
    </row>
    <row r="1450" spans="1:2">
      <c r="A1450" s="142" t="s">
        <v>3403</v>
      </c>
      <c r="B1450" s="142" t="s">
        <v>3404</v>
      </c>
    </row>
    <row r="1451" spans="1:2">
      <c r="A1451" s="142" t="s">
        <v>3405</v>
      </c>
      <c r="B1451" s="142" t="s">
        <v>3406</v>
      </c>
    </row>
    <row r="1452" spans="1:2">
      <c r="A1452" s="142" t="s">
        <v>3407</v>
      </c>
      <c r="B1452" s="142" t="s">
        <v>3408</v>
      </c>
    </row>
    <row r="1453" spans="1:2">
      <c r="A1453" s="142" t="s">
        <v>3409</v>
      </c>
      <c r="B1453" s="142" t="s">
        <v>3410</v>
      </c>
    </row>
    <row r="1454" spans="1:2">
      <c r="A1454" s="142" t="s">
        <v>3411</v>
      </c>
      <c r="B1454" s="142" t="s">
        <v>3412</v>
      </c>
    </row>
    <row r="1455" spans="1:2">
      <c r="A1455" s="142" t="s">
        <v>3413</v>
      </c>
      <c r="B1455" s="142" t="s">
        <v>3414</v>
      </c>
    </row>
    <row r="1456" spans="1:2">
      <c r="A1456" s="142" t="s">
        <v>3415</v>
      </c>
      <c r="B1456" s="142" t="s">
        <v>3416</v>
      </c>
    </row>
    <row r="1457" spans="1:2">
      <c r="A1457" s="142" t="s">
        <v>3417</v>
      </c>
      <c r="B1457" s="142" t="s">
        <v>3418</v>
      </c>
    </row>
    <row r="1458" spans="1:2">
      <c r="A1458" s="142" t="s">
        <v>3419</v>
      </c>
    </row>
    <row r="1459" spans="1:2">
      <c r="A1459" s="142" t="s">
        <v>3420</v>
      </c>
    </row>
    <row r="1460" spans="1:2">
      <c r="A1460" s="142" t="s">
        <v>3421</v>
      </c>
    </row>
    <row r="1461" spans="1:2">
      <c r="A1461" s="142" t="s">
        <v>3422</v>
      </c>
    </row>
    <row r="1462" spans="1:2">
      <c r="A1462" s="142" t="s">
        <v>3423</v>
      </c>
    </row>
    <row r="1463" spans="1:2">
      <c r="A1463" s="142" t="s">
        <v>3424</v>
      </c>
    </row>
    <row r="1464" spans="1:2">
      <c r="A1464" s="142" t="s">
        <v>3425</v>
      </c>
    </row>
    <row r="1465" spans="1:2">
      <c r="A1465" s="142" t="s">
        <v>3426</v>
      </c>
    </row>
    <row r="1466" spans="1:2">
      <c r="A1466" s="142" t="s">
        <v>3427</v>
      </c>
    </row>
    <row r="1467" spans="1:2">
      <c r="A1467" s="142" t="s">
        <v>3428</v>
      </c>
    </row>
    <row r="1468" spans="1:2">
      <c r="A1468" s="142" t="s">
        <v>3429</v>
      </c>
    </row>
    <row r="1469" spans="1:2">
      <c r="A1469" s="142" t="s">
        <v>3430</v>
      </c>
    </row>
    <row r="1470" spans="1:2">
      <c r="A1470" s="142" t="s">
        <v>3431</v>
      </c>
    </row>
    <row r="1471" spans="1:2">
      <c r="A1471" s="142" t="s">
        <v>3432</v>
      </c>
    </row>
    <row r="1472" spans="1:2">
      <c r="A1472" s="142" t="s">
        <v>3433</v>
      </c>
    </row>
    <row r="1473" spans="1:1">
      <c r="A1473" s="142" t="s">
        <v>3434</v>
      </c>
    </row>
    <row r="1474" spans="1:1">
      <c r="A1474" s="142" t="s">
        <v>3435</v>
      </c>
    </row>
    <row r="1475" spans="1:1">
      <c r="A1475" s="142" t="s">
        <v>3436</v>
      </c>
    </row>
    <row r="1476" spans="1:1">
      <c r="A1476" s="142" t="s">
        <v>3437</v>
      </c>
    </row>
    <row r="1477" spans="1:1">
      <c r="A1477" s="142" t="s">
        <v>3438</v>
      </c>
    </row>
    <row r="1478" spans="1:1">
      <c r="A1478" s="142" t="s">
        <v>3439</v>
      </c>
    </row>
    <row r="1479" spans="1:1">
      <c r="A1479" s="142" t="s">
        <v>3440</v>
      </c>
    </row>
    <row r="1480" spans="1:1">
      <c r="A1480" s="142" t="s">
        <v>3441</v>
      </c>
    </row>
    <row r="1481" spans="1:1">
      <c r="A1481" s="142" t="s">
        <v>3442</v>
      </c>
    </row>
    <row r="1482" spans="1:1">
      <c r="A1482" s="142" t="s">
        <v>3443</v>
      </c>
    </row>
    <row r="1483" spans="1:1">
      <c r="A1483" s="142" t="s">
        <v>3444</v>
      </c>
    </row>
    <row r="1484" spans="1:1">
      <c r="A1484" s="142" t="s">
        <v>3445</v>
      </c>
    </row>
    <row r="1485" spans="1:1">
      <c r="A1485" s="142" t="s">
        <v>3446</v>
      </c>
    </row>
    <row r="1486" spans="1:1">
      <c r="A1486" s="142" t="s">
        <v>3447</v>
      </c>
    </row>
    <row r="1487" spans="1:1">
      <c r="A1487" s="142" t="s">
        <v>3448</v>
      </c>
    </row>
    <row r="1488" spans="1:1">
      <c r="A1488" s="142" t="s">
        <v>3449</v>
      </c>
    </row>
    <row r="1489" spans="1:1">
      <c r="A1489" s="142" t="s">
        <v>3450</v>
      </c>
    </row>
    <row r="1490" spans="1:1">
      <c r="A1490" s="142" t="s">
        <v>3451</v>
      </c>
    </row>
    <row r="1491" spans="1:1">
      <c r="A1491" s="142" t="s">
        <v>3452</v>
      </c>
    </row>
    <row r="1492" spans="1:1">
      <c r="A1492" s="142" t="s">
        <v>3453</v>
      </c>
    </row>
    <row r="1493" spans="1:1">
      <c r="A1493" s="142" t="s">
        <v>3454</v>
      </c>
    </row>
    <row r="1494" spans="1:1">
      <c r="A1494" s="142" t="s">
        <v>3455</v>
      </c>
    </row>
    <row r="1495" spans="1:1">
      <c r="A1495" s="142" t="s">
        <v>3456</v>
      </c>
    </row>
    <row r="1496" spans="1:1">
      <c r="A1496" s="142" t="s">
        <v>3457</v>
      </c>
    </row>
    <row r="1497" spans="1:1">
      <c r="A1497" s="142" t="s">
        <v>3458</v>
      </c>
    </row>
    <row r="1498" spans="1:1">
      <c r="A1498" s="142" t="s">
        <v>3459</v>
      </c>
    </row>
    <row r="1499" spans="1:1">
      <c r="A1499" s="142" t="s">
        <v>3460</v>
      </c>
    </row>
    <row r="1500" spans="1:1">
      <c r="A1500" s="142" t="s">
        <v>3461</v>
      </c>
    </row>
    <row r="1501" spans="1:1">
      <c r="A1501" s="142" t="s">
        <v>3462</v>
      </c>
    </row>
    <row r="1502" spans="1:1">
      <c r="A1502" s="142" t="s">
        <v>3463</v>
      </c>
    </row>
    <row r="1503" spans="1:1">
      <c r="A1503" s="142" t="s">
        <v>3464</v>
      </c>
    </row>
    <row r="1504" spans="1:1">
      <c r="A1504" s="142" t="s">
        <v>3465</v>
      </c>
    </row>
    <row r="1505" spans="1:1">
      <c r="A1505" s="142" t="s">
        <v>3466</v>
      </c>
    </row>
    <row r="1506" spans="1:1">
      <c r="A1506" s="142" t="s">
        <v>3467</v>
      </c>
    </row>
    <row r="1507" spans="1:1">
      <c r="A1507" s="142" t="s">
        <v>3468</v>
      </c>
    </row>
    <row r="1508" spans="1:1">
      <c r="A1508" s="142" t="s">
        <v>3469</v>
      </c>
    </row>
    <row r="1509" spans="1:1">
      <c r="A1509" s="142" t="s">
        <v>3470</v>
      </c>
    </row>
    <row r="1510" spans="1:1">
      <c r="A1510" s="142" t="s">
        <v>3471</v>
      </c>
    </row>
    <row r="1511" spans="1:1">
      <c r="A1511" s="142" t="s">
        <v>3472</v>
      </c>
    </row>
    <row r="1512" spans="1:1">
      <c r="A1512" s="142" t="s">
        <v>3473</v>
      </c>
    </row>
    <row r="1513" spans="1:1">
      <c r="A1513" s="142" t="s">
        <v>3474</v>
      </c>
    </row>
    <row r="1514" spans="1:1">
      <c r="A1514" s="142" t="s">
        <v>3475</v>
      </c>
    </row>
    <row r="1515" spans="1:1">
      <c r="A1515" s="142" t="s">
        <v>3476</v>
      </c>
    </row>
    <row r="1516" spans="1:1">
      <c r="A1516" s="142" t="s">
        <v>3477</v>
      </c>
    </row>
    <row r="1517" spans="1:1">
      <c r="A1517" s="142" t="s">
        <v>3478</v>
      </c>
    </row>
    <row r="1518" spans="1:1">
      <c r="A1518" s="142" t="s">
        <v>3479</v>
      </c>
    </row>
    <row r="1519" spans="1:1">
      <c r="A1519" s="142" t="s">
        <v>3480</v>
      </c>
    </row>
    <row r="1520" spans="1:1">
      <c r="A1520" s="142" t="s">
        <v>3481</v>
      </c>
    </row>
    <row r="1521" spans="1:1">
      <c r="A1521" s="142" t="s">
        <v>3482</v>
      </c>
    </row>
    <row r="1522" spans="1:1">
      <c r="A1522" s="142" t="s">
        <v>3483</v>
      </c>
    </row>
    <row r="1523" spans="1:1">
      <c r="A1523" s="142" t="s">
        <v>3484</v>
      </c>
    </row>
    <row r="1524" spans="1:1">
      <c r="A1524" s="142" t="s">
        <v>3485</v>
      </c>
    </row>
    <row r="1525" spans="1:1">
      <c r="A1525" s="142" t="s">
        <v>3486</v>
      </c>
    </row>
    <row r="1526" spans="1:1">
      <c r="A1526" s="142" t="s">
        <v>3487</v>
      </c>
    </row>
    <row r="1527" spans="1:1">
      <c r="A1527" s="142" t="s">
        <v>3488</v>
      </c>
    </row>
    <row r="1528" spans="1:1">
      <c r="A1528" s="142" t="s">
        <v>3489</v>
      </c>
    </row>
    <row r="1529" spans="1:1">
      <c r="A1529" s="142" t="s">
        <v>3490</v>
      </c>
    </row>
    <row r="1530" spans="1:1">
      <c r="A1530" s="142" t="s">
        <v>3491</v>
      </c>
    </row>
    <row r="1531" spans="1:1">
      <c r="A1531" s="142" t="s">
        <v>3492</v>
      </c>
    </row>
    <row r="1532" spans="1:1">
      <c r="A1532" s="142" t="s">
        <v>3493</v>
      </c>
    </row>
    <row r="1533" spans="1:1">
      <c r="A1533" s="142" t="s">
        <v>3494</v>
      </c>
    </row>
    <row r="1534" spans="1:1">
      <c r="A1534" s="142" t="s">
        <v>3495</v>
      </c>
    </row>
    <row r="1535" spans="1:1">
      <c r="A1535" s="142" t="s">
        <v>3496</v>
      </c>
    </row>
    <row r="1536" spans="1:1">
      <c r="A1536" s="142" t="s">
        <v>3497</v>
      </c>
    </row>
    <row r="1537" spans="1:1">
      <c r="A1537" s="142" t="s">
        <v>3498</v>
      </c>
    </row>
    <row r="1538" spans="1:1">
      <c r="A1538" s="142" t="s">
        <v>3499</v>
      </c>
    </row>
    <row r="1539" spans="1:1">
      <c r="A1539" s="142" t="s">
        <v>3500</v>
      </c>
    </row>
    <row r="1540" spans="1:1">
      <c r="A1540" s="142" t="s">
        <v>3501</v>
      </c>
    </row>
    <row r="1541" spans="1:1">
      <c r="A1541" s="142" t="s">
        <v>3502</v>
      </c>
    </row>
    <row r="1542" spans="1:1">
      <c r="A1542" s="142" t="s">
        <v>3503</v>
      </c>
    </row>
    <row r="1543" spans="1:1">
      <c r="A1543" s="142" t="s">
        <v>3504</v>
      </c>
    </row>
    <row r="1544" spans="1:1">
      <c r="A1544" s="142" t="s">
        <v>3505</v>
      </c>
    </row>
    <row r="1545" spans="1:1">
      <c r="A1545" s="142" t="s">
        <v>3506</v>
      </c>
    </row>
    <row r="1546" spans="1:1">
      <c r="A1546" s="142" t="s">
        <v>3507</v>
      </c>
    </row>
    <row r="1547" spans="1:1">
      <c r="A1547" s="142" t="s">
        <v>3508</v>
      </c>
    </row>
    <row r="1548" spans="1:1">
      <c r="A1548" s="142" t="s">
        <v>3509</v>
      </c>
    </row>
    <row r="1549" spans="1:1">
      <c r="A1549" s="142" t="s">
        <v>3510</v>
      </c>
    </row>
    <row r="1550" spans="1:1">
      <c r="A1550" s="142" t="s">
        <v>3511</v>
      </c>
    </row>
    <row r="1551" spans="1:1">
      <c r="A1551" s="142" t="s">
        <v>3512</v>
      </c>
    </row>
    <row r="1552" spans="1:1">
      <c r="A1552" s="142" t="s">
        <v>3513</v>
      </c>
    </row>
    <row r="1553" spans="1:1">
      <c r="A1553" s="142" t="s">
        <v>3514</v>
      </c>
    </row>
    <row r="1554" spans="1:1">
      <c r="A1554" s="142" t="s">
        <v>3515</v>
      </c>
    </row>
    <row r="1555" spans="1:1">
      <c r="A1555" s="142" t="s">
        <v>3516</v>
      </c>
    </row>
    <row r="1556" spans="1:1">
      <c r="A1556" s="142" t="s">
        <v>3517</v>
      </c>
    </row>
    <row r="1557" spans="1:1">
      <c r="A1557" s="142" t="s">
        <v>3518</v>
      </c>
    </row>
    <row r="1558" spans="1:1">
      <c r="A1558" s="142" t="s">
        <v>3519</v>
      </c>
    </row>
    <row r="1559" spans="1:1">
      <c r="A1559" s="142" t="s">
        <v>3520</v>
      </c>
    </row>
    <row r="1560" spans="1:1">
      <c r="A1560" s="142" t="s">
        <v>3521</v>
      </c>
    </row>
    <row r="1561" spans="1:1">
      <c r="A1561" s="142" t="s">
        <v>3522</v>
      </c>
    </row>
    <row r="1562" spans="1:1">
      <c r="A1562" s="142" t="s">
        <v>3523</v>
      </c>
    </row>
    <row r="1563" spans="1:1">
      <c r="A1563" s="142" t="s">
        <v>3524</v>
      </c>
    </row>
    <row r="1564" spans="1:1">
      <c r="A1564" s="142" t="s">
        <v>3525</v>
      </c>
    </row>
    <row r="1565" spans="1:1">
      <c r="A1565" s="142" t="s">
        <v>3526</v>
      </c>
    </row>
    <row r="1566" spans="1:1">
      <c r="A1566" s="142" t="s">
        <v>3527</v>
      </c>
    </row>
    <row r="1567" spans="1:1">
      <c r="A1567" s="142" t="s">
        <v>3528</v>
      </c>
    </row>
    <row r="1568" spans="1:1">
      <c r="A1568" s="142" t="s">
        <v>3529</v>
      </c>
    </row>
    <row r="1569" spans="1:1">
      <c r="A1569" s="142" t="s">
        <v>3530</v>
      </c>
    </row>
    <row r="1570" spans="1:1">
      <c r="A1570" s="142" t="s">
        <v>3531</v>
      </c>
    </row>
    <row r="1571" spans="1:1">
      <c r="A1571" s="142" t="s">
        <v>3532</v>
      </c>
    </row>
    <row r="1572" spans="1:1">
      <c r="A1572" s="142" t="s">
        <v>3533</v>
      </c>
    </row>
    <row r="1573" spans="1:1">
      <c r="A1573" s="142" t="s">
        <v>3534</v>
      </c>
    </row>
    <row r="1574" spans="1:1">
      <c r="A1574" s="142" t="s">
        <v>3535</v>
      </c>
    </row>
    <row r="1575" spans="1:1">
      <c r="A1575" s="142" t="s">
        <v>3536</v>
      </c>
    </row>
    <row r="1576" spans="1:1">
      <c r="A1576" s="142" t="s">
        <v>3537</v>
      </c>
    </row>
    <row r="1577" spans="1:1">
      <c r="A1577" s="142" t="s">
        <v>3538</v>
      </c>
    </row>
    <row r="1578" spans="1:1">
      <c r="A1578" s="142" t="s">
        <v>3539</v>
      </c>
    </row>
    <row r="1579" spans="1:1">
      <c r="A1579" s="142" t="s">
        <v>3540</v>
      </c>
    </row>
    <row r="1580" spans="1:1">
      <c r="A1580" s="142" t="s">
        <v>3541</v>
      </c>
    </row>
    <row r="1581" spans="1:1">
      <c r="A1581" s="142" t="s">
        <v>3542</v>
      </c>
    </row>
    <row r="1582" spans="1:1">
      <c r="A1582" s="142" t="s">
        <v>3543</v>
      </c>
    </row>
    <row r="1583" spans="1:1">
      <c r="A1583" s="142" t="s">
        <v>3544</v>
      </c>
    </row>
    <row r="1584" spans="1:1">
      <c r="A1584" s="142" t="s">
        <v>3545</v>
      </c>
    </row>
    <row r="1585" spans="1:1">
      <c r="A1585" s="142" t="s">
        <v>3546</v>
      </c>
    </row>
    <row r="1586" spans="1:1">
      <c r="A1586" s="142" t="s">
        <v>3547</v>
      </c>
    </row>
    <row r="1587" spans="1:1">
      <c r="A1587" s="142" t="s">
        <v>3548</v>
      </c>
    </row>
    <row r="1588" spans="1:1">
      <c r="A1588" s="142" t="s">
        <v>3549</v>
      </c>
    </row>
    <row r="1589" spans="1:1">
      <c r="A1589" s="142" t="s">
        <v>3550</v>
      </c>
    </row>
    <row r="1590" spans="1:1">
      <c r="A1590" s="142" t="s">
        <v>3551</v>
      </c>
    </row>
    <row r="1591" spans="1:1">
      <c r="A1591" s="142" t="s">
        <v>3552</v>
      </c>
    </row>
    <row r="1592" spans="1:1">
      <c r="A1592" s="142" t="s">
        <v>3553</v>
      </c>
    </row>
    <row r="1593" spans="1:1">
      <c r="A1593" s="142" t="s">
        <v>3554</v>
      </c>
    </row>
    <row r="1594" spans="1:1">
      <c r="A1594" s="142" t="s">
        <v>3555</v>
      </c>
    </row>
    <row r="1595" spans="1:1">
      <c r="A1595" s="142" t="s">
        <v>3556</v>
      </c>
    </row>
    <row r="1596" spans="1:1">
      <c r="A1596" s="142" t="s">
        <v>3557</v>
      </c>
    </row>
    <row r="1597" spans="1:1">
      <c r="A1597" s="142" t="s">
        <v>3558</v>
      </c>
    </row>
    <row r="1598" spans="1:1">
      <c r="A1598" s="142" t="s">
        <v>3559</v>
      </c>
    </row>
    <row r="1599" spans="1:1">
      <c r="A1599" s="142" t="s">
        <v>3560</v>
      </c>
    </row>
    <row r="1600" spans="1:1">
      <c r="A1600" s="142" t="s">
        <v>3561</v>
      </c>
    </row>
    <row r="1601" spans="1:1">
      <c r="A1601" s="142" t="s">
        <v>3562</v>
      </c>
    </row>
    <row r="1602" spans="1:1">
      <c r="A1602" s="142" t="s">
        <v>3563</v>
      </c>
    </row>
    <row r="1603" spans="1:1">
      <c r="A1603" s="142" t="s">
        <v>3564</v>
      </c>
    </row>
    <row r="1604" spans="1:1">
      <c r="A1604" s="142" t="s">
        <v>3565</v>
      </c>
    </row>
    <row r="1605" spans="1:1">
      <c r="A1605" s="142" t="s">
        <v>3566</v>
      </c>
    </row>
    <row r="1606" spans="1:1">
      <c r="A1606" s="142" t="s">
        <v>3567</v>
      </c>
    </row>
    <row r="1607" spans="1:1">
      <c r="A1607" s="142" t="s">
        <v>3568</v>
      </c>
    </row>
    <row r="1608" spans="1:1">
      <c r="A1608" s="142" t="s">
        <v>3569</v>
      </c>
    </row>
    <row r="1609" spans="1:1">
      <c r="A1609" s="142" t="s">
        <v>3570</v>
      </c>
    </row>
    <row r="1610" spans="1:1">
      <c r="A1610" s="142" t="s">
        <v>3571</v>
      </c>
    </row>
    <row r="1611" spans="1:1">
      <c r="A1611" s="142" t="s">
        <v>3572</v>
      </c>
    </row>
    <row r="1612" spans="1:1">
      <c r="A1612" s="142" t="s">
        <v>3573</v>
      </c>
    </row>
    <row r="1613" spans="1:1">
      <c r="A1613" s="142" t="s">
        <v>3574</v>
      </c>
    </row>
    <row r="1614" spans="1:1">
      <c r="A1614" s="142" t="s">
        <v>3575</v>
      </c>
    </row>
    <row r="1615" spans="1:1">
      <c r="A1615" s="142" t="s">
        <v>3576</v>
      </c>
    </row>
    <row r="1616" spans="1:1">
      <c r="A1616" s="142" t="s">
        <v>3577</v>
      </c>
    </row>
    <row r="1617" spans="1:1">
      <c r="A1617" s="142" t="s">
        <v>3578</v>
      </c>
    </row>
    <row r="1618" spans="1:1">
      <c r="A1618" s="142" t="s">
        <v>3579</v>
      </c>
    </row>
    <row r="1619" spans="1:1">
      <c r="A1619" s="142" t="s">
        <v>3580</v>
      </c>
    </row>
    <row r="1620" spans="1:1">
      <c r="A1620" s="142" t="s">
        <v>3581</v>
      </c>
    </row>
    <row r="1621" spans="1:1">
      <c r="A1621" s="142" t="s">
        <v>3582</v>
      </c>
    </row>
    <row r="1622" spans="1:1">
      <c r="A1622" s="142" t="s">
        <v>3583</v>
      </c>
    </row>
    <row r="1623" spans="1:1">
      <c r="A1623" s="142" t="s">
        <v>3584</v>
      </c>
    </row>
    <row r="1624" spans="1:1">
      <c r="A1624" s="142" t="s">
        <v>3585</v>
      </c>
    </row>
    <row r="1625" spans="1:1">
      <c r="A1625" s="142" t="s">
        <v>3586</v>
      </c>
    </row>
    <row r="1626" spans="1:1">
      <c r="A1626" s="142" t="s">
        <v>3587</v>
      </c>
    </row>
    <row r="1627" spans="1:1">
      <c r="A1627" s="142" t="s">
        <v>3588</v>
      </c>
    </row>
    <row r="1628" spans="1:1">
      <c r="A1628" s="142" t="s">
        <v>3589</v>
      </c>
    </row>
    <row r="1629" spans="1:1">
      <c r="A1629" s="142" t="s">
        <v>3590</v>
      </c>
    </row>
    <row r="1630" spans="1:1">
      <c r="A1630" s="142" t="s">
        <v>3591</v>
      </c>
    </row>
    <row r="1631" spans="1:1">
      <c r="A1631" s="142" t="s">
        <v>3592</v>
      </c>
    </row>
    <row r="1632" spans="1:1">
      <c r="A1632" s="142" t="s">
        <v>3593</v>
      </c>
    </row>
    <row r="1633" spans="1:1">
      <c r="A1633" s="142" t="s">
        <v>3594</v>
      </c>
    </row>
    <row r="1634" spans="1:1">
      <c r="A1634" s="142" t="s">
        <v>3595</v>
      </c>
    </row>
    <row r="1635" spans="1:1">
      <c r="A1635" s="142" t="s">
        <v>3596</v>
      </c>
    </row>
    <row r="1636" spans="1:1">
      <c r="A1636" s="142" t="s">
        <v>3597</v>
      </c>
    </row>
    <row r="1637" spans="1:1">
      <c r="A1637" s="142" t="s">
        <v>3598</v>
      </c>
    </row>
    <row r="1638" spans="1:1">
      <c r="A1638" s="142" t="s">
        <v>3599</v>
      </c>
    </row>
    <row r="1639" spans="1:1">
      <c r="A1639" s="142" t="s">
        <v>3600</v>
      </c>
    </row>
    <row r="1640" spans="1:1">
      <c r="A1640" s="142" t="s">
        <v>3601</v>
      </c>
    </row>
    <row r="1641" spans="1:1">
      <c r="A1641" s="142" t="s">
        <v>3602</v>
      </c>
    </row>
    <row r="1642" spans="1:1">
      <c r="A1642" s="142" t="s">
        <v>3603</v>
      </c>
    </row>
    <row r="1643" spans="1:1">
      <c r="A1643" s="142" t="s">
        <v>3604</v>
      </c>
    </row>
    <row r="1644" spans="1:1">
      <c r="A1644" s="142" t="s">
        <v>3605</v>
      </c>
    </row>
    <row r="1645" spans="1:1">
      <c r="A1645" s="142" t="s">
        <v>3606</v>
      </c>
    </row>
    <row r="1646" spans="1:1">
      <c r="A1646" s="142" t="s">
        <v>3607</v>
      </c>
    </row>
    <row r="1647" spans="1:1">
      <c r="A1647" s="142" t="s">
        <v>3608</v>
      </c>
    </row>
    <row r="1648" spans="1:1">
      <c r="A1648" s="142" t="s">
        <v>3609</v>
      </c>
    </row>
    <row r="1649" spans="1:1">
      <c r="A1649" s="142" t="s">
        <v>3610</v>
      </c>
    </row>
    <row r="1650" spans="1:1">
      <c r="A1650" s="142" t="s">
        <v>3611</v>
      </c>
    </row>
    <row r="1651" spans="1:1">
      <c r="A1651" s="142" t="s">
        <v>3612</v>
      </c>
    </row>
    <row r="1652" spans="1:1">
      <c r="A1652" s="142" t="s">
        <v>3613</v>
      </c>
    </row>
    <row r="1653" spans="1:1">
      <c r="A1653" s="142" t="s">
        <v>3614</v>
      </c>
    </row>
    <row r="1654" spans="1:1">
      <c r="A1654" s="142" t="s">
        <v>3615</v>
      </c>
    </row>
    <row r="1655" spans="1:1">
      <c r="A1655" s="142" t="s">
        <v>3616</v>
      </c>
    </row>
    <row r="1656" spans="1:1">
      <c r="A1656" s="142" t="s">
        <v>3617</v>
      </c>
    </row>
    <row r="1657" spans="1:1">
      <c r="A1657" s="142" t="s">
        <v>3618</v>
      </c>
    </row>
    <row r="1658" spans="1:1">
      <c r="A1658" s="142" t="s">
        <v>3619</v>
      </c>
    </row>
    <row r="1659" spans="1:1">
      <c r="A1659" s="142" t="s">
        <v>3620</v>
      </c>
    </row>
    <row r="1660" spans="1:1">
      <c r="A1660" s="142" t="s">
        <v>3621</v>
      </c>
    </row>
    <row r="1661" spans="1:1">
      <c r="A1661" s="142" t="s">
        <v>3622</v>
      </c>
    </row>
    <row r="1662" spans="1:1">
      <c r="A1662" s="142" t="s">
        <v>3623</v>
      </c>
    </row>
    <row r="1663" spans="1:1">
      <c r="A1663" s="142" t="s">
        <v>3624</v>
      </c>
    </row>
    <row r="1664" spans="1:1">
      <c r="A1664" s="142" t="s">
        <v>3625</v>
      </c>
    </row>
    <row r="1665" spans="1:1">
      <c r="A1665" s="142" t="s">
        <v>3626</v>
      </c>
    </row>
    <row r="1666" spans="1:1">
      <c r="A1666" s="142" t="s">
        <v>3627</v>
      </c>
    </row>
    <row r="1667" spans="1:1">
      <c r="A1667" s="142" t="s">
        <v>3628</v>
      </c>
    </row>
    <row r="1668" spans="1:1">
      <c r="A1668" s="142" t="s">
        <v>3629</v>
      </c>
    </row>
    <row r="1669" spans="1:1">
      <c r="A1669" s="142" t="s">
        <v>3630</v>
      </c>
    </row>
    <row r="1670" spans="1:1">
      <c r="A1670" s="142" t="s">
        <v>3631</v>
      </c>
    </row>
    <row r="1671" spans="1:1">
      <c r="A1671" s="142" t="s">
        <v>3632</v>
      </c>
    </row>
    <row r="1672" spans="1:1">
      <c r="A1672" s="142" t="s">
        <v>3633</v>
      </c>
    </row>
    <row r="1673" spans="1:1">
      <c r="A1673" s="142" t="s">
        <v>3634</v>
      </c>
    </row>
    <row r="1674" spans="1:1">
      <c r="A1674" s="142" t="s">
        <v>3635</v>
      </c>
    </row>
    <row r="1675" spans="1:1">
      <c r="A1675" s="142" t="s">
        <v>3636</v>
      </c>
    </row>
    <row r="1676" spans="1:1">
      <c r="A1676" s="142" t="s">
        <v>3637</v>
      </c>
    </row>
    <row r="1677" spans="1:1">
      <c r="A1677" s="142" t="s">
        <v>3638</v>
      </c>
    </row>
    <row r="1678" spans="1:1">
      <c r="A1678" s="142" t="s">
        <v>3639</v>
      </c>
    </row>
    <row r="1679" spans="1:1">
      <c r="A1679" s="142" t="s">
        <v>3640</v>
      </c>
    </row>
    <row r="1680" spans="1:1">
      <c r="A1680" s="142" t="s">
        <v>3641</v>
      </c>
    </row>
    <row r="1681" spans="1:1">
      <c r="A1681" s="142" t="s">
        <v>3642</v>
      </c>
    </row>
    <row r="1682" spans="1:1">
      <c r="A1682" s="142" t="s">
        <v>3643</v>
      </c>
    </row>
    <row r="1683" spans="1:1">
      <c r="A1683" s="142" t="s">
        <v>3644</v>
      </c>
    </row>
    <row r="1684" spans="1:1">
      <c r="A1684" s="142" t="s">
        <v>3645</v>
      </c>
    </row>
    <row r="1685" spans="1:1">
      <c r="A1685" s="142" t="s">
        <v>3646</v>
      </c>
    </row>
    <row r="1686" spans="1:1">
      <c r="A1686" s="142" t="s">
        <v>3647</v>
      </c>
    </row>
    <row r="1687" spans="1:1">
      <c r="A1687" s="142" t="s">
        <v>3648</v>
      </c>
    </row>
    <row r="1688" spans="1:1">
      <c r="A1688" s="142" t="s">
        <v>3649</v>
      </c>
    </row>
    <row r="1689" spans="1:1">
      <c r="A1689" s="142" t="s">
        <v>3650</v>
      </c>
    </row>
    <row r="1690" spans="1:1">
      <c r="A1690" s="142" t="s">
        <v>3651</v>
      </c>
    </row>
    <row r="1691" spans="1:1">
      <c r="A1691" s="142" t="s">
        <v>3652</v>
      </c>
    </row>
    <row r="1692" spans="1:1">
      <c r="A1692" s="142" t="s">
        <v>3653</v>
      </c>
    </row>
    <row r="1693" spans="1:1">
      <c r="A1693" s="142" t="s">
        <v>3654</v>
      </c>
    </row>
    <row r="1694" spans="1:1">
      <c r="A1694" s="142" t="s">
        <v>3655</v>
      </c>
    </row>
    <row r="1695" spans="1:1">
      <c r="A1695" s="142" t="s">
        <v>3656</v>
      </c>
    </row>
    <row r="1696" spans="1:1">
      <c r="A1696" s="142" t="s">
        <v>3657</v>
      </c>
    </row>
    <row r="1697" spans="1:1">
      <c r="A1697" s="142" t="s">
        <v>3658</v>
      </c>
    </row>
    <row r="1698" spans="1:1">
      <c r="A1698" s="142" t="s">
        <v>3659</v>
      </c>
    </row>
    <row r="1699" spans="1:1">
      <c r="A1699" s="142" t="s">
        <v>3660</v>
      </c>
    </row>
    <row r="1700" spans="1:1">
      <c r="A1700" s="142" t="s">
        <v>3661</v>
      </c>
    </row>
    <row r="1701" spans="1:1">
      <c r="A1701" s="142" t="s">
        <v>3662</v>
      </c>
    </row>
    <row r="1702" spans="1:1">
      <c r="A1702" s="142" t="s">
        <v>3663</v>
      </c>
    </row>
    <row r="1703" spans="1:1">
      <c r="A1703" s="142" t="s">
        <v>3664</v>
      </c>
    </row>
    <row r="1704" spans="1:1">
      <c r="A1704" s="142" t="s">
        <v>3665</v>
      </c>
    </row>
    <row r="1705" spans="1:1">
      <c r="A1705" s="142" t="s">
        <v>3666</v>
      </c>
    </row>
    <row r="1706" spans="1:1">
      <c r="A1706" s="142" t="s">
        <v>3667</v>
      </c>
    </row>
    <row r="1707" spans="1:1">
      <c r="A1707" s="142" t="s">
        <v>3668</v>
      </c>
    </row>
    <row r="1708" spans="1:1">
      <c r="A1708" s="142" t="s">
        <v>3669</v>
      </c>
    </row>
    <row r="1709" spans="1:1">
      <c r="A1709" s="142" t="s">
        <v>3670</v>
      </c>
    </row>
    <row r="1710" spans="1:1">
      <c r="A1710" s="142" t="s">
        <v>3671</v>
      </c>
    </row>
    <row r="1711" spans="1:1">
      <c r="A1711" s="142" t="s">
        <v>3672</v>
      </c>
    </row>
    <row r="1712" spans="1:1">
      <c r="A1712" s="142" t="s">
        <v>3673</v>
      </c>
    </row>
    <row r="1713" spans="1:1">
      <c r="A1713" s="142" t="s">
        <v>3674</v>
      </c>
    </row>
    <row r="1714" spans="1:1">
      <c r="A1714" s="142" t="s">
        <v>3675</v>
      </c>
    </row>
    <row r="1715" spans="1:1">
      <c r="A1715" s="142" t="s">
        <v>3676</v>
      </c>
    </row>
    <row r="1716" spans="1:1">
      <c r="A1716" s="142" t="s">
        <v>3677</v>
      </c>
    </row>
    <row r="1717" spans="1:1">
      <c r="A1717" s="142" t="s">
        <v>3678</v>
      </c>
    </row>
    <row r="1718" spans="1:1">
      <c r="A1718" s="142" t="s">
        <v>3679</v>
      </c>
    </row>
    <row r="1719" spans="1:1">
      <c r="A1719" s="142" t="s">
        <v>3680</v>
      </c>
    </row>
    <row r="1720" spans="1:1">
      <c r="A1720" s="142" t="s">
        <v>3681</v>
      </c>
    </row>
    <row r="1721" spans="1:1">
      <c r="A1721" s="142" t="s">
        <v>3682</v>
      </c>
    </row>
    <row r="1722" spans="1:1">
      <c r="A1722" s="142" t="s">
        <v>3683</v>
      </c>
    </row>
    <row r="1723" spans="1:1">
      <c r="A1723" s="142" t="s">
        <v>3684</v>
      </c>
    </row>
    <row r="1724" spans="1:1">
      <c r="A1724" s="142" t="s">
        <v>3685</v>
      </c>
    </row>
    <row r="1725" spans="1:1">
      <c r="A1725" s="142" t="s">
        <v>3686</v>
      </c>
    </row>
    <row r="1726" spans="1:1">
      <c r="A1726" s="142" t="s">
        <v>3687</v>
      </c>
    </row>
    <row r="1727" spans="1:1">
      <c r="A1727" s="142" t="s">
        <v>3688</v>
      </c>
    </row>
    <row r="1728" spans="1:1">
      <c r="A1728" s="142" t="s">
        <v>3689</v>
      </c>
    </row>
    <row r="1729" spans="1:1">
      <c r="A1729" s="142" t="s">
        <v>3690</v>
      </c>
    </row>
    <row r="1730" spans="1:1">
      <c r="A1730" s="142" t="s">
        <v>3691</v>
      </c>
    </row>
    <row r="1731" spans="1:1">
      <c r="A1731" s="142" t="s">
        <v>3692</v>
      </c>
    </row>
    <row r="1732" spans="1:1">
      <c r="A1732" s="142" t="s">
        <v>3693</v>
      </c>
    </row>
    <row r="1733" spans="1:1">
      <c r="A1733" s="142" t="s">
        <v>3694</v>
      </c>
    </row>
    <row r="1734" spans="1:1">
      <c r="A1734" s="142" t="s">
        <v>3695</v>
      </c>
    </row>
    <row r="1735" spans="1:1">
      <c r="A1735" s="142" t="s">
        <v>3696</v>
      </c>
    </row>
    <row r="1736" spans="1:1">
      <c r="A1736" s="142" t="s">
        <v>3697</v>
      </c>
    </row>
    <row r="1737" spans="1:1">
      <c r="A1737" s="142" t="s">
        <v>3698</v>
      </c>
    </row>
    <row r="1738" spans="1:1">
      <c r="A1738" s="142" t="s">
        <v>3699</v>
      </c>
    </row>
    <row r="1739" spans="1:1">
      <c r="A1739" s="142" t="s">
        <v>3700</v>
      </c>
    </row>
    <row r="1740" spans="1:1">
      <c r="A1740" s="142" t="s">
        <v>3701</v>
      </c>
    </row>
    <row r="1741" spans="1:1">
      <c r="A1741" s="142" t="s">
        <v>3702</v>
      </c>
    </row>
    <row r="1742" spans="1:1">
      <c r="A1742" s="142" t="s">
        <v>3703</v>
      </c>
    </row>
    <row r="1743" spans="1:1">
      <c r="A1743" s="142" t="s">
        <v>3704</v>
      </c>
    </row>
    <row r="1744" spans="1:1">
      <c r="A1744" s="142" t="s">
        <v>3705</v>
      </c>
    </row>
    <row r="1745" spans="1:1">
      <c r="A1745" s="142" t="s">
        <v>3706</v>
      </c>
    </row>
    <row r="1746" spans="1:1">
      <c r="A1746" s="142" t="s">
        <v>3707</v>
      </c>
    </row>
    <row r="1747" spans="1:1">
      <c r="A1747" s="142" t="s">
        <v>3708</v>
      </c>
    </row>
    <row r="1748" spans="1:1">
      <c r="A1748" s="142" t="s">
        <v>3709</v>
      </c>
    </row>
    <row r="1749" spans="1:1">
      <c r="A1749" s="142" t="s">
        <v>3710</v>
      </c>
    </row>
    <row r="1750" spans="1:1">
      <c r="A1750" s="142" t="s">
        <v>3711</v>
      </c>
    </row>
    <row r="1751" spans="1:1">
      <c r="A1751" s="142" t="s">
        <v>3712</v>
      </c>
    </row>
    <row r="1752" spans="1:1">
      <c r="A1752" s="142" t="s">
        <v>3713</v>
      </c>
    </row>
    <row r="1753" spans="1:1">
      <c r="A1753" s="142" t="s">
        <v>3714</v>
      </c>
    </row>
    <row r="1754" spans="1:1">
      <c r="A1754" s="142" t="s">
        <v>3715</v>
      </c>
    </row>
    <row r="1755" spans="1:1">
      <c r="A1755" s="142" t="s">
        <v>3716</v>
      </c>
    </row>
    <row r="1756" spans="1:1">
      <c r="A1756" s="142" t="s">
        <v>3717</v>
      </c>
    </row>
    <row r="1757" spans="1:1">
      <c r="A1757" s="142" t="s">
        <v>3718</v>
      </c>
    </row>
    <row r="1758" spans="1:1">
      <c r="A1758" s="142" t="s">
        <v>3719</v>
      </c>
    </row>
    <row r="1759" spans="1:1">
      <c r="A1759" s="142" t="s">
        <v>3720</v>
      </c>
    </row>
    <row r="1760" spans="1:1">
      <c r="A1760" s="142" t="s">
        <v>3721</v>
      </c>
    </row>
    <row r="1761" spans="1:1">
      <c r="A1761" s="142" t="s">
        <v>3722</v>
      </c>
    </row>
    <row r="1762" spans="1:1">
      <c r="A1762" s="142" t="s">
        <v>3723</v>
      </c>
    </row>
    <row r="1763" spans="1:1">
      <c r="A1763" s="142" t="s">
        <v>3724</v>
      </c>
    </row>
    <row r="1764" spans="1:1">
      <c r="A1764" s="142" t="s">
        <v>3725</v>
      </c>
    </row>
    <row r="1765" spans="1:1">
      <c r="A1765" s="142" t="s">
        <v>3726</v>
      </c>
    </row>
    <row r="1766" spans="1:1">
      <c r="A1766" s="142" t="s">
        <v>3727</v>
      </c>
    </row>
    <row r="1767" spans="1:1">
      <c r="A1767" s="142" t="s">
        <v>3728</v>
      </c>
    </row>
    <row r="1768" spans="1:1">
      <c r="A1768" s="142" t="s">
        <v>3729</v>
      </c>
    </row>
    <row r="1769" spans="1:1">
      <c r="A1769" s="142" t="s">
        <v>3730</v>
      </c>
    </row>
    <row r="1770" spans="1:1">
      <c r="A1770" s="142" t="s">
        <v>3731</v>
      </c>
    </row>
    <row r="1771" spans="1:1">
      <c r="A1771" s="142" t="s">
        <v>3732</v>
      </c>
    </row>
    <row r="1772" spans="1:1">
      <c r="A1772" s="142" t="s">
        <v>3733</v>
      </c>
    </row>
    <row r="1773" spans="1:1">
      <c r="A1773" s="142" t="s">
        <v>3734</v>
      </c>
    </row>
    <row r="1774" spans="1:1">
      <c r="A1774" s="142" t="s">
        <v>3735</v>
      </c>
    </row>
    <row r="1775" spans="1:1">
      <c r="A1775" s="142" t="s">
        <v>3736</v>
      </c>
    </row>
    <row r="1776" spans="1:1">
      <c r="A1776" s="142" t="s">
        <v>3737</v>
      </c>
    </row>
    <row r="1777" spans="1:1">
      <c r="A1777" s="142" t="s">
        <v>3738</v>
      </c>
    </row>
    <row r="1778" spans="1:1">
      <c r="A1778" s="142" t="s">
        <v>3739</v>
      </c>
    </row>
    <row r="1779" spans="1:1">
      <c r="A1779" s="142" t="s">
        <v>3740</v>
      </c>
    </row>
    <row r="1780" spans="1:1">
      <c r="A1780" s="142" t="s">
        <v>3741</v>
      </c>
    </row>
    <row r="1781" spans="1:1">
      <c r="A1781" s="142" t="s">
        <v>3742</v>
      </c>
    </row>
    <row r="1782" spans="1:1">
      <c r="A1782" s="142" t="s">
        <v>3743</v>
      </c>
    </row>
    <row r="1783" spans="1:1">
      <c r="A1783" s="142" t="s">
        <v>3744</v>
      </c>
    </row>
    <row r="1784" spans="1:1">
      <c r="A1784" s="142" t="s">
        <v>3745</v>
      </c>
    </row>
    <row r="1785" spans="1:1">
      <c r="A1785" s="142" t="s">
        <v>3746</v>
      </c>
    </row>
    <row r="1786" spans="1:1">
      <c r="A1786" s="142" t="s">
        <v>3747</v>
      </c>
    </row>
    <row r="1787" spans="1:1">
      <c r="A1787" s="142" t="s">
        <v>3748</v>
      </c>
    </row>
    <row r="1788" spans="1:1">
      <c r="A1788" s="142" t="s">
        <v>3749</v>
      </c>
    </row>
    <row r="1789" spans="1:1">
      <c r="A1789" s="142" t="s">
        <v>3750</v>
      </c>
    </row>
    <row r="1790" spans="1:1">
      <c r="A1790" s="142" t="s">
        <v>3751</v>
      </c>
    </row>
    <row r="1791" spans="1:1">
      <c r="A1791" s="142" t="s">
        <v>3752</v>
      </c>
    </row>
    <row r="1792" spans="1:1">
      <c r="A1792" s="142" t="s">
        <v>3753</v>
      </c>
    </row>
    <row r="1793" spans="1:1">
      <c r="A1793" s="142" t="s">
        <v>3754</v>
      </c>
    </row>
    <row r="1794" spans="1:1">
      <c r="A1794" s="142" t="s">
        <v>3755</v>
      </c>
    </row>
    <row r="1795" spans="1:1">
      <c r="A1795" s="142" t="s">
        <v>3756</v>
      </c>
    </row>
    <row r="1796" spans="1:1">
      <c r="A1796" s="142" t="s">
        <v>3757</v>
      </c>
    </row>
    <row r="1797" spans="1:1">
      <c r="A1797" s="142" t="s">
        <v>3758</v>
      </c>
    </row>
    <row r="1798" spans="1:1">
      <c r="A1798" s="142" t="s">
        <v>3759</v>
      </c>
    </row>
    <row r="1799" spans="1:1">
      <c r="A1799" s="142" t="s">
        <v>3760</v>
      </c>
    </row>
    <row r="1800" spans="1:1">
      <c r="A1800" s="142" t="s">
        <v>3761</v>
      </c>
    </row>
    <row r="1801" spans="1:1">
      <c r="A1801" s="142" t="s">
        <v>3762</v>
      </c>
    </row>
    <row r="1802" spans="1:1">
      <c r="A1802" s="142" t="s">
        <v>3763</v>
      </c>
    </row>
    <row r="1803" spans="1:1">
      <c r="A1803" s="142" t="s">
        <v>3764</v>
      </c>
    </row>
    <row r="1804" spans="1:1">
      <c r="A1804" s="142" t="s">
        <v>3765</v>
      </c>
    </row>
    <row r="1805" spans="1:1">
      <c r="A1805" s="142" t="s">
        <v>3766</v>
      </c>
    </row>
    <row r="1806" spans="1:1">
      <c r="A1806" s="142" t="s">
        <v>3767</v>
      </c>
    </row>
    <row r="1807" spans="1:1">
      <c r="A1807" s="142" t="s">
        <v>3768</v>
      </c>
    </row>
    <row r="1808" spans="1:1">
      <c r="A1808" s="142" t="s">
        <v>3769</v>
      </c>
    </row>
    <row r="1809" spans="1:1">
      <c r="A1809" s="142" t="s">
        <v>3770</v>
      </c>
    </row>
    <row r="1810" spans="1:1">
      <c r="A1810" s="142" t="s">
        <v>3771</v>
      </c>
    </row>
    <row r="1811" spans="1:1">
      <c r="A1811" s="142" t="s">
        <v>3772</v>
      </c>
    </row>
    <row r="1812" spans="1:1">
      <c r="A1812" s="142" t="s">
        <v>3773</v>
      </c>
    </row>
    <row r="1813" spans="1:1">
      <c r="A1813" s="142" t="s">
        <v>3774</v>
      </c>
    </row>
    <row r="1814" spans="1:1">
      <c r="A1814" s="142" t="s">
        <v>3775</v>
      </c>
    </row>
    <row r="1815" spans="1:1">
      <c r="A1815" s="142" t="s">
        <v>3776</v>
      </c>
    </row>
    <row r="1816" spans="1:1">
      <c r="A1816" s="142" t="s">
        <v>3777</v>
      </c>
    </row>
    <row r="1817" spans="1:1">
      <c r="A1817" s="142" t="s">
        <v>3778</v>
      </c>
    </row>
    <row r="1818" spans="1:1">
      <c r="A1818" s="142" t="s">
        <v>3779</v>
      </c>
    </row>
    <row r="1819" spans="1:1">
      <c r="A1819" s="142" t="s">
        <v>3780</v>
      </c>
    </row>
    <row r="1820" spans="1:1">
      <c r="A1820" s="142" t="s">
        <v>3781</v>
      </c>
    </row>
    <row r="1821" spans="1:1">
      <c r="A1821" s="142" t="s">
        <v>3782</v>
      </c>
    </row>
    <row r="1822" spans="1:1">
      <c r="A1822" s="142" t="s">
        <v>3783</v>
      </c>
    </row>
    <row r="1823" spans="1:1">
      <c r="A1823" s="142" t="s">
        <v>3784</v>
      </c>
    </row>
    <row r="1824" spans="1:1">
      <c r="A1824" s="142" t="s">
        <v>3785</v>
      </c>
    </row>
    <row r="1825" spans="1:1">
      <c r="A1825" s="142" t="s">
        <v>3786</v>
      </c>
    </row>
    <row r="1826" spans="1:1">
      <c r="A1826" s="142" t="s">
        <v>3787</v>
      </c>
    </row>
    <row r="1827" spans="1:1">
      <c r="A1827" s="142" t="s">
        <v>3788</v>
      </c>
    </row>
    <row r="1828" spans="1:1">
      <c r="A1828" s="142" t="s">
        <v>3789</v>
      </c>
    </row>
    <row r="1829" spans="1:1">
      <c r="A1829" s="142" t="s">
        <v>3790</v>
      </c>
    </row>
    <row r="1830" spans="1:1">
      <c r="A1830" s="142" t="s">
        <v>3791</v>
      </c>
    </row>
    <row r="1831" spans="1:1">
      <c r="A1831" s="142" t="s">
        <v>3792</v>
      </c>
    </row>
    <row r="1832" spans="1:1">
      <c r="A1832" s="142" t="s">
        <v>3793</v>
      </c>
    </row>
    <row r="1833" spans="1:1">
      <c r="A1833" s="142" t="s">
        <v>3794</v>
      </c>
    </row>
    <row r="1834" spans="1:1">
      <c r="A1834" s="142" t="s">
        <v>3795</v>
      </c>
    </row>
    <row r="1835" spans="1:1">
      <c r="A1835" s="142" t="s">
        <v>3796</v>
      </c>
    </row>
    <row r="1836" spans="1:1">
      <c r="A1836" s="142" t="s">
        <v>3797</v>
      </c>
    </row>
    <row r="1837" spans="1:1">
      <c r="A1837" s="142" t="s">
        <v>3798</v>
      </c>
    </row>
    <row r="1838" spans="1:1">
      <c r="A1838" s="142" t="s">
        <v>3799</v>
      </c>
    </row>
    <row r="1839" spans="1:1">
      <c r="A1839" s="142" t="s">
        <v>3800</v>
      </c>
    </row>
    <row r="1840" spans="1:1">
      <c r="A1840" s="142" t="s">
        <v>3801</v>
      </c>
    </row>
    <row r="1841" spans="1:1">
      <c r="A1841" s="142" t="s">
        <v>3802</v>
      </c>
    </row>
    <row r="1842" spans="1:1">
      <c r="A1842" s="142" t="s">
        <v>3803</v>
      </c>
    </row>
    <row r="1843" spans="1:1">
      <c r="A1843" s="142" t="s">
        <v>3804</v>
      </c>
    </row>
    <row r="1844" spans="1:1">
      <c r="A1844" s="142" t="s">
        <v>3805</v>
      </c>
    </row>
    <row r="1845" spans="1:1">
      <c r="A1845" s="142" t="s">
        <v>3806</v>
      </c>
    </row>
    <row r="1846" spans="1:1">
      <c r="A1846" s="142" t="s">
        <v>3807</v>
      </c>
    </row>
    <row r="1847" spans="1:1">
      <c r="A1847" s="142" t="s">
        <v>3808</v>
      </c>
    </row>
    <row r="1848" spans="1:1">
      <c r="A1848" s="142" t="s">
        <v>3809</v>
      </c>
    </row>
    <row r="1849" spans="1:1">
      <c r="A1849" s="142" t="s">
        <v>3810</v>
      </c>
    </row>
    <row r="1850" spans="1:1">
      <c r="A1850" s="142" t="s">
        <v>3811</v>
      </c>
    </row>
    <row r="1851" spans="1:1">
      <c r="A1851" s="142" t="s">
        <v>3812</v>
      </c>
    </row>
    <row r="1852" spans="1:1">
      <c r="A1852" s="142" t="s">
        <v>3813</v>
      </c>
    </row>
    <row r="1853" spans="1:1">
      <c r="A1853" s="142" t="s">
        <v>3814</v>
      </c>
    </row>
    <row r="1854" spans="1:1">
      <c r="A1854" s="142" t="s">
        <v>3815</v>
      </c>
    </row>
    <row r="1855" spans="1:1">
      <c r="A1855" s="142" t="s">
        <v>3816</v>
      </c>
    </row>
    <row r="1856" spans="1:1">
      <c r="A1856" s="142" t="s">
        <v>3817</v>
      </c>
    </row>
    <row r="1857" spans="1:1">
      <c r="A1857" s="142" t="s">
        <v>3818</v>
      </c>
    </row>
    <row r="1858" spans="1:1">
      <c r="A1858" s="142" t="s">
        <v>3819</v>
      </c>
    </row>
    <row r="1859" spans="1:1">
      <c r="A1859" s="142" t="s">
        <v>3820</v>
      </c>
    </row>
    <row r="1860" spans="1:1">
      <c r="A1860" s="142" t="s">
        <v>3821</v>
      </c>
    </row>
    <row r="1861" spans="1:1">
      <c r="A1861" s="142" t="s">
        <v>3822</v>
      </c>
    </row>
    <row r="1862" spans="1:1">
      <c r="A1862" s="142" t="s">
        <v>3823</v>
      </c>
    </row>
    <row r="1863" spans="1:1">
      <c r="A1863" s="142" t="s">
        <v>3824</v>
      </c>
    </row>
    <row r="1864" spans="1:1">
      <c r="A1864" s="142" t="s">
        <v>3825</v>
      </c>
    </row>
    <row r="1865" spans="1:1">
      <c r="A1865" s="142" t="s">
        <v>3826</v>
      </c>
    </row>
    <row r="1866" spans="1:1">
      <c r="A1866" s="142" t="s">
        <v>3827</v>
      </c>
    </row>
    <row r="1867" spans="1:1">
      <c r="A1867" s="142" t="s">
        <v>3828</v>
      </c>
    </row>
    <row r="1868" spans="1:1">
      <c r="A1868" s="142" t="s">
        <v>3829</v>
      </c>
    </row>
    <row r="1869" spans="1:1">
      <c r="A1869" s="142" t="s">
        <v>3830</v>
      </c>
    </row>
    <row r="1870" spans="1:1">
      <c r="A1870" s="142" t="s">
        <v>3831</v>
      </c>
    </row>
    <row r="1871" spans="1:1">
      <c r="A1871" s="142" t="s">
        <v>3832</v>
      </c>
    </row>
    <row r="1872" spans="1:1">
      <c r="A1872" s="142" t="s">
        <v>3833</v>
      </c>
    </row>
    <row r="1873" spans="1:1">
      <c r="A1873" s="142" t="s">
        <v>3834</v>
      </c>
    </row>
    <row r="1874" spans="1:1">
      <c r="A1874" s="142" t="s">
        <v>3835</v>
      </c>
    </row>
    <row r="1875" spans="1:1">
      <c r="A1875" s="142" t="s">
        <v>3836</v>
      </c>
    </row>
    <row r="1876" spans="1:1">
      <c r="A1876" s="142" t="s">
        <v>3837</v>
      </c>
    </row>
    <row r="1877" spans="1:1">
      <c r="A1877" s="142" t="s">
        <v>3838</v>
      </c>
    </row>
    <row r="1878" spans="1:1">
      <c r="A1878" s="142" t="s">
        <v>3839</v>
      </c>
    </row>
    <row r="1879" spans="1:1">
      <c r="A1879" s="142" t="s">
        <v>3840</v>
      </c>
    </row>
    <row r="1880" spans="1:1">
      <c r="A1880" s="142" t="s">
        <v>3841</v>
      </c>
    </row>
    <row r="1881" spans="1:1">
      <c r="A1881" s="142" t="s">
        <v>3842</v>
      </c>
    </row>
    <row r="1882" spans="1:1">
      <c r="A1882" s="142" t="s">
        <v>3843</v>
      </c>
    </row>
    <row r="1883" spans="1:1">
      <c r="A1883" s="142" t="s">
        <v>3844</v>
      </c>
    </row>
    <row r="1884" spans="1:1">
      <c r="A1884" s="142" t="s">
        <v>3845</v>
      </c>
    </row>
    <row r="1885" spans="1:1">
      <c r="A1885" s="142" t="s">
        <v>3846</v>
      </c>
    </row>
    <row r="1886" spans="1:1">
      <c r="A1886" s="142" t="s">
        <v>3847</v>
      </c>
    </row>
    <row r="1887" spans="1:1">
      <c r="A1887" s="142" t="s">
        <v>3848</v>
      </c>
    </row>
    <row r="1888" spans="1:1">
      <c r="A1888" s="142" t="s">
        <v>3849</v>
      </c>
    </row>
    <row r="1889" spans="1:1">
      <c r="A1889" s="142" t="s">
        <v>3850</v>
      </c>
    </row>
    <row r="1890" spans="1:1">
      <c r="A1890" s="142" t="s">
        <v>3851</v>
      </c>
    </row>
    <row r="1891" spans="1:1">
      <c r="A1891" s="142" t="s">
        <v>3852</v>
      </c>
    </row>
    <row r="1892" spans="1:1">
      <c r="A1892" s="142" t="s">
        <v>3853</v>
      </c>
    </row>
    <row r="1893" spans="1:1">
      <c r="A1893" s="142" t="s">
        <v>3854</v>
      </c>
    </row>
    <row r="1894" spans="1:1">
      <c r="A1894" s="142" t="s">
        <v>3855</v>
      </c>
    </row>
    <row r="1895" spans="1:1">
      <c r="A1895" s="142" t="s">
        <v>3856</v>
      </c>
    </row>
    <row r="1896" spans="1:1">
      <c r="A1896" s="142" t="s">
        <v>3857</v>
      </c>
    </row>
    <row r="1897" spans="1:1">
      <c r="A1897" s="142" t="s">
        <v>3858</v>
      </c>
    </row>
    <row r="1898" spans="1:1">
      <c r="A1898" s="142" t="s">
        <v>3859</v>
      </c>
    </row>
    <row r="1899" spans="1:1">
      <c r="A1899" s="142" t="s">
        <v>3860</v>
      </c>
    </row>
    <row r="1900" spans="1:1">
      <c r="A1900" s="142" t="s">
        <v>3861</v>
      </c>
    </row>
    <row r="1901" spans="1:1">
      <c r="A1901" s="142" t="s">
        <v>3862</v>
      </c>
    </row>
    <row r="1902" spans="1:1">
      <c r="A1902" s="142" t="s">
        <v>3863</v>
      </c>
    </row>
    <row r="1903" spans="1:1">
      <c r="A1903" s="142" t="s">
        <v>3864</v>
      </c>
    </row>
    <row r="1904" spans="1:1">
      <c r="A1904" s="142" t="s">
        <v>3865</v>
      </c>
    </row>
    <row r="1905" spans="1:1">
      <c r="A1905" s="142" t="s">
        <v>3866</v>
      </c>
    </row>
    <row r="1906" spans="1:1">
      <c r="A1906" s="142" t="s">
        <v>3867</v>
      </c>
    </row>
    <row r="1907" spans="1:1">
      <c r="A1907" s="142" t="s">
        <v>3868</v>
      </c>
    </row>
    <row r="1908" spans="1:1">
      <c r="A1908" s="142" t="s">
        <v>3869</v>
      </c>
    </row>
    <row r="1909" spans="1:1">
      <c r="A1909" s="142" t="s">
        <v>3870</v>
      </c>
    </row>
    <row r="1910" spans="1:1">
      <c r="A1910" s="142" t="s">
        <v>3871</v>
      </c>
    </row>
    <row r="1911" spans="1:1">
      <c r="A1911" s="142" t="s">
        <v>3872</v>
      </c>
    </row>
    <row r="1912" spans="1:1">
      <c r="A1912" s="142" t="s">
        <v>3873</v>
      </c>
    </row>
    <row r="1913" spans="1:1">
      <c r="A1913" s="142" t="s">
        <v>3874</v>
      </c>
    </row>
    <row r="1914" spans="1:1">
      <c r="A1914" s="142" t="s">
        <v>3875</v>
      </c>
    </row>
    <row r="1915" spans="1:1">
      <c r="A1915" s="142" t="s">
        <v>3876</v>
      </c>
    </row>
    <row r="1916" spans="1:1">
      <c r="A1916" s="142" t="s">
        <v>3877</v>
      </c>
    </row>
    <row r="1917" spans="1:1">
      <c r="A1917" s="142" t="s">
        <v>3878</v>
      </c>
    </row>
    <row r="1918" spans="1:1">
      <c r="A1918" s="142" t="s">
        <v>3879</v>
      </c>
    </row>
    <row r="1919" spans="1:1">
      <c r="A1919" s="142" t="s">
        <v>3880</v>
      </c>
    </row>
    <row r="1920" spans="1:1">
      <c r="A1920" s="142" t="s">
        <v>3881</v>
      </c>
    </row>
    <row r="1921" spans="1:1">
      <c r="A1921" s="142" t="s">
        <v>3882</v>
      </c>
    </row>
    <row r="1922" spans="1:1">
      <c r="A1922" s="142" t="s">
        <v>3883</v>
      </c>
    </row>
    <row r="1923" spans="1:1">
      <c r="A1923" s="142" t="s">
        <v>3884</v>
      </c>
    </row>
    <row r="1924" spans="1:1">
      <c r="A1924" s="142" t="s">
        <v>3885</v>
      </c>
    </row>
    <row r="1925" spans="1:1">
      <c r="A1925" s="142" t="s">
        <v>3886</v>
      </c>
    </row>
    <row r="1926" spans="1:1">
      <c r="A1926" s="142" t="s">
        <v>3887</v>
      </c>
    </row>
    <row r="1927" spans="1:1">
      <c r="A1927" s="142" t="s">
        <v>3888</v>
      </c>
    </row>
    <row r="1928" spans="1:1">
      <c r="A1928" s="142" t="s">
        <v>3889</v>
      </c>
    </row>
    <row r="1929" spans="1:1">
      <c r="A1929" s="142" t="s">
        <v>3890</v>
      </c>
    </row>
    <row r="1930" spans="1:1">
      <c r="A1930" s="142" t="s">
        <v>3891</v>
      </c>
    </row>
    <row r="1931" spans="1:1">
      <c r="A1931" s="142" t="s">
        <v>3892</v>
      </c>
    </row>
    <row r="1932" spans="1:1">
      <c r="A1932" s="142" t="s">
        <v>3893</v>
      </c>
    </row>
    <row r="1933" spans="1:1">
      <c r="A1933" s="142" t="s">
        <v>3894</v>
      </c>
    </row>
    <row r="1934" spans="1:1">
      <c r="A1934" s="142" t="s">
        <v>3895</v>
      </c>
    </row>
    <row r="1935" spans="1:1">
      <c r="A1935" s="142" t="s">
        <v>3896</v>
      </c>
    </row>
    <row r="1936" spans="1:1">
      <c r="A1936" s="142" t="s">
        <v>3897</v>
      </c>
    </row>
    <row r="1937" spans="1:1">
      <c r="A1937" s="142" t="s">
        <v>3898</v>
      </c>
    </row>
    <row r="1938" spans="1:1">
      <c r="A1938" s="142" t="s">
        <v>3899</v>
      </c>
    </row>
    <row r="1939" spans="1:1">
      <c r="A1939" s="142" t="s">
        <v>3900</v>
      </c>
    </row>
    <row r="1940" spans="1:1">
      <c r="A1940" s="142" t="s">
        <v>3901</v>
      </c>
    </row>
    <row r="1941" spans="1:1">
      <c r="A1941" s="142" t="s">
        <v>3902</v>
      </c>
    </row>
    <row r="1942" spans="1:1">
      <c r="A1942" s="142" t="s">
        <v>3903</v>
      </c>
    </row>
    <row r="1943" spans="1:1">
      <c r="A1943" s="142" t="s">
        <v>3904</v>
      </c>
    </row>
    <row r="1944" spans="1:1">
      <c r="A1944" s="142" t="s">
        <v>3905</v>
      </c>
    </row>
    <row r="1945" spans="1:1">
      <c r="A1945" s="142" t="s">
        <v>3906</v>
      </c>
    </row>
    <row r="1946" spans="1:1">
      <c r="A1946" s="142" t="s">
        <v>3907</v>
      </c>
    </row>
    <row r="1947" spans="1:1">
      <c r="A1947" s="142" t="s">
        <v>3908</v>
      </c>
    </row>
    <row r="1948" spans="1:1">
      <c r="A1948" s="142" t="s">
        <v>3909</v>
      </c>
    </row>
    <row r="1949" spans="1:1">
      <c r="A1949" s="142" t="s">
        <v>3910</v>
      </c>
    </row>
    <row r="1950" spans="1:1">
      <c r="A1950" s="142" t="s">
        <v>3911</v>
      </c>
    </row>
    <row r="1951" spans="1:1">
      <c r="A1951" s="142" t="s">
        <v>3912</v>
      </c>
    </row>
    <row r="1952" spans="1:1">
      <c r="A1952" s="142" t="s">
        <v>3913</v>
      </c>
    </row>
    <row r="1953" spans="1:1">
      <c r="A1953" s="142" t="s">
        <v>3914</v>
      </c>
    </row>
    <row r="1954" spans="1:1">
      <c r="A1954" s="142" t="s">
        <v>3915</v>
      </c>
    </row>
    <row r="1955" spans="1:1">
      <c r="A1955" s="142" t="s">
        <v>3916</v>
      </c>
    </row>
    <row r="1956" spans="1:1">
      <c r="A1956" s="142" t="s">
        <v>3917</v>
      </c>
    </row>
    <row r="1957" spans="1:1">
      <c r="A1957" s="142" t="s">
        <v>3918</v>
      </c>
    </row>
    <row r="1958" spans="1:1">
      <c r="A1958" s="142" t="s">
        <v>3919</v>
      </c>
    </row>
    <row r="1959" spans="1:1">
      <c r="A1959" s="142" t="s">
        <v>3920</v>
      </c>
    </row>
    <row r="1960" spans="1:1">
      <c r="A1960" s="142" t="s">
        <v>3921</v>
      </c>
    </row>
    <row r="1961" spans="1:1">
      <c r="A1961" s="142" t="s">
        <v>3922</v>
      </c>
    </row>
    <row r="1962" spans="1:1">
      <c r="A1962" s="142" t="s">
        <v>3923</v>
      </c>
    </row>
    <row r="1963" spans="1:1">
      <c r="A1963" s="142" t="s">
        <v>3924</v>
      </c>
    </row>
    <row r="1964" spans="1:1">
      <c r="A1964" s="142" t="s">
        <v>3925</v>
      </c>
    </row>
    <row r="1965" spans="1:1">
      <c r="A1965" s="142" t="s">
        <v>3926</v>
      </c>
    </row>
    <row r="1966" spans="1:1">
      <c r="A1966" s="142" t="s">
        <v>3927</v>
      </c>
    </row>
    <row r="1967" spans="1:1">
      <c r="A1967" s="142" t="s">
        <v>3928</v>
      </c>
    </row>
    <row r="1968" spans="1:1">
      <c r="A1968" s="142" t="s">
        <v>3929</v>
      </c>
    </row>
    <row r="1969" spans="1:1">
      <c r="A1969" s="142" t="s">
        <v>3930</v>
      </c>
    </row>
    <row r="1970" spans="1:1">
      <c r="A1970" s="142" t="s">
        <v>3931</v>
      </c>
    </row>
    <row r="1971" spans="1:1">
      <c r="A1971" s="142" t="s">
        <v>3932</v>
      </c>
    </row>
    <row r="1972" spans="1:1">
      <c r="A1972" s="142" t="s">
        <v>3933</v>
      </c>
    </row>
    <row r="1973" spans="1:1">
      <c r="A1973" s="142" t="s">
        <v>3934</v>
      </c>
    </row>
    <row r="1974" spans="1:1">
      <c r="A1974" s="142" t="s">
        <v>3935</v>
      </c>
    </row>
    <row r="1975" spans="1:1">
      <c r="A1975" s="142" t="s">
        <v>3936</v>
      </c>
    </row>
    <row r="1976" spans="1:1">
      <c r="A1976" s="142" t="s">
        <v>3937</v>
      </c>
    </row>
    <row r="1977" spans="1:1">
      <c r="A1977" s="142" t="s">
        <v>3938</v>
      </c>
    </row>
    <row r="1978" spans="1:1">
      <c r="A1978" s="142" t="s">
        <v>3939</v>
      </c>
    </row>
    <row r="1979" spans="1:1">
      <c r="A1979" s="142" t="s">
        <v>3940</v>
      </c>
    </row>
    <row r="1980" spans="1:1">
      <c r="A1980" s="142" t="s">
        <v>3941</v>
      </c>
    </row>
    <row r="1981" spans="1:1">
      <c r="A1981" s="142" t="s">
        <v>3942</v>
      </c>
    </row>
    <row r="1982" spans="1:1">
      <c r="A1982" s="142" t="s">
        <v>3943</v>
      </c>
    </row>
    <row r="1983" spans="1:1">
      <c r="A1983" s="142" t="s">
        <v>3944</v>
      </c>
    </row>
    <row r="1984" spans="1:1">
      <c r="A1984" s="142" t="s">
        <v>3945</v>
      </c>
    </row>
    <row r="1985" spans="1:1">
      <c r="A1985" s="142" t="s">
        <v>3946</v>
      </c>
    </row>
    <row r="1986" spans="1:1">
      <c r="A1986" s="142" t="s">
        <v>3947</v>
      </c>
    </row>
    <row r="1987" spans="1:1">
      <c r="A1987" s="142" t="s">
        <v>3948</v>
      </c>
    </row>
    <row r="1988" spans="1:1">
      <c r="A1988" s="142" t="s">
        <v>3949</v>
      </c>
    </row>
    <row r="1989" spans="1:1">
      <c r="A1989" s="142" t="s">
        <v>3950</v>
      </c>
    </row>
    <row r="1990" spans="1:1">
      <c r="A1990" s="142" t="s">
        <v>3951</v>
      </c>
    </row>
    <row r="1991" spans="1:1">
      <c r="A1991" s="142" t="s">
        <v>3952</v>
      </c>
    </row>
    <row r="1992" spans="1:1">
      <c r="A1992" s="142" t="s">
        <v>3953</v>
      </c>
    </row>
    <row r="1993" spans="1:1">
      <c r="A1993" s="142" t="s">
        <v>3954</v>
      </c>
    </row>
    <row r="1994" spans="1:1">
      <c r="A1994" s="142" t="s">
        <v>3955</v>
      </c>
    </row>
    <row r="1995" spans="1:1">
      <c r="A1995" s="142" t="s">
        <v>3956</v>
      </c>
    </row>
    <row r="1996" spans="1:1">
      <c r="A1996" s="142" t="s">
        <v>3957</v>
      </c>
    </row>
    <row r="1997" spans="1:1">
      <c r="A1997" s="142" t="s">
        <v>3958</v>
      </c>
    </row>
    <row r="1998" spans="1:1">
      <c r="A1998" s="142" t="s">
        <v>3959</v>
      </c>
    </row>
    <row r="1999" spans="1:1">
      <c r="A1999" s="142" t="s">
        <v>3960</v>
      </c>
    </row>
    <row r="2000" spans="1:1">
      <c r="A2000" s="142" t="s">
        <v>3961</v>
      </c>
    </row>
    <row r="2001" spans="1:1">
      <c r="A2001" s="142" t="s">
        <v>3962</v>
      </c>
    </row>
    <row r="2002" spans="1:1">
      <c r="A2002" s="142" t="s">
        <v>3963</v>
      </c>
    </row>
    <row r="2003" spans="1:1">
      <c r="A2003" s="142" t="s">
        <v>3964</v>
      </c>
    </row>
    <row r="2004" spans="1:1">
      <c r="A2004" s="142" t="s">
        <v>3965</v>
      </c>
    </row>
    <row r="2005" spans="1:1">
      <c r="A2005" s="142" t="s">
        <v>3966</v>
      </c>
    </row>
    <row r="2006" spans="1:1">
      <c r="A2006" s="142" t="s">
        <v>3967</v>
      </c>
    </row>
    <row r="2007" spans="1:1">
      <c r="A2007" s="142" t="s">
        <v>3968</v>
      </c>
    </row>
    <row r="2008" spans="1:1">
      <c r="A2008" s="142" t="s">
        <v>3969</v>
      </c>
    </row>
    <row r="2009" spans="1:1">
      <c r="A2009" s="142" t="s">
        <v>3970</v>
      </c>
    </row>
    <row r="2010" spans="1:1">
      <c r="A2010" s="142" t="s">
        <v>3971</v>
      </c>
    </row>
    <row r="2011" spans="1:1">
      <c r="A2011" s="142" t="s">
        <v>3972</v>
      </c>
    </row>
    <row r="2012" spans="1:1">
      <c r="A2012" s="142" t="s">
        <v>3973</v>
      </c>
    </row>
    <row r="2013" spans="1:1">
      <c r="A2013" s="142" t="s">
        <v>3974</v>
      </c>
    </row>
    <row r="2014" spans="1:1">
      <c r="A2014" s="142" t="s">
        <v>3975</v>
      </c>
    </row>
    <row r="2015" spans="1:1">
      <c r="A2015" s="142" t="s">
        <v>3976</v>
      </c>
    </row>
    <row r="2016" spans="1:1">
      <c r="A2016" s="142" t="s">
        <v>3977</v>
      </c>
    </row>
    <row r="2017" spans="1:1">
      <c r="A2017" s="142" t="s">
        <v>3978</v>
      </c>
    </row>
    <row r="2018" spans="1:1">
      <c r="A2018" s="142" t="s">
        <v>3979</v>
      </c>
    </row>
    <row r="2019" spans="1:1">
      <c r="A2019" s="142" t="s">
        <v>3980</v>
      </c>
    </row>
    <row r="2020" spans="1:1">
      <c r="A2020" s="142" t="s">
        <v>3981</v>
      </c>
    </row>
    <row r="2021" spans="1:1">
      <c r="A2021" s="142" t="s">
        <v>3982</v>
      </c>
    </row>
    <row r="2022" spans="1:1">
      <c r="A2022" s="142" t="s">
        <v>3983</v>
      </c>
    </row>
    <row r="2023" spans="1:1">
      <c r="A2023" s="142" t="s">
        <v>3984</v>
      </c>
    </row>
    <row r="2024" spans="1:1">
      <c r="A2024" s="142" t="s">
        <v>3985</v>
      </c>
    </row>
    <row r="2025" spans="1:1">
      <c r="A2025" s="142" t="s">
        <v>3986</v>
      </c>
    </row>
    <row r="2026" spans="1:1">
      <c r="A2026" s="142" t="s">
        <v>3987</v>
      </c>
    </row>
    <row r="2027" spans="1:1">
      <c r="A2027" s="142" t="s">
        <v>3988</v>
      </c>
    </row>
    <row r="2028" spans="1:1">
      <c r="A2028" s="142" t="s">
        <v>3989</v>
      </c>
    </row>
    <row r="2029" spans="1:1">
      <c r="A2029" s="142" t="s">
        <v>3990</v>
      </c>
    </row>
    <row r="2030" spans="1:1">
      <c r="A2030" s="142" t="s">
        <v>3991</v>
      </c>
    </row>
    <row r="2031" spans="1:1">
      <c r="A2031" s="142" t="s">
        <v>3992</v>
      </c>
    </row>
    <row r="2032" spans="1:1">
      <c r="A2032" s="142" t="s">
        <v>3993</v>
      </c>
    </row>
    <row r="2033" spans="1:1">
      <c r="A2033" s="142" t="s">
        <v>3994</v>
      </c>
    </row>
    <row r="2034" spans="1:1">
      <c r="A2034" s="142" t="s">
        <v>3995</v>
      </c>
    </row>
    <row r="2035" spans="1:1">
      <c r="A2035" s="142" t="s">
        <v>3996</v>
      </c>
    </row>
    <row r="2036" spans="1:1">
      <c r="A2036" s="142" t="s">
        <v>3997</v>
      </c>
    </row>
    <row r="2037" spans="1:1">
      <c r="A2037" s="142" t="s">
        <v>3998</v>
      </c>
    </row>
    <row r="2038" spans="1:1">
      <c r="A2038" s="142" t="s">
        <v>3999</v>
      </c>
    </row>
    <row r="2039" spans="1:1">
      <c r="A2039" s="142" t="s">
        <v>4000</v>
      </c>
    </row>
    <row r="2040" spans="1:1">
      <c r="A2040" s="142" t="s">
        <v>4001</v>
      </c>
    </row>
    <row r="2041" spans="1:1">
      <c r="A2041" s="142" t="s">
        <v>4002</v>
      </c>
    </row>
    <row r="2042" spans="1:1">
      <c r="A2042" s="142" t="s">
        <v>4003</v>
      </c>
    </row>
    <row r="2043" spans="1:1">
      <c r="A2043" s="142" t="s">
        <v>4004</v>
      </c>
    </row>
    <row r="2044" spans="1:1">
      <c r="A2044" s="142" t="s">
        <v>4005</v>
      </c>
    </row>
    <row r="2045" spans="1:1">
      <c r="A2045" s="142" t="s">
        <v>4006</v>
      </c>
    </row>
    <row r="2046" spans="1:1">
      <c r="A2046" s="142" t="s">
        <v>4007</v>
      </c>
    </row>
    <row r="2047" spans="1:1">
      <c r="A2047" s="142" t="s">
        <v>4008</v>
      </c>
    </row>
    <row r="2048" spans="1:1">
      <c r="A2048" s="142" t="s">
        <v>4009</v>
      </c>
    </row>
    <row r="2049" spans="1:1">
      <c r="A2049" s="142" t="s">
        <v>4010</v>
      </c>
    </row>
    <row r="2050" spans="1:1">
      <c r="A2050" s="142" t="s">
        <v>4011</v>
      </c>
    </row>
    <row r="2051" spans="1:1">
      <c r="A2051" s="142" t="s">
        <v>4012</v>
      </c>
    </row>
    <row r="2052" spans="1:1">
      <c r="A2052" s="142" t="s">
        <v>4013</v>
      </c>
    </row>
    <row r="2053" spans="1:1">
      <c r="A2053" s="142" t="s">
        <v>4014</v>
      </c>
    </row>
    <row r="2054" spans="1:1">
      <c r="A2054" s="142" t="s">
        <v>4015</v>
      </c>
    </row>
    <row r="2055" spans="1:1">
      <c r="A2055" s="142" t="s">
        <v>4016</v>
      </c>
    </row>
    <row r="2056" spans="1:1">
      <c r="A2056" s="142" t="s">
        <v>4017</v>
      </c>
    </row>
    <row r="2057" spans="1:1">
      <c r="A2057" s="142" t="s">
        <v>4018</v>
      </c>
    </row>
    <row r="2058" spans="1:1">
      <c r="A2058" s="142" t="s">
        <v>4019</v>
      </c>
    </row>
    <row r="2059" spans="1:1">
      <c r="A2059" s="142" t="s">
        <v>4020</v>
      </c>
    </row>
    <row r="2060" spans="1:1">
      <c r="A2060" s="142" t="s">
        <v>4021</v>
      </c>
    </row>
    <row r="2061" spans="1:1">
      <c r="A2061" s="142" t="s">
        <v>4022</v>
      </c>
    </row>
    <row r="2062" spans="1:1">
      <c r="A2062" s="142" t="s">
        <v>4023</v>
      </c>
    </row>
    <row r="2063" spans="1:1">
      <c r="A2063" s="142" t="s">
        <v>4024</v>
      </c>
    </row>
    <row r="2064" spans="1:1">
      <c r="A2064" s="142" t="s">
        <v>4025</v>
      </c>
    </row>
    <row r="2065" spans="1:1">
      <c r="A2065" s="142" t="s">
        <v>4026</v>
      </c>
    </row>
    <row r="2066" spans="1:1">
      <c r="A2066" s="142" t="s">
        <v>4027</v>
      </c>
    </row>
    <row r="2067" spans="1:1">
      <c r="A2067" s="142" t="s">
        <v>4028</v>
      </c>
    </row>
    <row r="2068" spans="1:1">
      <c r="A2068" s="142" t="s">
        <v>4029</v>
      </c>
    </row>
    <row r="2069" spans="1:1">
      <c r="A2069" s="142" t="s">
        <v>4030</v>
      </c>
    </row>
    <row r="2070" spans="1:1">
      <c r="A2070" s="142" t="s">
        <v>4031</v>
      </c>
    </row>
    <row r="2071" spans="1:1">
      <c r="A2071" s="142" t="s">
        <v>4032</v>
      </c>
    </row>
    <row r="2072" spans="1:1">
      <c r="A2072" s="142" t="s">
        <v>4033</v>
      </c>
    </row>
    <row r="2073" spans="1:1">
      <c r="A2073" s="142" t="s">
        <v>4034</v>
      </c>
    </row>
    <row r="2074" spans="1:1">
      <c r="A2074" s="142" t="s">
        <v>4035</v>
      </c>
    </row>
    <row r="2075" spans="1:1">
      <c r="A2075" s="142" t="s">
        <v>4036</v>
      </c>
    </row>
    <row r="2076" spans="1:1">
      <c r="A2076" s="142" t="s">
        <v>4037</v>
      </c>
    </row>
    <row r="2077" spans="1:1">
      <c r="A2077" s="142" t="s">
        <v>4038</v>
      </c>
    </row>
    <row r="2078" spans="1:1">
      <c r="A2078" s="142" t="s">
        <v>4039</v>
      </c>
    </row>
    <row r="2079" spans="1:1">
      <c r="A2079" s="142" t="s">
        <v>4040</v>
      </c>
    </row>
    <row r="2080" spans="1:1">
      <c r="A2080" s="142" t="s">
        <v>4041</v>
      </c>
    </row>
    <row r="2081" spans="1:1">
      <c r="A2081" s="142" t="s">
        <v>4042</v>
      </c>
    </row>
    <row r="2082" spans="1:1">
      <c r="A2082" s="142" t="s">
        <v>4043</v>
      </c>
    </row>
    <row r="2083" spans="1:1">
      <c r="A2083" s="142" t="s">
        <v>4044</v>
      </c>
    </row>
    <row r="2084" spans="1:1">
      <c r="A2084" s="142" t="s">
        <v>4045</v>
      </c>
    </row>
    <row r="2085" spans="1:1">
      <c r="A2085" s="142" t="s">
        <v>4046</v>
      </c>
    </row>
    <row r="2086" spans="1:1">
      <c r="A2086" s="142" t="s">
        <v>4047</v>
      </c>
    </row>
    <row r="2087" spans="1:1">
      <c r="A2087" s="142" t="s">
        <v>4048</v>
      </c>
    </row>
    <row r="2088" spans="1:1">
      <c r="A2088" s="142" t="s">
        <v>4049</v>
      </c>
    </row>
    <row r="2089" spans="1:1">
      <c r="A2089" s="142" t="s">
        <v>4050</v>
      </c>
    </row>
    <row r="2090" spans="1:1">
      <c r="A2090" s="142" t="s">
        <v>4051</v>
      </c>
    </row>
    <row r="2091" spans="1:1">
      <c r="A2091" s="142" t="s">
        <v>4052</v>
      </c>
    </row>
    <row r="2092" spans="1:1">
      <c r="A2092" s="142" t="s">
        <v>4053</v>
      </c>
    </row>
    <row r="2093" spans="1:1">
      <c r="A2093" s="142" t="s">
        <v>4054</v>
      </c>
    </row>
    <row r="2094" spans="1:1">
      <c r="A2094" s="142" t="s">
        <v>4055</v>
      </c>
    </row>
    <row r="2095" spans="1:1">
      <c r="A2095" s="142" t="s">
        <v>4056</v>
      </c>
    </row>
    <row r="2096" spans="1:1">
      <c r="A2096" s="142" t="s">
        <v>4057</v>
      </c>
    </row>
    <row r="2097" spans="1:1">
      <c r="A2097" s="142" t="s">
        <v>4058</v>
      </c>
    </row>
    <row r="2098" spans="1:1">
      <c r="A2098" s="142" t="s">
        <v>4059</v>
      </c>
    </row>
    <row r="2099" spans="1:1">
      <c r="A2099" s="142" t="s">
        <v>4060</v>
      </c>
    </row>
    <row r="2100" spans="1:1">
      <c r="A2100" s="142" t="s">
        <v>4061</v>
      </c>
    </row>
    <row r="2101" spans="1:1">
      <c r="A2101" s="142" t="s">
        <v>4062</v>
      </c>
    </row>
    <row r="2102" spans="1:1">
      <c r="A2102" s="142" t="s">
        <v>4063</v>
      </c>
    </row>
    <row r="2103" spans="1:1">
      <c r="A2103" s="142" t="s">
        <v>4064</v>
      </c>
    </row>
    <row r="2104" spans="1:1">
      <c r="A2104" s="142" t="s">
        <v>4065</v>
      </c>
    </row>
    <row r="2105" spans="1:1">
      <c r="A2105" s="142" t="s">
        <v>4066</v>
      </c>
    </row>
    <row r="2106" spans="1:1">
      <c r="A2106" s="142" t="s">
        <v>4067</v>
      </c>
    </row>
    <row r="2107" spans="1:1">
      <c r="A2107" s="142" t="s">
        <v>4068</v>
      </c>
    </row>
    <row r="2108" spans="1:1">
      <c r="A2108" s="142" t="s">
        <v>4069</v>
      </c>
    </row>
    <row r="2109" spans="1:1">
      <c r="A2109" s="142" t="s">
        <v>4070</v>
      </c>
    </row>
    <row r="2110" spans="1:1">
      <c r="A2110" s="142" t="s">
        <v>4071</v>
      </c>
    </row>
    <row r="2111" spans="1:1">
      <c r="A2111" s="142" t="s">
        <v>4072</v>
      </c>
    </row>
    <row r="2112" spans="1:1">
      <c r="A2112" s="142" t="s">
        <v>4073</v>
      </c>
    </row>
    <row r="2113" spans="1:1">
      <c r="A2113" s="142" t="s">
        <v>4074</v>
      </c>
    </row>
    <row r="2114" spans="1:1">
      <c r="A2114" s="142" t="s">
        <v>4075</v>
      </c>
    </row>
    <row r="2115" spans="1:1">
      <c r="A2115" s="142" t="s">
        <v>4076</v>
      </c>
    </row>
    <row r="2116" spans="1:1">
      <c r="A2116" s="142" t="s">
        <v>4077</v>
      </c>
    </row>
    <row r="2117" spans="1:1">
      <c r="A2117" s="142" t="s">
        <v>4078</v>
      </c>
    </row>
    <row r="2118" spans="1:1">
      <c r="A2118" s="142" t="s">
        <v>4079</v>
      </c>
    </row>
    <row r="2119" spans="1:1">
      <c r="A2119" s="142" t="s">
        <v>4080</v>
      </c>
    </row>
    <row r="2120" spans="1:1">
      <c r="A2120" s="142" t="s">
        <v>4081</v>
      </c>
    </row>
    <row r="2121" spans="1:1">
      <c r="A2121" s="142" t="s">
        <v>4082</v>
      </c>
    </row>
    <row r="2122" spans="1:1">
      <c r="A2122" s="142" t="s">
        <v>4083</v>
      </c>
    </row>
    <row r="2123" spans="1:1">
      <c r="A2123" s="142" t="s">
        <v>4084</v>
      </c>
    </row>
    <row r="2124" spans="1:1">
      <c r="A2124" s="142" t="s">
        <v>4085</v>
      </c>
    </row>
    <row r="2125" spans="1:1">
      <c r="A2125" s="142" t="s">
        <v>4086</v>
      </c>
    </row>
    <row r="2126" spans="1:1">
      <c r="A2126" s="142" t="s">
        <v>4087</v>
      </c>
    </row>
    <row r="2127" spans="1:1">
      <c r="A2127" s="142" t="s">
        <v>4088</v>
      </c>
    </row>
    <row r="2128" spans="1:1">
      <c r="A2128" s="142" t="s">
        <v>4089</v>
      </c>
    </row>
    <row r="2129" spans="1:1">
      <c r="A2129" s="142" t="s">
        <v>4090</v>
      </c>
    </row>
    <row r="2130" spans="1:1">
      <c r="A2130" s="142" t="s">
        <v>4091</v>
      </c>
    </row>
    <row r="2131" spans="1:1">
      <c r="A2131" s="142" t="s">
        <v>4092</v>
      </c>
    </row>
    <row r="2132" spans="1:1">
      <c r="A2132" s="142" t="s">
        <v>4093</v>
      </c>
    </row>
    <row r="2133" spans="1:1">
      <c r="A2133" s="142" t="s">
        <v>4094</v>
      </c>
    </row>
    <row r="2134" spans="1:1">
      <c r="A2134" s="142" t="s">
        <v>4095</v>
      </c>
    </row>
    <row r="2135" spans="1:1">
      <c r="A2135" s="142" t="s">
        <v>4096</v>
      </c>
    </row>
    <row r="2136" spans="1:1">
      <c r="A2136" s="142" t="s">
        <v>4097</v>
      </c>
    </row>
    <row r="2137" spans="1:1">
      <c r="A2137" s="142" t="s">
        <v>4098</v>
      </c>
    </row>
    <row r="2138" spans="1:1">
      <c r="A2138" s="142" t="s">
        <v>4099</v>
      </c>
    </row>
    <row r="2139" spans="1:1">
      <c r="A2139" s="142" t="s">
        <v>4100</v>
      </c>
    </row>
    <row r="2140" spans="1:1">
      <c r="A2140" s="142" t="s">
        <v>4101</v>
      </c>
    </row>
    <row r="2141" spans="1:1">
      <c r="A2141" s="142" t="s">
        <v>4102</v>
      </c>
    </row>
    <row r="2142" spans="1:1">
      <c r="A2142" s="142" t="s">
        <v>4103</v>
      </c>
    </row>
    <row r="2143" spans="1:1">
      <c r="A2143" s="142" t="s">
        <v>4104</v>
      </c>
    </row>
    <row r="2144" spans="1:1">
      <c r="A2144" s="142" t="s">
        <v>4105</v>
      </c>
    </row>
    <row r="2145" spans="1:1">
      <c r="A2145" s="142" t="s">
        <v>4106</v>
      </c>
    </row>
    <row r="2146" spans="1:1">
      <c r="A2146" s="142" t="s">
        <v>4107</v>
      </c>
    </row>
    <row r="2147" spans="1:1">
      <c r="A2147" s="142" t="s">
        <v>4108</v>
      </c>
    </row>
    <row r="2148" spans="1:1">
      <c r="A2148" s="142" t="s">
        <v>4109</v>
      </c>
    </row>
    <row r="2149" spans="1:1">
      <c r="A2149" s="142" t="s">
        <v>4110</v>
      </c>
    </row>
    <row r="2150" spans="1:1">
      <c r="A2150" s="142" t="s">
        <v>4111</v>
      </c>
    </row>
    <row r="2151" spans="1:1">
      <c r="A2151" s="142" t="s">
        <v>4112</v>
      </c>
    </row>
    <row r="2152" spans="1:1">
      <c r="A2152" s="142" t="s">
        <v>4113</v>
      </c>
    </row>
    <row r="2153" spans="1:1">
      <c r="A2153" s="142" t="s">
        <v>4114</v>
      </c>
    </row>
    <row r="2154" spans="1:1">
      <c r="A2154" s="142" t="s">
        <v>4115</v>
      </c>
    </row>
    <row r="2155" spans="1:1">
      <c r="A2155" s="142" t="s">
        <v>4116</v>
      </c>
    </row>
    <row r="2156" spans="1:1">
      <c r="A2156" s="142" t="s">
        <v>4117</v>
      </c>
    </row>
    <row r="2157" spans="1:1">
      <c r="A2157" s="142" t="s">
        <v>4118</v>
      </c>
    </row>
    <row r="2158" spans="1:1">
      <c r="A2158" s="142" t="s">
        <v>4119</v>
      </c>
    </row>
    <row r="2159" spans="1:1">
      <c r="A2159" s="142" t="s">
        <v>4120</v>
      </c>
    </row>
    <row r="2160" spans="1:1">
      <c r="A2160" s="142" t="s">
        <v>4121</v>
      </c>
    </row>
    <row r="2161" spans="1:1">
      <c r="A2161" s="142" t="s">
        <v>4122</v>
      </c>
    </row>
    <row r="2162" spans="1:1">
      <c r="A2162" s="142" t="s">
        <v>4123</v>
      </c>
    </row>
    <row r="2163" spans="1:1">
      <c r="A2163" s="142" t="s">
        <v>4124</v>
      </c>
    </row>
    <row r="2164" spans="1:1">
      <c r="A2164" s="142" t="s">
        <v>4125</v>
      </c>
    </row>
    <row r="2165" spans="1:1">
      <c r="A2165" s="142" t="s">
        <v>4126</v>
      </c>
    </row>
    <row r="2166" spans="1:1">
      <c r="A2166" s="142" t="s">
        <v>4127</v>
      </c>
    </row>
    <row r="2167" spans="1:1">
      <c r="A2167" s="142" t="s">
        <v>4128</v>
      </c>
    </row>
    <row r="2168" spans="1:1">
      <c r="A2168" s="142" t="s">
        <v>4129</v>
      </c>
    </row>
    <row r="2169" spans="1:1">
      <c r="A2169" s="142" t="s">
        <v>4130</v>
      </c>
    </row>
    <row r="2170" spans="1:1">
      <c r="A2170" s="142" t="s">
        <v>4131</v>
      </c>
    </row>
    <row r="2171" spans="1:1">
      <c r="A2171" s="142" t="s">
        <v>4132</v>
      </c>
    </row>
    <row r="2172" spans="1:1">
      <c r="A2172" s="142" t="s">
        <v>4133</v>
      </c>
    </row>
    <row r="2173" spans="1:1">
      <c r="A2173" s="142" t="s">
        <v>4134</v>
      </c>
    </row>
    <row r="2174" spans="1:1">
      <c r="A2174" s="142" t="s">
        <v>4135</v>
      </c>
    </row>
    <row r="2175" spans="1:1">
      <c r="A2175" s="142" t="s">
        <v>4136</v>
      </c>
    </row>
    <row r="2176" spans="1:1">
      <c r="A2176" s="142" t="s">
        <v>4137</v>
      </c>
    </row>
    <row r="2177" spans="1:1">
      <c r="A2177" s="142" t="s">
        <v>4138</v>
      </c>
    </row>
    <row r="2178" spans="1:1">
      <c r="A2178" s="142" t="s">
        <v>4139</v>
      </c>
    </row>
    <row r="2179" spans="1:1">
      <c r="A2179" s="142" t="s">
        <v>4140</v>
      </c>
    </row>
    <row r="2180" spans="1:1">
      <c r="A2180" s="142" t="s">
        <v>4141</v>
      </c>
    </row>
    <row r="2181" spans="1:1">
      <c r="A2181" s="142" t="s">
        <v>4142</v>
      </c>
    </row>
    <row r="2182" spans="1:1">
      <c r="A2182" s="142" t="s">
        <v>4143</v>
      </c>
    </row>
    <row r="2183" spans="1:1">
      <c r="A2183" s="142" t="s">
        <v>4144</v>
      </c>
    </row>
    <row r="2184" spans="1:1">
      <c r="A2184" s="142" t="s">
        <v>4145</v>
      </c>
    </row>
    <row r="2185" spans="1:1">
      <c r="A2185" s="142" t="s">
        <v>4146</v>
      </c>
    </row>
    <row r="2186" spans="1:1">
      <c r="A2186" s="142" t="s">
        <v>4147</v>
      </c>
    </row>
    <row r="2187" spans="1:1">
      <c r="A2187" s="142" t="s">
        <v>4148</v>
      </c>
    </row>
    <row r="2188" spans="1:1">
      <c r="A2188" s="142" t="s">
        <v>4149</v>
      </c>
    </row>
    <row r="2189" spans="1:1">
      <c r="A2189" s="142" t="s">
        <v>4150</v>
      </c>
    </row>
    <row r="2190" spans="1:1">
      <c r="A2190" s="142" t="s">
        <v>4151</v>
      </c>
    </row>
    <row r="2191" spans="1:1">
      <c r="A2191" s="142" t="s">
        <v>4152</v>
      </c>
    </row>
    <row r="2192" spans="1:1">
      <c r="A2192" s="142" t="s">
        <v>4153</v>
      </c>
    </row>
    <row r="2193" spans="1:1">
      <c r="A2193" s="142" t="s">
        <v>4154</v>
      </c>
    </row>
    <row r="2194" spans="1:1">
      <c r="A2194" s="142" t="s">
        <v>4155</v>
      </c>
    </row>
    <row r="2195" spans="1:1">
      <c r="A2195" s="142" t="s">
        <v>4156</v>
      </c>
    </row>
    <row r="2196" spans="1:1">
      <c r="A2196" s="142" t="s">
        <v>4157</v>
      </c>
    </row>
    <row r="2197" spans="1:1">
      <c r="A2197" s="142" t="s">
        <v>4158</v>
      </c>
    </row>
    <row r="2198" spans="1:1">
      <c r="A2198" s="142" t="s">
        <v>4159</v>
      </c>
    </row>
    <row r="2199" spans="1:1">
      <c r="A2199" s="142" t="s">
        <v>4160</v>
      </c>
    </row>
    <row r="2200" spans="1:1">
      <c r="A2200" s="142" t="s">
        <v>4161</v>
      </c>
    </row>
    <row r="2201" spans="1:1">
      <c r="A2201" s="142" t="s">
        <v>4162</v>
      </c>
    </row>
    <row r="2202" spans="1:1">
      <c r="A2202" s="142" t="s">
        <v>4163</v>
      </c>
    </row>
    <row r="2203" spans="1:1">
      <c r="A2203" s="142" t="s">
        <v>4164</v>
      </c>
    </row>
    <row r="2204" spans="1:1">
      <c r="A2204" s="142" t="s">
        <v>4165</v>
      </c>
    </row>
    <row r="2205" spans="1:1">
      <c r="A2205" s="142" t="s">
        <v>4166</v>
      </c>
    </row>
    <row r="2206" spans="1:1">
      <c r="A2206" s="142" t="s">
        <v>4167</v>
      </c>
    </row>
    <row r="2207" spans="1:1">
      <c r="A2207" s="142" t="s">
        <v>4168</v>
      </c>
    </row>
    <row r="2208" spans="1:1">
      <c r="A2208" s="142" t="s">
        <v>4169</v>
      </c>
    </row>
    <row r="2209" spans="1:1">
      <c r="A2209" s="142" t="s">
        <v>4170</v>
      </c>
    </row>
    <row r="2210" spans="1:1">
      <c r="A2210" s="142" t="s">
        <v>4171</v>
      </c>
    </row>
    <row r="2211" spans="1:1">
      <c r="A2211" s="142" t="s">
        <v>4172</v>
      </c>
    </row>
    <row r="2212" spans="1:1">
      <c r="A2212" s="142" t="s">
        <v>4173</v>
      </c>
    </row>
    <row r="2213" spans="1:1">
      <c r="A2213" s="142" t="s">
        <v>4174</v>
      </c>
    </row>
    <row r="2214" spans="1:1">
      <c r="A2214" s="142" t="s">
        <v>4175</v>
      </c>
    </row>
    <row r="2215" spans="1:1">
      <c r="A2215" s="142" t="s">
        <v>4176</v>
      </c>
    </row>
    <row r="2216" spans="1:1">
      <c r="A2216" s="142" t="s">
        <v>4177</v>
      </c>
    </row>
    <row r="2217" spans="1:1">
      <c r="A2217" s="142" t="s">
        <v>4178</v>
      </c>
    </row>
    <row r="2218" spans="1:1">
      <c r="A2218" s="142" t="s">
        <v>4179</v>
      </c>
    </row>
    <row r="2219" spans="1:1">
      <c r="A2219" s="142" t="s">
        <v>4180</v>
      </c>
    </row>
    <row r="2220" spans="1:1">
      <c r="A2220" s="142" t="s">
        <v>4181</v>
      </c>
    </row>
    <row r="2221" spans="1:1">
      <c r="A2221" s="142" t="s">
        <v>4182</v>
      </c>
    </row>
    <row r="2222" spans="1:1">
      <c r="A2222" s="142" t="s">
        <v>4183</v>
      </c>
    </row>
    <row r="2223" spans="1:1">
      <c r="A2223" s="142" t="s">
        <v>4184</v>
      </c>
    </row>
    <row r="2224" spans="1:1">
      <c r="A2224" s="142" t="s">
        <v>4185</v>
      </c>
    </row>
    <row r="2225" spans="1:1">
      <c r="A2225" s="142" t="s">
        <v>4186</v>
      </c>
    </row>
    <row r="2226" spans="1:1">
      <c r="A2226" s="142" t="s">
        <v>4187</v>
      </c>
    </row>
    <row r="2227" spans="1:1">
      <c r="A2227" s="142" t="s">
        <v>4188</v>
      </c>
    </row>
    <row r="2228" spans="1:1">
      <c r="A2228" s="142" t="s">
        <v>4189</v>
      </c>
    </row>
    <row r="2229" spans="1:1">
      <c r="A2229" s="142" t="s">
        <v>4190</v>
      </c>
    </row>
    <row r="2230" spans="1:1">
      <c r="A2230" s="142" t="s">
        <v>4191</v>
      </c>
    </row>
    <row r="2231" spans="1:1">
      <c r="A2231" s="142" t="s">
        <v>4192</v>
      </c>
    </row>
    <row r="2232" spans="1:1">
      <c r="A2232" s="142" t="s">
        <v>4193</v>
      </c>
    </row>
    <row r="2233" spans="1:1">
      <c r="A2233" s="142" t="s">
        <v>4194</v>
      </c>
    </row>
    <row r="2234" spans="1:1">
      <c r="A2234" s="142" t="s">
        <v>4195</v>
      </c>
    </row>
    <row r="2235" spans="1:1">
      <c r="A2235" s="142" t="s">
        <v>4196</v>
      </c>
    </row>
    <row r="2236" spans="1:1">
      <c r="A2236" s="142" t="s">
        <v>4197</v>
      </c>
    </row>
    <row r="2237" spans="1:1">
      <c r="A2237" s="142" t="s">
        <v>4198</v>
      </c>
    </row>
    <row r="2238" spans="1:1">
      <c r="A2238" s="142" t="s">
        <v>4199</v>
      </c>
    </row>
    <row r="2239" spans="1:1">
      <c r="A2239" s="142" t="s">
        <v>4200</v>
      </c>
    </row>
    <row r="2240" spans="1:1">
      <c r="A2240" s="142" t="s">
        <v>4201</v>
      </c>
    </row>
    <row r="2241" spans="1:1">
      <c r="A2241" s="142" t="s">
        <v>4202</v>
      </c>
    </row>
    <row r="2242" spans="1:1">
      <c r="A2242" s="142" t="s">
        <v>4203</v>
      </c>
    </row>
    <row r="2243" spans="1:1">
      <c r="A2243" s="142" t="s">
        <v>4204</v>
      </c>
    </row>
    <row r="2244" spans="1:1">
      <c r="A2244" s="142" t="s">
        <v>4205</v>
      </c>
    </row>
    <row r="2245" spans="1:1">
      <c r="A2245" s="142" t="s">
        <v>4206</v>
      </c>
    </row>
    <row r="2246" spans="1:1">
      <c r="A2246" s="142" t="s">
        <v>4207</v>
      </c>
    </row>
    <row r="2247" spans="1:1">
      <c r="A2247" s="142" t="s">
        <v>4208</v>
      </c>
    </row>
    <row r="2248" spans="1:1">
      <c r="A2248" s="142" t="s">
        <v>4209</v>
      </c>
    </row>
    <row r="2249" spans="1:1">
      <c r="A2249" s="142" t="s">
        <v>4210</v>
      </c>
    </row>
    <row r="2250" spans="1:1">
      <c r="A2250" s="142" t="s">
        <v>4211</v>
      </c>
    </row>
    <row r="2251" spans="1:1">
      <c r="A2251" s="142" t="s">
        <v>4212</v>
      </c>
    </row>
    <row r="2252" spans="1:1">
      <c r="A2252" s="142" t="s">
        <v>4213</v>
      </c>
    </row>
    <row r="2253" spans="1:1">
      <c r="A2253" s="142" t="s">
        <v>4214</v>
      </c>
    </row>
    <row r="2254" spans="1:1">
      <c r="A2254" s="142" t="s">
        <v>4215</v>
      </c>
    </row>
    <row r="2255" spans="1:1">
      <c r="A2255" s="142" t="s">
        <v>4216</v>
      </c>
    </row>
    <row r="2256" spans="1:1">
      <c r="A2256" s="142" t="s">
        <v>4217</v>
      </c>
    </row>
    <row r="2257" spans="1:1">
      <c r="A2257" s="142" t="s">
        <v>4218</v>
      </c>
    </row>
    <row r="2258" spans="1:1">
      <c r="A2258" s="142" t="s">
        <v>4219</v>
      </c>
    </row>
    <row r="2259" spans="1:1">
      <c r="A2259" s="142" t="s">
        <v>4220</v>
      </c>
    </row>
    <row r="2260" spans="1:1">
      <c r="A2260" s="142" t="s">
        <v>4221</v>
      </c>
    </row>
    <row r="2261" spans="1:1">
      <c r="A2261" s="142" t="s">
        <v>4222</v>
      </c>
    </row>
    <row r="2262" spans="1:1">
      <c r="A2262" s="142" t="s">
        <v>4223</v>
      </c>
    </row>
    <row r="2263" spans="1:1">
      <c r="A2263" s="142" t="s">
        <v>4224</v>
      </c>
    </row>
    <row r="2264" spans="1:1">
      <c r="A2264" s="142" t="s">
        <v>4225</v>
      </c>
    </row>
    <row r="2265" spans="1:1">
      <c r="A2265" s="142" t="s">
        <v>4226</v>
      </c>
    </row>
    <row r="2266" spans="1:1">
      <c r="A2266" s="142" t="s">
        <v>4227</v>
      </c>
    </row>
    <row r="2267" spans="1:1">
      <c r="A2267" s="142" t="s">
        <v>4228</v>
      </c>
    </row>
    <row r="2268" spans="1:1">
      <c r="A2268" s="142" t="s">
        <v>4229</v>
      </c>
    </row>
    <row r="2269" spans="1:1">
      <c r="A2269" s="142" t="s">
        <v>4230</v>
      </c>
    </row>
    <row r="2270" spans="1:1">
      <c r="A2270" s="142" t="s">
        <v>4231</v>
      </c>
    </row>
    <row r="2271" spans="1:1">
      <c r="A2271" s="142" t="s">
        <v>4232</v>
      </c>
    </row>
    <row r="2272" spans="1:1">
      <c r="A2272" s="142" t="s">
        <v>4233</v>
      </c>
    </row>
    <row r="2273" spans="1:1">
      <c r="A2273" s="142" t="s">
        <v>4234</v>
      </c>
    </row>
    <row r="2274" spans="1:1">
      <c r="A2274" s="142" t="s">
        <v>4235</v>
      </c>
    </row>
    <row r="2275" spans="1:1">
      <c r="A2275" s="142" t="s">
        <v>4236</v>
      </c>
    </row>
    <row r="2276" spans="1:1">
      <c r="A2276" s="142" t="s">
        <v>4237</v>
      </c>
    </row>
    <row r="2277" spans="1:1">
      <c r="A2277" s="142" t="s">
        <v>4238</v>
      </c>
    </row>
    <row r="2278" spans="1:1">
      <c r="A2278" s="142" t="s">
        <v>4239</v>
      </c>
    </row>
    <row r="2279" spans="1:1">
      <c r="A2279" s="142" t="s">
        <v>4240</v>
      </c>
    </row>
    <row r="2280" spans="1:1">
      <c r="A2280" s="142" t="s">
        <v>4241</v>
      </c>
    </row>
    <row r="2281" spans="1:1">
      <c r="A2281" s="142" t="s">
        <v>4242</v>
      </c>
    </row>
    <row r="2282" spans="1:1">
      <c r="A2282" s="142" t="s">
        <v>4243</v>
      </c>
    </row>
    <row r="2283" spans="1:1">
      <c r="A2283" s="142" t="s">
        <v>4244</v>
      </c>
    </row>
    <row r="2284" spans="1:1">
      <c r="A2284" s="142" t="s">
        <v>4245</v>
      </c>
    </row>
    <row r="2285" spans="1:1">
      <c r="A2285" s="142" t="s">
        <v>4246</v>
      </c>
    </row>
    <row r="2286" spans="1:1">
      <c r="A2286" s="142" t="s">
        <v>4247</v>
      </c>
    </row>
    <row r="2287" spans="1:1">
      <c r="A2287" s="142" t="s">
        <v>4248</v>
      </c>
    </row>
    <row r="2288" spans="1:1">
      <c r="A2288" s="142" t="s">
        <v>4249</v>
      </c>
    </row>
    <row r="2289" spans="1:1">
      <c r="A2289" s="142" t="s">
        <v>4250</v>
      </c>
    </row>
    <row r="2290" spans="1:1">
      <c r="A2290" s="142" t="s">
        <v>4251</v>
      </c>
    </row>
    <row r="2291" spans="1:1">
      <c r="A2291" s="142" t="s">
        <v>4252</v>
      </c>
    </row>
    <row r="2292" spans="1:1">
      <c r="A2292" s="142" t="s">
        <v>4253</v>
      </c>
    </row>
    <row r="2293" spans="1:1">
      <c r="A2293" s="142" t="s">
        <v>4254</v>
      </c>
    </row>
    <row r="2294" spans="1:1">
      <c r="A2294" s="142" t="s">
        <v>4255</v>
      </c>
    </row>
    <row r="2295" spans="1:1">
      <c r="A2295" s="142" t="s">
        <v>4256</v>
      </c>
    </row>
    <row r="2296" spans="1:1">
      <c r="A2296" s="142" t="s">
        <v>4257</v>
      </c>
    </row>
    <row r="2297" spans="1:1">
      <c r="A2297" s="142" t="s">
        <v>4258</v>
      </c>
    </row>
    <row r="2298" spans="1:1">
      <c r="A2298" s="142" t="s">
        <v>4259</v>
      </c>
    </row>
    <row r="2299" spans="1:1">
      <c r="A2299" s="142" t="s">
        <v>4260</v>
      </c>
    </row>
    <row r="2300" spans="1:1">
      <c r="A2300" s="142" t="s">
        <v>4261</v>
      </c>
    </row>
    <row r="2301" spans="1:1">
      <c r="A2301" s="142" t="s">
        <v>4262</v>
      </c>
    </row>
    <row r="2302" spans="1:1">
      <c r="A2302" s="142" t="s">
        <v>4263</v>
      </c>
    </row>
    <row r="2303" spans="1:1">
      <c r="A2303" s="142" t="s">
        <v>4264</v>
      </c>
    </row>
    <row r="2304" spans="1:1">
      <c r="A2304" s="142" t="s">
        <v>4265</v>
      </c>
    </row>
    <row r="2305" spans="1:1">
      <c r="A2305" s="142" t="s">
        <v>4266</v>
      </c>
    </row>
    <row r="2306" spans="1:1">
      <c r="A2306" s="142" t="s">
        <v>4267</v>
      </c>
    </row>
    <row r="2307" spans="1:1">
      <c r="A2307" s="142" t="s">
        <v>4268</v>
      </c>
    </row>
    <row r="2308" spans="1:1">
      <c r="A2308" s="142" t="s">
        <v>4269</v>
      </c>
    </row>
    <row r="2309" spans="1:1">
      <c r="A2309" s="142" t="s">
        <v>4270</v>
      </c>
    </row>
    <row r="2310" spans="1:1">
      <c r="A2310" s="142" t="s">
        <v>4271</v>
      </c>
    </row>
    <row r="2311" spans="1:1">
      <c r="A2311" s="142" t="s">
        <v>4272</v>
      </c>
    </row>
    <row r="2312" spans="1:1">
      <c r="A2312" s="142" t="s">
        <v>4273</v>
      </c>
    </row>
    <row r="2313" spans="1:1">
      <c r="A2313" s="142" t="s">
        <v>4274</v>
      </c>
    </row>
    <row r="2314" spans="1:1">
      <c r="A2314" s="142" t="s">
        <v>4275</v>
      </c>
    </row>
    <row r="2315" spans="1:1">
      <c r="A2315" s="142" t="s">
        <v>4276</v>
      </c>
    </row>
    <row r="2316" spans="1:1">
      <c r="A2316" s="142" t="s">
        <v>4277</v>
      </c>
    </row>
    <row r="2317" spans="1:1">
      <c r="A2317" s="142" t="s">
        <v>4278</v>
      </c>
    </row>
    <row r="2318" spans="1:1">
      <c r="A2318" s="142" t="s">
        <v>4279</v>
      </c>
    </row>
    <row r="2319" spans="1:1">
      <c r="A2319" s="142" t="s">
        <v>4280</v>
      </c>
    </row>
    <row r="2320" spans="1:1">
      <c r="A2320" s="142" t="s">
        <v>4281</v>
      </c>
    </row>
    <row r="2321" spans="1:1">
      <c r="A2321" s="142" t="s">
        <v>4282</v>
      </c>
    </row>
    <row r="2322" spans="1:1">
      <c r="A2322" s="142" t="s">
        <v>4283</v>
      </c>
    </row>
    <row r="2323" spans="1:1">
      <c r="A2323" s="142" t="s">
        <v>4284</v>
      </c>
    </row>
    <row r="2324" spans="1:1">
      <c r="A2324" s="142" t="s">
        <v>4285</v>
      </c>
    </row>
    <row r="2325" spans="1:1">
      <c r="A2325" s="142" t="s">
        <v>4286</v>
      </c>
    </row>
    <row r="2326" spans="1:1">
      <c r="A2326" s="142" t="s">
        <v>4287</v>
      </c>
    </row>
    <row r="2327" spans="1:1">
      <c r="A2327" s="142" t="s">
        <v>4288</v>
      </c>
    </row>
    <row r="2328" spans="1:1">
      <c r="A2328" s="142" t="s">
        <v>4289</v>
      </c>
    </row>
    <row r="2329" spans="1:1">
      <c r="A2329" s="142" t="s">
        <v>4290</v>
      </c>
    </row>
    <row r="2330" spans="1:1">
      <c r="A2330" s="142" t="s">
        <v>4291</v>
      </c>
    </row>
    <row r="2331" spans="1:1">
      <c r="A2331" s="142" t="s">
        <v>4292</v>
      </c>
    </row>
    <row r="2332" spans="1:1">
      <c r="A2332" s="142" t="s">
        <v>4293</v>
      </c>
    </row>
    <row r="2333" spans="1:1">
      <c r="A2333" s="142" t="s">
        <v>4294</v>
      </c>
    </row>
    <row r="2334" spans="1:1">
      <c r="A2334" s="142" t="s">
        <v>4295</v>
      </c>
    </row>
    <row r="2335" spans="1:1">
      <c r="A2335" s="142" t="s">
        <v>4296</v>
      </c>
    </row>
    <row r="2336" spans="1:1">
      <c r="A2336" s="142" t="s">
        <v>4297</v>
      </c>
    </row>
    <row r="2337" spans="1:1">
      <c r="A2337" s="142" t="s">
        <v>4298</v>
      </c>
    </row>
    <row r="2338" spans="1:1">
      <c r="A2338" s="142" t="s">
        <v>4299</v>
      </c>
    </row>
    <row r="2339" spans="1:1">
      <c r="A2339" s="142" t="s">
        <v>4300</v>
      </c>
    </row>
    <row r="2340" spans="1:1">
      <c r="A2340" s="142" t="s">
        <v>4301</v>
      </c>
    </row>
    <row r="2341" spans="1:1">
      <c r="A2341" s="142" t="s">
        <v>4302</v>
      </c>
    </row>
    <row r="2342" spans="1:1">
      <c r="A2342" s="142" t="s">
        <v>4303</v>
      </c>
    </row>
    <row r="2343" spans="1:1">
      <c r="A2343" s="142" t="s">
        <v>4304</v>
      </c>
    </row>
    <row r="2344" spans="1:1">
      <c r="A2344" s="142" t="s">
        <v>4305</v>
      </c>
    </row>
    <row r="2345" spans="1:1">
      <c r="A2345" s="142" t="s">
        <v>4306</v>
      </c>
    </row>
    <row r="2346" spans="1:1">
      <c r="A2346" s="142" t="s">
        <v>4307</v>
      </c>
    </row>
    <row r="2347" spans="1:1">
      <c r="A2347" s="142" t="s">
        <v>4308</v>
      </c>
    </row>
    <row r="2348" spans="1:1">
      <c r="A2348" s="142" t="s">
        <v>4309</v>
      </c>
    </row>
    <row r="2349" spans="1:1">
      <c r="A2349" s="142" t="s">
        <v>4310</v>
      </c>
    </row>
    <row r="2350" spans="1:1">
      <c r="A2350" s="142" t="s">
        <v>4311</v>
      </c>
    </row>
    <row r="2351" spans="1:1">
      <c r="A2351" s="142" t="s">
        <v>4312</v>
      </c>
    </row>
    <row r="2352" spans="1:1">
      <c r="A2352" s="142" t="s">
        <v>4313</v>
      </c>
    </row>
    <row r="2353" spans="1:1">
      <c r="A2353" s="142" t="s">
        <v>4314</v>
      </c>
    </row>
    <row r="2354" spans="1:1">
      <c r="A2354" s="142" t="s">
        <v>4315</v>
      </c>
    </row>
    <row r="2355" spans="1:1">
      <c r="A2355" s="142" t="s">
        <v>4316</v>
      </c>
    </row>
    <row r="2356" spans="1:1">
      <c r="A2356" s="142" t="s">
        <v>4317</v>
      </c>
    </row>
    <row r="2357" spans="1:1">
      <c r="A2357" s="142" t="s">
        <v>4318</v>
      </c>
    </row>
    <row r="2358" spans="1:1">
      <c r="A2358" s="142" t="s">
        <v>4319</v>
      </c>
    </row>
    <row r="2359" spans="1:1">
      <c r="A2359" s="142" t="s">
        <v>4320</v>
      </c>
    </row>
    <row r="2360" spans="1:1">
      <c r="A2360" s="142" t="s">
        <v>4321</v>
      </c>
    </row>
    <row r="2361" spans="1:1">
      <c r="A2361" s="142" t="s">
        <v>4322</v>
      </c>
    </row>
    <row r="2362" spans="1:1">
      <c r="A2362" s="142" t="s">
        <v>4323</v>
      </c>
    </row>
    <row r="2363" spans="1:1">
      <c r="A2363" s="142" t="s">
        <v>4324</v>
      </c>
    </row>
    <row r="2364" spans="1:1">
      <c r="A2364" s="142" t="s">
        <v>4325</v>
      </c>
    </row>
    <row r="2365" spans="1:1">
      <c r="A2365" s="142" t="s">
        <v>4326</v>
      </c>
    </row>
    <row r="2366" spans="1:1">
      <c r="A2366" s="142" t="s">
        <v>4327</v>
      </c>
    </row>
    <row r="2367" spans="1:1">
      <c r="A2367" s="142" t="s">
        <v>4328</v>
      </c>
    </row>
    <row r="2368" spans="1:1">
      <c r="A2368" s="142" t="s">
        <v>4329</v>
      </c>
    </row>
    <row r="2369" spans="1:1">
      <c r="A2369" s="142" t="s">
        <v>4330</v>
      </c>
    </row>
    <row r="2370" spans="1:1">
      <c r="A2370" s="142" t="s">
        <v>4331</v>
      </c>
    </row>
    <row r="2371" spans="1:1">
      <c r="A2371" s="142" t="s">
        <v>4332</v>
      </c>
    </row>
    <row r="2372" spans="1:1">
      <c r="A2372" s="142" t="s">
        <v>4333</v>
      </c>
    </row>
    <row r="2373" spans="1:1">
      <c r="A2373" s="142" t="s">
        <v>4334</v>
      </c>
    </row>
    <row r="2374" spans="1:1">
      <c r="A2374" s="142" t="s">
        <v>4335</v>
      </c>
    </row>
    <row r="2375" spans="1:1">
      <c r="A2375" s="142" t="s">
        <v>4336</v>
      </c>
    </row>
    <row r="2376" spans="1:1">
      <c r="A2376" s="142" t="s">
        <v>4337</v>
      </c>
    </row>
    <row r="2377" spans="1:1">
      <c r="A2377" s="142" t="s">
        <v>4338</v>
      </c>
    </row>
    <row r="2378" spans="1:1">
      <c r="A2378" s="142" t="s">
        <v>4339</v>
      </c>
    </row>
    <row r="2379" spans="1:1">
      <c r="A2379" s="142" t="s">
        <v>4340</v>
      </c>
    </row>
    <row r="2380" spans="1:1">
      <c r="A2380" s="142" t="s">
        <v>4341</v>
      </c>
    </row>
    <row r="2381" spans="1:1">
      <c r="A2381" s="142" t="s">
        <v>4342</v>
      </c>
    </row>
    <row r="2382" spans="1:1">
      <c r="A2382" s="142" t="s">
        <v>4343</v>
      </c>
    </row>
    <row r="2383" spans="1:1">
      <c r="A2383" s="142" t="s">
        <v>4344</v>
      </c>
    </row>
    <row r="2384" spans="1:1">
      <c r="A2384" s="142" t="s">
        <v>4345</v>
      </c>
    </row>
    <row r="2385" spans="1:1">
      <c r="A2385" s="142" t="s">
        <v>4346</v>
      </c>
    </row>
    <row r="2386" spans="1:1">
      <c r="A2386" s="142" t="s">
        <v>4347</v>
      </c>
    </row>
    <row r="2387" spans="1:1">
      <c r="A2387" s="142" t="s">
        <v>4348</v>
      </c>
    </row>
    <row r="2388" spans="1:1">
      <c r="A2388" s="142" t="s">
        <v>4349</v>
      </c>
    </row>
    <row r="2389" spans="1:1">
      <c r="A2389" s="142" t="s">
        <v>4350</v>
      </c>
    </row>
    <row r="2390" spans="1:1">
      <c r="A2390" s="142" t="s">
        <v>4351</v>
      </c>
    </row>
    <row r="2391" spans="1:1">
      <c r="A2391" s="142" t="s">
        <v>4352</v>
      </c>
    </row>
    <row r="2392" spans="1:1">
      <c r="A2392" s="142" t="s">
        <v>4353</v>
      </c>
    </row>
    <row r="2393" spans="1:1">
      <c r="A2393" s="142" t="s">
        <v>4354</v>
      </c>
    </row>
    <row r="2394" spans="1:1">
      <c r="A2394" s="142" t="s">
        <v>4355</v>
      </c>
    </row>
    <row r="2395" spans="1:1">
      <c r="A2395" s="142" t="s">
        <v>4356</v>
      </c>
    </row>
    <row r="2396" spans="1:1">
      <c r="A2396" s="142" t="s">
        <v>4357</v>
      </c>
    </row>
    <row r="2397" spans="1:1">
      <c r="A2397" s="142" t="s">
        <v>4358</v>
      </c>
    </row>
    <row r="2398" spans="1:1">
      <c r="A2398" s="142" t="s">
        <v>4359</v>
      </c>
    </row>
    <row r="2399" spans="1:1">
      <c r="A2399" s="142" t="s">
        <v>4360</v>
      </c>
    </row>
    <row r="2400" spans="1:1">
      <c r="A2400" s="142" t="s">
        <v>4361</v>
      </c>
    </row>
    <row r="2401" spans="1:1">
      <c r="A2401" s="142" t="s">
        <v>4362</v>
      </c>
    </row>
    <row r="2402" spans="1:1">
      <c r="A2402" s="142" t="s">
        <v>4363</v>
      </c>
    </row>
    <row r="2403" spans="1:1">
      <c r="A2403" s="142" t="s">
        <v>4364</v>
      </c>
    </row>
    <row r="2404" spans="1:1">
      <c r="A2404" s="142" t="s">
        <v>4365</v>
      </c>
    </row>
    <row r="2405" spans="1:1">
      <c r="A2405" s="142" t="s">
        <v>4366</v>
      </c>
    </row>
    <row r="2406" spans="1:1">
      <c r="A2406" s="142" t="s">
        <v>4367</v>
      </c>
    </row>
    <row r="2407" spans="1:1">
      <c r="A2407" s="142" t="s">
        <v>4368</v>
      </c>
    </row>
    <row r="2408" spans="1:1">
      <c r="A2408" s="142" t="s">
        <v>4369</v>
      </c>
    </row>
    <row r="2409" spans="1:1">
      <c r="A2409" s="142" t="s">
        <v>4370</v>
      </c>
    </row>
    <row r="2410" spans="1:1">
      <c r="A2410" s="142" t="s">
        <v>4371</v>
      </c>
    </row>
    <row r="2411" spans="1:1">
      <c r="A2411" s="142" t="s">
        <v>4372</v>
      </c>
    </row>
    <row r="2412" spans="1:1">
      <c r="A2412" s="142" t="s">
        <v>4373</v>
      </c>
    </row>
    <row r="2413" spans="1:1">
      <c r="A2413" s="142" t="s">
        <v>4374</v>
      </c>
    </row>
    <row r="2414" spans="1:1">
      <c r="A2414" s="142" t="s">
        <v>4375</v>
      </c>
    </row>
    <row r="2415" spans="1:1">
      <c r="A2415" s="142" t="s">
        <v>4376</v>
      </c>
    </row>
    <row r="2416" spans="1:1">
      <c r="A2416" s="142" t="s">
        <v>4377</v>
      </c>
    </row>
    <row r="2417" spans="1:1">
      <c r="A2417" s="142" t="s">
        <v>4378</v>
      </c>
    </row>
    <row r="2418" spans="1:1">
      <c r="A2418" s="142" t="s">
        <v>4379</v>
      </c>
    </row>
    <row r="2419" spans="1:1">
      <c r="A2419" s="142" t="s">
        <v>4380</v>
      </c>
    </row>
    <row r="2420" spans="1:1">
      <c r="A2420" s="142" t="s">
        <v>4381</v>
      </c>
    </row>
    <row r="2421" spans="1:1">
      <c r="A2421" s="142" t="s">
        <v>4382</v>
      </c>
    </row>
    <row r="2422" spans="1:1">
      <c r="A2422" s="142" t="s">
        <v>4383</v>
      </c>
    </row>
    <row r="2423" spans="1:1">
      <c r="A2423" s="142" t="s">
        <v>4384</v>
      </c>
    </row>
    <row r="2424" spans="1:1">
      <c r="A2424" s="142" t="s">
        <v>4385</v>
      </c>
    </row>
    <row r="2425" spans="1:1">
      <c r="A2425" s="142" t="s">
        <v>4386</v>
      </c>
    </row>
    <row r="2426" spans="1:1">
      <c r="A2426" s="142" t="s">
        <v>4387</v>
      </c>
    </row>
    <row r="2427" spans="1:1">
      <c r="A2427" s="142" t="s">
        <v>4388</v>
      </c>
    </row>
    <row r="2428" spans="1:1">
      <c r="A2428" s="142" t="s">
        <v>4389</v>
      </c>
    </row>
    <row r="2429" spans="1:1">
      <c r="A2429" s="142" t="s">
        <v>4390</v>
      </c>
    </row>
    <row r="2430" spans="1:1">
      <c r="A2430" s="142" t="s">
        <v>4391</v>
      </c>
    </row>
    <row r="2431" spans="1:1">
      <c r="A2431" s="142" t="s">
        <v>4392</v>
      </c>
    </row>
    <row r="2432" spans="1:1">
      <c r="A2432" s="142" t="s">
        <v>4393</v>
      </c>
    </row>
    <row r="2433" spans="1:1">
      <c r="A2433" s="142" t="s">
        <v>4394</v>
      </c>
    </row>
    <row r="2434" spans="1:1">
      <c r="A2434" s="142" t="s">
        <v>4395</v>
      </c>
    </row>
    <row r="2435" spans="1:1">
      <c r="A2435" s="142" t="s">
        <v>4396</v>
      </c>
    </row>
    <row r="2436" spans="1:1">
      <c r="A2436" s="142" t="s">
        <v>4397</v>
      </c>
    </row>
    <row r="2437" spans="1:1">
      <c r="A2437" s="142" t="s">
        <v>4398</v>
      </c>
    </row>
    <row r="2438" spans="1:1">
      <c r="A2438" s="142" t="s">
        <v>4399</v>
      </c>
    </row>
    <row r="2439" spans="1:1">
      <c r="A2439" s="142" t="s">
        <v>4400</v>
      </c>
    </row>
    <row r="2440" spans="1:1">
      <c r="A2440" s="142" t="s">
        <v>4401</v>
      </c>
    </row>
    <row r="2441" spans="1:1">
      <c r="A2441" s="142" t="s">
        <v>4402</v>
      </c>
    </row>
    <row r="2442" spans="1:1">
      <c r="A2442" s="142" t="s">
        <v>4403</v>
      </c>
    </row>
    <row r="2443" spans="1:1">
      <c r="A2443" s="142" t="s">
        <v>4404</v>
      </c>
    </row>
    <row r="2444" spans="1:1">
      <c r="A2444" s="142" t="s">
        <v>4405</v>
      </c>
    </row>
    <row r="2445" spans="1:1">
      <c r="A2445" s="142" t="s">
        <v>4406</v>
      </c>
    </row>
    <row r="2446" spans="1:1">
      <c r="A2446" s="142" t="s">
        <v>4407</v>
      </c>
    </row>
    <row r="2447" spans="1:1">
      <c r="A2447" s="142" t="s">
        <v>4408</v>
      </c>
    </row>
    <row r="2448" spans="1:1">
      <c r="A2448" s="142" t="s">
        <v>4409</v>
      </c>
    </row>
    <row r="2449" spans="1:1">
      <c r="A2449" s="142" t="s">
        <v>4410</v>
      </c>
    </row>
    <row r="2450" spans="1:1">
      <c r="A2450" s="142" t="s">
        <v>4411</v>
      </c>
    </row>
    <row r="2451" spans="1:1">
      <c r="A2451" s="142" t="s">
        <v>4412</v>
      </c>
    </row>
    <row r="2452" spans="1:1">
      <c r="A2452" s="142" t="s">
        <v>4413</v>
      </c>
    </row>
    <row r="2453" spans="1:1">
      <c r="A2453" s="142" t="s">
        <v>4414</v>
      </c>
    </row>
    <row r="2454" spans="1:1">
      <c r="A2454" s="142" t="s">
        <v>4415</v>
      </c>
    </row>
    <row r="2455" spans="1:1">
      <c r="A2455" s="142" t="s">
        <v>4416</v>
      </c>
    </row>
    <row r="2456" spans="1:1">
      <c r="A2456" s="142" t="s">
        <v>4417</v>
      </c>
    </row>
    <row r="2457" spans="1:1">
      <c r="A2457" s="142" t="s">
        <v>4418</v>
      </c>
    </row>
    <row r="2458" spans="1:1">
      <c r="A2458" s="142" t="s">
        <v>4419</v>
      </c>
    </row>
    <row r="2459" spans="1:1">
      <c r="A2459" s="142" t="s">
        <v>4420</v>
      </c>
    </row>
    <row r="2460" spans="1:1">
      <c r="A2460" s="142" t="s">
        <v>4421</v>
      </c>
    </row>
    <row r="2461" spans="1:1">
      <c r="A2461" s="142" t="s">
        <v>4422</v>
      </c>
    </row>
    <row r="2462" spans="1:1">
      <c r="A2462" s="142" t="s">
        <v>4423</v>
      </c>
    </row>
    <row r="2463" spans="1:1">
      <c r="A2463" s="142" t="s">
        <v>4424</v>
      </c>
    </row>
    <row r="2464" spans="1:1">
      <c r="A2464" s="142" t="s">
        <v>4425</v>
      </c>
    </row>
    <row r="2465" spans="1:1">
      <c r="A2465" s="142" t="s">
        <v>4426</v>
      </c>
    </row>
    <row r="2466" spans="1:1">
      <c r="A2466" s="142" t="s">
        <v>4427</v>
      </c>
    </row>
    <row r="2467" spans="1:1">
      <c r="A2467" s="142" t="s">
        <v>4428</v>
      </c>
    </row>
    <row r="2468" spans="1:1">
      <c r="A2468" s="142" t="s">
        <v>4429</v>
      </c>
    </row>
    <row r="2469" spans="1:1">
      <c r="A2469" s="142" t="s">
        <v>4430</v>
      </c>
    </row>
    <row r="2470" spans="1:1">
      <c r="A2470" s="142" t="s">
        <v>4431</v>
      </c>
    </row>
    <row r="2471" spans="1:1">
      <c r="A2471" s="142" t="s">
        <v>4432</v>
      </c>
    </row>
    <row r="2472" spans="1:1">
      <c r="A2472" s="142" t="s">
        <v>4433</v>
      </c>
    </row>
    <row r="2473" spans="1:1">
      <c r="A2473" s="142" t="s">
        <v>4434</v>
      </c>
    </row>
    <row r="2474" spans="1:1">
      <c r="A2474" s="142" t="s">
        <v>4435</v>
      </c>
    </row>
    <row r="2475" spans="1:1">
      <c r="A2475" s="142" t="s">
        <v>4436</v>
      </c>
    </row>
    <row r="2476" spans="1:1">
      <c r="A2476" s="142" t="s">
        <v>4437</v>
      </c>
    </row>
    <row r="2477" spans="1:1">
      <c r="A2477" s="142" t="s">
        <v>4438</v>
      </c>
    </row>
    <row r="2478" spans="1:1">
      <c r="A2478" s="142" t="s">
        <v>4439</v>
      </c>
    </row>
    <row r="2479" spans="1:1">
      <c r="A2479" s="142" t="s">
        <v>4440</v>
      </c>
    </row>
    <row r="2480" spans="1:1">
      <c r="A2480" s="142" t="s">
        <v>4441</v>
      </c>
    </row>
    <row r="2481" spans="1:1">
      <c r="A2481" s="142" t="s">
        <v>4442</v>
      </c>
    </row>
    <row r="2482" spans="1:1">
      <c r="A2482" s="142" t="s">
        <v>4443</v>
      </c>
    </row>
    <row r="2483" spans="1:1">
      <c r="A2483" s="142" t="s">
        <v>4444</v>
      </c>
    </row>
    <row r="2484" spans="1:1">
      <c r="A2484" s="142" t="s">
        <v>4445</v>
      </c>
    </row>
    <row r="2485" spans="1:1">
      <c r="A2485" s="142" t="s">
        <v>4446</v>
      </c>
    </row>
    <row r="2486" spans="1:1">
      <c r="A2486" s="142" t="s">
        <v>4447</v>
      </c>
    </row>
    <row r="2487" spans="1:1">
      <c r="A2487" s="142" t="s">
        <v>4448</v>
      </c>
    </row>
    <row r="2488" spans="1:1">
      <c r="A2488" s="142" t="s">
        <v>4449</v>
      </c>
    </row>
    <row r="2489" spans="1:1">
      <c r="A2489" s="142" t="s">
        <v>4450</v>
      </c>
    </row>
    <row r="2490" spans="1:1">
      <c r="A2490" s="142" t="s">
        <v>4451</v>
      </c>
    </row>
    <row r="2491" spans="1:1">
      <c r="A2491" s="142" t="s">
        <v>4452</v>
      </c>
    </row>
    <row r="2492" spans="1:1">
      <c r="A2492" s="142" t="s">
        <v>4453</v>
      </c>
    </row>
    <row r="2493" spans="1:1">
      <c r="A2493" s="142" t="s">
        <v>4454</v>
      </c>
    </row>
    <row r="2494" spans="1:1">
      <c r="A2494" s="142" t="s">
        <v>4455</v>
      </c>
    </row>
    <row r="2495" spans="1:1">
      <c r="A2495" s="142" t="s">
        <v>4456</v>
      </c>
    </row>
    <row r="2496" spans="1:1">
      <c r="A2496" s="142" t="s">
        <v>4457</v>
      </c>
    </row>
    <row r="2497" spans="1:1">
      <c r="A2497" s="142" t="s">
        <v>4458</v>
      </c>
    </row>
    <row r="2498" spans="1:1">
      <c r="A2498" s="142" t="s">
        <v>4459</v>
      </c>
    </row>
    <row r="2499" spans="1:1">
      <c r="A2499" s="142" t="s">
        <v>4460</v>
      </c>
    </row>
    <row r="2500" spans="1:1">
      <c r="A2500" s="142" t="s">
        <v>4461</v>
      </c>
    </row>
    <row r="2501" spans="1:1">
      <c r="A2501" s="142" t="s">
        <v>4462</v>
      </c>
    </row>
    <row r="2502" spans="1:1">
      <c r="A2502" s="142" t="s">
        <v>4463</v>
      </c>
    </row>
    <row r="2503" spans="1:1">
      <c r="A2503" s="142" t="s">
        <v>4464</v>
      </c>
    </row>
    <row r="2504" spans="1:1">
      <c r="A2504" s="142" t="s">
        <v>4465</v>
      </c>
    </row>
    <row r="2505" spans="1:1">
      <c r="A2505" s="142" t="s">
        <v>4466</v>
      </c>
    </row>
    <row r="2506" spans="1:1">
      <c r="A2506" s="142" t="s">
        <v>4467</v>
      </c>
    </row>
    <row r="2507" spans="1:1">
      <c r="A2507" s="142" t="s">
        <v>4468</v>
      </c>
    </row>
    <row r="2508" spans="1:1">
      <c r="A2508" s="142" t="s">
        <v>4469</v>
      </c>
    </row>
    <row r="2509" spans="1:1">
      <c r="A2509" s="142" t="s">
        <v>4470</v>
      </c>
    </row>
    <row r="2510" spans="1:1">
      <c r="A2510" s="142" t="s">
        <v>4471</v>
      </c>
    </row>
    <row r="2511" spans="1:1">
      <c r="A2511" s="142" t="s">
        <v>4472</v>
      </c>
    </row>
    <row r="2512" spans="1:1">
      <c r="A2512" s="142" t="s">
        <v>4473</v>
      </c>
    </row>
    <row r="2513" spans="1:1">
      <c r="A2513" s="142" t="s">
        <v>4474</v>
      </c>
    </row>
    <row r="2514" spans="1:1">
      <c r="A2514" s="142" t="s">
        <v>4475</v>
      </c>
    </row>
    <row r="2515" spans="1:1">
      <c r="A2515" s="142" t="s">
        <v>4476</v>
      </c>
    </row>
    <row r="2516" spans="1:1">
      <c r="A2516" s="142" t="s">
        <v>4477</v>
      </c>
    </row>
    <row r="2517" spans="1:1">
      <c r="A2517" s="142" t="s">
        <v>4478</v>
      </c>
    </row>
    <row r="2518" spans="1:1">
      <c r="A2518" s="142" t="s">
        <v>4479</v>
      </c>
    </row>
    <row r="2519" spans="1:1">
      <c r="A2519" s="142" t="s">
        <v>4480</v>
      </c>
    </row>
    <row r="2520" spans="1:1">
      <c r="A2520" s="142" t="s">
        <v>4481</v>
      </c>
    </row>
    <row r="2521" spans="1:1">
      <c r="A2521" s="142" t="s">
        <v>4482</v>
      </c>
    </row>
    <row r="2522" spans="1:1">
      <c r="A2522" s="142" t="s">
        <v>4483</v>
      </c>
    </row>
    <row r="2523" spans="1:1">
      <c r="A2523" s="142" t="s">
        <v>4484</v>
      </c>
    </row>
    <row r="2524" spans="1:1">
      <c r="A2524" s="142" t="s">
        <v>4485</v>
      </c>
    </row>
    <row r="2525" spans="1:1">
      <c r="A2525" s="142" t="s">
        <v>4486</v>
      </c>
    </row>
    <row r="2526" spans="1:1">
      <c r="A2526" s="142" t="s">
        <v>4487</v>
      </c>
    </row>
    <row r="2527" spans="1:1">
      <c r="A2527" s="142" t="s">
        <v>4488</v>
      </c>
    </row>
    <row r="2528" spans="1:1">
      <c r="A2528" s="142" t="s">
        <v>4489</v>
      </c>
    </row>
    <row r="2529" spans="1:1">
      <c r="A2529" s="142" t="s">
        <v>4490</v>
      </c>
    </row>
    <row r="2530" spans="1:1">
      <c r="A2530" s="142" t="s">
        <v>4491</v>
      </c>
    </row>
    <row r="2531" spans="1:1">
      <c r="A2531" s="142" t="s">
        <v>4492</v>
      </c>
    </row>
    <row r="2532" spans="1:1">
      <c r="A2532" s="142" t="s">
        <v>4493</v>
      </c>
    </row>
    <row r="2533" spans="1:1">
      <c r="A2533" s="142" t="s">
        <v>4494</v>
      </c>
    </row>
    <row r="2534" spans="1:1">
      <c r="A2534" s="142" t="s">
        <v>4495</v>
      </c>
    </row>
    <row r="2535" spans="1:1">
      <c r="A2535" s="142" t="s">
        <v>4496</v>
      </c>
    </row>
    <row r="2536" spans="1:1">
      <c r="A2536" s="142" t="s">
        <v>4497</v>
      </c>
    </row>
    <row r="2537" spans="1:1">
      <c r="A2537" s="142" t="s">
        <v>4498</v>
      </c>
    </row>
    <row r="2538" spans="1:1">
      <c r="A2538" s="142" t="s">
        <v>4499</v>
      </c>
    </row>
    <row r="2539" spans="1:1">
      <c r="A2539" s="142" t="s">
        <v>4500</v>
      </c>
    </row>
    <row r="2540" spans="1:1">
      <c r="A2540" s="142" t="s">
        <v>4501</v>
      </c>
    </row>
    <row r="2541" spans="1:1">
      <c r="A2541" s="142" t="s">
        <v>4502</v>
      </c>
    </row>
    <row r="2542" spans="1:1">
      <c r="A2542" s="142" t="s">
        <v>4503</v>
      </c>
    </row>
    <row r="2543" spans="1:1">
      <c r="A2543" s="142" t="s">
        <v>4504</v>
      </c>
    </row>
    <row r="2544" spans="1:1">
      <c r="A2544" s="142" t="s">
        <v>4505</v>
      </c>
    </row>
    <row r="2545" spans="1:1">
      <c r="A2545" s="142" t="s">
        <v>4506</v>
      </c>
    </row>
    <row r="2546" spans="1:1">
      <c r="A2546" s="142" t="s">
        <v>4507</v>
      </c>
    </row>
    <row r="2547" spans="1:1">
      <c r="A2547" s="142" t="s">
        <v>4508</v>
      </c>
    </row>
    <row r="2548" spans="1:1">
      <c r="A2548" s="142" t="s">
        <v>4509</v>
      </c>
    </row>
    <row r="2549" spans="1:1">
      <c r="A2549" s="142" t="s">
        <v>4510</v>
      </c>
    </row>
    <row r="2550" spans="1:1">
      <c r="A2550" s="142" t="s">
        <v>4511</v>
      </c>
    </row>
    <row r="2551" spans="1:1">
      <c r="A2551" s="142" t="s">
        <v>4512</v>
      </c>
    </row>
    <row r="2552" spans="1:1">
      <c r="A2552" s="142" t="s">
        <v>4513</v>
      </c>
    </row>
    <row r="2553" spans="1:1">
      <c r="A2553" s="142" t="s">
        <v>4514</v>
      </c>
    </row>
    <row r="2554" spans="1:1">
      <c r="A2554" s="142" t="s">
        <v>4515</v>
      </c>
    </row>
    <row r="2555" spans="1:1">
      <c r="A2555" s="142" t="s">
        <v>4516</v>
      </c>
    </row>
    <row r="2556" spans="1:1">
      <c r="A2556" s="142" t="s">
        <v>4517</v>
      </c>
    </row>
    <row r="2557" spans="1:1">
      <c r="A2557" s="142" t="s">
        <v>4518</v>
      </c>
    </row>
    <row r="2558" spans="1:1">
      <c r="A2558" s="142" t="s">
        <v>4519</v>
      </c>
    </row>
    <row r="2559" spans="1:1">
      <c r="A2559" s="142" t="s">
        <v>4520</v>
      </c>
    </row>
    <row r="2560" spans="1:1">
      <c r="A2560" s="142" t="s">
        <v>4521</v>
      </c>
    </row>
    <row r="2561" spans="1:1">
      <c r="A2561" s="142" t="s">
        <v>4522</v>
      </c>
    </row>
    <row r="2562" spans="1:1">
      <c r="A2562" s="142" t="s">
        <v>4523</v>
      </c>
    </row>
    <row r="2563" spans="1:1">
      <c r="A2563" s="142" t="s">
        <v>4524</v>
      </c>
    </row>
    <row r="2564" spans="1:1">
      <c r="A2564" s="142" t="s">
        <v>4525</v>
      </c>
    </row>
    <row r="2565" spans="1:1">
      <c r="A2565" s="142" t="s">
        <v>4526</v>
      </c>
    </row>
    <row r="2566" spans="1:1">
      <c r="A2566" s="142" t="s">
        <v>4527</v>
      </c>
    </row>
    <row r="2567" spans="1:1">
      <c r="A2567" s="142" t="s">
        <v>4528</v>
      </c>
    </row>
    <row r="2568" spans="1:1">
      <c r="A2568" s="142" t="s">
        <v>4529</v>
      </c>
    </row>
    <row r="2569" spans="1:1">
      <c r="A2569" s="142" t="s">
        <v>4530</v>
      </c>
    </row>
    <row r="2570" spans="1:1">
      <c r="A2570" s="142" t="s">
        <v>4531</v>
      </c>
    </row>
    <row r="2571" spans="1:1">
      <c r="A2571" s="142" t="s">
        <v>4532</v>
      </c>
    </row>
    <row r="2572" spans="1:1">
      <c r="A2572" s="142" t="s">
        <v>4533</v>
      </c>
    </row>
    <row r="2573" spans="1:1">
      <c r="A2573" s="142" t="s">
        <v>4534</v>
      </c>
    </row>
    <row r="2574" spans="1:1">
      <c r="A2574" s="142" t="s">
        <v>4535</v>
      </c>
    </row>
    <row r="2575" spans="1:1">
      <c r="A2575" s="142" t="s">
        <v>4536</v>
      </c>
    </row>
    <row r="2576" spans="1:1">
      <c r="A2576" s="142" t="s">
        <v>4537</v>
      </c>
    </row>
    <row r="2577" spans="1:1">
      <c r="A2577" s="142" t="s">
        <v>4538</v>
      </c>
    </row>
    <row r="2578" spans="1:1">
      <c r="A2578" s="142" t="s">
        <v>4539</v>
      </c>
    </row>
    <row r="2579" spans="1:1">
      <c r="A2579" s="142" t="s">
        <v>4540</v>
      </c>
    </row>
    <row r="2580" spans="1:1">
      <c r="A2580" s="142" t="s">
        <v>4541</v>
      </c>
    </row>
    <row r="2581" spans="1:1">
      <c r="A2581" s="142" t="s">
        <v>4542</v>
      </c>
    </row>
    <row r="2582" spans="1:1">
      <c r="A2582" s="142" t="s">
        <v>4543</v>
      </c>
    </row>
    <row r="2583" spans="1:1">
      <c r="A2583" s="142" t="s">
        <v>4544</v>
      </c>
    </row>
    <row r="2584" spans="1:1">
      <c r="A2584" s="142" t="s">
        <v>4545</v>
      </c>
    </row>
    <row r="2585" spans="1:1">
      <c r="A2585" s="142" t="s">
        <v>4546</v>
      </c>
    </row>
    <row r="2586" spans="1:1">
      <c r="A2586" s="142" t="s">
        <v>4547</v>
      </c>
    </row>
    <row r="2587" spans="1:1">
      <c r="A2587" s="142" t="s">
        <v>4548</v>
      </c>
    </row>
    <row r="2588" spans="1:1">
      <c r="A2588" s="142" t="s">
        <v>4549</v>
      </c>
    </row>
    <row r="2589" spans="1:1">
      <c r="A2589" s="142" t="s">
        <v>4550</v>
      </c>
    </row>
    <row r="2590" spans="1:1">
      <c r="A2590" s="142" t="s">
        <v>4551</v>
      </c>
    </row>
    <row r="2591" spans="1:1">
      <c r="A2591" s="142" t="s">
        <v>4552</v>
      </c>
    </row>
    <row r="2592" spans="1:1">
      <c r="A2592" s="142" t="s">
        <v>4553</v>
      </c>
    </row>
    <row r="2593" spans="1:1">
      <c r="A2593" s="142" t="s">
        <v>4554</v>
      </c>
    </row>
    <row r="2594" spans="1:1">
      <c r="A2594" s="142" t="s">
        <v>4555</v>
      </c>
    </row>
    <row r="2595" spans="1:1">
      <c r="A2595" s="142" t="s">
        <v>4556</v>
      </c>
    </row>
    <row r="2596" spans="1:1">
      <c r="A2596" s="142" t="s">
        <v>4557</v>
      </c>
    </row>
    <row r="2597" spans="1:1">
      <c r="A2597" s="142" t="s">
        <v>4558</v>
      </c>
    </row>
    <row r="2598" spans="1:1">
      <c r="A2598" s="142" t="s">
        <v>4559</v>
      </c>
    </row>
    <row r="2599" spans="1:1">
      <c r="A2599" s="142" t="s">
        <v>4560</v>
      </c>
    </row>
    <row r="2600" spans="1:1">
      <c r="A2600" s="142" t="s">
        <v>4561</v>
      </c>
    </row>
    <row r="2601" spans="1:1">
      <c r="A2601" s="142" t="s">
        <v>4562</v>
      </c>
    </row>
    <row r="2602" spans="1:1">
      <c r="A2602" s="142" t="s">
        <v>4563</v>
      </c>
    </row>
    <row r="2603" spans="1:1">
      <c r="A2603" s="142" t="s">
        <v>4564</v>
      </c>
    </row>
    <row r="2604" spans="1:1">
      <c r="A2604" s="142" t="s">
        <v>4565</v>
      </c>
    </row>
    <row r="2605" spans="1:1">
      <c r="A2605" s="142" t="s">
        <v>4566</v>
      </c>
    </row>
    <row r="2606" spans="1:1">
      <c r="A2606" s="142" t="s">
        <v>4567</v>
      </c>
    </row>
    <row r="2607" spans="1:1">
      <c r="A2607" s="142" t="s">
        <v>4568</v>
      </c>
    </row>
    <row r="2608" spans="1:1">
      <c r="A2608" s="142" t="s">
        <v>4569</v>
      </c>
    </row>
    <row r="2609" spans="1:1">
      <c r="A2609" s="142" t="s">
        <v>4570</v>
      </c>
    </row>
    <row r="2610" spans="1:1">
      <c r="A2610" s="142" t="s">
        <v>4571</v>
      </c>
    </row>
    <row r="2611" spans="1:1">
      <c r="A2611" s="142" t="s">
        <v>4572</v>
      </c>
    </row>
    <row r="2612" spans="1:1">
      <c r="A2612" s="142" t="s">
        <v>4573</v>
      </c>
    </row>
    <row r="2613" spans="1:1">
      <c r="A2613" s="142" t="s">
        <v>4574</v>
      </c>
    </row>
    <row r="2614" spans="1:1">
      <c r="A2614" s="142" t="s">
        <v>4575</v>
      </c>
    </row>
    <row r="2615" spans="1:1">
      <c r="A2615" s="142" t="s">
        <v>4576</v>
      </c>
    </row>
    <row r="2616" spans="1:1">
      <c r="A2616" s="142" t="s">
        <v>4577</v>
      </c>
    </row>
    <row r="2617" spans="1:1">
      <c r="A2617" s="142" t="s">
        <v>4578</v>
      </c>
    </row>
    <row r="2618" spans="1:1">
      <c r="A2618" s="142" t="s">
        <v>4579</v>
      </c>
    </row>
    <row r="2619" spans="1:1">
      <c r="A2619" s="142" t="s">
        <v>4580</v>
      </c>
    </row>
    <row r="2620" spans="1:1">
      <c r="A2620" s="142" t="s">
        <v>4581</v>
      </c>
    </row>
    <row r="2621" spans="1:1">
      <c r="A2621" s="142" t="s">
        <v>4582</v>
      </c>
    </row>
    <row r="2622" spans="1:1">
      <c r="A2622" s="142" t="s">
        <v>4583</v>
      </c>
    </row>
    <row r="2623" spans="1:1">
      <c r="A2623" s="142" t="s">
        <v>4584</v>
      </c>
    </row>
    <row r="2624" spans="1:1">
      <c r="A2624" s="142" t="s">
        <v>4585</v>
      </c>
    </row>
    <row r="2625" spans="1:1">
      <c r="A2625" s="142" t="s">
        <v>4586</v>
      </c>
    </row>
    <row r="2626" spans="1:1">
      <c r="A2626" s="142" t="s">
        <v>4587</v>
      </c>
    </row>
    <row r="2627" spans="1:1">
      <c r="A2627" s="142" t="s">
        <v>4588</v>
      </c>
    </row>
    <row r="2628" spans="1:1">
      <c r="A2628" s="142" t="s">
        <v>4589</v>
      </c>
    </row>
    <row r="2629" spans="1:1">
      <c r="A2629" s="142" t="s">
        <v>4590</v>
      </c>
    </row>
    <row r="2630" spans="1:1">
      <c r="A2630" s="142" t="s">
        <v>4591</v>
      </c>
    </row>
    <row r="2631" spans="1:1">
      <c r="A2631" s="142" t="s">
        <v>4592</v>
      </c>
    </row>
    <row r="2632" spans="1:1">
      <c r="A2632" s="142" t="s">
        <v>4593</v>
      </c>
    </row>
    <row r="2633" spans="1:1">
      <c r="A2633" s="142" t="s">
        <v>4594</v>
      </c>
    </row>
    <row r="2634" spans="1:1">
      <c r="A2634" s="142" t="s">
        <v>4595</v>
      </c>
    </row>
    <row r="2635" spans="1:1">
      <c r="A2635" s="142" t="s">
        <v>4596</v>
      </c>
    </row>
    <row r="2636" spans="1:1">
      <c r="A2636" s="142" t="s">
        <v>4597</v>
      </c>
    </row>
    <row r="2637" spans="1:1">
      <c r="A2637" s="142" t="s">
        <v>4598</v>
      </c>
    </row>
    <row r="2638" spans="1:1">
      <c r="A2638" s="142" t="s">
        <v>4599</v>
      </c>
    </row>
    <row r="2639" spans="1:1">
      <c r="A2639" s="142" t="s">
        <v>4600</v>
      </c>
    </row>
    <row r="2640" spans="1:1">
      <c r="A2640" s="142" t="s">
        <v>4601</v>
      </c>
    </row>
    <row r="2641" spans="1:1">
      <c r="A2641" s="142" t="s">
        <v>4602</v>
      </c>
    </row>
    <row r="2642" spans="1:1">
      <c r="A2642" s="142" t="s">
        <v>4603</v>
      </c>
    </row>
    <row r="2643" spans="1:1">
      <c r="A2643" s="142" t="s">
        <v>4604</v>
      </c>
    </row>
    <row r="2644" spans="1:1">
      <c r="A2644" s="142" t="s">
        <v>4605</v>
      </c>
    </row>
    <row r="2645" spans="1:1">
      <c r="A2645" s="142" t="s">
        <v>4606</v>
      </c>
    </row>
    <row r="2646" spans="1:1">
      <c r="A2646" s="142" t="s">
        <v>4607</v>
      </c>
    </row>
    <row r="2647" spans="1:1">
      <c r="A2647" s="142" t="s">
        <v>4608</v>
      </c>
    </row>
    <row r="2648" spans="1:1">
      <c r="A2648" s="142" t="s">
        <v>4609</v>
      </c>
    </row>
    <row r="2649" spans="1:1">
      <c r="A2649" s="142" t="s">
        <v>4610</v>
      </c>
    </row>
    <row r="2650" spans="1:1">
      <c r="A2650" s="142" t="s">
        <v>4611</v>
      </c>
    </row>
    <row r="2651" spans="1:1">
      <c r="A2651" s="142" t="s">
        <v>4612</v>
      </c>
    </row>
    <row r="2652" spans="1:1">
      <c r="A2652" s="142" t="s">
        <v>4613</v>
      </c>
    </row>
    <row r="2653" spans="1:1">
      <c r="A2653" s="142" t="s">
        <v>4614</v>
      </c>
    </row>
    <row r="2654" spans="1:1">
      <c r="A2654" s="142" t="s">
        <v>4615</v>
      </c>
    </row>
    <row r="2655" spans="1:1">
      <c r="A2655" s="142" t="s">
        <v>4616</v>
      </c>
    </row>
    <row r="2656" spans="1:1">
      <c r="A2656" s="142" t="s">
        <v>4617</v>
      </c>
    </row>
    <row r="2657" spans="1:1">
      <c r="A2657" s="142" t="s">
        <v>4618</v>
      </c>
    </row>
    <row r="2658" spans="1:1">
      <c r="A2658" s="142" t="s">
        <v>4619</v>
      </c>
    </row>
    <row r="2659" spans="1:1">
      <c r="A2659" s="142" t="s">
        <v>4620</v>
      </c>
    </row>
    <row r="2660" spans="1:1">
      <c r="A2660" s="142" t="s">
        <v>4621</v>
      </c>
    </row>
    <row r="2661" spans="1:1">
      <c r="A2661" s="142" t="s">
        <v>4622</v>
      </c>
    </row>
    <row r="2662" spans="1:1">
      <c r="A2662" s="142" t="s">
        <v>4623</v>
      </c>
    </row>
    <row r="2663" spans="1:1">
      <c r="A2663" s="142" t="s">
        <v>4624</v>
      </c>
    </row>
    <row r="2664" spans="1:1">
      <c r="A2664" s="142" t="s">
        <v>4625</v>
      </c>
    </row>
    <row r="2665" spans="1:1">
      <c r="A2665" s="142" t="s">
        <v>4626</v>
      </c>
    </row>
    <row r="2666" spans="1:1">
      <c r="A2666" s="142" t="s">
        <v>4627</v>
      </c>
    </row>
    <row r="2667" spans="1:1">
      <c r="A2667" s="142" t="s">
        <v>4628</v>
      </c>
    </row>
    <row r="2668" spans="1:1">
      <c r="A2668" s="142" t="s">
        <v>4629</v>
      </c>
    </row>
    <row r="2669" spans="1:1">
      <c r="A2669" s="142" t="s">
        <v>4630</v>
      </c>
    </row>
    <row r="2670" spans="1:1">
      <c r="A2670" s="142" t="s">
        <v>4631</v>
      </c>
    </row>
    <row r="2671" spans="1:1">
      <c r="A2671" s="142" t="s">
        <v>4632</v>
      </c>
    </row>
    <row r="2672" spans="1:1">
      <c r="A2672" s="142" t="s">
        <v>4633</v>
      </c>
    </row>
    <row r="2673" spans="1:1">
      <c r="A2673" s="142" t="s">
        <v>4634</v>
      </c>
    </row>
    <row r="2674" spans="1:1">
      <c r="A2674" s="142" t="s">
        <v>4635</v>
      </c>
    </row>
    <row r="2675" spans="1:1">
      <c r="A2675" s="142" t="s">
        <v>4636</v>
      </c>
    </row>
    <row r="2676" spans="1:1">
      <c r="A2676" s="142" t="s">
        <v>4637</v>
      </c>
    </row>
    <row r="2677" spans="1:1">
      <c r="A2677" s="142" t="s">
        <v>4638</v>
      </c>
    </row>
    <row r="2678" spans="1:1">
      <c r="A2678" s="142" t="s">
        <v>4639</v>
      </c>
    </row>
    <row r="2679" spans="1:1">
      <c r="A2679" s="142" t="s">
        <v>4640</v>
      </c>
    </row>
    <row r="2680" spans="1:1">
      <c r="A2680" s="142" t="s">
        <v>4641</v>
      </c>
    </row>
    <row r="2681" spans="1:1">
      <c r="A2681" s="142" t="s">
        <v>4642</v>
      </c>
    </row>
    <row r="2682" spans="1:1">
      <c r="A2682" s="142" t="s">
        <v>4643</v>
      </c>
    </row>
    <row r="2683" spans="1:1">
      <c r="A2683" s="142" t="s">
        <v>4644</v>
      </c>
    </row>
    <row r="2684" spans="1:1">
      <c r="A2684" s="142" t="s">
        <v>4645</v>
      </c>
    </row>
    <row r="2685" spans="1:1">
      <c r="A2685" s="142" t="s">
        <v>4646</v>
      </c>
    </row>
    <row r="2686" spans="1:1">
      <c r="A2686" s="142" t="s">
        <v>4647</v>
      </c>
    </row>
    <row r="2687" spans="1:1">
      <c r="A2687" s="142" t="s">
        <v>4648</v>
      </c>
    </row>
    <row r="2688" spans="1:1">
      <c r="A2688" s="142" t="s">
        <v>4649</v>
      </c>
    </row>
    <row r="2689" spans="1:1">
      <c r="A2689" s="142" t="s">
        <v>4650</v>
      </c>
    </row>
    <row r="2690" spans="1:1">
      <c r="A2690" s="142" t="s">
        <v>4651</v>
      </c>
    </row>
    <row r="2691" spans="1:1">
      <c r="A2691" s="142" t="s">
        <v>4652</v>
      </c>
    </row>
    <row r="2692" spans="1:1">
      <c r="A2692" s="142" t="s">
        <v>4653</v>
      </c>
    </row>
    <row r="2693" spans="1:1">
      <c r="A2693" s="142" t="s">
        <v>4654</v>
      </c>
    </row>
    <row r="2694" spans="1:1">
      <c r="A2694" s="142" t="s">
        <v>4655</v>
      </c>
    </row>
    <row r="2695" spans="1:1">
      <c r="A2695" s="142" t="s">
        <v>4656</v>
      </c>
    </row>
    <row r="2696" spans="1:1">
      <c r="A2696" s="142" t="s">
        <v>4657</v>
      </c>
    </row>
    <row r="2697" spans="1:1">
      <c r="A2697" s="142" t="s">
        <v>4658</v>
      </c>
    </row>
    <row r="2698" spans="1:1">
      <c r="A2698" s="142" t="s">
        <v>4659</v>
      </c>
    </row>
    <row r="2699" spans="1:1">
      <c r="A2699" s="142" t="s">
        <v>4660</v>
      </c>
    </row>
    <row r="2700" spans="1:1">
      <c r="A2700" s="142" t="s">
        <v>4661</v>
      </c>
    </row>
    <row r="2701" spans="1:1">
      <c r="A2701" s="142" t="s">
        <v>4662</v>
      </c>
    </row>
    <row r="2702" spans="1:1">
      <c r="A2702" s="142" t="s">
        <v>4663</v>
      </c>
    </row>
    <row r="2703" spans="1:1">
      <c r="A2703" s="142" t="s">
        <v>4664</v>
      </c>
    </row>
    <row r="2704" spans="1:1">
      <c r="A2704" s="142" t="s">
        <v>4665</v>
      </c>
    </row>
    <row r="2705" spans="1:1">
      <c r="A2705" s="142" t="s">
        <v>4666</v>
      </c>
    </row>
    <row r="2706" spans="1:1">
      <c r="A2706" s="142" t="s">
        <v>4667</v>
      </c>
    </row>
    <row r="2707" spans="1:1">
      <c r="A2707" s="142" t="s">
        <v>4668</v>
      </c>
    </row>
    <row r="2708" spans="1:1">
      <c r="A2708" s="142" t="s">
        <v>4669</v>
      </c>
    </row>
    <row r="2709" spans="1:1">
      <c r="A2709" s="142" t="s">
        <v>4670</v>
      </c>
    </row>
    <row r="2710" spans="1:1">
      <c r="A2710" s="142" t="s">
        <v>4671</v>
      </c>
    </row>
    <row r="2711" spans="1:1">
      <c r="A2711" s="142" t="s">
        <v>4672</v>
      </c>
    </row>
    <row r="2712" spans="1:1">
      <c r="A2712" s="142" t="s">
        <v>4673</v>
      </c>
    </row>
    <row r="2713" spans="1:1">
      <c r="A2713" s="142" t="s">
        <v>4674</v>
      </c>
    </row>
    <row r="2714" spans="1:1">
      <c r="A2714" s="142" t="s">
        <v>4675</v>
      </c>
    </row>
    <row r="2715" spans="1:1">
      <c r="A2715" s="142" t="s">
        <v>4676</v>
      </c>
    </row>
    <row r="2716" spans="1:1">
      <c r="A2716" s="142" t="s">
        <v>4677</v>
      </c>
    </row>
    <row r="2717" spans="1:1">
      <c r="A2717" s="142" t="s">
        <v>4678</v>
      </c>
    </row>
    <row r="2718" spans="1:1">
      <c r="A2718" s="142" t="s">
        <v>4679</v>
      </c>
    </row>
    <row r="2719" spans="1:1">
      <c r="A2719" s="142" t="s">
        <v>4680</v>
      </c>
    </row>
    <row r="2720" spans="1:1">
      <c r="A2720" s="142" t="s">
        <v>4681</v>
      </c>
    </row>
    <row r="2721" spans="1:1">
      <c r="A2721" s="142" t="s">
        <v>4682</v>
      </c>
    </row>
    <row r="2722" spans="1:1">
      <c r="A2722" s="142" t="s">
        <v>4683</v>
      </c>
    </row>
    <row r="2723" spans="1:1">
      <c r="A2723" s="142" t="s">
        <v>4684</v>
      </c>
    </row>
    <row r="2724" spans="1:1">
      <c r="A2724" s="142" t="s">
        <v>4685</v>
      </c>
    </row>
    <row r="2725" spans="1:1">
      <c r="A2725" s="142" t="s">
        <v>4686</v>
      </c>
    </row>
    <row r="2726" spans="1:1">
      <c r="A2726" s="142" t="s">
        <v>4687</v>
      </c>
    </row>
    <row r="2727" spans="1:1">
      <c r="A2727" s="142" t="s">
        <v>4688</v>
      </c>
    </row>
    <row r="2728" spans="1:1">
      <c r="A2728" s="142" t="s">
        <v>4689</v>
      </c>
    </row>
    <row r="2729" spans="1:1">
      <c r="A2729" s="142" t="s">
        <v>4690</v>
      </c>
    </row>
    <row r="2730" spans="1:1">
      <c r="A2730" s="142" t="s">
        <v>4691</v>
      </c>
    </row>
    <row r="2731" spans="1:1">
      <c r="A2731" s="142" t="s">
        <v>4692</v>
      </c>
    </row>
    <row r="2732" spans="1:1">
      <c r="A2732" s="142" t="s">
        <v>4693</v>
      </c>
    </row>
    <row r="2733" spans="1:1">
      <c r="A2733" s="142" t="s">
        <v>4694</v>
      </c>
    </row>
    <row r="2734" spans="1:1">
      <c r="A2734" s="142" t="s">
        <v>4695</v>
      </c>
    </row>
    <row r="2735" spans="1:1">
      <c r="A2735" s="142" t="s">
        <v>4696</v>
      </c>
    </row>
    <row r="2736" spans="1:1">
      <c r="A2736" s="142" t="s">
        <v>4697</v>
      </c>
    </row>
    <row r="2737" spans="1:1">
      <c r="A2737" s="142" t="s">
        <v>4698</v>
      </c>
    </row>
    <row r="2738" spans="1:1">
      <c r="A2738" s="142" t="s">
        <v>4699</v>
      </c>
    </row>
    <row r="2739" spans="1:1">
      <c r="A2739" s="142" t="s">
        <v>4700</v>
      </c>
    </row>
    <row r="2740" spans="1:1">
      <c r="A2740" s="142" t="s">
        <v>4701</v>
      </c>
    </row>
    <row r="2741" spans="1:1">
      <c r="A2741" s="142" t="s">
        <v>4702</v>
      </c>
    </row>
    <row r="2742" spans="1:1">
      <c r="A2742" s="142" t="s">
        <v>4703</v>
      </c>
    </row>
    <row r="2743" spans="1:1">
      <c r="A2743" s="142" t="s">
        <v>4704</v>
      </c>
    </row>
    <row r="2744" spans="1:1">
      <c r="A2744" s="142" t="s">
        <v>4705</v>
      </c>
    </row>
    <row r="2745" spans="1:1">
      <c r="A2745" s="142" t="s">
        <v>4706</v>
      </c>
    </row>
    <row r="2746" spans="1:1">
      <c r="A2746" s="142" t="s">
        <v>4707</v>
      </c>
    </row>
    <row r="2747" spans="1:1">
      <c r="A2747" s="142" t="s">
        <v>4708</v>
      </c>
    </row>
    <row r="2748" spans="1:1">
      <c r="A2748" s="142" t="s">
        <v>4709</v>
      </c>
    </row>
    <row r="2749" spans="1:1">
      <c r="A2749" s="142" t="s">
        <v>4710</v>
      </c>
    </row>
    <row r="2750" spans="1:1">
      <c r="A2750" s="142" t="s">
        <v>4711</v>
      </c>
    </row>
    <row r="2751" spans="1:1">
      <c r="A2751" s="142" t="s">
        <v>4712</v>
      </c>
    </row>
    <row r="2752" spans="1:1">
      <c r="A2752" s="142" t="s">
        <v>4713</v>
      </c>
    </row>
    <row r="2753" spans="1:1">
      <c r="A2753" s="142" t="s">
        <v>4714</v>
      </c>
    </row>
    <row r="2754" spans="1:1">
      <c r="A2754" s="142" t="s">
        <v>4715</v>
      </c>
    </row>
    <row r="2755" spans="1:1">
      <c r="A2755" s="142" t="s">
        <v>4716</v>
      </c>
    </row>
    <row r="2756" spans="1:1">
      <c r="A2756" s="142" t="s">
        <v>4717</v>
      </c>
    </row>
    <row r="2757" spans="1:1">
      <c r="A2757" s="142" t="s">
        <v>4718</v>
      </c>
    </row>
    <row r="2758" spans="1:1">
      <c r="A2758" s="142" t="s">
        <v>4719</v>
      </c>
    </row>
    <row r="2759" spans="1:1">
      <c r="A2759" s="142" t="s">
        <v>4720</v>
      </c>
    </row>
    <row r="2760" spans="1:1">
      <c r="A2760" s="142" t="s">
        <v>4721</v>
      </c>
    </row>
    <row r="2761" spans="1:1">
      <c r="A2761" s="142" t="s">
        <v>4722</v>
      </c>
    </row>
    <row r="2762" spans="1:1">
      <c r="A2762" s="142" t="s">
        <v>4723</v>
      </c>
    </row>
    <row r="2763" spans="1:1">
      <c r="A2763" s="142" t="s">
        <v>4724</v>
      </c>
    </row>
    <row r="2764" spans="1:1">
      <c r="A2764" s="142" t="s">
        <v>4725</v>
      </c>
    </row>
    <row r="2765" spans="1:1">
      <c r="A2765" s="142" t="s">
        <v>4726</v>
      </c>
    </row>
    <row r="2766" spans="1:1">
      <c r="A2766" s="142" t="s">
        <v>4727</v>
      </c>
    </row>
    <row r="2767" spans="1:1">
      <c r="A2767" s="142" t="s">
        <v>4728</v>
      </c>
    </row>
    <row r="2768" spans="1:1">
      <c r="A2768" s="142" t="s">
        <v>4729</v>
      </c>
    </row>
    <row r="2769" spans="1:1">
      <c r="A2769" s="142" t="s">
        <v>4730</v>
      </c>
    </row>
    <row r="2770" spans="1:1">
      <c r="A2770" s="142" t="s">
        <v>4731</v>
      </c>
    </row>
    <row r="2771" spans="1:1">
      <c r="A2771" s="142" t="s">
        <v>4732</v>
      </c>
    </row>
    <row r="2772" spans="1:1">
      <c r="A2772" s="142" t="s">
        <v>4733</v>
      </c>
    </row>
    <row r="2773" spans="1:1">
      <c r="A2773" s="142" t="s">
        <v>4734</v>
      </c>
    </row>
    <row r="2774" spans="1:1">
      <c r="A2774" s="142" t="s">
        <v>4735</v>
      </c>
    </row>
    <row r="2775" spans="1:1">
      <c r="A2775" s="142" t="s">
        <v>4736</v>
      </c>
    </row>
    <row r="2776" spans="1:1">
      <c r="A2776" s="142" t="s">
        <v>4737</v>
      </c>
    </row>
    <row r="2777" spans="1:1">
      <c r="A2777" s="142" t="s">
        <v>4738</v>
      </c>
    </row>
    <row r="2778" spans="1:1">
      <c r="A2778" s="142" t="s">
        <v>4739</v>
      </c>
    </row>
    <row r="2779" spans="1:1">
      <c r="A2779" s="142" t="s">
        <v>4740</v>
      </c>
    </row>
    <row r="2780" spans="1:1">
      <c r="A2780" s="142" t="s">
        <v>4741</v>
      </c>
    </row>
    <row r="2781" spans="1:1">
      <c r="A2781" s="142" t="s">
        <v>4742</v>
      </c>
    </row>
    <row r="2782" spans="1:1">
      <c r="A2782" s="142" t="s">
        <v>4743</v>
      </c>
    </row>
    <row r="2783" spans="1:1">
      <c r="A2783" s="142" t="s">
        <v>4744</v>
      </c>
    </row>
    <row r="2784" spans="1:1">
      <c r="A2784" s="142" t="s">
        <v>4745</v>
      </c>
    </row>
    <row r="2785" spans="1:1">
      <c r="A2785" s="142" t="s">
        <v>4746</v>
      </c>
    </row>
    <row r="2786" spans="1:1">
      <c r="A2786" s="142" t="s">
        <v>4747</v>
      </c>
    </row>
    <row r="2787" spans="1:1">
      <c r="A2787" s="142" t="s">
        <v>4748</v>
      </c>
    </row>
    <row r="2788" spans="1:1">
      <c r="A2788" s="142" t="s">
        <v>4749</v>
      </c>
    </row>
    <row r="2789" spans="1:1">
      <c r="A2789" s="142" t="s">
        <v>4750</v>
      </c>
    </row>
    <row r="2790" spans="1:1">
      <c r="A2790" s="142" t="s">
        <v>4751</v>
      </c>
    </row>
    <row r="2791" spans="1:1">
      <c r="A2791" s="142" t="s">
        <v>4752</v>
      </c>
    </row>
    <row r="2792" spans="1:1">
      <c r="A2792" s="142" t="s">
        <v>4753</v>
      </c>
    </row>
    <row r="2793" spans="1:1">
      <c r="A2793" s="142" t="s">
        <v>4754</v>
      </c>
    </row>
    <row r="2794" spans="1:1">
      <c r="A2794" s="142" t="s">
        <v>4755</v>
      </c>
    </row>
    <row r="2795" spans="1:1">
      <c r="A2795" s="142" t="s">
        <v>4756</v>
      </c>
    </row>
    <row r="2796" spans="1:1">
      <c r="A2796" s="142" t="s">
        <v>4757</v>
      </c>
    </row>
    <row r="2797" spans="1:1">
      <c r="A2797" s="142" t="s">
        <v>4758</v>
      </c>
    </row>
    <row r="2798" spans="1:1">
      <c r="A2798" s="142" t="s">
        <v>4759</v>
      </c>
    </row>
    <row r="2799" spans="1:1">
      <c r="A2799" s="142" t="s">
        <v>4760</v>
      </c>
    </row>
    <row r="2800" spans="1:1">
      <c r="A2800" s="142" t="s">
        <v>4761</v>
      </c>
    </row>
    <row r="2801" spans="1:1">
      <c r="A2801" s="142" t="s">
        <v>4762</v>
      </c>
    </row>
    <row r="2802" spans="1:1">
      <c r="A2802" s="142" t="s">
        <v>4763</v>
      </c>
    </row>
    <row r="2803" spans="1:1">
      <c r="A2803" s="142" t="s">
        <v>4764</v>
      </c>
    </row>
    <row r="2804" spans="1:1">
      <c r="A2804" s="142" t="s">
        <v>4765</v>
      </c>
    </row>
    <row r="2805" spans="1:1">
      <c r="A2805" s="142" t="s">
        <v>4766</v>
      </c>
    </row>
    <row r="2806" spans="1:1">
      <c r="A2806" s="142" t="s">
        <v>4767</v>
      </c>
    </row>
    <row r="2807" spans="1:1">
      <c r="A2807" s="142" t="s">
        <v>4768</v>
      </c>
    </row>
    <row r="2808" spans="1:1">
      <c r="A2808" s="142" t="s">
        <v>4769</v>
      </c>
    </row>
    <row r="2809" spans="1:1">
      <c r="A2809" s="142" t="s">
        <v>4770</v>
      </c>
    </row>
    <row r="2810" spans="1:1">
      <c r="A2810" s="142" t="s">
        <v>4771</v>
      </c>
    </row>
    <row r="2811" spans="1:1">
      <c r="A2811" s="142" t="s">
        <v>4772</v>
      </c>
    </row>
    <row r="2812" spans="1:1">
      <c r="A2812" s="142" t="s">
        <v>4773</v>
      </c>
    </row>
    <row r="2813" spans="1:1">
      <c r="A2813" s="142" t="s">
        <v>4774</v>
      </c>
    </row>
    <row r="2814" spans="1:1">
      <c r="A2814" s="142" t="s">
        <v>4775</v>
      </c>
    </row>
    <row r="2815" spans="1:1">
      <c r="A2815" s="142" t="s">
        <v>4776</v>
      </c>
    </row>
    <row r="2816" spans="1:1">
      <c r="A2816" s="142" t="s">
        <v>4777</v>
      </c>
    </row>
    <row r="2817" spans="1:1">
      <c r="A2817" s="142" t="s">
        <v>4778</v>
      </c>
    </row>
    <row r="2818" spans="1:1">
      <c r="A2818" s="142" t="s">
        <v>4779</v>
      </c>
    </row>
    <row r="2819" spans="1:1">
      <c r="A2819" s="142" t="s">
        <v>4780</v>
      </c>
    </row>
    <row r="2820" spans="1:1">
      <c r="A2820" s="142" t="s">
        <v>4781</v>
      </c>
    </row>
    <row r="2821" spans="1:1">
      <c r="A2821" s="142" t="s">
        <v>4782</v>
      </c>
    </row>
    <row r="2822" spans="1:1">
      <c r="A2822" s="142" t="s">
        <v>4783</v>
      </c>
    </row>
    <row r="2823" spans="1:1">
      <c r="A2823" s="142" t="s">
        <v>4784</v>
      </c>
    </row>
    <row r="2824" spans="1:1">
      <c r="A2824" s="142" t="s">
        <v>4785</v>
      </c>
    </row>
    <row r="2825" spans="1:1">
      <c r="A2825" s="142" t="s">
        <v>4786</v>
      </c>
    </row>
    <row r="2826" spans="1:1">
      <c r="A2826" s="142" t="s">
        <v>4787</v>
      </c>
    </row>
    <row r="2827" spans="1:1">
      <c r="A2827" s="142" t="s">
        <v>4788</v>
      </c>
    </row>
    <row r="2828" spans="1:1">
      <c r="A2828" s="142" t="s">
        <v>4789</v>
      </c>
    </row>
    <row r="2829" spans="1:1">
      <c r="A2829" s="142" t="s">
        <v>4790</v>
      </c>
    </row>
    <row r="2830" spans="1:1">
      <c r="A2830" s="142" t="s">
        <v>4791</v>
      </c>
    </row>
    <row r="2831" spans="1:1">
      <c r="A2831" s="142" t="s">
        <v>4792</v>
      </c>
    </row>
    <row r="2832" spans="1:1">
      <c r="A2832" s="142" t="s">
        <v>4793</v>
      </c>
    </row>
    <row r="2833" spans="1:1">
      <c r="A2833" s="142" t="s">
        <v>4794</v>
      </c>
    </row>
    <row r="2834" spans="1:1">
      <c r="A2834" s="142" t="s">
        <v>4795</v>
      </c>
    </row>
    <row r="2835" spans="1:1">
      <c r="A2835" s="142" t="s">
        <v>4796</v>
      </c>
    </row>
    <row r="2836" spans="1:1">
      <c r="A2836" s="142" t="s">
        <v>4797</v>
      </c>
    </row>
    <row r="2837" spans="1:1">
      <c r="A2837" s="142" t="s">
        <v>4798</v>
      </c>
    </row>
    <row r="2838" spans="1:1">
      <c r="A2838" s="142" t="s">
        <v>4799</v>
      </c>
    </row>
    <row r="2839" spans="1:1">
      <c r="A2839" s="142" t="s">
        <v>4800</v>
      </c>
    </row>
    <row r="2840" spans="1:1">
      <c r="A2840" s="142" t="s">
        <v>4801</v>
      </c>
    </row>
    <row r="2841" spans="1:1">
      <c r="A2841" s="142" t="s">
        <v>4802</v>
      </c>
    </row>
    <row r="2842" spans="1:1">
      <c r="A2842" s="142" t="s">
        <v>4803</v>
      </c>
    </row>
    <row r="2843" spans="1:1">
      <c r="A2843" s="142" t="s">
        <v>4804</v>
      </c>
    </row>
    <row r="2844" spans="1:1">
      <c r="A2844" s="142" t="s">
        <v>4805</v>
      </c>
    </row>
    <row r="2845" spans="1:1">
      <c r="A2845" s="142" t="s">
        <v>4806</v>
      </c>
    </row>
    <row r="2846" spans="1:1">
      <c r="A2846" s="142" t="s">
        <v>4807</v>
      </c>
    </row>
    <row r="2847" spans="1:1">
      <c r="A2847" s="142" t="s">
        <v>4808</v>
      </c>
    </row>
    <row r="2848" spans="1:1">
      <c r="A2848" s="142" t="s">
        <v>4809</v>
      </c>
    </row>
    <row r="2849" spans="1:1">
      <c r="A2849" s="142" t="s">
        <v>4810</v>
      </c>
    </row>
    <row r="2850" spans="1:1">
      <c r="A2850" s="142" t="s">
        <v>4811</v>
      </c>
    </row>
    <row r="2851" spans="1:1">
      <c r="A2851" s="142" t="s">
        <v>4812</v>
      </c>
    </row>
    <row r="2852" spans="1:1">
      <c r="A2852" s="142" t="s">
        <v>4813</v>
      </c>
    </row>
    <row r="2853" spans="1:1">
      <c r="A2853" s="142" t="s">
        <v>4814</v>
      </c>
    </row>
    <row r="2854" spans="1:1">
      <c r="A2854" s="142" t="s">
        <v>4815</v>
      </c>
    </row>
    <row r="2855" spans="1:1">
      <c r="A2855" s="142" t="s">
        <v>4816</v>
      </c>
    </row>
    <row r="2856" spans="1:1">
      <c r="A2856" s="142" t="s">
        <v>4817</v>
      </c>
    </row>
    <row r="2857" spans="1:1">
      <c r="A2857" s="142" t="s">
        <v>4818</v>
      </c>
    </row>
    <row r="2858" spans="1:1">
      <c r="A2858" s="142" t="s">
        <v>4819</v>
      </c>
    </row>
    <row r="2859" spans="1:1">
      <c r="A2859" s="142" t="s">
        <v>4820</v>
      </c>
    </row>
    <row r="2860" spans="1:1">
      <c r="A2860" s="142" t="s">
        <v>4821</v>
      </c>
    </row>
    <row r="2861" spans="1:1">
      <c r="A2861" s="142" t="s">
        <v>4822</v>
      </c>
    </row>
    <row r="2862" spans="1:1">
      <c r="A2862" s="142" t="s">
        <v>4823</v>
      </c>
    </row>
    <row r="2863" spans="1:1">
      <c r="A2863" s="142" t="s">
        <v>4824</v>
      </c>
    </row>
    <row r="2864" spans="1:1">
      <c r="A2864" s="142" t="s">
        <v>4825</v>
      </c>
    </row>
    <row r="2865" spans="1:1">
      <c r="A2865" s="142" t="s">
        <v>4826</v>
      </c>
    </row>
    <row r="2866" spans="1:1">
      <c r="A2866" s="142" t="s">
        <v>4827</v>
      </c>
    </row>
    <row r="2867" spans="1:1">
      <c r="A2867" s="142" t="s">
        <v>4828</v>
      </c>
    </row>
    <row r="2868" spans="1:1">
      <c r="A2868" s="142" t="s">
        <v>4829</v>
      </c>
    </row>
    <row r="2869" spans="1:1">
      <c r="A2869" s="142" t="s">
        <v>4830</v>
      </c>
    </row>
    <row r="2870" spans="1:1">
      <c r="A2870" s="142" t="s">
        <v>4831</v>
      </c>
    </row>
    <row r="2871" spans="1:1">
      <c r="A2871" s="142" t="s">
        <v>4832</v>
      </c>
    </row>
    <row r="2872" spans="1:1">
      <c r="A2872" s="142" t="s">
        <v>4833</v>
      </c>
    </row>
    <row r="2873" spans="1:1">
      <c r="A2873" s="142" t="s">
        <v>4834</v>
      </c>
    </row>
    <row r="2874" spans="1:1">
      <c r="A2874" s="142" t="s">
        <v>4835</v>
      </c>
    </row>
    <row r="2875" spans="1:1">
      <c r="A2875" s="142" t="s">
        <v>4836</v>
      </c>
    </row>
    <row r="2876" spans="1:1">
      <c r="A2876" s="142" t="s">
        <v>4837</v>
      </c>
    </row>
    <row r="2877" spans="1:1">
      <c r="A2877" s="142" t="s">
        <v>4838</v>
      </c>
    </row>
    <row r="2878" spans="1:1">
      <c r="A2878" s="142" t="s">
        <v>4839</v>
      </c>
    </row>
    <row r="2879" spans="1:1">
      <c r="A2879" s="142" t="s">
        <v>4840</v>
      </c>
    </row>
    <row r="2880" spans="1:1">
      <c r="A2880" s="142" t="s">
        <v>4841</v>
      </c>
    </row>
    <row r="2881" spans="1:1">
      <c r="A2881" s="142" t="s">
        <v>4842</v>
      </c>
    </row>
    <row r="2882" spans="1:1">
      <c r="A2882" s="142" t="s">
        <v>4843</v>
      </c>
    </row>
    <row r="2883" spans="1:1">
      <c r="A2883" s="142" t="s">
        <v>4844</v>
      </c>
    </row>
    <row r="2884" spans="1:1">
      <c r="A2884" s="142" t="s">
        <v>4845</v>
      </c>
    </row>
    <row r="2885" spans="1:1">
      <c r="A2885" s="142" t="s">
        <v>4846</v>
      </c>
    </row>
    <row r="2886" spans="1:1">
      <c r="A2886" s="142" t="s">
        <v>4847</v>
      </c>
    </row>
    <row r="2887" spans="1:1">
      <c r="A2887" s="142" t="s">
        <v>4848</v>
      </c>
    </row>
    <row r="2888" spans="1:1">
      <c r="A2888" s="142" t="s">
        <v>4849</v>
      </c>
    </row>
    <row r="2889" spans="1:1">
      <c r="A2889" s="142" t="s">
        <v>4850</v>
      </c>
    </row>
    <row r="2890" spans="1:1">
      <c r="A2890" s="142" t="s">
        <v>4851</v>
      </c>
    </row>
    <row r="2891" spans="1:1">
      <c r="A2891" s="142" t="s">
        <v>4852</v>
      </c>
    </row>
    <row r="2892" spans="1:1">
      <c r="A2892" s="142" t="s">
        <v>4853</v>
      </c>
    </row>
    <row r="2893" spans="1:1">
      <c r="A2893" s="142" t="s">
        <v>4854</v>
      </c>
    </row>
    <row r="2894" spans="1:1">
      <c r="A2894" s="142" t="s">
        <v>4855</v>
      </c>
    </row>
    <row r="2895" spans="1:1">
      <c r="A2895" s="142" t="s">
        <v>4856</v>
      </c>
    </row>
    <row r="2896" spans="1:1">
      <c r="A2896" s="142" t="s">
        <v>4857</v>
      </c>
    </row>
    <row r="2897" spans="1:1">
      <c r="A2897" s="142" t="s">
        <v>4858</v>
      </c>
    </row>
    <row r="2898" spans="1:1">
      <c r="A2898" s="142" t="s">
        <v>4859</v>
      </c>
    </row>
    <row r="2899" spans="1:1">
      <c r="A2899" s="142" t="s">
        <v>4860</v>
      </c>
    </row>
    <row r="2900" spans="1:1">
      <c r="A2900" s="142" t="s">
        <v>4861</v>
      </c>
    </row>
    <row r="2901" spans="1:1">
      <c r="A2901" s="142" t="s">
        <v>4862</v>
      </c>
    </row>
    <row r="2902" spans="1:1">
      <c r="A2902" s="142" t="s">
        <v>4863</v>
      </c>
    </row>
    <row r="2903" spans="1:1">
      <c r="A2903" s="142" t="s">
        <v>4864</v>
      </c>
    </row>
    <row r="2904" spans="1:1">
      <c r="A2904" s="142" t="s">
        <v>4865</v>
      </c>
    </row>
    <row r="2905" spans="1:1">
      <c r="A2905" s="142" t="s">
        <v>4866</v>
      </c>
    </row>
    <row r="2906" spans="1:1">
      <c r="A2906" s="142" t="s">
        <v>4867</v>
      </c>
    </row>
    <row r="2907" spans="1:1">
      <c r="A2907" s="142" t="s">
        <v>4868</v>
      </c>
    </row>
    <row r="2908" spans="1:1">
      <c r="A2908" s="142" t="s">
        <v>4869</v>
      </c>
    </row>
    <row r="2909" spans="1:1">
      <c r="A2909" s="142" t="s">
        <v>4870</v>
      </c>
    </row>
    <row r="2910" spans="1:1">
      <c r="A2910" s="142" t="s">
        <v>4871</v>
      </c>
    </row>
    <row r="2911" spans="1:1">
      <c r="A2911" s="142" t="s">
        <v>4872</v>
      </c>
    </row>
    <row r="2912" spans="1:1">
      <c r="A2912" s="142" t="s">
        <v>4873</v>
      </c>
    </row>
    <row r="2913" spans="1:1">
      <c r="A2913" s="142" t="s">
        <v>4874</v>
      </c>
    </row>
    <row r="2914" spans="1:1">
      <c r="A2914" s="142" t="s">
        <v>4875</v>
      </c>
    </row>
    <row r="2915" spans="1:1">
      <c r="A2915" s="142" t="s">
        <v>4876</v>
      </c>
    </row>
    <row r="2916" spans="1:1">
      <c r="A2916" s="142" t="s">
        <v>4877</v>
      </c>
    </row>
    <row r="2917" spans="1:1">
      <c r="A2917" s="142" t="s">
        <v>4878</v>
      </c>
    </row>
    <row r="2918" spans="1:1">
      <c r="A2918" s="142" t="s">
        <v>4879</v>
      </c>
    </row>
    <row r="2919" spans="1:1">
      <c r="A2919" s="142" t="s">
        <v>4880</v>
      </c>
    </row>
    <row r="2920" spans="1:1">
      <c r="A2920" s="142" t="s">
        <v>4881</v>
      </c>
    </row>
    <row r="2921" spans="1:1">
      <c r="A2921" s="142" t="s">
        <v>4882</v>
      </c>
    </row>
    <row r="2922" spans="1:1">
      <c r="A2922" s="142" t="s">
        <v>4883</v>
      </c>
    </row>
    <row r="2923" spans="1:1">
      <c r="A2923" s="142" t="s">
        <v>4884</v>
      </c>
    </row>
    <row r="2924" spans="1:1">
      <c r="A2924" s="142" t="s">
        <v>4885</v>
      </c>
    </row>
    <row r="2925" spans="1:1">
      <c r="A2925" s="142" t="s">
        <v>4886</v>
      </c>
    </row>
    <row r="2926" spans="1:1">
      <c r="A2926" s="142" t="s">
        <v>4887</v>
      </c>
    </row>
    <row r="2927" spans="1:1">
      <c r="A2927" s="142" t="s">
        <v>4888</v>
      </c>
    </row>
    <row r="2928" spans="1:1">
      <c r="A2928" s="142" t="s">
        <v>4889</v>
      </c>
    </row>
    <row r="2929" spans="1:1">
      <c r="A2929" s="142" t="s">
        <v>4890</v>
      </c>
    </row>
    <row r="2930" spans="1:1">
      <c r="A2930" s="142" t="s">
        <v>4891</v>
      </c>
    </row>
    <row r="2931" spans="1:1">
      <c r="A2931" s="142" t="s">
        <v>4892</v>
      </c>
    </row>
    <row r="2932" spans="1:1">
      <c r="A2932" s="142" t="s">
        <v>4893</v>
      </c>
    </row>
    <row r="2933" spans="1:1">
      <c r="A2933" s="142" t="s">
        <v>4894</v>
      </c>
    </row>
    <row r="2934" spans="1:1">
      <c r="A2934" s="142" t="s">
        <v>4895</v>
      </c>
    </row>
    <row r="2935" spans="1:1">
      <c r="A2935" s="142" t="s">
        <v>4896</v>
      </c>
    </row>
    <row r="2936" spans="1:1">
      <c r="A2936" s="142" t="s">
        <v>4897</v>
      </c>
    </row>
    <row r="2937" spans="1:1">
      <c r="A2937" s="142" t="s">
        <v>4898</v>
      </c>
    </row>
    <row r="2938" spans="1:1">
      <c r="A2938" s="142" t="s">
        <v>4899</v>
      </c>
    </row>
    <row r="2939" spans="1:1">
      <c r="A2939" s="142" t="s">
        <v>4900</v>
      </c>
    </row>
    <row r="2940" spans="1:1">
      <c r="A2940" s="142" t="s">
        <v>4901</v>
      </c>
    </row>
    <row r="2941" spans="1:1">
      <c r="A2941" s="142" t="s">
        <v>4902</v>
      </c>
    </row>
    <row r="2942" spans="1:1">
      <c r="A2942" s="142" t="s">
        <v>4903</v>
      </c>
    </row>
    <row r="2943" spans="1:1">
      <c r="A2943" s="142" t="s">
        <v>4904</v>
      </c>
    </row>
    <row r="2944" spans="1:1">
      <c r="A2944" s="142" t="s">
        <v>4905</v>
      </c>
    </row>
    <row r="2945" spans="1:1">
      <c r="A2945" s="142" t="s">
        <v>4906</v>
      </c>
    </row>
    <row r="2946" spans="1:1">
      <c r="A2946" s="142" t="s">
        <v>4907</v>
      </c>
    </row>
    <row r="2947" spans="1:1">
      <c r="A2947" s="142" t="s">
        <v>4908</v>
      </c>
    </row>
    <row r="2948" spans="1:1">
      <c r="A2948" s="142" t="s">
        <v>4909</v>
      </c>
    </row>
    <row r="2949" spans="1:1">
      <c r="A2949" s="142" t="s">
        <v>4910</v>
      </c>
    </row>
    <row r="2950" spans="1:1">
      <c r="A2950" s="142" t="s">
        <v>4911</v>
      </c>
    </row>
    <row r="2951" spans="1:1">
      <c r="A2951" s="142" t="s">
        <v>4912</v>
      </c>
    </row>
    <row r="2952" spans="1:1">
      <c r="A2952" s="142" t="s">
        <v>4913</v>
      </c>
    </row>
    <row r="2953" spans="1:1">
      <c r="A2953" s="142" t="s">
        <v>4914</v>
      </c>
    </row>
    <row r="2954" spans="1:1">
      <c r="A2954" s="142" t="s">
        <v>4915</v>
      </c>
    </row>
    <row r="2955" spans="1:1">
      <c r="A2955" s="142" t="s">
        <v>4916</v>
      </c>
    </row>
    <row r="2956" spans="1:1">
      <c r="A2956" s="142" t="s">
        <v>4917</v>
      </c>
    </row>
    <row r="2957" spans="1:1">
      <c r="A2957" s="142" t="s">
        <v>4918</v>
      </c>
    </row>
    <row r="2958" spans="1:1">
      <c r="A2958" s="142" t="s">
        <v>4919</v>
      </c>
    </row>
    <row r="2959" spans="1:1">
      <c r="A2959" s="142" t="s">
        <v>4920</v>
      </c>
    </row>
    <row r="2960" spans="1:1">
      <c r="A2960" s="142" t="s">
        <v>4921</v>
      </c>
    </row>
    <row r="2961" spans="1:1">
      <c r="A2961" s="142" t="s">
        <v>4922</v>
      </c>
    </row>
    <row r="2962" spans="1:1">
      <c r="A2962" s="142" t="s">
        <v>4923</v>
      </c>
    </row>
    <row r="2963" spans="1:1">
      <c r="A2963" s="142" t="s">
        <v>4924</v>
      </c>
    </row>
    <row r="2964" spans="1:1">
      <c r="A2964" s="142" t="s">
        <v>4925</v>
      </c>
    </row>
    <row r="2965" spans="1:1">
      <c r="A2965" s="142" t="s">
        <v>4926</v>
      </c>
    </row>
    <row r="2966" spans="1:1">
      <c r="A2966" s="142" t="s">
        <v>4927</v>
      </c>
    </row>
    <row r="2967" spans="1:1">
      <c r="A2967" s="142" t="s">
        <v>4928</v>
      </c>
    </row>
    <row r="2968" spans="1:1">
      <c r="A2968" s="142" t="s">
        <v>4929</v>
      </c>
    </row>
    <row r="2969" spans="1:1">
      <c r="A2969" s="142" t="s">
        <v>4930</v>
      </c>
    </row>
    <row r="2970" spans="1:1">
      <c r="A2970" s="142" t="s">
        <v>4931</v>
      </c>
    </row>
    <row r="2971" spans="1:1">
      <c r="A2971" s="142" t="s">
        <v>4932</v>
      </c>
    </row>
    <row r="2972" spans="1:1">
      <c r="A2972" s="142" t="s">
        <v>4933</v>
      </c>
    </row>
    <row r="2973" spans="1:1">
      <c r="A2973" s="142" t="s">
        <v>4934</v>
      </c>
    </row>
    <row r="2974" spans="1:1">
      <c r="A2974" s="142" t="s">
        <v>4935</v>
      </c>
    </row>
    <row r="2975" spans="1:1">
      <c r="A2975" s="142" t="s">
        <v>4936</v>
      </c>
    </row>
    <row r="2976" spans="1:1">
      <c r="A2976" s="142" t="s">
        <v>4937</v>
      </c>
    </row>
    <row r="2977" spans="1:1">
      <c r="A2977" s="142" t="s">
        <v>4938</v>
      </c>
    </row>
    <row r="2978" spans="1:1">
      <c r="A2978" s="142" t="s">
        <v>4939</v>
      </c>
    </row>
    <row r="2979" spans="1:1">
      <c r="A2979" s="142" t="s">
        <v>4940</v>
      </c>
    </row>
    <row r="2980" spans="1:1">
      <c r="A2980" s="142" t="s">
        <v>4941</v>
      </c>
    </row>
    <row r="2981" spans="1:1">
      <c r="A2981" s="142" t="s">
        <v>4942</v>
      </c>
    </row>
    <row r="2982" spans="1:1">
      <c r="A2982" s="142" t="s">
        <v>4943</v>
      </c>
    </row>
    <row r="2983" spans="1:1">
      <c r="A2983" s="142" t="s">
        <v>4944</v>
      </c>
    </row>
    <row r="2984" spans="1:1">
      <c r="A2984" s="142" t="s">
        <v>4945</v>
      </c>
    </row>
    <row r="2985" spans="1:1">
      <c r="A2985" s="142" t="s">
        <v>4946</v>
      </c>
    </row>
    <row r="2986" spans="1:1">
      <c r="A2986" s="142" t="s">
        <v>4947</v>
      </c>
    </row>
    <row r="2987" spans="1:1">
      <c r="A2987" s="142" t="s">
        <v>4948</v>
      </c>
    </row>
    <row r="2988" spans="1:1">
      <c r="A2988" s="142" t="s">
        <v>4949</v>
      </c>
    </row>
    <row r="2989" spans="1:1">
      <c r="A2989" s="142" t="s">
        <v>4950</v>
      </c>
    </row>
    <row r="2990" spans="1:1">
      <c r="A2990" s="142" t="s">
        <v>4951</v>
      </c>
    </row>
    <row r="2991" spans="1:1">
      <c r="A2991" s="142" t="s">
        <v>4952</v>
      </c>
    </row>
    <row r="2992" spans="1:1">
      <c r="A2992" s="142" t="s">
        <v>4953</v>
      </c>
    </row>
    <row r="2993" spans="1:1">
      <c r="A2993" s="142" t="s">
        <v>4954</v>
      </c>
    </row>
    <row r="2994" spans="1:1">
      <c r="A2994" s="142" t="s">
        <v>4955</v>
      </c>
    </row>
    <row r="2995" spans="1:1">
      <c r="A2995" s="142" t="s">
        <v>4956</v>
      </c>
    </row>
    <row r="2996" spans="1:1">
      <c r="A2996" s="142" t="s">
        <v>4957</v>
      </c>
    </row>
    <row r="2997" spans="1:1">
      <c r="A2997" s="142" t="s">
        <v>4958</v>
      </c>
    </row>
    <row r="2998" spans="1:1">
      <c r="A2998" s="142" t="s">
        <v>4959</v>
      </c>
    </row>
    <row r="2999" spans="1:1">
      <c r="A2999" s="142" t="s">
        <v>4960</v>
      </c>
    </row>
    <row r="3000" spans="1:1">
      <c r="A3000" s="142" t="s">
        <v>4961</v>
      </c>
    </row>
    <row r="3001" spans="1:1">
      <c r="A3001" s="142" t="s">
        <v>4962</v>
      </c>
    </row>
    <row r="3002" spans="1:1">
      <c r="A3002" s="142" t="s">
        <v>4963</v>
      </c>
    </row>
    <row r="3003" spans="1:1">
      <c r="A3003" s="142" t="s">
        <v>4964</v>
      </c>
    </row>
    <row r="3004" spans="1:1">
      <c r="A3004" s="142" t="s">
        <v>4965</v>
      </c>
    </row>
    <row r="3005" spans="1:1">
      <c r="A3005" s="142" t="s">
        <v>4966</v>
      </c>
    </row>
    <row r="3006" spans="1:1">
      <c r="A3006" s="142" t="s">
        <v>4967</v>
      </c>
    </row>
    <row r="3007" spans="1:1">
      <c r="A3007" s="142" t="s">
        <v>4968</v>
      </c>
    </row>
    <row r="3008" spans="1:1">
      <c r="A3008" s="142" t="s">
        <v>4969</v>
      </c>
    </row>
    <row r="3009" spans="1:1">
      <c r="A3009" s="142" t="s">
        <v>4970</v>
      </c>
    </row>
    <row r="3010" spans="1:1">
      <c r="A3010" s="142" t="s">
        <v>4971</v>
      </c>
    </row>
    <row r="3011" spans="1:1">
      <c r="A3011" s="142" t="s">
        <v>4972</v>
      </c>
    </row>
    <row r="3012" spans="1:1">
      <c r="A3012" s="142" t="s">
        <v>4973</v>
      </c>
    </row>
    <row r="3013" spans="1:1">
      <c r="A3013" s="142" t="s">
        <v>4974</v>
      </c>
    </row>
    <row r="3014" spans="1:1">
      <c r="A3014" s="142" t="s">
        <v>4975</v>
      </c>
    </row>
    <row r="3015" spans="1:1">
      <c r="A3015" s="142" t="s">
        <v>4976</v>
      </c>
    </row>
    <row r="3016" spans="1:1">
      <c r="A3016" s="142" t="s">
        <v>4977</v>
      </c>
    </row>
    <row r="3017" spans="1:1">
      <c r="A3017" s="142" t="s">
        <v>4978</v>
      </c>
    </row>
    <row r="3018" spans="1:1">
      <c r="A3018" s="142" t="s">
        <v>4979</v>
      </c>
    </row>
    <row r="3019" spans="1:1">
      <c r="A3019" s="142" t="s">
        <v>4980</v>
      </c>
    </row>
    <row r="3020" spans="1:1">
      <c r="A3020" s="142" t="s">
        <v>4981</v>
      </c>
    </row>
    <row r="3021" spans="1:1">
      <c r="A3021" s="142" t="s">
        <v>4982</v>
      </c>
    </row>
    <row r="3022" spans="1:1">
      <c r="A3022" s="142" t="s">
        <v>4983</v>
      </c>
    </row>
    <row r="3023" spans="1:1">
      <c r="A3023" s="142" t="s">
        <v>4984</v>
      </c>
    </row>
    <row r="3024" spans="1:1">
      <c r="A3024" s="142" t="s">
        <v>4985</v>
      </c>
    </row>
    <row r="3025" spans="1:1">
      <c r="A3025" s="142" t="s">
        <v>4986</v>
      </c>
    </row>
    <row r="3026" spans="1:1">
      <c r="A3026" s="142" t="s">
        <v>4987</v>
      </c>
    </row>
    <row r="3027" spans="1:1">
      <c r="A3027" s="142" t="s">
        <v>4988</v>
      </c>
    </row>
    <row r="3028" spans="1:1">
      <c r="A3028" s="142" t="s">
        <v>4989</v>
      </c>
    </row>
    <row r="3029" spans="1:1">
      <c r="A3029" s="142" t="s">
        <v>4990</v>
      </c>
    </row>
    <row r="3030" spans="1:1">
      <c r="A3030" s="142" t="s">
        <v>4991</v>
      </c>
    </row>
    <row r="3031" spans="1:1">
      <c r="A3031" s="142" t="s">
        <v>4992</v>
      </c>
    </row>
    <row r="3032" spans="1:1">
      <c r="A3032" s="142" t="s">
        <v>4993</v>
      </c>
    </row>
    <row r="3033" spans="1:1">
      <c r="A3033" s="142" t="s">
        <v>4994</v>
      </c>
    </row>
    <row r="3034" spans="1:1">
      <c r="A3034" s="142" t="s">
        <v>4995</v>
      </c>
    </row>
    <row r="3035" spans="1:1">
      <c r="A3035" s="142" t="s">
        <v>4996</v>
      </c>
    </row>
    <row r="3036" spans="1:1">
      <c r="A3036" s="142" t="s">
        <v>4997</v>
      </c>
    </row>
    <row r="3037" spans="1:1">
      <c r="A3037" s="142" t="s">
        <v>4998</v>
      </c>
    </row>
    <row r="3038" spans="1:1">
      <c r="A3038" s="142" t="s">
        <v>4999</v>
      </c>
    </row>
    <row r="3039" spans="1:1">
      <c r="A3039" s="142" t="s">
        <v>5000</v>
      </c>
    </row>
    <row r="3040" spans="1:1">
      <c r="A3040" s="142" t="s">
        <v>5001</v>
      </c>
    </row>
    <row r="3041" spans="1:1">
      <c r="A3041" s="142" t="s">
        <v>5002</v>
      </c>
    </row>
    <row r="3042" spans="1:1">
      <c r="A3042" s="142" t="s">
        <v>5003</v>
      </c>
    </row>
    <row r="3043" spans="1:1">
      <c r="A3043" s="142" t="s">
        <v>5004</v>
      </c>
    </row>
    <row r="3044" spans="1:1">
      <c r="A3044" s="142" t="s">
        <v>5005</v>
      </c>
    </row>
    <row r="3045" spans="1:1">
      <c r="A3045" s="142" t="s">
        <v>5006</v>
      </c>
    </row>
    <row r="3046" spans="1:1">
      <c r="A3046" s="142" t="s">
        <v>5007</v>
      </c>
    </row>
    <row r="3047" spans="1:1">
      <c r="A3047" s="142" t="s">
        <v>5008</v>
      </c>
    </row>
    <row r="3048" spans="1:1">
      <c r="A3048" s="142" t="s">
        <v>5009</v>
      </c>
    </row>
    <row r="3049" spans="1:1">
      <c r="A3049" s="142" t="s">
        <v>5010</v>
      </c>
    </row>
    <row r="3050" spans="1:1">
      <c r="A3050" s="142" t="s">
        <v>5011</v>
      </c>
    </row>
    <row r="3051" spans="1:1">
      <c r="A3051" s="142" t="s">
        <v>5012</v>
      </c>
    </row>
    <row r="3052" spans="1:1">
      <c r="A3052" s="142" t="s">
        <v>5013</v>
      </c>
    </row>
    <row r="3053" spans="1:1">
      <c r="A3053" s="142" t="s">
        <v>5014</v>
      </c>
    </row>
    <row r="3054" spans="1:1">
      <c r="A3054" s="142" t="s">
        <v>5015</v>
      </c>
    </row>
    <row r="3055" spans="1:1">
      <c r="A3055" s="142" t="s">
        <v>5016</v>
      </c>
    </row>
    <row r="3056" spans="1:1">
      <c r="A3056" s="142" t="s">
        <v>5017</v>
      </c>
    </row>
    <row r="3057" spans="1:1">
      <c r="A3057" s="142" t="s">
        <v>5018</v>
      </c>
    </row>
    <row r="3058" spans="1:1">
      <c r="A3058" s="142" t="s">
        <v>5019</v>
      </c>
    </row>
    <row r="3059" spans="1:1">
      <c r="A3059" s="142" t="s">
        <v>5020</v>
      </c>
    </row>
    <row r="3060" spans="1:1">
      <c r="A3060" s="142" t="s">
        <v>5021</v>
      </c>
    </row>
    <row r="3061" spans="1:1">
      <c r="A3061" s="142" t="s">
        <v>5022</v>
      </c>
    </row>
    <row r="3062" spans="1:1">
      <c r="A3062" s="142" t="s">
        <v>5023</v>
      </c>
    </row>
    <row r="3063" spans="1:1">
      <c r="A3063" s="142" t="s">
        <v>5024</v>
      </c>
    </row>
    <row r="3064" spans="1:1">
      <c r="A3064" s="142" t="s">
        <v>5025</v>
      </c>
    </row>
    <row r="3065" spans="1:1">
      <c r="A3065" s="142" t="s">
        <v>5026</v>
      </c>
    </row>
    <row r="3066" spans="1:1">
      <c r="A3066" s="142" t="s">
        <v>5027</v>
      </c>
    </row>
    <row r="3067" spans="1:1">
      <c r="A3067" s="142" t="s">
        <v>5028</v>
      </c>
    </row>
    <row r="3068" spans="1:1">
      <c r="A3068" s="142" t="s">
        <v>5029</v>
      </c>
    </row>
    <row r="3069" spans="1:1">
      <c r="A3069" s="142" t="s">
        <v>5030</v>
      </c>
    </row>
    <row r="3070" spans="1:1">
      <c r="A3070" s="142" t="s">
        <v>5031</v>
      </c>
    </row>
    <row r="3071" spans="1:1">
      <c r="A3071" s="142" t="s">
        <v>5032</v>
      </c>
    </row>
    <row r="3072" spans="1:1">
      <c r="A3072" s="142" t="s">
        <v>5033</v>
      </c>
    </row>
    <row r="3073" spans="1:1">
      <c r="A3073" s="142" t="s">
        <v>5034</v>
      </c>
    </row>
    <row r="3074" spans="1:1">
      <c r="A3074" s="142" t="s">
        <v>5035</v>
      </c>
    </row>
    <row r="3075" spans="1:1">
      <c r="A3075" s="142" t="s">
        <v>5036</v>
      </c>
    </row>
    <row r="3076" spans="1:1">
      <c r="A3076" s="142" t="s">
        <v>5037</v>
      </c>
    </row>
    <row r="3077" spans="1:1">
      <c r="A3077" s="142" t="s">
        <v>5038</v>
      </c>
    </row>
    <row r="3078" spans="1:1">
      <c r="A3078" s="142" t="s">
        <v>5039</v>
      </c>
    </row>
    <row r="3079" spans="1:1">
      <c r="A3079" s="142" t="s">
        <v>5040</v>
      </c>
    </row>
    <row r="3080" spans="1:1">
      <c r="A3080" s="142" t="s">
        <v>5041</v>
      </c>
    </row>
    <row r="3081" spans="1:1">
      <c r="A3081" s="142" t="s">
        <v>5042</v>
      </c>
    </row>
    <row r="3082" spans="1:1">
      <c r="A3082" s="142" t="s">
        <v>5043</v>
      </c>
    </row>
    <row r="3083" spans="1:1">
      <c r="A3083" s="142" t="s">
        <v>5044</v>
      </c>
    </row>
    <row r="3084" spans="1:1">
      <c r="A3084" s="142" t="s">
        <v>5045</v>
      </c>
    </row>
    <row r="3085" spans="1:1">
      <c r="A3085" s="142" t="s">
        <v>5046</v>
      </c>
    </row>
    <row r="3086" spans="1:1">
      <c r="A3086" s="142" t="s">
        <v>5047</v>
      </c>
    </row>
    <row r="3087" spans="1:1">
      <c r="A3087" s="142" t="s">
        <v>5048</v>
      </c>
    </row>
    <row r="3088" spans="1:1">
      <c r="A3088" s="142" t="s">
        <v>5049</v>
      </c>
    </row>
    <row r="3089" spans="1:1">
      <c r="A3089" s="142" t="s">
        <v>5050</v>
      </c>
    </row>
    <row r="3090" spans="1:1">
      <c r="A3090" s="142" t="s">
        <v>5051</v>
      </c>
    </row>
    <row r="3091" spans="1:1">
      <c r="A3091" s="142" t="s">
        <v>5052</v>
      </c>
    </row>
    <row r="3092" spans="1:1">
      <c r="A3092" s="142" t="s">
        <v>5053</v>
      </c>
    </row>
    <row r="3093" spans="1:1">
      <c r="A3093" s="142" t="s">
        <v>5054</v>
      </c>
    </row>
    <row r="3094" spans="1:1">
      <c r="A3094" s="142" t="s">
        <v>5055</v>
      </c>
    </row>
    <row r="3095" spans="1:1">
      <c r="A3095" s="142" t="s">
        <v>5056</v>
      </c>
    </row>
    <row r="3096" spans="1:1">
      <c r="A3096" s="142" t="s">
        <v>5057</v>
      </c>
    </row>
    <row r="3097" spans="1:1">
      <c r="A3097" s="142" t="s">
        <v>5058</v>
      </c>
    </row>
    <row r="3098" spans="1:1">
      <c r="A3098" s="142" t="s">
        <v>5059</v>
      </c>
    </row>
    <row r="3099" spans="1:1">
      <c r="A3099" s="142" t="s">
        <v>5060</v>
      </c>
    </row>
    <row r="3100" spans="1:1">
      <c r="A3100" s="142" t="s">
        <v>5061</v>
      </c>
    </row>
    <row r="3101" spans="1:1">
      <c r="A3101" s="142" t="s">
        <v>5062</v>
      </c>
    </row>
    <row r="3102" spans="1:1">
      <c r="A3102" s="142" t="s">
        <v>5063</v>
      </c>
    </row>
    <row r="3103" spans="1:1">
      <c r="A3103" s="142" t="s">
        <v>5064</v>
      </c>
    </row>
    <row r="3104" spans="1:1">
      <c r="A3104" s="142" t="s">
        <v>5065</v>
      </c>
    </row>
    <row r="3105" spans="1:1">
      <c r="A3105" s="142" t="s">
        <v>5066</v>
      </c>
    </row>
    <row r="3106" spans="1:1">
      <c r="A3106" s="142" t="s">
        <v>5067</v>
      </c>
    </row>
    <row r="3107" spans="1:1">
      <c r="A3107" s="142" t="s">
        <v>5068</v>
      </c>
    </row>
    <row r="3108" spans="1:1">
      <c r="A3108" s="142" t="s">
        <v>5069</v>
      </c>
    </row>
    <row r="3109" spans="1:1">
      <c r="A3109" s="142" t="s">
        <v>5070</v>
      </c>
    </row>
    <row r="3110" spans="1:1">
      <c r="A3110" s="142" t="s">
        <v>5071</v>
      </c>
    </row>
    <row r="3111" spans="1:1">
      <c r="A3111" s="142" t="s">
        <v>5072</v>
      </c>
    </row>
    <row r="3112" spans="1:1">
      <c r="A3112" s="142" t="s">
        <v>5073</v>
      </c>
    </row>
    <row r="3113" spans="1:1">
      <c r="A3113" s="142" t="s">
        <v>5074</v>
      </c>
    </row>
    <row r="3114" spans="1:1">
      <c r="A3114" s="142" t="s">
        <v>5075</v>
      </c>
    </row>
    <row r="3115" spans="1:1">
      <c r="A3115" s="142" t="s">
        <v>5076</v>
      </c>
    </row>
    <row r="3116" spans="1:1">
      <c r="A3116" s="142" t="s">
        <v>5077</v>
      </c>
    </row>
    <row r="3117" spans="1:1">
      <c r="A3117" s="142" t="s">
        <v>5078</v>
      </c>
    </row>
    <row r="3118" spans="1:1">
      <c r="A3118" s="142" t="s">
        <v>5079</v>
      </c>
    </row>
    <row r="3119" spans="1:1">
      <c r="A3119" s="142" t="s">
        <v>5080</v>
      </c>
    </row>
    <row r="3120" spans="1:1">
      <c r="A3120" s="142" t="s">
        <v>5081</v>
      </c>
    </row>
    <row r="3121" spans="1:1">
      <c r="A3121" s="142" t="s">
        <v>5082</v>
      </c>
    </row>
    <row r="3122" spans="1:1">
      <c r="A3122" s="142" t="s">
        <v>5083</v>
      </c>
    </row>
    <row r="3123" spans="1:1">
      <c r="A3123" s="142" t="s">
        <v>5084</v>
      </c>
    </row>
    <row r="3124" spans="1:1">
      <c r="A3124" s="142" t="s">
        <v>5085</v>
      </c>
    </row>
    <row r="3125" spans="1:1">
      <c r="A3125" s="142" t="s">
        <v>5086</v>
      </c>
    </row>
    <row r="3126" spans="1:1">
      <c r="A3126" s="142" t="s">
        <v>5087</v>
      </c>
    </row>
    <row r="3127" spans="1:1">
      <c r="A3127" s="142" t="s">
        <v>5088</v>
      </c>
    </row>
    <row r="3128" spans="1:1">
      <c r="A3128" s="142" t="s">
        <v>5089</v>
      </c>
    </row>
    <row r="3129" spans="1:1">
      <c r="A3129" s="142" t="s">
        <v>5090</v>
      </c>
    </row>
    <row r="3130" spans="1:1">
      <c r="A3130" s="142" t="s">
        <v>5091</v>
      </c>
    </row>
    <row r="3131" spans="1:1">
      <c r="A3131" s="142" t="s">
        <v>5092</v>
      </c>
    </row>
    <row r="3132" spans="1:1">
      <c r="A3132" s="142" t="s">
        <v>5093</v>
      </c>
    </row>
    <row r="3133" spans="1:1">
      <c r="A3133" s="142" t="s">
        <v>5094</v>
      </c>
    </row>
    <row r="3134" spans="1:1">
      <c r="A3134" s="142" t="s">
        <v>5095</v>
      </c>
    </row>
    <row r="3135" spans="1:1">
      <c r="A3135" s="142" t="s">
        <v>5096</v>
      </c>
    </row>
    <row r="3136" spans="1:1">
      <c r="A3136" s="142" t="s">
        <v>5097</v>
      </c>
    </row>
    <row r="3137" spans="1:1">
      <c r="A3137" s="142" t="s">
        <v>5098</v>
      </c>
    </row>
    <row r="3138" spans="1:1">
      <c r="A3138" s="142" t="s">
        <v>5099</v>
      </c>
    </row>
    <row r="3139" spans="1:1">
      <c r="A3139" s="142" t="s">
        <v>5100</v>
      </c>
    </row>
    <row r="3140" spans="1:1">
      <c r="A3140" s="142" t="s">
        <v>5101</v>
      </c>
    </row>
    <row r="3141" spans="1:1">
      <c r="A3141" s="142" t="s">
        <v>5102</v>
      </c>
    </row>
    <row r="3142" spans="1:1">
      <c r="A3142" s="142" t="s">
        <v>5103</v>
      </c>
    </row>
    <row r="3143" spans="1:1">
      <c r="A3143" s="142" t="s">
        <v>5104</v>
      </c>
    </row>
    <row r="3144" spans="1:1">
      <c r="A3144" s="142" t="s">
        <v>5105</v>
      </c>
    </row>
    <row r="3145" spans="1:1">
      <c r="A3145" s="142" t="s">
        <v>5106</v>
      </c>
    </row>
    <row r="3146" spans="1:1">
      <c r="A3146" s="142" t="s">
        <v>5107</v>
      </c>
    </row>
    <row r="3147" spans="1:1">
      <c r="A3147" s="142" t="s">
        <v>5108</v>
      </c>
    </row>
    <row r="3148" spans="1:1">
      <c r="A3148" s="142" t="s">
        <v>5109</v>
      </c>
    </row>
    <row r="3149" spans="1:1">
      <c r="A3149" s="142" t="s">
        <v>5110</v>
      </c>
    </row>
    <row r="3150" spans="1:1">
      <c r="A3150" s="142" t="s">
        <v>5111</v>
      </c>
    </row>
    <row r="3151" spans="1:1">
      <c r="A3151" s="142" t="s">
        <v>5112</v>
      </c>
    </row>
    <row r="3152" spans="1:1">
      <c r="A3152" s="142" t="s">
        <v>5113</v>
      </c>
    </row>
    <row r="3153" spans="1:1">
      <c r="A3153" s="142" t="s">
        <v>5114</v>
      </c>
    </row>
    <row r="3154" spans="1:1">
      <c r="A3154" s="142" t="s">
        <v>5115</v>
      </c>
    </row>
    <row r="3155" spans="1:1">
      <c r="A3155" s="142" t="s">
        <v>5116</v>
      </c>
    </row>
    <row r="3156" spans="1:1">
      <c r="A3156" s="142" t="s">
        <v>5117</v>
      </c>
    </row>
    <row r="3157" spans="1:1">
      <c r="A3157" s="142" t="s">
        <v>5118</v>
      </c>
    </row>
    <row r="3158" spans="1:1">
      <c r="A3158" s="142" t="s">
        <v>5119</v>
      </c>
    </row>
    <row r="3159" spans="1:1">
      <c r="A3159" s="142" t="s">
        <v>5120</v>
      </c>
    </row>
    <row r="3160" spans="1:1">
      <c r="A3160" s="142" t="s">
        <v>5121</v>
      </c>
    </row>
    <row r="3161" spans="1:1">
      <c r="A3161" s="142" t="s">
        <v>5122</v>
      </c>
    </row>
    <row r="3162" spans="1:1">
      <c r="A3162" s="142" t="s">
        <v>5123</v>
      </c>
    </row>
    <row r="3163" spans="1:1">
      <c r="A3163" s="142" t="s">
        <v>5124</v>
      </c>
    </row>
    <row r="3164" spans="1:1">
      <c r="A3164" s="142" t="s">
        <v>5125</v>
      </c>
    </row>
    <row r="3165" spans="1:1">
      <c r="A3165" s="142" t="s">
        <v>5126</v>
      </c>
    </row>
    <row r="3166" spans="1:1">
      <c r="A3166" s="142" t="s">
        <v>5127</v>
      </c>
    </row>
    <row r="3167" spans="1:1">
      <c r="A3167" s="142" t="s">
        <v>5128</v>
      </c>
    </row>
    <row r="3168" spans="1:1">
      <c r="A3168" s="142" t="s">
        <v>5129</v>
      </c>
    </row>
    <row r="3169" spans="1:1">
      <c r="A3169" s="142" t="s">
        <v>5130</v>
      </c>
    </row>
    <row r="3170" spans="1:1">
      <c r="A3170" s="142" t="s">
        <v>5131</v>
      </c>
    </row>
    <row r="3171" spans="1:1">
      <c r="A3171" s="142" t="s">
        <v>5132</v>
      </c>
    </row>
    <row r="3172" spans="1:1">
      <c r="A3172" s="142" t="s">
        <v>5133</v>
      </c>
    </row>
    <row r="3173" spans="1:1">
      <c r="A3173" s="142" t="s">
        <v>5134</v>
      </c>
    </row>
    <row r="3174" spans="1:1">
      <c r="A3174" s="142" t="s">
        <v>5135</v>
      </c>
    </row>
    <row r="3175" spans="1:1">
      <c r="A3175" s="142" t="s">
        <v>5136</v>
      </c>
    </row>
    <row r="3176" spans="1:1">
      <c r="A3176" s="142" t="s">
        <v>5137</v>
      </c>
    </row>
    <row r="3177" spans="1:1">
      <c r="A3177" s="142" t="s">
        <v>5138</v>
      </c>
    </row>
    <row r="3178" spans="1:1">
      <c r="A3178" s="142" t="s">
        <v>5139</v>
      </c>
    </row>
    <row r="3179" spans="1:1">
      <c r="A3179" s="142" t="s">
        <v>5140</v>
      </c>
    </row>
    <row r="3180" spans="1:1">
      <c r="A3180" s="142" t="s">
        <v>5141</v>
      </c>
    </row>
    <row r="3181" spans="1:1">
      <c r="A3181" s="142" t="s">
        <v>5142</v>
      </c>
    </row>
    <row r="3182" spans="1:1">
      <c r="A3182" s="142" t="s">
        <v>5143</v>
      </c>
    </row>
    <row r="3183" spans="1:1">
      <c r="A3183" s="142" t="s">
        <v>5144</v>
      </c>
    </row>
    <row r="3184" spans="1:1">
      <c r="A3184" s="142" t="s">
        <v>5145</v>
      </c>
    </row>
    <row r="3185" spans="1:1">
      <c r="A3185" s="142" t="s">
        <v>5146</v>
      </c>
    </row>
    <row r="3186" spans="1:1">
      <c r="A3186" s="142" t="s">
        <v>5147</v>
      </c>
    </row>
    <row r="3187" spans="1:1">
      <c r="A3187" s="142" t="s">
        <v>5148</v>
      </c>
    </row>
    <row r="3188" spans="1:1">
      <c r="A3188" s="142" t="s">
        <v>5149</v>
      </c>
    </row>
    <row r="3189" spans="1:1">
      <c r="A3189" s="142" t="s">
        <v>5150</v>
      </c>
    </row>
    <row r="3190" spans="1:1">
      <c r="A3190" s="142" t="s">
        <v>5151</v>
      </c>
    </row>
    <row r="3191" spans="1:1">
      <c r="A3191" s="142" t="s">
        <v>5152</v>
      </c>
    </row>
    <row r="3192" spans="1:1">
      <c r="A3192" s="142" t="s">
        <v>5153</v>
      </c>
    </row>
    <row r="3193" spans="1:1">
      <c r="A3193" s="142" t="s">
        <v>5154</v>
      </c>
    </row>
    <row r="3194" spans="1:1">
      <c r="A3194" s="142" t="s">
        <v>5155</v>
      </c>
    </row>
    <row r="3195" spans="1:1">
      <c r="A3195" s="142" t="s">
        <v>5156</v>
      </c>
    </row>
    <row r="3196" spans="1:1">
      <c r="A3196" s="142" t="s">
        <v>5157</v>
      </c>
    </row>
    <row r="3197" spans="1:1">
      <c r="A3197" s="142" t="s">
        <v>5158</v>
      </c>
    </row>
    <row r="3198" spans="1:1">
      <c r="A3198" s="142" t="s">
        <v>5159</v>
      </c>
    </row>
    <row r="3199" spans="1:1">
      <c r="A3199" s="142" t="s">
        <v>5160</v>
      </c>
    </row>
    <row r="3200" spans="1:1">
      <c r="A3200" s="142" t="s">
        <v>5161</v>
      </c>
    </row>
    <row r="3201" spans="1:1">
      <c r="A3201" s="142" t="s">
        <v>5162</v>
      </c>
    </row>
    <row r="3202" spans="1:1">
      <c r="A3202" s="142" t="s">
        <v>5163</v>
      </c>
    </row>
    <row r="3203" spans="1:1">
      <c r="A3203" s="142" t="s">
        <v>5164</v>
      </c>
    </row>
    <row r="3204" spans="1:1">
      <c r="A3204" s="142" t="s">
        <v>5165</v>
      </c>
    </row>
    <row r="3205" spans="1:1">
      <c r="A3205" s="142" t="s">
        <v>5166</v>
      </c>
    </row>
    <row r="3206" spans="1:1">
      <c r="A3206" s="142" t="s">
        <v>5167</v>
      </c>
    </row>
    <row r="3207" spans="1:1">
      <c r="A3207" s="142" t="s">
        <v>5168</v>
      </c>
    </row>
    <row r="3208" spans="1:1">
      <c r="A3208" s="142" t="s">
        <v>5169</v>
      </c>
    </row>
    <row r="3209" spans="1:1">
      <c r="A3209" s="142" t="s">
        <v>5170</v>
      </c>
    </row>
    <row r="3210" spans="1:1">
      <c r="A3210" s="142" t="s">
        <v>5171</v>
      </c>
    </row>
    <row r="3211" spans="1:1">
      <c r="A3211" s="142" t="s">
        <v>5172</v>
      </c>
    </row>
    <row r="3212" spans="1:1">
      <c r="A3212" s="142" t="s">
        <v>5173</v>
      </c>
    </row>
    <row r="3213" spans="1:1">
      <c r="A3213" s="142" t="s">
        <v>5174</v>
      </c>
    </row>
    <row r="3214" spans="1:1">
      <c r="A3214" s="142" t="s">
        <v>5175</v>
      </c>
    </row>
    <row r="3215" spans="1:1">
      <c r="A3215" s="142" t="s">
        <v>5176</v>
      </c>
    </row>
    <row r="3216" spans="1:1">
      <c r="A3216" s="142" t="s">
        <v>5177</v>
      </c>
    </row>
    <row r="3217" spans="1:1">
      <c r="A3217" s="142" t="s">
        <v>5178</v>
      </c>
    </row>
    <row r="3218" spans="1:1">
      <c r="A3218" s="142" t="s">
        <v>5179</v>
      </c>
    </row>
    <row r="3219" spans="1:1">
      <c r="A3219" s="142" t="s">
        <v>5180</v>
      </c>
    </row>
    <row r="3220" spans="1:1">
      <c r="A3220" s="142" t="s">
        <v>5181</v>
      </c>
    </row>
    <row r="3221" spans="1:1">
      <c r="A3221" s="142" t="s">
        <v>5182</v>
      </c>
    </row>
    <row r="3222" spans="1:1">
      <c r="A3222" s="142" t="s">
        <v>5183</v>
      </c>
    </row>
    <row r="3223" spans="1:1">
      <c r="A3223" s="142" t="s">
        <v>5184</v>
      </c>
    </row>
    <row r="3224" spans="1:1">
      <c r="A3224" s="142" t="s">
        <v>5185</v>
      </c>
    </row>
    <row r="3225" spans="1:1">
      <c r="A3225" s="142" t="s">
        <v>5186</v>
      </c>
    </row>
    <row r="3226" spans="1:1">
      <c r="A3226" s="142" t="s">
        <v>5187</v>
      </c>
    </row>
    <row r="3227" spans="1:1">
      <c r="A3227" s="142" t="s">
        <v>5188</v>
      </c>
    </row>
    <row r="3228" spans="1:1">
      <c r="A3228" s="142" t="s">
        <v>5189</v>
      </c>
    </row>
    <row r="3229" spans="1:1">
      <c r="A3229" s="142" t="s">
        <v>5190</v>
      </c>
    </row>
    <row r="3230" spans="1:1">
      <c r="A3230" s="142" t="s">
        <v>5191</v>
      </c>
    </row>
    <row r="3231" spans="1:1">
      <c r="A3231" s="142" t="s">
        <v>5192</v>
      </c>
    </row>
    <row r="3232" spans="1:1">
      <c r="A3232" s="142" t="s">
        <v>5193</v>
      </c>
    </row>
    <row r="3233" spans="1:1">
      <c r="A3233" s="142" t="s">
        <v>5194</v>
      </c>
    </row>
    <row r="3234" spans="1:1">
      <c r="A3234" s="142" t="s">
        <v>5195</v>
      </c>
    </row>
    <row r="3235" spans="1:1">
      <c r="A3235" s="142" t="s">
        <v>5196</v>
      </c>
    </row>
    <row r="3236" spans="1:1">
      <c r="A3236" s="142" t="s">
        <v>5197</v>
      </c>
    </row>
    <row r="3237" spans="1:1">
      <c r="A3237" s="142" t="s">
        <v>5198</v>
      </c>
    </row>
    <row r="3238" spans="1:1">
      <c r="A3238" s="142" t="s">
        <v>5199</v>
      </c>
    </row>
    <row r="3239" spans="1:1">
      <c r="A3239" s="142" t="s">
        <v>5200</v>
      </c>
    </row>
    <row r="3240" spans="1:1">
      <c r="A3240" s="142" t="s">
        <v>5201</v>
      </c>
    </row>
    <row r="3241" spans="1:1">
      <c r="A3241" s="142" t="s">
        <v>5202</v>
      </c>
    </row>
    <row r="3242" spans="1:1">
      <c r="A3242" s="142" t="s">
        <v>5203</v>
      </c>
    </row>
    <row r="3243" spans="1:1">
      <c r="A3243" s="142" t="s">
        <v>5204</v>
      </c>
    </row>
    <row r="3244" spans="1:1">
      <c r="A3244" s="142" t="s">
        <v>5205</v>
      </c>
    </row>
    <row r="3245" spans="1:1">
      <c r="A3245" s="142" t="s">
        <v>5206</v>
      </c>
    </row>
    <row r="3246" spans="1:1">
      <c r="A3246" s="142" t="s">
        <v>5207</v>
      </c>
    </row>
    <row r="3247" spans="1:1">
      <c r="A3247" s="142" t="s">
        <v>5208</v>
      </c>
    </row>
    <row r="3248" spans="1:1">
      <c r="A3248" s="142" t="s">
        <v>5209</v>
      </c>
    </row>
    <row r="3249" spans="1:1">
      <c r="A3249" s="142" t="s">
        <v>5210</v>
      </c>
    </row>
    <row r="3250" spans="1:1">
      <c r="A3250" s="142" t="s">
        <v>5211</v>
      </c>
    </row>
    <row r="3251" spans="1:1">
      <c r="A3251" s="142" t="s">
        <v>5212</v>
      </c>
    </row>
    <row r="3252" spans="1:1">
      <c r="A3252" s="142" t="s">
        <v>5213</v>
      </c>
    </row>
    <row r="3253" spans="1:1">
      <c r="A3253" s="142" t="s">
        <v>5214</v>
      </c>
    </row>
    <row r="3254" spans="1:1">
      <c r="A3254" s="142" t="s">
        <v>5215</v>
      </c>
    </row>
    <row r="3255" spans="1:1">
      <c r="A3255" s="142" t="s">
        <v>5216</v>
      </c>
    </row>
    <row r="3256" spans="1:1">
      <c r="A3256" s="142" t="s">
        <v>5217</v>
      </c>
    </row>
    <row r="3257" spans="1:1">
      <c r="A3257" s="142" t="s">
        <v>5218</v>
      </c>
    </row>
    <row r="3258" spans="1:1">
      <c r="A3258" s="142" t="s">
        <v>5219</v>
      </c>
    </row>
    <row r="3259" spans="1:1">
      <c r="A3259" s="142" t="s">
        <v>5220</v>
      </c>
    </row>
    <row r="3260" spans="1:1">
      <c r="A3260" s="142" t="s">
        <v>5221</v>
      </c>
    </row>
    <row r="3261" spans="1:1">
      <c r="A3261" s="142" t="s">
        <v>5222</v>
      </c>
    </row>
    <row r="3262" spans="1:1">
      <c r="A3262" s="142" t="s">
        <v>5223</v>
      </c>
    </row>
    <row r="3263" spans="1:1">
      <c r="A3263" s="142" t="s">
        <v>5224</v>
      </c>
    </row>
    <row r="3264" spans="1:1">
      <c r="A3264" s="142" t="s">
        <v>5225</v>
      </c>
    </row>
    <row r="3265" spans="1:1">
      <c r="A3265" s="142" t="s">
        <v>5226</v>
      </c>
    </row>
    <row r="3266" spans="1:1">
      <c r="A3266" s="142" t="s">
        <v>5227</v>
      </c>
    </row>
    <row r="3267" spans="1:1">
      <c r="A3267" s="142" t="s">
        <v>5228</v>
      </c>
    </row>
    <row r="3268" spans="1:1">
      <c r="A3268" s="142" t="s">
        <v>5229</v>
      </c>
    </row>
    <row r="3269" spans="1:1">
      <c r="A3269" s="142" t="s">
        <v>5230</v>
      </c>
    </row>
    <row r="3270" spans="1:1">
      <c r="A3270" s="142" t="s">
        <v>5231</v>
      </c>
    </row>
    <row r="3271" spans="1:1">
      <c r="A3271" s="142" t="s">
        <v>5232</v>
      </c>
    </row>
    <row r="3272" spans="1:1">
      <c r="A3272" s="142" t="s">
        <v>5233</v>
      </c>
    </row>
    <row r="3273" spans="1:1">
      <c r="A3273" s="142" t="s">
        <v>5234</v>
      </c>
    </row>
    <row r="3274" spans="1:1">
      <c r="A3274" s="142" t="s">
        <v>5235</v>
      </c>
    </row>
    <row r="3275" spans="1:1">
      <c r="A3275" s="142" t="s">
        <v>5236</v>
      </c>
    </row>
    <row r="3276" spans="1:1">
      <c r="A3276" s="142" t="s">
        <v>5237</v>
      </c>
    </row>
    <row r="3277" spans="1:1">
      <c r="A3277" s="142" t="s">
        <v>5238</v>
      </c>
    </row>
    <row r="3278" spans="1:1">
      <c r="A3278" s="142" t="s">
        <v>5239</v>
      </c>
    </row>
    <row r="3279" spans="1:1">
      <c r="A3279" s="142" t="s">
        <v>5240</v>
      </c>
    </row>
    <row r="3280" spans="1:1">
      <c r="A3280" s="142" t="s">
        <v>5241</v>
      </c>
    </row>
    <row r="3281" spans="1:1">
      <c r="A3281" s="142" t="s">
        <v>5242</v>
      </c>
    </row>
    <row r="3282" spans="1:1">
      <c r="A3282" s="142" t="s">
        <v>5243</v>
      </c>
    </row>
    <row r="3283" spans="1:1">
      <c r="A3283" s="142" t="s">
        <v>5244</v>
      </c>
    </row>
    <row r="3284" spans="1:1">
      <c r="A3284" s="142" t="s">
        <v>5245</v>
      </c>
    </row>
    <row r="3285" spans="1:1">
      <c r="A3285" s="142" t="s">
        <v>5246</v>
      </c>
    </row>
    <row r="3286" spans="1:1">
      <c r="A3286" s="142" t="s">
        <v>5247</v>
      </c>
    </row>
    <row r="3287" spans="1:1">
      <c r="A3287" s="142" t="s">
        <v>5248</v>
      </c>
    </row>
    <row r="3288" spans="1:1">
      <c r="A3288" s="142" t="s">
        <v>5249</v>
      </c>
    </row>
    <row r="3289" spans="1:1">
      <c r="A3289" s="142" t="s">
        <v>5250</v>
      </c>
    </row>
    <row r="3290" spans="1:1">
      <c r="A3290" s="142" t="s">
        <v>5251</v>
      </c>
    </row>
    <row r="3291" spans="1:1">
      <c r="A3291" s="142" t="s">
        <v>5252</v>
      </c>
    </row>
    <row r="3292" spans="1:1">
      <c r="A3292" s="142" t="s">
        <v>5253</v>
      </c>
    </row>
    <row r="3293" spans="1:1">
      <c r="A3293" s="142" t="s">
        <v>5254</v>
      </c>
    </row>
    <row r="3294" spans="1:1">
      <c r="A3294" s="142" t="s">
        <v>5255</v>
      </c>
    </row>
    <row r="3295" spans="1:1">
      <c r="A3295" s="142" t="s">
        <v>5256</v>
      </c>
    </row>
    <row r="3296" spans="1:1">
      <c r="A3296" s="142" t="s">
        <v>5257</v>
      </c>
    </row>
    <row r="3297" spans="1:1">
      <c r="A3297" s="142" t="s">
        <v>5258</v>
      </c>
    </row>
    <row r="3298" spans="1:1">
      <c r="A3298" s="142" t="s">
        <v>5259</v>
      </c>
    </row>
    <row r="3299" spans="1:1">
      <c r="A3299" s="142" t="s">
        <v>5260</v>
      </c>
    </row>
    <row r="3300" spans="1:1">
      <c r="A3300" s="142" t="s">
        <v>5261</v>
      </c>
    </row>
    <row r="3301" spans="1:1">
      <c r="A3301" s="142" t="s">
        <v>5262</v>
      </c>
    </row>
    <row r="3302" spans="1:1">
      <c r="A3302" s="142" t="s">
        <v>5263</v>
      </c>
    </row>
    <row r="3303" spans="1:1">
      <c r="A3303" s="142" t="s">
        <v>5264</v>
      </c>
    </row>
    <row r="3304" spans="1:1">
      <c r="A3304" s="142" t="s">
        <v>5265</v>
      </c>
    </row>
    <row r="3305" spans="1:1">
      <c r="A3305" s="142" t="s">
        <v>5266</v>
      </c>
    </row>
    <row r="3306" spans="1:1">
      <c r="A3306" s="142" t="s">
        <v>5267</v>
      </c>
    </row>
    <row r="3307" spans="1:1">
      <c r="A3307" s="142" t="s">
        <v>5268</v>
      </c>
    </row>
    <row r="3308" spans="1:1">
      <c r="A3308" s="142" t="s">
        <v>5269</v>
      </c>
    </row>
    <row r="3309" spans="1:1">
      <c r="A3309" s="142" t="s">
        <v>5270</v>
      </c>
    </row>
    <row r="3310" spans="1:1">
      <c r="A3310" s="142" t="s">
        <v>5271</v>
      </c>
    </row>
    <row r="3311" spans="1:1">
      <c r="A3311" s="142" t="s">
        <v>5272</v>
      </c>
    </row>
    <row r="3312" spans="1:1">
      <c r="A3312" s="142" t="s">
        <v>5273</v>
      </c>
    </row>
    <row r="3313" spans="1:1">
      <c r="A3313" s="142" t="s">
        <v>5274</v>
      </c>
    </row>
    <row r="3314" spans="1:1">
      <c r="A3314" s="142" t="s">
        <v>5275</v>
      </c>
    </row>
    <row r="3315" spans="1:1">
      <c r="A3315" s="142" t="s">
        <v>5276</v>
      </c>
    </row>
    <row r="3316" spans="1:1">
      <c r="A3316" s="142" t="s">
        <v>5277</v>
      </c>
    </row>
    <row r="3317" spans="1:1">
      <c r="A3317" s="142" t="s">
        <v>5278</v>
      </c>
    </row>
    <row r="3318" spans="1:1">
      <c r="A3318" s="142" t="s">
        <v>5279</v>
      </c>
    </row>
    <row r="3319" spans="1:1">
      <c r="A3319" s="142" t="s">
        <v>5280</v>
      </c>
    </row>
    <row r="3320" spans="1:1">
      <c r="A3320" s="142" t="s">
        <v>5281</v>
      </c>
    </row>
    <row r="3321" spans="1:1">
      <c r="A3321" s="142" t="s">
        <v>5282</v>
      </c>
    </row>
    <row r="3322" spans="1:1">
      <c r="A3322" s="142" t="s">
        <v>5283</v>
      </c>
    </row>
    <row r="3323" spans="1:1">
      <c r="A3323" s="142" t="s">
        <v>5284</v>
      </c>
    </row>
    <row r="3324" spans="1:1">
      <c r="A3324" s="142" t="s">
        <v>5285</v>
      </c>
    </row>
    <row r="3325" spans="1:1">
      <c r="A3325" s="142" t="s">
        <v>5286</v>
      </c>
    </row>
    <row r="3326" spans="1:1">
      <c r="A3326" s="142" t="s">
        <v>5287</v>
      </c>
    </row>
    <row r="3327" spans="1:1">
      <c r="A3327" s="142" t="s">
        <v>5288</v>
      </c>
    </row>
    <row r="3328" spans="1:1">
      <c r="A3328" s="142" t="s">
        <v>5289</v>
      </c>
    </row>
    <row r="3329" spans="1:1">
      <c r="A3329" s="142" t="s">
        <v>5290</v>
      </c>
    </row>
    <row r="3330" spans="1:1">
      <c r="A3330" s="142" t="s">
        <v>5291</v>
      </c>
    </row>
    <row r="3331" spans="1:1">
      <c r="A3331" s="142" t="s">
        <v>5292</v>
      </c>
    </row>
    <row r="3332" spans="1:1">
      <c r="A3332" s="142" t="s">
        <v>5293</v>
      </c>
    </row>
    <row r="3333" spans="1:1">
      <c r="A3333" s="142" t="s">
        <v>5294</v>
      </c>
    </row>
    <row r="3334" spans="1:1">
      <c r="A3334" s="142" t="s">
        <v>5295</v>
      </c>
    </row>
    <row r="3335" spans="1:1">
      <c r="A3335" s="142" t="s">
        <v>5296</v>
      </c>
    </row>
    <row r="3336" spans="1:1">
      <c r="A3336" s="142" t="s">
        <v>5297</v>
      </c>
    </row>
    <row r="3337" spans="1:1">
      <c r="A3337" s="142" t="s">
        <v>5298</v>
      </c>
    </row>
    <row r="3338" spans="1:1">
      <c r="A3338" s="142" t="s">
        <v>5299</v>
      </c>
    </row>
    <row r="3339" spans="1:1">
      <c r="A3339" s="142" t="s">
        <v>5300</v>
      </c>
    </row>
    <row r="3340" spans="1:1">
      <c r="A3340" s="142" t="s">
        <v>5301</v>
      </c>
    </row>
    <row r="3341" spans="1:1">
      <c r="A3341" s="142" t="s">
        <v>5302</v>
      </c>
    </row>
    <row r="3342" spans="1:1">
      <c r="A3342" s="142" t="s">
        <v>5303</v>
      </c>
    </row>
    <row r="3343" spans="1:1">
      <c r="A3343" s="142" t="s">
        <v>5304</v>
      </c>
    </row>
    <row r="3344" spans="1:1">
      <c r="A3344" s="142" t="s">
        <v>5305</v>
      </c>
    </row>
    <row r="3345" spans="1:1">
      <c r="A3345" s="142" t="s">
        <v>5306</v>
      </c>
    </row>
    <row r="3346" spans="1:1">
      <c r="A3346" s="142" t="s">
        <v>5307</v>
      </c>
    </row>
    <row r="3347" spans="1:1">
      <c r="A3347" s="142" t="s">
        <v>5308</v>
      </c>
    </row>
    <row r="3348" spans="1:1">
      <c r="A3348" s="142" t="s">
        <v>5309</v>
      </c>
    </row>
    <row r="3349" spans="1:1">
      <c r="A3349" s="142" t="s">
        <v>5310</v>
      </c>
    </row>
    <row r="3350" spans="1:1">
      <c r="A3350" s="142" t="s">
        <v>5311</v>
      </c>
    </row>
    <row r="3351" spans="1:1">
      <c r="A3351" s="142" t="s">
        <v>5312</v>
      </c>
    </row>
    <row r="3352" spans="1:1">
      <c r="A3352" s="142" t="s">
        <v>5313</v>
      </c>
    </row>
    <row r="3353" spans="1:1">
      <c r="A3353" s="142" t="s">
        <v>5314</v>
      </c>
    </row>
    <row r="3354" spans="1:1">
      <c r="A3354" s="142" t="s">
        <v>5315</v>
      </c>
    </row>
    <row r="3355" spans="1:1">
      <c r="A3355" s="142" t="s">
        <v>5316</v>
      </c>
    </row>
    <row r="3356" spans="1:1">
      <c r="A3356" s="142" t="s">
        <v>5317</v>
      </c>
    </row>
    <row r="3357" spans="1:1">
      <c r="A3357" s="142" t="s">
        <v>5318</v>
      </c>
    </row>
    <row r="3358" spans="1:1">
      <c r="A3358" s="142" t="s">
        <v>5319</v>
      </c>
    </row>
    <row r="3359" spans="1:1">
      <c r="A3359" s="142" t="s">
        <v>5320</v>
      </c>
    </row>
    <row r="3360" spans="1:1">
      <c r="A3360" s="142" t="s">
        <v>5321</v>
      </c>
    </row>
    <row r="3361" spans="1:1">
      <c r="A3361" s="142" t="s">
        <v>5322</v>
      </c>
    </row>
    <row r="3362" spans="1:1">
      <c r="A3362" s="142" t="s">
        <v>5323</v>
      </c>
    </row>
    <row r="3363" spans="1:1">
      <c r="A3363" s="142" t="s">
        <v>5324</v>
      </c>
    </row>
    <row r="3364" spans="1:1">
      <c r="A3364" s="142" t="s">
        <v>5325</v>
      </c>
    </row>
    <row r="3365" spans="1:1">
      <c r="A3365" s="142" t="s">
        <v>5326</v>
      </c>
    </row>
    <row r="3366" spans="1:1">
      <c r="A3366" s="142" t="s">
        <v>5327</v>
      </c>
    </row>
    <row r="3367" spans="1:1">
      <c r="A3367" s="142" t="s">
        <v>5328</v>
      </c>
    </row>
    <row r="3368" spans="1:1">
      <c r="A3368" s="142" t="s">
        <v>5329</v>
      </c>
    </row>
    <row r="3369" spans="1:1">
      <c r="A3369" s="142" t="s">
        <v>5330</v>
      </c>
    </row>
    <row r="3370" spans="1:1">
      <c r="A3370" s="142" t="s">
        <v>5331</v>
      </c>
    </row>
    <row r="3371" spans="1:1">
      <c r="A3371" s="142" t="s">
        <v>5332</v>
      </c>
    </row>
    <row r="3372" spans="1:1">
      <c r="A3372" s="142" t="s">
        <v>5333</v>
      </c>
    </row>
    <row r="3373" spans="1:1">
      <c r="A3373" s="142" t="s">
        <v>5334</v>
      </c>
    </row>
    <row r="3374" spans="1:1">
      <c r="A3374" s="142" t="s">
        <v>5335</v>
      </c>
    </row>
    <row r="3375" spans="1:1">
      <c r="A3375" s="142" t="s">
        <v>5336</v>
      </c>
    </row>
    <row r="3376" spans="1:1">
      <c r="A3376" s="142" t="s">
        <v>5337</v>
      </c>
    </row>
    <row r="3377" spans="1:1">
      <c r="A3377" s="142" t="s">
        <v>5338</v>
      </c>
    </row>
    <row r="3378" spans="1:1">
      <c r="A3378" s="142" t="s">
        <v>5339</v>
      </c>
    </row>
    <row r="3379" spans="1:1">
      <c r="A3379" s="142" t="s">
        <v>5340</v>
      </c>
    </row>
    <row r="3380" spans="1:1">
      <c r="A3380" s="142" t="s">
        <v>5341</v>
      </c>
    </row>
    <row r="3381" spans="1:1">
      <c r="A3381" s="142" t="s">
        <v>5342</v>
      </c>
    </row>
    <row r="3382" spans="1:1">
      <c r="A3382" s="142" t="s">
        <v>5343</v>
      </c>
    </row>
    <row r="3383" spans="1:1">
      <c r="A3383" s="142" t="s">
        <v>5344</v>
      </c>
    </row>
    <row r="3384" spans="1:1">
      <c r="A3384" s="142" t="s">
        <v>5345</v>
      </c>
    </row>
    <row r="3385" spans="1:1">
      <c r="A3385" s="142" t="s">
        <v>5346</v>
      </c>
    </row>
    <row r="3386" spans="1:1">
      <c r="A3386" s="142" t="s">
        <v>5347</v>
      </c>
    </row>
    <row r="3387" spans="1:1">
      <c r="A3387" s="142" t="s">
        <v>5348</v>
      </c>
    </row>
    <row r="3388" spans="1:1">
      <c r="A3388" s="142" t="s">
        <v>5349</v>
      </c>
    </row>
    <row r="3389" spans="1:1">
      <c r="A3389" s="142" t="s">
        <v>5350</v>
      </c>
    </row>
    <row r="3390" spans="1:1">
      <c r="A3390" s="142" t="s">
        <v>5351</v>
      </c>
    </row>
    <row r="3391" spans="1:1">
      <c r="A3391" s="142" t="s">
        <v>5352</v>
      </c>
    </row>
    <row r="3392" spans="1:1">
      <c r="A3392" s="142" t="s">
        <v>5353</v>
      </c>
    </row>
    <row r="3393" spans="1:1">
      <c r="A3393" s="142" t="s">
        <v>5354</v>
      </c>
    </row>
    <row r="3394" spans="1:1">
      <c r="A3394" s="142" t="s">
        <v>5355</v>
      </c>
    </row>
    <row r="3395" spans="1:1">
      <c r="A3395" s="142" t="s">
        <v>5356</v>
      </c>
    </row>
    <row r="3396" spans="1:1">
      <c r="A3396" s="142" t="s">
        <v>5357</v>
      </c>
    </row>
    <row r="3397" spans="1:1">
      <c r="A3397" s="142" t="s">
        <v>5358</v>
      </c>
    </row>
    <row r="3398" spans="1:1">
      <c r="A3398" s="142" t="s">
        <v>5359</v>
      </c>
    </row>
    <row r="3399" spans="1:1">
      <c r="A3399" s="142" t="s">
        <v>5360</v>
      </c>
    </row>
    <row r="3400" spans="1:1">
      <c r="A3400" s="142" t="s">
        <v>5361</v>
      </c>
    </row>
    <row r="3401" spans="1:1">
      <c r="A3401" s="142" t="s">
        <v>5362</v>
      </c>
    </row>
    <row r="3402" spans="1:1">
      <c r="A3402" s="142" t="s">
        <v>5363</v>
      </c>
    </row>
    <row r="3403" spans="1:1">
      <c r="A3403" s="142" t="s">
        <v>5364</v>
      </c>
    </row>
    <row r="3404" spans="1:1">
      <c r="A3404" s="142" t="s">
        <v>5365</v>
      </c>
    </row>
    <row r="3405" spans="1:1">
      <c r="A3405" s="142" t="s">
        <v>5366</v>
      </c>
    </row>
    <row r="3406" spans="1:1">
      <c r="A3406" s="142" t="s">
        <v>5367</v>
      </c>
    </row>
    <row r="3407" spans="1:1">
      <c r="A3407" s="142" t="s">
        <v>5368</v>
      </c>
    </row>
    <row r="3408" spans="1:1">
      <c r="A3408" s="142" t="s">
        <v>5369</v>
      </c>
    </row>
    <row r="3409" spans="1:1">
      <c r="A3409" s="142" t="s">
        <v>5370</v>
      </c>
    </row>
    <row r="3410" spans="1:1">
      <c r="A3410" s="142" t="s">
        <v>5371</v>
      </c>
    </row>
    <row r="3411" spans="1:1">
      <c r="A3411" s="142" t="s">
        <v>5372</v>
      </c>
    </row>
    <row r="3412" spans="1:1">
      <c r="A3412" s="142" t="s">
        <v>5373</v>
      </c>
    </row>
    <row r="3413" spans="1:1">
      <c r="A3413" s="142" t="s">
        <v>5374</v>
      </c>
    </row>
    <row r="3414" spans="1:1">
      <c r="A3414" s="142" t="s">
        <v>5375</v>
      </c>
    </row>
    <row r="3415" spans="1:1">
      <c r="A3415" s="142" t="s">
        <v>5376</v>
      </c>
    </row>
    <row r="3416" spans="1:1">
      <c r="A3416" s="142" t="s">
        <v>5377</v>
      </c>
    </row>
    <row r="3417" spans="1:1">
      <c r="A3417" s="142" t="s">
        <v>5378</v>
      </c>
    </row>
    <row r="3418" spans="1:1">
      <c r="A3418" s="142" t="s">
        <v>5379</v>
      </c>
    </row>
    <row r="3419" spans="1:1">
      <c r="A3419" s="142" t="s">
        <v>5380</v>
      </c>
    </row>
    <row r="3420" spans="1:1">
      <c r="A3420" s="142" t="s">
        <v>5381</v>
      </c>
    </row>
    <row r="3421" spans="1:1">
      <c r="A3421" s="142" t="s">
        <v>5382</v>
      </c>
    </row>
    <row r="3422" spans="1:1">
      <c r="A3422" s="142" t="s">
        <v>5383</v>
      </c>
    </row>
    <row r="3423" spans="1:1">
      <c r="A3423" s="142" t="s">
        <v>5384</v>
      </c>
    </row>
    <row r="3424" spans="1:1">
      <c r="A3424" s="142" t="s">
        <v>5385</v>
      </c>
    </row>
    <row r="3425" spans="1:1">
      <c r="A3425" s="142" t="s">
        <v>5386</v>
      </c>
    </row>
    <row r="3426" spans="1:1">
      <c r="A3426" s="142" t="s">
        <v>5387</v>
      </c>
    </row>
    <row r="3427" spans="1:1">
      <c r="A3427" s="142" t="s">
        <v>5388</v>
      </c>
    </row>
    <row r="3428" spans="1:1">
      <c r="A3428" s="142" t="s">
        <v>5389</v>
      </c>
    </row>
    <row r="3429" spans="1:1">
      <c r="A3429" s="142" t="s">
        <v>5390</v>
      </c>
    </row>
    <row r="3430" spans="1:1">
      <c r="A3430" s="142" t="s">
        <v>5391</v>
      </c>
    </row>
    <row r="3431" spans="1:1">
      <c r="A3431" s="142" t="s">
        <v>5392</v>
      </c>
    </row>
    <row r="3432" spans="1:1">
      <c r="A3432" s="142" t="s">
        <v>5393</v>
      </c>
    </row>
    <row r="3433" spans="1:1">
      <c r="A3433" s="142" t="s">
        <v>5394</v>
      </c>
    </row>
    <row r="3434" spans="1:1">
      <c r="A3434" s="142" t="s">
        <v>5395</v>
      </c>
    </row>
    <row r="3435" spans="1:1">
      <c r="A3435" s="142" t="s">
        <v>5396</v>
      </c>
    </row>
    <row r="3436" spans="1:1">
      <c r="A3436" s="142" t="s">
        <v>5397</v>
      </c>
    </row>
    <row r="3437" spans="1:1">
      <c r="A3437" s="142" t="s">
        <v>5398</v>
      </c>
    </row>
    <row r="3438" spans="1:1">
      <c r="A3438" s="142" t="s">
        <v>5399</v>
      </c>
    </row>
    <row r="3439" spans="1:1">
      <c r="A3439" s="142" t="s">
        <v>5400</v>
      </c>
    </row>
    <row r="3440" spans="1:1">
      <c r="A3440" s="142" t="s">
        <v>5401</v>
      </c>
    </row>
    <row r="3441" spans="1:1">
      <c r="A3441" s="142" t="s">
        <v>5402</v>
      </c>
    </row>
    <row r="3442" spans="1:1">
      <c r="A3442" s="142" t="s">
        <v>5403</v>
      </c>
    </row>
    <row r="3443" spans="1:1">
      <c r="A3443" s="142" t="s">
        <v>5404</v>
      </c>
    </row>
    <row r="3444" spans="1:1">
      <c r="A3444" s="142" t="s">
        <v>5405</v>
      </c>
    </row>
    <row r="3445" spans="1:1">
      <c r="A3445" s="142" t="s">
        <v>5406</v>
      </c>
    </row>
    <row r="3446" spans="1:1">
      <c r="A3446" s="142" t="s">
        <v>5407</v>
      </c>
    </row>
    <row r="3447" spans="1:1">
      <c r="A3447" s="142" t="s">
        <v>5408</v>
      </c>
    </row>
    <row r="3448" spans="1:1">
      <c r="A3448" s="142" t="s">
        <v>5409</v>
      </c>
    </row>
    <row r="3449" spans="1:1">
      <c r="A3449" s="142" t="s">
        <v>5410</v>
      </c>
    </row>
    <row r="3450" spans="1:1">
      <c r="A3450" s="142" t="s">
        <v>5411</v>
      </c>
    </row>
    <row r="3451" spans="1:1">
      <c r="A3451" s="142" t="s">
        <v>5412</v>
      </c>
    </row>
    <row r="3452" spans="1:1">
      <c r="A3452" s="142" t="s">
        <v>5413</v>
      </c>
    </row>
    <row r="3453" spans="1:1">
      <c r="A3453" s="142" t="s">
        <v>5414</v>
      </c>
    </row>
    <row r="3454" spans="1:1">
      <c r="A3454" s="142" t="s">
        <v>5415</v>
      </c>
    </row>
    <row r="3455" spans="1:1">
      <c r="A3455" s="142" t="s">
        <v>5416</v>
      </c>
    </row>
    <row r="3456" spans="1:1">
      <c r="A3456" s="142" t="s">
        <v>5417</v>
      </c>
    </row>
    <row r="3457" spans="1:1">
      <c r="A3457" s="142" t="s">
        <v>5418</v>
      </c>
    </row>
    <row r="3458" spans="1:1">
      <c r="A3458" s="142" t="s">
        <v>5419</v>
      </c>
    </row>
    <row r="3459" spans="1:1">
      <c r="A3459" s="142" t="s">
        <v>5420</v>
      </c>
    </row>
    <row r="3460" spans="1:1">
      <c r="A3460" s="142" t="s">
        <v>5421</v>
      </c>
    </row>
    <row r="3461" spans="1:1">
      <c r="A3461" s="142" t="s">
        <v>5422</v>
      </c>
    </row>
    <row r="3462" spans="1:1">
      <c r="A3462" s="142" t="s">
        <v>5423</v>
      </c>
    </row>
    <row r="3463" spans="1:1">
      <c r="A3463" s="142" t="s">
        <v>5424</v>
      </c>
    </row>
    <row r="3464" spans="1:1">
      <c r="A3464" s="142" t="s">
        <v>5425</v>
      </c>
    </row>
    <row r="3465" spans="1:1">
      <c r="A3465" s="142" t="s">
        <v>5426</v>
      </c>
    </row>
    <row r="3466" spans="1:1">
      <c r="A3466" s="142" t="s">
        <v>5427</v>
      </c>
    </row>
    <row r="3467" spans="1:1">
      <c r="A3467" s="142" t="s">
        <v>5428</v>
      </c>
    </row>
    <row r="3468" spans="1:1">
      <c r="A3468" s="142" t="s">
        <v>5429</v>
      </c>
    </row>
    <row r="3469" spans="1:1">
      <c r="A3469" s="142" t="s">
        <v>5430</v>
      </c>
    </row>
    <row r="3470" spans="1:1">
      <c r="A3470" s="142" t="s">
        <v>5431</v>
      </c>
    </row>
    <row r="3471" spans="1:1">
      <c r="A3471" s="142" t="s">
        <v>5432</v>
      </c>
    </row>
    <row r="3472" spans="1:1">
      <c r="A3472" s="142" t="s">
        <v>5433</v>
      </c>
    </row>
    <row r="3473" spans="1:1">
      <c r="A3473" s="142" t="s">
        <v>5434</v>
      </c>
    </row>
    <row r="3474" spans="1:1">
      <c r="A3474" s="142" t="s">
        <v>5435</v>
      </c>
    </row>
    <row r="3475" spans="1:1">
      <c r="A3475" s="142" t="s">
        <v>5436</v>
      </c>
    </row>
    <row r="3476" spans="1:1">
      <c r="A3476" s="142" t="s">
        <v>5437</v>
      </c>
    </row>
    <row r="3477" spans="1:1">
      <c r="A3477" s="142" t="s">
        <v>5438</v>
      </c>
    </row>
    <row r="3478" spans="1:1">
      <c r="A3478" s="142" t="s">
        <v>5439</v>
      </c>
    </row>
    <row r="3479" spans="1:1">
      <c r="A3479" s="142" t="s">
        <v>5440</v>
      </c>
    </row>
    <row r="3480" spans="1:1">
      <c r="A3480" s="142" t="s">
        <v>5441</v>
      </c>
    </row>
    <row r="3481" spans="1:1">
      <c r="A3481" s="142" t="s">
        <v>5442</v>
      </c>
    </row>
    <row r="3482" spans="1:1">
      <c r="A3482" s="142" t="s">
        <v>5443</v>
      </c>
    </row>
    <row r="3483" spans="1:1">
      <c r="A3483" s="142" t="s">
        <v>5444</v>
      </c>
    </row>
    <row r="3484" spans="1:1">
      <c r="A3484" s="142" t="s">
        <v>5445</v>
      </c>
    </row>
    <row r="3485" spans="1:1">
      <c r="A3485" s="142" t="s">
        <v>5446</v>
      </c>
    </row>
    <row r="3486" spans="1:1">
      <c r="A3486" s="142" t="s">
        <v>5447</v>
      </c>
    </row>
    <row r="3487" spans="1:1">
      <c r="A3487" s="142" t="s">
        <v>5448</v>
      </c>
    </row>
    <row r="3488" spans="1:1">
      <c r="A3488" s="142" t="s">
        <v>5449</v>
      </c>
    </row>
    <row r="3489" spans="1:1">
      <c r="A3489" s="142" t="s">
        <v>5450</v>
      </c>
    </row>
    <row r="3490" spans="1:1">
      <c r="A3490" s="142" t="s">
        <v>5451</v>
      </c>
    </row>
    <row r="3491" spans="1:1">
      <c r="A3491" s="142" t="s">
        <v>5452</v>
      </c>
    </row>
    <row r="3492" spans="1:1">
      <c r="A3492" s="142" t="s">
        <v>5453</v>
      </c>
    </row>
    <row r="3493" spans="1:1">
      <c r="A3493" s="142" t="s">
        <v>5454</v>
      </c>
    </row>
    <row r="3494" spans="1:1">
      <c r="A3494" s="142" t="s">
        <v>5455</v>
      </c>
    </row>
    <row r="3495" spans="1:1">
      <c r="A3495" s="142" t="s">
        <v>5456</v>
      </c>
    </row>
    <row r="3496" spans="1:1">
      <c r="A3496" s="142" t="s">
        <v>5457</v>
      </c>
    </row>
    <row r="3497" spans="1:1">
      <c r="A3497" s="142" t="s">
        <v>5458</v>
      </c>
    </row>
    <row r="3498" spans="1:1">
      <c r="A3498" s="142" t="s">
        <v>5459</v>
      </c>
    </row>
    <row r="3499" spans="1:1">
      <c r="A3499" s="142" t="s">
        <v>5460</v>
      </c>
    </row>
    <row r="3500" spans="1:1">
      <c r="A3500" s="142" t="s">
        <v>5461</v>
      </c>
    </row>
    <row r="3501" spans="1:1">
      <c r="A3501" s="142" t="s">
        <v>5462</v>
      </c>
    </row>
    <row r="3502" spans="1:1">
      <c r="A3502" s="142" t="s">
        <v>5463</v>
      </c>
    </row>
    <row r="3503" spans="1:1">
      <c r="A3503" s="142" t="s">
        <v>5464</v>
      </c>
    </row>
    <row r="3504" spans="1:1">
      <c r="A3504" s="142" t="s">
        <v>5465</v>
      </c>
    </row>
    <row r="3505" spans="1:1">
      <c r="A3505" s="142" t="s">
        <v>5466</v>
      </c>
    </row>
    <row r="3506" spans="1:1">
      <c r="A3506" s="142" t="s">
        <v>5467</v>
      </c>
    </row>
    <row r="3507" spans="1:1">
      <c r="A3507" s="142" t="s">
        <v>5468</v>
      </c>
    </row>
    <row r="3508" spans="1:1">
      <c r="A3508" s="142" t="s">
        <v>5469</v>
      </c>
    </row>
    <row r="3509" spans="1:1">
      <c r="A3509" s="142" t="s">
        <v>5470</v>
      </c>
    </row>
    <row r="3510" spans="1:1">
      <c r="A3510" s="142" t="s">
        <v>5471</v>
      </c>
    </row>
    <row r="3511" spans="1:1">
      <c r="A3511" s="142" t="s">
        <v>5472</v>
      </c>
    </row>
    <row r="3512" spans="1:1">
      <c r="A3512" s="142" t="s">
        <v>5473</v>
      </c>
    </row>
    <row r="3513" spans="1:1">
      <c r="A3513" s="142" t="s">
        <v>5474</v>
      </c>
    </row>
    <row r="3514" spans="1:1">
      <c r="A3514" s="142" t="s">
        <v>5475</v>
      </c>
    </row>
    <row r="3515" spans="1:1">
      <c r="A3515" s="142" t="s">
        <v>5476</v>
      </c>
    </row>
    <row r="3516" spans="1:1">
      <c r="A3516" s="142" t="s">
        <v>5477</v>
      </c>
    </row>
    <row r="3517" spans="1:1">
      <c r="A3517" s="142" t="s">
        <v>5478</v>
      </c>
    </row>
    <row r="3518" spans="1:1">
      <c r="A3518" s="142" t="s">
        <v>5479</v>
      </c>
    </row>
    <row r="3519" spans="1:1">
      <c r="A3519" s="142" t="s">
        <v>5480</v>
      </c>
    </row>
    <row r="3520" spans="1:1">
      <c r="A3520" s="142" t="s">
        <v>5481</v>
      </c>
    </row>
    <row r="3521" spans="1:1">
      <c r="A3521" s="142" t="s">
        <v>5482</v>
      </c>
    </row>
    <row r="3522" spans="1:1">
      <c r="A3522" s="142" t="s">
        <v>5483</v>
      </c>
    </row>
    <row r="3523" spans="1:1">
      <c r="A3523" s="142" t="s">
        <v>5484</v>
      </c>
    </row>
    <row r="3524" spans="1:1">
      <c r="A3524" s="142" t="s">
        <v>5485</v>
      </c>
    </row>
    <row r="3525" spans="1:1">
      <c r="A3525" s="142" t="s">
        <v>5486</v>
      </c>
    </row>
    <row r="3526" spans="1:1">
      <c r="A3526" s="142" t="s">
        <v>5487</v>
      </c>
    </row>
    <row r="3527" spans="1:1">
      <c r="A3527" s="142" t="s">
        <v>5488</v>
      </c>
    </row>
    <row r="3528" spans="1:1">
      <c r="A3528" s="142" t="s">
        <v>5489</v>
      </c>
    </row>
    <row r="3529" spans="1:1">
      <c r="A3529" s="142" t="s">
        <v>5490</v>
      </c>
    </row>
    <row r="3530" spans="1:1">
      <c r="A3530" s="142" t="s">
        <v>5491</v>
      </c>
    </row>
    <row r="3531" spans="1:1">
      <c r="A3531" s="142" t="s">
        <v>5492</v>
      </c>
    </row>
    <row r="3532" spans="1:1">
      <c r="A3532" s="142" t="s">
        <v>5493</v>
      </c>
    </row>
    <row r="3533" spans="1:1">
      <c r="A3533" s="142" t="s">
        <v>5494</v>
      </c>
    </row>
    <row r="3534" spans="1:1">
      <c r="A3534" s="142" t="s">
        <v>5495</v>
      </c>
    </row>
    <row r="3535" spans="1:1">
      <c r="A3535" s="142" t="s">
        <v>5496</v>
      </c>
    </row>
    <row r="3536" spans="1:1">
      <c r="A3536" s="142" t="s">
        <v>5497</v>
      </c>
    </row>
    <row r="3537" spans="1:1">
      <c r="A3537" s="142" t="s">
        <v>5498</v>
      </c>
    </row>
    <row r="3538" spans="1:1">
      <c r="A3538" s="142" t="s">
        <v>5499</v>
      </c>
    </row>
    <row r="3539" spans="1:1">
      <c r="A3539" s="142" t="s">
        <v>5500</v>
      </c>
    </row>
    <row r="3540" spans="1:1">
      <c r="A3540" s="142" t="s">
        <v>5501</v>
      </c>
    </row>
    <row r="3541" spans="1:1">
      <c r="A3541" s="142" t="s">
        <v>5502</v>
      </c>
    </row>
    <row r="3542" spans="1:1">
      <c r="A3542" s="142" t="s">
        <v>5503</v>
      </c>
    </row>
    <row r="3543" spans="1:1">
      <c r="A3543" s="142" t="s">
        <v>5504</v>
      </c>
    </row>
    <row r="3544" spans="1:1">
      <c r="A3544" s="142" t="s">
        <v>5505</v>
      </c>
    </row>
    <row r="3545" spans="1:1">
      <c r="A3545" s="142" t="s">
        <v>5506</v>
      </c>
    </row>
    <row r="3546" spans="1:1">
      <c r="A3546" s="142" t="s">
        <v>5507</v>
      </c>
    </row>
    <row r="3547" spans="1:1">
      <c r="A3547" s="142" t="s">
        <v>5508</v>
      </c>
    </row>
    <row r="3548" spans="1:1">
      <c r="A3548" s="142" t="s">
        <v>5509</v>
      </c>
    </row>
    <row r="3549" spans="1:1">
      <c r="A3549" s="142" t="s">
        <v>5510</v>
      </c>
    </row>
    <row r="3550" spans="1:1">
      <c r="A3550" s="142" t="s">
        <v>5511</v>
      </c>
    </row>
    <row r="3551" spans="1:1">
      <c r="A3551" s="142" t="s">
        <v>5512</v>
      </c>
    </row>
    <row r="3552" spans="1:1">
      <c r="A3552" s="142" t="s">
        <v>5513</v>
      </c>
    </row>
    <row r="3553" spans="1:1">
      <c r="A3553" s="142" t="s">
        <v>5514</v>
      </c>
    </row>
    <row r="3554" spans="1:1">
      <c r="A3554" s="142" t="s">
        <v>5515</v>
      </c>
    </row>
    <row r="3555" spans="1:1">
      <c r="A3555" s="142" t="s">
        <v>5516</v>
      </c>
    </row>
    <row r="3556" spans="1:1">
      <c r="A3556" s="142" t="s">
        <v>5517</v>
      </c>
    </row>
    <row r="3557" spans="1:1">
      <c r="A3557" s="142" t="s">
        <v>5518</v>
      </c>
    </row>
    <row r="3558" spans="1:1">
      <c r="A3558" s="142" t="s">
        <v>5519</v>
      </c>
    </row>
    <row r="3559" spans="1:1">
      <c r="A3559" s="142" t="s">
        <v>5520</v>
      </c>
    </row>
    <row r="3560" spans="1:1">
      <c r="A3560" s="142" t="s">
        <v>5521</v>
      </c>
    </row>
    <row r="3561" spans="1:1">
      <c r="A3561" s="142" t="s">
        <v>5522</v>
      </c>
    </row>
    <row r="3562" spans="1:1">
      <c r="A3562" s="142" t="s">
        <v>5523</v>
      </c>
    </row>
    <row r="3563" spans="1:1">
      <c r="A3563" s="142" t="s">
        <v>5524</v>
      </c>
    </row>
    <row r="3564" spans="1:1">
      <c r="A3564" s="142" t="s">
        <v>5525</v>
      </c>
    </row>
    <row r="3565" spans="1:1">
      <c r="A3565" s="142" t="s">
        <v>5526</v>
      </c>
    </row>
    <row r="3566" spans="1:1">
      <c r="A3566" s="142" t="s">
        <v>5527</v>
      </c>
    </row>
    <row r="3567" spans="1:1">
      <c r="A3567" s="142" t="s">
        <v>5528</v>
      </c>
    </row>
    <row r="3568" spans="1:1">
      <c r="A3568" s="142" t="s">
        <v>5529</v>
      </c>
    </row>
    <row r="3569" spans="1:1">
      <c r="A3569" s="142" t="s">
        <v>5530</v>
      </c>
    </row>
    <row r="3570" spans="1:1">
      <c r="A3570" s="142" t="s">
        <v>5531</v>
      </c>
    </row>
    <row r="3571" spans="1:1">
      <c r="A3571" s="142" t="s">
        <v>5532</v>
      </c>
    </row>
    <row r="3572" spans="1:1">
      <c r="A3572" s="142" t="s">
        <v>5533</v>
      </c>
    </row>
    <row r="3573" spans="1:1">
      <c r="A3573" s="142" t="s">
        <v>5534</v>
      </c>
    </row>
    <row r="3574" spans="1:1">
      <c r="A3574" s="142" t="s">
        <v>5535</v>
      </c>
    </row>
    <row r="3575" spans="1:1">
      <c r="A3575" s="142" t="s">
        <v>5536</v>
      </c>
    </row>
    <row r="3576" spans="1:1">
      <c r="A3576" s="142" t="s">
        <v>5537</v>
      </c>
    </row>
    <row r="3577" spans="1:1">
      <c r="A3577" s="142" t="s">
        <v>5538</v>
      </c>
    </row>
    <row r="3578" spans="1:1">
      <c r="A3578" s="142" t="s">
        <v>5539</v>
      </c>
    </row>
    <row r="3579" spans="1:1">
      <c r="A3579" s="142" t="s">
        <v>5540</v>
      </c>
    </row>
    <row r="3580" spans="1:1">
      <c r="A3580" s="142" t="s">
        <v>5541</v>
      </c>
    </row>
    <row r="3581" spans="1:1">
      <c r="A3581" s="142" t="s">
        <v>5542</v>
      </c>
    </row>
    <row r="3582" spans="1:1">
      <c r="A3582" s="142" t="s">
        <v>5543</v>
      </c>
    </row>
    <row r="3583" spans="1:1">
      <c r="A3583" s="142" t="s">
        <v>5544</v>
      </c>
    </row>
    <row r="3584" spans="1:1">
      <c r="A3584" s="142" t="s">
        <v>5545</v>
      </c>
    </row>
    <row r="3585" spans="1:1">
      <c r="A3585" s="142" t="s">
        <v>5546</v>
      </c>
    </row>
    <row r="3586" spans="1:1">
      <c r="A3586" s="142" t="s">
        <v>5547</v>
      </c>
    </row>
    <row r="3587" spans="1:1">
      <c r="A3587" s="142" t="s">
        <v>5548</v>
      </c>
    </row>
    <row r="3588" spans="1:1">
      <c r="A3588" s="142" t="s">
        <v>5549</v>
      </c>
    </row>
    <row r="3589" spans="1:1">
      <c r="A3589" s="142" t="s">
        <v>5550</v>
      </c>
    </row>
    <row r="3590" spans="1:1">
      <c r="A3590" s="142" t="s">
        <v>5551</v>
      </c>
    </row>
    <row r="3591" spans="1:1">
      <c r="A3591" s="142" t="s">
        <v>5552</v>
      </c>
    </row>
    <row r="3592" spans="1:1">
      <c r="A3592" s="142" t="s">
        <v>5553</v>
      </c>
    </row>
    <row r="3593" spans="1:1">
      <c r="A3593" s="142" t="s">
        <v>5554</v>
      </c>
    </row>
    <row r="3594" spans="1:1">
      <c r="A3594" s="142" t="s">
        <v>5555</v>
      </c>
    </row>
    <row r="3595" spans="1:1">
      <c r="A3595" s="142" t="s">
        <v>5556</v>
      </c>
    </row>
    <row r="3596" spans="1:1">
      <c r="A3596" s="142" t="s">
        <v>5557</v>
      </c>
    </row>
    <row r="3597" spans="1:1">
      <c r="A3597" s="142" t="s">
        <v>5558</v>
      </c>
    </row>
    <row r="3598" spans="1:1">
      <c r="A3598" s="142" t="s">
        <v>5559</v>
      </c>
    </row>
    <row r="3599" spans="1:1">
      <c r="A3599" s="142" t="s">
        <v>5560</v>
      </c>
    </row>
    <row r="3600" spans="1:1">
      <c r="A3600" s="142" t="s">
        <v>5561</v>
      </c>
    </row>
    <row r="3601" spans="1:1">
      <c r="A3601" s="142" t="s">
        <v>5562</v>
      </c>
    </row>
    <row r="3602" spans="1:1">
      <c r="A3602" s="142" t="s">
        <v>5563</v>
      </c>
    </row>
    <row r="3603" spans="1:1">
      <c r="A3603" s="142" t="s">
        <v>5564</v>
      </c>
    </row>
    <row r="3604" spans="1:1">
      <c r="A3604" s="142" t="s">
        <v>5565</v>
      </c>
    </row>
    <row r="3605" spans="1:1">
      <c r="A3605" s="142" t="s">
        <v>5566</v>
      </c>
    </row>
    <row r="3606" spans="1:1">
      <c r="A3606" s="142" t="s">
        <v>5567</v>
      </c>
    </row>
    <row r="3607" spans="1:1">
      <c r="A3607" s="142" t="s">
        <v>5568</v>
      </c>
    </row>
    <row r="3608" spans="1:1">
      <c r="A3608" s="142" t="s">
        <v>5569</v>
      </c>
    </row>
    <row r="3609" spans="1:1">
      <c r="A3609" s="142" t="s">
        <v>5570</v>
      </c>
    </row>
    <row r="3610" spans="1:1">
      <c r="A3610" s="142" t="s">
        <v>5571</v>
      </c>
    </row>
    <row r="3611" spans="1:1">
      <c r="A3611" s="142" t="s">
        <v>5572</v>
      </c>
    </row>
    <row r="3612" spans="1:1">
      <c r="A3612" s="142" t="s">
        <v>5573</v>
      </c>
    </row>
    <row r="3613" spans="1:1">
      <c r="A3613" s="142" t="s">
        <v>5574</v>
      </c>
    </row>
    <row r="3614" spans="1:1">
      <c r="A3614" s="142" t="s">
        <v>5575</v>
      </c>
    </row>
    <row r="3615" spans="1:1">
      <c r="A3615" s="142" t="s">
        <v>5576</v>
      </c>
    </row>
    <row r="3616" spans="1:1">
      <c r="A3616" s="142" t="s">
        <v>5577</v>
      </c>
    </row>
    <row r="3617" spans="1:1">
      <c r="A3617" s="142" t="s">
        <v>5578</v>
      </c>
    </row>
    <row r="3618" spans="1:1">
      <c r="A3618" s="142" t="s">
        <v>5579</v>
      </c>
    </row>
    <row r="3619" spans="1:1">
      <c r="A3619" s="142" t="s">
        <v>5580</v>
      </c>
    </row>
    <row r="3620" spans="1:1">
      <c r="A3620" s="142" t="s">
        <v>5581</v>
      </c>
    </row>
    <row r="3621" spans="1:1">
      <c r="A3621" s="142" t="s">
        <v>5582</v>
      </c>
    </row>
    <row r="3622" spans="1:1">
      <c r="A3622" s="142" t="s">
        <v>5583</v>
      </c>
    </row>
    <row r="3623" spans="1:1">
      <c r="A3623" s="142" t="s">
        <v>5584</v>
      </c>
    </row>
    <row r="3624" spans="1:1">
      <c r="A3624" s="142" t="s">
        <v>5585</v>
      </c>
    </row>
    <row r="3625" spans="1:1">
      <c r="A3625" s="142" t="s">
        <v>5586</v>
      </c>
    </row>
    <row r="3626" spans="1:1">
      <c r="A3626" s="142" t="s">
        <v>5587</v>
      </c>
    </row>
    <row r="3627" spans="1:1">
      <c r="A3627" s="142" t="s">
        <v>5588</v>
      </c>
    </row>
    <row r="3628" spans="1:1">
      <c r="A3628" s="142" t="s">
        <v>5589</v>
      </c>
    </row>
    <row r="3629" spans="1:1">
      <c r="A3629" s="142" t="s">
        <v>5590</v>
      </c>
    </row>
    <row r="3630" spans="1:1">
      <c r="A3630" s="142" t="s">
        <v>5591</v>
      </c>
    </row>
    <row r="3631" spans="1:1">
      <c r="A3631" s="142" t="s">
        <v>5592</v>
      </c>
    </row>
    <row r="3632" spans="1:1">
      <c r="A3632" s="142" t="s">
        <v>5593</v>
      </c>
    </row>
    <row r="3633" spans="1:1">
      <c r="A3633" s="142" t="s">
        <v>5594</v>
      </c>
    </row>
    <row r="3634" spans="1:1">
      <c r="A3634" s="142" t="s">
        <v>5595</v>
      </c>
    </row>
    <row r="3635" spans="1:1">
      <c r="A3635" s="142" t="s">
        <v>5596</v>
      </c>
    </row>
    <row r="3636" spans="1:1">
      <c r="A3636" s="142" t="s">
        <v>5597</v>
      </c>
    </row>
    <row r="3637" spans="1:1">
      <c r="A3637" s="142" t="s">
        <v>5598</v>
      </c>
    </row>
    <row r="3638" spans="1:1">
      <c r="A3638" s="142" t="s">
        <v>5599</v>
      </c>
    </row>
    <row r="3639" spans="1:1">
      <c r="A3639" s="142" t="s">
        <v>5600</v>
      </c>
    </row>
    <row r="3640" spans="1:1">
      <c r="A3640" s="142" t="s">
        <v>5601</v>
      </c>
    </row>
    <row r="3641" spans="1:1">
      <c r="A3641" s="142" t="s">
        <v>5602</v>
      </c>
    </row>
    <row r="3642" spans="1:1">
      <c r="A3642" s="142" t="s">
        <v>5603</v>
      </c>
    </row>
    <row r="3643" spans="1:1">
      <c r="A3643" s="142" t="s">
        <v>5604</v>
      </c>
    </row>
    <row r="3644" spans="1:1">
      <c r="A3644" s="142" t="s">
        <v>5605</v>
      </c>
    </row>
    <row r="3645" spans="1:1">
      <c r="A3645" s="142" t="s">
        <v>5606</v>
      </c>
    </row>
    <row r="3646" spans="1:1">
      <c r="A3646" s="142" t="s">
        <v>5607</v>
      </c>
    </row>
    <row r="3647" spans="1:1">
      <c r="A3647" s="142" t="s">
        <v>5608</v>
      </c>
    </row>
    <row r="3648" spans="1:1">
      <c r="A3648" s="142" t="s">
        <v>5609</v>
      </c>
    </row>
    <row r="3649" spans="1:1">
      <c r="A3649" s="142" t="s">
        <v>5610</v>
      </c>
    </row>
    <row r="3650" spans="1:1">
      <c r="A3650" s="142" t="s">
        <v>5611</v>
      </c>
    </row>
    <row r="3651" spans="1:1">
      <c r="A3651" s="142" t="s">
        <v>5612</v>
      </c>
    </row>
    <row r="3652" spans="1:1">
      <c r="A3652" s="142" t="s">
        <v>5613</v>
      </c>
    </row>
    <row r="3653" spans="1:1">
      <c r="A3653" s="142" t="s">
        <v>5614</v>
      </c>
    </row>
    <row r="3654" spans="1:1">
      <c r="A3654" s="142" t="s">
        <v>5615</v>
      </c>
    </row>
    <row r="3655" spans="1:1">
      <c r="A3655" s="142" t="s">
        <v>5616</v>
      </c>
    </row>
    <row r="3656" spans="1:1">
      <c r="A3656" s="142" t="s">
        <v>5617</v>
      </c>
    </row>
    <row r="3657" spans="1:1">
      <c r="A3657" s="142" t="s">
        <v>5618</v>
      </c>
    </row>
    <row r="3658" spans="1:1">
      <c r="A3658" s="142" t="s">
        <v>5619</v>
      </c>
    </row>
    <row r="3659" spans="1:1">
      <c r="A3659" s="142" t="s">
        <v>5620</v>
      </c>
    </row>
    <row r="3660" spans="1:1">
      <c r="A3660" s="142" t="s">
        <v>5621</v>
      </c>
    </row>
    <row r="3661" spans="1:1">
      <c r="A3661" s="142" t="s">
        <v>5622</v>
      </c>
    </row>
    <row r="3662" spans="1:1">
      <c r="A3662" s="142" t="s">
        <v>5623</v>
      </c>
    </row>
    <row r="3663" spans="1:1">
      <c r="A3663" s="142" t="s">
        <v>5624</v>
      </c>
    </row>
    <row r="3664" spans="1:1">
      <c r="A3664" s="142" t="s">
        <v>5625</v>
      </c>
    </row>
    <row r="3665" spans="1:1">
      <c r="A3665" s="142" t="s">
        <v>5626</v>
      </c>
    </row>
    <row r="3666" spans="1:1">
      <c r="A3666" s="142" t="s">
        <v>5627</v>
      </c>
    </row>
    <row r="3667" spans="1:1">
      <c r="A3667" s="142" t="s">
        <v>5628</v>
      </c>
    </row>
    <row r="3668" spans="1:1">
      <c r="A3668" s="142" t="s">
        <v>5629</v>
      </c>
    </row>
    <row r="3669" spans="1:1">
      <c r="A3669" s="142" t="s">
        <v>5630</v>
      </c>
    </row>
    <row r="3670" spans="1:1">
      <c r="A3670" s="142" t="s">
        <v>5631</v>
      </c>
    </row>
    <row r="3671" spans="1:1">
      <c r="A3671" s="142" t="s">
        <v>5632</v>
      </c>
    </row>
    <row r="3672" spans="1:1">
      <c r="A3672" s="142" t="s">
        <v>5633</v>
      </c>
    </row>
    <row r="3673" spans="1:1">
      <c r="A3673" s="142" t="s">
        <v>5634</v>
      </c>
    </row>
    <row r="3674" spans="1:1">
      <c r="A3674" s="142" t="s">
        <v>5635</v>
      </c>
    </row>
    <row r="3675" spans="1:1">
      <c r="A3675" s="142" t="s">
        <v>5636</v>
      </c>
    </row>
    <row r="3676" spans="1:1">
      <c r="A3676" s="142" t="s">
        <v>5637</v>
      </c>
    </row>
    <row r="3677" spans="1:1">
      <c r="A3677" s="142" t="s">
        <v>5638</v>
      </c>
    </row>
    <row r="3678" spans="1:1">
      <c r="A3678" s="142" t="s">
        <v>5639</v>
      </c>
    </row>
    <row r="3679" spans="1:1">
      <c r="A3679" s="142" t="s">
        <v>5640</v>
      </c>
    </row>
    <row r="3680" spans="1:1">
      <c r="A3680" s="142" t="s">
        <v>5641</v>
      </c>
    </row>
    <row r="3681" spans="1:1">
      <c r="A3681" s="142" t="s">
        <v>5642</v>
      </c>
    </row>
    <row r="3682" spans="1:1">
      <c r="A3682" s="142" t="s">
        <v>5643</v>
      </c>
    </row>
    <row r="3683" spans="1:1">
      <c r="A3683" s="142" t="s">
        <v>5644</v>
      </c>
    </row>
    <row r="3684" spans="1:1">
      <c r="A3684" s="142" t="s">
        <v>5645</v>
      </c>
    </row>
    <row r="3685" spans="1:1">
      <c r="A3685" s="142" t="s">
        <v>5646</v>
      </c>
    </row>
    <row r="3686" spans="1:1">
      <c r="A3686" s="142" t="s">
        <v>5647</v>
      </c>
    </row>
    <row r="3687" spans="1:1">
      <c r="A3687" s="142" t="s">
        <v>5648</v>
      </c>
    </row>
    <row r="3688" spans="1:1">
      <c r="A3688" s="142" t="s">
        <v>5649</v>
      </c>
    </row>
    <row r="3689" spans="1:1">
      <c r="A3689" s="142" t="s">
        <v>5650</v>
      </c>
    </row>
    <row r="3690" spans="1:1">
      <c r="A3690" s="142" t="s">
        <v>5651</v>
      </c>
    </row>
    <row r="3691" spans="1:1">
      <c r="A3691" s="142" t="s">
        <v>5652</v>
      </c>
    </row>
    <row r="3692" spans="1:1">
      <c r="A3692" s="142" t="s">
        <v>5653</v>
      </c>
    </row>
    <row r="3693" spans="1:1">
      <c r="A3693" s="142" t="s">
        <v>5654</v>
      </c>
    </row>
    <row r="3694" spans="1:1">
      <c r="A3694" s="142" t="s">
        <v>5655</v>
      </c>
    </row>
    <row r="3695" spans="1:1">
      <c r="A3695" s="142" t="s">
        <v>5656</v>
      </c>
    </row>
    <row r="3696" spans="1:1">
      <c r="A3696" s="142" t="s">
        <v>5657</v>
      </c>
    </row>
    <row r="3697" spans="1:1">
      <c r="A3697" s="142" t="s">
        <v>5658</v>
      </c>
    </row>
    <row r="3698" spans="1:1">
      <c r="A3698" s="142" t="s">
        <v>5659</v>
      </c>
    </row>
    <row r="3699" spans="1:1">
      <c r="A3699" s="142" t="s">
        <v>5660</v>
      </c>
    </row>
    <row r="3700" spans="1:1">
      <c r="A3700" s="142" t="s">
        <v>5661</v>
      </c>
    </row>
    <row r="3701" spans="1:1">
      <c r="A3701" s="142" t="s">
        <v>5662</v>
      </c>
    </row>
    <row r="3702" spans="1:1">
      <c r="A3702" s="142" t="s">
        <v>5663</v>
      </c>
    </row>
    <row r="3703" spans="1:1">
      <c r="A3703" s="142" t="s">
        <v>5664</v>
      </c>
    </row>
    <row r="3704" spans="1:1">
      <c r="A3704" s="142" t="s">
        <v>5665</v>
      </c>
    </row>
    <row r="3705" spans="1:1">
      <c r="A3705" s="142" t="s">
        <v>5666</v>
      </c>
    </row>
    <row r="3706" spans="1:1">
      <c r="A3706" s="142" t="s">
        <v>5667</v>
      </c>
    </row>
    <row r="3707" spans="1:1">
      <c r="A3707" s="142" t="s">
        <v>5668</v>
      </c>
    </row>
    <row r="3708" spans="1:1">
      <c r="A3708" s="142" t="s">
        <v>5669</v>
      </c>
    </row>
    <row r="3709" spans="1:1">
      <c r="A3709" s="142" t="s">
        <v>5670</v>
      </c>
    </row>
    <row r="3710" spans="1:1">
      <c r="A3710" s="142" t="s">
        <v>5671</v>
      </c>
    </row>
    <row r="3711" spans="1:1">
      <c r="A3711" s="142" t="s">
        <v>5672</v>
      </c>
    </row>
    <row r="3712" spans="1:1">
      <c r="A3712" s="142" t="s">
        <v>5673</v>
      </c>
    </row>
    <row r="3713" spans="1:1">
      <c r="A3713" s="142" t="s">
        <v>5674</v>
      </c>
    </row>
    <row r="3714" spans="1:1">
      <c r="A3714" s="142" t="s">
        <v>5675</v>
      </c>
    </row>
    <row r="3715" spans="1:1">
      <c r="A3715" s="142" t="s">
        <v>5676</v>
      </c>
    </row>
    <row r="3716" spans="1:1">
      <c r="A3716" s="142" t="s">
        <v>5677</v>
      </c>
    </row>
    <row r="3717" spans="1:1">
      <c r="A3717" s="142" t="s">
        <v>5678</v>
      </c>
    </row>
    <row r="3718" spans="1:1">
      <c r="A3718" s="142" t="s">
        <v>5679</v>
      </c>
    </row>
    <row r="3719" spans="1:1">
      <c r="A3719" s="142" t="s">
        <v>5680</v>
      </c>
    </row>
    <row r="3720" spans="1:1">
      <c r="A3720" s="142" t="s">
        <v>5681</v>
      </c>
    </row>
    <row r="3721" spans="1:1">
      <c r="A3721" s="142" t="s">
        <v>5682</v>
      </c>
    </row>
    <row r="3722" spans="1:1">
      <c r="A3722" s="142" t="s">
        <v>5683</v>
      </c>
    </row>
    <row r="3723" spans="1:1">
      <c r="A3723" s="142" t="s">
        <v>5684</v>
      </c>
    </row>
    <row r="3724" spans="1:1">
      <c r="A3724" s="142" t="s">
        <v>5685</v>
      </c>
    </row>
    <row r="3725" spans="1:1">
      <c r="A3725" s="142" t="s">
        <v>5686</v>
      </c>
    </row>
    <row r="3726" spans="1:1">
      <c r="A3726" s="142" t="s">
        <v>5687</v>
      </c>
    </row>
    <row r="3727" spans="1:1">
      <c r="A3727" s="142" t="s">
        <v>5688</v>
      </c>
    </row>
    <row r="3728" spans="1:1">
      <c r="A3728" s="142" t="s">
        <v>5689</v>
      </c>
    </row>
    <row r="3729" spans="1:1">
      <c r="A3729" s="142" t="s">
        <v>5690</v>
      </c>
    </row>
    <row r="3730" spans="1:1">
      <c r="A3730" s="142" t="s">
        <v>5691</v>
      </c>
    </row>
    <row r="3731" spans="1:1">
      <c r="A3731" s="142" t="s">
        <v>5692</v>
      </c>
    </row>
    <row r="3732" spans="1:1">
      <c r="A3732" s="142" t="s">
        <v>5693</v>
      </c>
    </row>
    <row r="3733" spans="1:1">
      <c r="A3733" s="142" t="s">
        <v>5694</v>
      </c>
    </row>
    <row r="3734" spans="1:1">
      <c r="A3734" s="142" t="s">
        <v>5695</v>
      </c>
    </row>
    <row r="3735" spans="1:1">
      <c r="A3735" s="142" t="s">
        <v>5696</v>
      </c>
    </row>
    <row r="3736" spans="1:1">
      <c r="A3736" s="142" t="s">
        <v>5697</v>
      </c>
    </row>
    <row r="3737" spans="1:1">
      <c r="A3737" s="142" t="s">
        <v>5698</v>
      </c>
    </row>
    <row r="3738" spans="1:1">
      <c r="A3738" s="142" t="s">
        <v>5699</v>
      </c>
    </row>
    <row r="3739" spans="1:1">
      <c r="A3739" s="142" t="s">
        <v>5700</v>
      </c>
    </row>
    <row r="3740" spans="1:1">
      <c r="A3740" s="142" t="s">
        <v>5701</v>
      </c>
    </row>
    <row r="3741" spans="1:1">
      <c r="A3741" s="142" t="s">
        <v>5702</v>
      </c>
    </row>
    <row r="3742" spans="1:1">
      <c r="A3742" s="142" t="s">
        <v>5703</v>
      </c>
    </row>
    <row r="3743" spans="1:1">
      <c r="A3743" s="142" t="s">
        <v>5704</v>
      </c>
    </row>
    <row r="3744" spans="1:1">
      <c r="A3744" s="142" t="s">
        <v>5705</v>
      </c>
    </row>
    <row r="3745" spans="1:1">
      <c r="A3745" s="142" t="s">
        <v>5706</v>
      </c>
    </row>
    <row r="3746" spans="1:1">
      <c r="A3746" s="142" t="s">
        <v>5707</v>
      </c>
    </row>
    <row r="3747" spans="1:1">
      <c r="A3747" s="142" t="s">
        <v>5708</v>
      </c>
    </row>
    <row r="3748" spans="1:1">
      <c r="A3748" s="142" t="s">
        <v>5709</v>
      </c>
    </row>
    <row r="3749" spans="1:1">
      <c r="A3749" s="142" t="s">
        <v>5710</v>
      </c>
    </row>
    <row r="3750" spans="1:1">
      <c r="A3750" s="142" t="s">
        <v>5711</v>
      </c>
    </row>
    <row r="3751" spans="1:1">
      <c r="A3751" s="142" t="s">
        <v>5712</v>
      </c>
    </row>
    <row r="3752" spans="1:1">
      <c r="A3752" s="142" t="s">
        <v>5713</v>
      </c>
    </row>
    <row r="3753" spans="1:1">
      <c r="A3753" s="142" t="s">
        <v>5714</v>
      </c>
    </row>
    <row r="3754" spans="1:1">
      <c r="A3754" s="142" t="s">
        <v>5715</v>
      </c>
    </row>
    <row r="3755" spans="1:1">
      <c r="A3755" s="142" t="s">
        <v>5716</v>
      </c>
    </row>
    <row r="3756" spans="1:1">
      <c r="A3756" s="142" t="s">
        <v>5717</v>
      </c>
    </row>
    <row r="3757" spans="1:1">
      <c r="A3757" s="142" t="s">
        <v>5718</v>
      </c>
    </row>
    <row r="3758" spans="1:1">
      <c r="A3758" s="142" t="s">
        <v>5719</v>
      </c>
    </row>
    <row r="3759" spans="1:1">
      <c r="A3759" s="142" t="s">
        <v>5720</v>
      </c>
    </row>
    <row r="3760" spans="1:1">
      <c r="A3760" s="142" t="s">
        <v>5721</v>
      </c>
    </row>
    <row r="3761" spans="1:1">
      <c r="A3761" s="142" t="s">
        <v>5722</v>
      </c>
    </row>
    <row r="3762" spans="1:1">
      <c r="A3762" s="142" t="s">
        <v>5723</v>
      </c>
    </row>
    <row r="3763" spans="1:1">
      <c r="A3763" s="142" t="s">
        <v>5724</v>
      </c>
    </row>
    <row r="3764" spans="1:1">
      <c r="A3764" s="142" t="s">
        <v>5725</v>
      </c>
    </row>
    <row r="3765" spans="1:1">
      <c r="A3765" s="142" t="s">
        <v>5726</v>
      </c>
    </row>
    <row r="3766" spans="1:1">
      <c r="A3766" s="142" t="s">
        <v>5727</v>
      </c>
    </row>
    <row r="3767" spans="1:1">
      <c r="A3767" s="142" t="s">
        <v>5728</v>
      </c>
    </row>
    <row r="3768" spans="1:1">
      <c r="A3768" s="142" t="s">
        <v>5729</v>
      </c>
    </row>
    <row r="3769" spans="1:1">
      <c r="A3769" s="142" t="s">
        <v>5730</v>
      </c>
    </row>
    <row r="3770" spans="1:1">
      <c r="A3770" s="142" t="s">
        <v>5731</v>
      </c>
    </row>
    <row r="3771" spans="1:1">
      <c r="A3771" s="142" t="s">
        <v>5732</v>
      </c>
    </row>
    <row r="3772" spans="1:1">
      <c r="A3772" s="142" t="s">
        <v>5733</v>
      </c>
    </row>
    <row r="3773" spans="1:1">
      <c r="A3773" s="142" t="s">
        <v>5734</v>
      </c>
    </row>
    <row r="3774" spans="1:1">
      <c r="A3774" s="142" t="s">
        <v>5735</v>
      </c>
    </row>
    <row r="3775" spans="1:1">
      <c r="A3775" s="142" t="s">
        <v>5736</v>
      </c>
    </row>
    <row r="3776" spans="1:1">
      <c r="A3776" s="142" t="s">
        <v>5737</v>
      </c>
    </row>
    <row r="3777" spans="1:1">
      <c r="A3777" s="142" t="s">
        <v>5738</v>
      </c>
    </row>
    <row r="3778" spans="1:1">
      <c r="A3778" s="142" t="s">
        <v>5739</v>
      </c>
    </row>
    <row r="3779" spans="1:1">
      <c r="A3779" s="142" t="s">
        <v>5740</v>
      </c>
    </row>
    <row r="3780" spans="1:1">
      <c r="A3780" s="142" t="s">
        <v>5741</v>
      </c>
    </row>
    <row r="3781" spans="1:1">
      <c r="A3781" s="142" t="s">
        <v>5742</v>
      </c>
    </row>
    <row r="3782" spans="1:1">
      <c r="A3782" s="142" t="s">
        <v>5743</v>
      </c>
    </row>
    <row r="3783" spans="1:1">
      <c r="A3783" s="142" t="s">
        <v>5744</v>
      </c>
    </row>
    <row r="3784" spans="1:1">
      <c r="A3784" s="142" t="s">
        <v>5745</v>
      </c>
    </row>
    <row r="3785" spans="1:1">
      <c r="A3785" s="142" t="s">
        <v>5746</v>
      </c>
    </row>
    <row r="3786" spans="1:1">
      <c r="A3786" s="142" t="s">
        <v>5747</v>
      </c>
    </row>
    <row r="3787" spans="1:1">
      <c r="A3787" s="142" t="s">
        <v>5748</v>
      </c>
    </row>
    <row r="3788" spans="1:1">
      <c r="A3788" s="142" t="s">
        <v>5749</v>
      </c>
    </row>
    <row r="3789" spans="1:1">
      <c r="A3789" s="142" t="s">
        <v>5750</v>
      </c>
    </row>
    <row r="3790" spans="1:1">
      <c r="A3790" s="142" t="s">
        <v>5751</v>
      </c>
    </row>
    <row r="3791" spans="1:1">
      <c r="A3791" s="142" t="s">
        <v>5752</v>
      </c>
    </row>
    <row r="3792" spans="1:1">
      <c r="A3792" s="142" t="s">
        <v>5753</v>
      </c>
    </row>
    <row r="3793" spans="1:1">
      <c r="A3793" s="142" t="s">
        <v>5754</v>
      </c>
    </row>
    <row r="3794" spans="1:1">
      <c r="A3794" s="142" t="s">
        <v>5755</v>
      </c>
    </row>
    <row r="3795" spans="1:1">
      <c r="A3795" s="142" t="s">
        <v>5756</v>
      </c>
    </row>
    <row r="3796" spans="1:1">
      <c r="A3796" s="142" t="s">
        <v>5757</v>
      </c>
    </row>
    <row r="3797" spans="1:1">
      <c r="A3797" s="142" t="s">
        <v>5758</v>
      </c>
    </row>
    <row r="3798" spans="1:1">
      <c r="A3798" s="142" t="s">
        <v>5759</v>
      </c>
    </row>
    <row r="3799" spans="1:1">
      <c r="A3799" s="142" t="s">
        <v>5760</v>
      </c>
    </row>
    <row r="3800" spans="1:1">
      <c r="A3800" s="142" t="s">
        <v>5761</v>
      </c>
    </row>
    <row r="3801" spans="1:1">
      <c r="A3801" s="142" t="s">
        <v>5762</v>
      </c>
    </row>
    <row r="3802" spans="1:1">
      <c r="A3802" s="142" t="s">
        <v>5763</v>
      </c>
    </row>
    <row r="3803" spans="1:1">
      <c r="A3803" s="142" t="s">
        <v>5764</v>
      </c>
    </row>
    <row r="3804" spans="1:1">
      <c r="A3804" s="142" t="s">
        <v>5765</v>
      </c>
    </row>
    <row r="3805" spans="1:1">
      <c r="A3805" s="142" t="s">
        <v>5766</v>
      </c>
    </row>
    <row r="3806" spans="1:1">
      <c r="A3806" s="142" t="s">
        <v>5767</v>
      </c>
    </row>
    <row r="3807" spans="1:1">
      <c r="A3807" s="142" t="s">
        <v>5768</v>
      </c>
    </row>
    <row r="3808" spans="1:1">
      <c r="A3808" s="142" t="s">
        <v>5769</v>
      </c>
    </row>
    <row r="3809" spans="1:1">
      <c r="A3809" s="142" t="s">
        <v>5770</v>
      </c>
    </row>
    <row r="3810" spans="1:1">
      <c r="A3810" s="142" t="s">
        <v>5771</v>
      </c>
    </row>
    <row r="3811" spans="1:1">
      <c r="A3811" s="142" t="s">
        <v>5772</v>
      </c>
    </row>
    <row r="3812" spans="1:1">
      <c r="A3812" s="142" t="s">
        <v>5773</v>
      </c>
    </row>
    <row r="3813" spans="1:1">
      <c r="A3813" s="142" t="s">
        <v>5774</v>
      </c>
    </row>
    <row r="3814" spans="1:1">
      <c r="A3814" s="142" t="s">
        <v>5775</v>
      </c>
    </row>
    <row r="3815" spans="1:1">
      <c r="A3815" s="142" t="s">
        <v>5776</v>
      </c>
    </row>
    <row r="3816" spans="1:1">
      <c r="A3816" s="142" t="s">
        <v>5777</v>
      </c>
    </row>
    <row r="3817" spans="1:1">
      <c r="A3817" s="142" t="s">
        <v>5778</v>
      </c>
    </row>
    <row r="3818" spans="1:1">
      <c r="A3818" s="142" t="s">
        <v>5779</v>
      </c>
    </row>
    <row r="3819" spans="1:1">
      <c r="A3819" s="142" t="s">
        <v>5780</v>
      </c>
    </row>
    <row r="3820" spans="1:1">
      <c r="A3820" s="142" t="s">
        <v>5781</v>
      </c>
    </row>
    <row r="3821" spans="1:1">
      <c r="A3821" s="142" t="s">
        <v>5782</v>
      </c>
    </row>
    <row r="3822" spans="1:1">
      <c r="A3822" s="142" t="s">
        <v>5783</v>
      </c>
    </row>
    <row r="3823" spans="1:1">
      <c r="A3823" s="142" t="s">
        <v>5784</v>
      </c>
    </row>
    <row r="3824" spans="1:1">
      <c r="A3824" s="142" t="s">
        <v>5785</v>
      </c>
    </row>
    <row r="3825" spans="1:1">
      <c r="A3825" s="142" t="s">
        <v>5786</v>
      </c>
    </row>
    <row r="3826" spans="1:1">
      <c r="A3826" s="142" t="s">
        <v>5787</v>
      </c>
    </row>
    <row r="3827" spans="1:1">
      <c r="A3827" s="142" t="s">
        <v>5788</v>
      </c>
    </row>
    <row r="3828" spans="1:1">
      <c r="A3828" s="142" t="s">
        <v>5789</v>
      </c>
    </row>
    <row r="3829" spans="1:1">
      <c r="A3829" s="142" t="s">
        <v>5790</v>
      </c>
    </row>
    <row r="3830" spans="1:1">
      <c r="A3830" s="142" t="s">
        <v>5791</v>
      </c>
    </row>
    <row r="3831" spans="1:1">
      <c r="A3831" s="142" t="s">
        <v>5792</v>
      </c>
    </row>
    <row r="3832" spans="1:1">
      <c r="A3832" s="142" t="s">
        <v>5793</v>
      </c>
    </row>
    <row r="3833" spans="1:1">
      <c r="A3833" s="142" t="s">
        <v>5794</v>
      </c>
    </row>
    <row r="3834" spans="1:1">
      <c r="A3834" s="142" t="s">
        <v>5795</v>
      </c>
    </row>
    <row r="3835" spans="1:1">
      <c r="A3835" s="142" t="s">
        <v>5796</v>
      </c>
    </row>
    <row r="3836" spans="1:1">
      <c r="A3836" s="142" t="s">
        <v>5797</v>
      </c>
    </row>
    <row r="3837" spans="1:1">
      <c r="A3837" s="142" t="s">
        <v>5798</v>
      </c>
    </row>
    <row r="3838" spans="1:1">
      <c r="A3838" s="142" t="s">
        <v>5799</v>
      </c>
    </row>
    <row r="3839" spans="1:1">
      <c r="A3839" s="142" t="s">
        <v>5800</v>
      </c>
    </row>
    <row r="3840" spans="1:1">
      <c r="A3840" s="142" t="s">
        <v>5801</v>
      </c>
    </row>
    <row r="3841" spans="1:1">
      <c r="A3841" s="142" t="s">
        <v>5802</v>
      </c>
    </row>
    <row r="3842" spans="1:1">
      <c r="A3842" s="142" t="s">
        <v>5803</v>
      </c>
    </row>
    <row r="3843" spans="1:1">
      <c r="A3843" s="142" t="s">
        <v>5804</v>
      </c>
    </row>
    <row r="3844" spans="1:1">
      <c r="A3844" s="142" t="s">
        <v>5805</v>
      </c>
    </row>
    <row r="3845" spans="1:1">
      <c r="A3845" s="142" t="s">
        <v>5806</v>
      </c>
    </row>
    <row r="3846" spans="1:1">
      <c r="A3846" s="142" t="s">
        <v>5807</v>
      </c>
    </row>
    <row r="3847" spans="1:1">
      <c r="A3847" s="142" t="s">
        <v>5808</v>
      </c>
    </row>
    <row r="3848" spans="1:1">
      <c r="A3848" s="142" t="s">
        <v>5809</v>
      </c>
    </row>
    <row r="3849" spans="1:1">
      <c r="A3849" s="142" t="s">
        <v>5810</v>
      </c>
    </row>
    <row r="3850" spans="1:1">
      <c r="A3850" s="142" t="s">
        <v>5811</v>
      </c>
    </row>
    <row r="3851" spans="1:1">
      <c r="A3851" s="142" t="s">
        <v>5812</v>
      </c>
    </row>
    <row r="3852" spans="1:1">
      <c r="A3852" s="142" t="s">
        <v>5813</v>
      </c>
    </row>
    <row r="3853" spans="1:1">
      <c r="A3853" s="142" t="s">
        <v>5814</v>
      </c>
    </row>
    <row r="3854" spans="1:1">
      <c r="A3854" s="142" t="s">
        <v>5815</v>
      </c>
    </row>
    <row r="3855" spans="1:1">
      <c r="A3855" s="142" t="s">
        <v>5816</v>
      </c>
    </row>
    <row r="3856" spans="1:1">
      <c r="A3856" s="142" t="s">
        <v>5817</v>
      </c>
    </row>
    <row r="3857" spans="1:1">
      <c r="A3857" s="142" t="s">
        <v>5818</v>
      </c>
    </row>
    <row r="3858" spans="1:1">
      <c r="A3858" s="142" t="s">
        <v>5819</v>
      </c>
    </row>
    <row r="3859" spans="1:1">
      <c r="A3859" s="142" t="s">
        <v>5820</v>
      </c>
    </row>
    <row r="3860" spans="1:1">
      <c r="A3860" s="142" t="s">
        <v>5821</v>
      </c>
    </row>
    <row r="3861" spans="1:1">
      <c r="A3861" s="142" t="s">
        <v>5822</v>
      </c>
    </row>
    <row r="3862" spans="1:1">
      <c r="A3862" s="142" t="s">
        <v>5823</v>
      </c>
    </row>
    <row r="3863" spans="1:1">
      <c r="A3863" s="142" t="s">
        <v>5824</v>
      </c>
    </row>
    <row r="3864" spans="1:1">
      <c r="A3864" s="142" t="s">
        <v>5825</v>
      </c>
    </row>
    <row r="3865" spans="1:1">
      <c r="A3865" s="142" t="s">
        <v>5826</v>
      </c>
    </row>
    <row r="3866" spans="1:1">
      <c r="A3866" s="142" t="s">
        <v>5827</v>
      </c>
    </row>
    <row r="3867" spans="1:1">
      <c r="A3867" s="142" t="s">
        <v>5828</v>
      </c>
    </row>
    <row r="3868" spans="1:1">
      <c r="A3868" s="142" t="s">
        <v>5829</v>
      </c>
    </row>
    <row r="3869" spans="1:1">
      <c r="A3869" s="142" t="s">
        <v>5830</v>
      </c>
    </row>
    <row r="3870" spans="1:1">
      <c r="A3870" s="142" t="s">
        <v>5831</v>
      </c>
    </row>
    <row r="3871" spans="1:1">
      <c r="A3871" s="142" t="s">
        <v>5832</v>
      </c>
    </row>
    <row r="3872" spans="1:1">
      <c r="A3872" s="142" t="s">
        <v>5833</v>
      </c>
    </row>
    <row r="3873" spans="1:1">
      <c r="A3873" s="142" t="s">
        <v>5834</v>
      </c>
    </row>
    <row r="3874" spans="1:1">
      <c r="A3874" s="142" t="s">
        <v>5835</v>
      </c>
    </row>
    <row r="3875" spans="1:1">
      <c r="A3875" s="142" t="s">
        <v>5836</v>
      </c>
    </row>
    <row r="3876" spans="1:1">
      <c r="A3876" s="142" t="s">
        <v>5837</v>
      </c>
    </row>
    <row r="3877" spans="1:1">
      <c r="A3877" s="142" t="s">
        <v>5838</v>
      </c>
    </row>
    <row r="3878" spans="1:1">
      <c r="A3878" s="142" t="s">
        <v>5839</v>
      </c>
    </row>
    <row r="3879" spans="1:1">
      <c r="A3879" s="142" t="s">
        <v>5840</v>
      </c>
    </row>
    <row r="3880" spans="1:1">
      <c r="A3880" s="142" t="s">
        <v>5841</v>
      </c>
    </row>
    <row r="3881" spans="1:1">
      <c r="A3881" s="142" t="s">
        <v>5842</v>
      </c>
    </row>
    <row r="3882" spans="1:1">
      <c r="A3882" s="142" t="s">
        <v>5843</v>
      </c>
    </row>
    <row r="3883" spans="1:1">
      <c r="A3883" s="142" t="s">
        <v>5844</v>
      </c>
    </row>
    <row r="3884" spans="1:1">
      <c r="A3884" s="142" t="s">
        <v>5845</v>
      </c>
    </row>
    <row r="3885" spans="1:1">
      <c r="A3885" s="142" t="s">
        <v>5846</v>
      </c>
    </row>
    <row r="3886" spans="1:1">
      <c r="A3886" s="142" t="s">
        <v>5847</v>
      </c>
    </row>
    <row r="3887" spans="1:1">
      <c r="A3887" s="142" t="s">
        <v>5848</v>
      </c>
    </row>
    <row r="3888" spans="1:1">
      <c r="A3888" s="142" t="s">
        <v>5849</v>
      </c>
    </row>
    <row r="3889" spans="1:1">
      <c r="A3889" s="142" t="s">
        <v>5850</v>
      </c>
    </row>
    <row r="3890" spans="1:1">
      <c r="A3890" s="142" t="s">
        <v>5851</v>
      </c>
    </row>
    <row r="3891" spans="1:1">
      <c r="A3891" s="142" t="s">
        <v>5852</v>
      </c>
    </row>
    <row r="3892" spans="1:1">
      <c r="A3892" s="142" t="s">
        <v>5853</v>
      </c>
    </row>
    <row r="3893" spans="1:1">
      <c r="A3893" s="142" t="s">
        <v>5854</v>
      </c>
    </row>
    <row r="3894" spans="1:1">
      <c r="A3894" s="142" t="s">
        <v>5855</v>
      </c>
    </row>
    <row r="3895" spans="1:1">
      <c r="A3895" s="142" t="s">
        <v>5856</v>
      </c>
    </row>
    <row r="3896" spans="1:1">
      <c r="A3896" s="142" t="s">
        <v>5857</v>
      </c>
    </row>
    <row r="3897" spans="1:1">
      <c r="A3897" s="142" t="s">
        <v>5858</v>
      </c>
    </row>
    <row r="3898" spans="1:1">
      <c r="A3898" s="142" t="s">
        <v>5859</v>
      </c>
    </row>
    <row r="3899" spans="1:1">
      <c r="A3899" s="142" t="s">
        <v>5860</v>
      </c>
    </row>
    <row r="3900" spans="1:1">
      <c r="A3900" s="142" t="s">
        <v>5861</v>
      </c>
    </row>
    <row r="3901" spans="1:1">
      <c r="A3901" s="142" t="s">
        <v>5862</v>
      </c>
    </row>
    <row r="3902" spans="1:1">
      <c r="A3902" s="142" t="s">
        <v>5863</v>
      </c>
    </row>
    <row r="3903" spans="1:1">
      <c r="A3903" s="142" t="s">
        <v>5864</v>
      </c>
    </row>
    <row r="3904" spans="1:1">
      <c r="A3904" s="142" t="s">
        <v>5865</v>
      </c>
    </row>
    <row r="3905" spans="1:1">
      <c r="A3905" s="142" t="s">
        <v>5866</v>
      </c>
    </row>
    <row r="3906" spans="1:1">
      <c r="A3906" s="142" t="s">
        <v>5867</v>
      </c>
    </row>
    <row r="3907" spans="1:1">
      <c r="A3907" s="142" t="s">
        <v>5868</v>
      </c>
    </row>
    <row r="3908" spans="1:1">
      <c r="A3908" s="142" t="s">
        <v>5869</v>
      </c>
    </row>
    <row r="3909" spans="1:1">
      <c r="A3909" s="142" t="s">
        <v>5870</v>
      </c>
    </row>
    <row r="3910" spans="1:1">
      <c r="A3910" s="142" t="s">
        <v>5871</v>
      </c>
    </row>
    <row r="3911" spans="1:1">
      <c r="A3911" s="142" t="s">
        <v>5872</v>
      </c>
    </row>
    <row r="3912" spans="1:1">
      <c r="A3912" s="142" t="s">
        <v>5873</v>
      </c>
    </row>
    <row r="3913" spans="1:1">
      <c r="A3913" s="142" t="s">
        <v>5874</v>
      </c>
    </row>
    <row r="3914" spans="1:1">
      <c r="A3914" s="142" t="s">
        <v>5875</v>
      </c>
    </row>
    <row r="3915" spans="1:1">
      <c r="A3915" s="142" t="s">
        <v>5876</v>
      </c>
    </row>
    <row r="3916" spans="1:1">
      <c r="A3916" s="142" t="s">
        <v>5877</v>
      </c>
    </row>
    <row r="3917" spans="1:1">
      <c r="A3917" s="142" t="s">
        <v>5878</v>
      </c>
    </row>
    <row r="3918" spans="1:1">
      <c r="A3918" s="142" t="s">
        <v>5879</v>
      </c>
    </row>
    <row r="3919" spans="1:1">
      <c r="A3919" s="142" t="s">
        <v>5880</v>
      </c>
    </row>
    <row r="3920" spans="1:1">
      <c r="A3920" s="142" t="s">
        <v>5881</v>
      </c>
    </row>
    <row r="3921" spans="1:1">
      <c r="A3921" s="142" t="s">
        <v>5882</v>
      </c>
    </row>
    <row r="3922" spans="1:1">
      <c r="A3922" s="142" t="s">
        <v>5883</v>
      </c>
    </row>
    <row r="3923" spans="1:1">
      <c r="A3923" s="142" t="s">
        <v>5884</v>
      </c>
    </row>
    <row r="3924" spans="1:1">
      <c r="A3924" s="142" t="s">
        <v>5885</v>
      </c>
    </row>
    <row r="3925" spans="1:1">
      <c r="A3925" s="142" t="s">
        <v>5886</v>
      </c>
    </row>
    <row r="3926" spans="1:1">
      <c r="A3926" s="142" t="s">
        <v>5887</v>
      </c>
    </row>
    <row r="3927" spans="1:1">
      <c r="A3927" s="142" t="s">
        <v>5888</v>
      </c>
    </row>
    <row r="3928" spans="1:1">
      <c r="A3928" s="142" t="s">
        <v>5889</v>
      </c>
    </row>
    <row r="3929" spans="1:1">
      <c r="A3929" s="142" t="s">
        <v>5890</v>
      </c>
    </row>
    <row r="3930" spans="1:1">
      <c r="A3930" s="142" t="s">
        <v>5891</v>
      </c>
    </row>
    <row r="3931" spans="1:1">
      <c r="A3931" s="142" t="s">
        <v>5892</v>
      </c>
    </row>
    <row r="3932" spans="1:1">
      <c r="A3932" s="142" t="s">
        <v>5893</v>
      </c>
    </row>
    <row r="3933" spans="1:1">
      <c r="A3933" s="142" t="s">
        <v>5894</v>
      </c>
    </row>
    <row r="3934" spans="1:1">
      <c r="A3934" s="142" t="s">
        <v>5895</v>
      </c>
    </row>
    <row r="3935" spans="1:1">
      <c r="A3935" s="142" t="s">
        <v>5896</v>
      </c>
    </row>
    <row r="3936" spans="1:1">
      <c r="A3936" s="142" t="s">
        <v>5897</v>
      </c>
    </row>
    <row r="3937" spans="1:1">
      <c r="A3937" s="142" t="s">
        <v>5898</v>
      </c>
    </row>
    <row r="3938" spans="1:1">
      <c r="A3938" s="142" t="s">
        <v>5899</v>
      </c>
    </row>
    <row r="3939" spans="1:1">
      <c r="A3939" s="142" t="s">
        <v>5900</v>
      </c>
    </row>
    <row r="3940" spans="1:1">
      <c r="A3940" s="142" t="s">
        <v>5901</v>
      </c>
    </row>
    <row r="3941" spans="1:1">
      <c r="A3941" s="142" t="s">
        <v>5902</v>
      </c>
    </row>
    <row r="3942" spans="1:1">
      <c r="A3942" s="142" t="s">
        <v>5903</v>
      </c>
    </row>
    <row r="3943" spans="1:1">
      <c r="A3943" s="142" t="s">
        <v>5904</v>
      </c>
    </row>
    <row r="3944" spans="1:1">
      <c r="A3944" s="142" t="s">
        <v>5905</v>
      </c>
    </row>
    <row r="3945" spans="1:1">
      <c r="A3945" s="142" t="s">
        <v>5906</v>
      </c>
    </row>
    <row r="3946" spans="1:1">
      <c r="A3946" s="142" t="s">
        <v>5907</v>
      </c>
    </row>
    <row r="3947" spans="1:1">
      <c r="A3947" s="142" t="s">
        <v>5908</v>
      </c>
    </row>
    <row r="3948" spans="1:1">
      <c r="A3948" s="142" t="s">
        <v>5909</v>
      </c>
    </row>
    <row r="3949" spans="1:1">
      <c r="A3949" s="142" t="s">
        <v>5910</v>
      </c>
    </row>
    <row r="3950" spans="1:1">
      <c r="A3950" s="142" t="s">
        <v>5911</v>
      </c>
    </row>
    <row r="3951" spans="1:1">
      <c r="A3951" s="142" t="s">
        <v>5912</v>
      </c>
    </row>
    <row r="3952" spans="1:1">
      <c r="A3952" s="142" t="s">
        <v>5913</v>
      </c>
    </row>
    <row r="3953" spans="1:1">
      <c r="A3953" s="142" t="s">
        <v>5914</v>
      </c>
    </row>
    <row r="3954" spans="1:1">
      <c r="A3954" s="142" t="s">
        <v>5915</v>
      </c>
    </row>
    <row r="3955" spans="1:1">
      <c r="A3955" s="142" t="s">
        <v>5916</v>
      </c>
    </row>
    <row r="3956" spans="1:1">
      <c r="A3956" s="142" t="s">
        <v>5917</v>
      </c>
    </row>
    <row r="3957" spans="1:1">
      <c r="A3957" s="142" t="s">
        <v>5918</v>
      </c>
    </row>
    <row r="3958" spans="1:1">
      <c r="A3958" s="142" t="s">
        <v>5919</v>
      </c>
    </row>
    <row r="3959" spans="1:1">
      <c r="A3959" s="142" t="s">
        <v>5920</v>
      </c>
    </row>
    <row r="3960" spans="1:1">
      <c r="A3960" s="142" t="s">
        <v>5921</v>
      </c>
    </row>
    <row r="3961" spans="1:1">
      <c r="A3961" s="142" t="s">
        <v>5922</v>
      </c>
    </row>
    <row r="3962" spans="1:1">
      <c r="A3962" s="142" t="s">
        <v>5923</v>
      </c>
    </row>
    <row r="3963" spans="1:1">
      <c r="A3963" s="142" t="s">
        <v>5924</v>
      </c>
    </row>
    <row r="3964" spans="1:1">
      <c r="A3964" s="142" t="s">
        <v>5925</v>
      </c>
    </row>
    <row r="3965" spans="1:1">
      <c r="A3965" s="142" t="s">
        <v>5926</v>
      </c>
    </row>
    <row r="3966" spans="1:1">
      <c r="A3966" s="142" t="s">
        <v>5927</v>
      </c>
    </row>
    <row r="3967" spans="1:1">
      <c r="A3967" s="142" t="s">
        <v>5928</v>
      </c>
    </row>
    <row r="3968" spans="1:1">
      <c r="A3968" s="142" t="s">
        <v>5929</v>
      </c>
    </row>
    <row r="3969" spans="1:1">
      <c r="A3969" s="142" t="s">
        <v>5930</v>
      </c>
    </row>
    <row r="3970" spans="1:1">
      <c r="A3970" s="142" t="s">
        <v>5931</v>
      </c>
    </row>
    <row r="3971" spans="1:1">
      <c r="A3971" s="142" t="s">
        <v>5932</v>
      </c>
    </row>
    <row r="3972" spans="1:1">
      <c r="A3972" s="142" t="s">
        <v>5933</v>
      </c>
    </row>
    <row r="3973" spans="1:1">
      <c r="A3973" s="142" t="s">
        <v>5934</v>
      </c>
    </row>
    <row r="3974" spans="1:1">
      <c r="A3974" s="142" t="s">
        <v>5935</v>
      </c>
    </row>
    <row r="3975" spans="1:1">
      <c r="A3975" s="142" t="s">
        <v>5936</v>
      </c>
    </row>
    <row r="3976" spans="1:1">
      <c r="A3976" s="142" t="s">
        <v>5937</v>
      </c>
    </row>
    <row r="3977" spans="1:1">
      <c r="A3977" s="142" t="s">
        <v>5938</v>
      </c>
    </row>
    <row r="3978" spans="1:1">
      <c r="A3978" s="142" t="s">
        <v>5939</v>
      </c>
    </row>
    <row r="3979" spans="1:1">
      <c r="A3979" s="142" t="s">
        <v>5940</v>
      </c>
    </row>
    <row r="3980" spans="1:1">
      <c r="A3980" s="142" t="s">
        <v>5941</v>
      </c>
    </row>
    <row r="3981" spans="1:1">
      <c r="A3981" s="142" t="s">
        <v>5942</v>
      </c>
    </row>
    <row r="3982" spans="1:1">
      <c r="A3982" s="142" t="s">
        <v>5943</v>
      </c>
    </row>
    <row r="3983" spans="1:1">
      <c r="A3983" s="142" t="s">
        <v>5944</v>
      </c>
    </row>
    <row r="3984" spans="1:1">
      <c r="A3984" s="142" t="s">
        <v>5945</v>
      </c>
    </row>
    <row r="3985" spans="1:1">
      <c r="A3985" s="142" t="s">
        <v>5946</v>
      </c>
    </row>
    <row r="3986" spans="1:1">
      <c r="A3986" s="142" t="s">
        <v>5947</v>
      </c>
    </row>
    <row r="3987" spans="1:1">
      <c r="A3987" s="142" t="s">
        <v>5948</v>
      </c>
    </row>
    <row r="3988" spans="1:1">
      <c r="A3988" s="142" t="s">
        <v>5949</v>
      </c>
    </row>
    <row r="3989" spans="1:1">
      <c r="A3989" s="142" t="s">
        <v>5950</v>
      </c>
    </row>
    <row r="3990" spans="1:1">
      <c r="A3990" s="142" t="s">
        <v>5951</v>
      </c>
    </row>
    <row r="3991" spans="1:1">
      <c r="A3991" s="142" t="s">
        <v>5952</v>
      </c>
    </row>
    <row r="3992" spans="1:1">
      <c r="A3992" s="142" t="s">
        <v>5953</v>
      </c>
    </row>
    <row r="3993" spans="1:1">
      <c r="A3993" s="142" t="s">
        <v>5954</v>
      </c>
    </row>
    <row r="3994" spans="1:1">
      <c r="A3994" s="142" t="s">
        <v>5955</v>
      </c>
    </row>
    <row r="3995" spans="1:1">
      <c r="A3995" s="142" t="s">
        <v>5956</v>
      </c>
    </row>
    <row r="3996" spans="1:1">
      <c r="A3996" s="142" t="s">
        <v>5957</v>
      </c>
    </row>
    <row r="3997" spans="1:1">
      <c r="A3997" s="142" t="s">
        <v>5958</v>
      </c>
    </row>
    <row r="3998" spans="1:1">
      <c r="A3998" s="142" t="s">
        <v>5959</v>
      </c>
    </row>
    <row r="3999" spans="1:1">
      <c r="A3999" s="142" t="s">
        <v>5960</v>
      </c>
    </row>
    <row r="4000" spans="1:1">
      <c r="A4000" s="142" t="s">
        <v>5961</v>
      </c>
    </row>
    <row r="4001" spans="1:1">
      <c r="A4001" s="142" t="s">
        <v>5962</v>
      </c>
    </row>
    <row r="4002" spans="1:1">
      <c r="A4002" s="142" t="s">
        <v>5963</v>
      </c>
    </row>
    <row r="4003" spans="1:1">
      <c r="A4003" s="142" t="s">
        <v>5964</v>
      </c>
    </row>
    <row r="4004" spans="1:1">
      <c r="A4004" s="142" t="s">
        <v>5965</v>
      </c>
    </row>
    <row r="4005" spans="1:1">
      <c r="A4005" s="142" t="s">
        <v>5966</v>
      </c>
    </row>
    <row r="4006" spans="1:1">
      <c r="A4006" s="142" t="s">
        <v>5967</v>
      </c>
    </row>
    <row r="4007" spans="1:1">
      <c r="A4007" s="142" t="s">
        <v>5968</v>
      </c>
    </row>
    <row r="4008" spans="1:1">
      <c r="A4008" s="142" t="s">
        <v>5969</v>
      </c>
    </row>
    <row r="4009" spans="1:1">
      <c r="A4009" s="142" t="s">
        <v>5970</v>
      </c>
    </row>
    <row r="4010" spans="1:1">
      <c r="A4010" s="142" t="s">
        <v>5971</v>
      </c>
    </row>
    <row r="4011" spans="1:1">
      <c r="A4011" s="142" t="s">
        <v>5972</v>
      </c>
    </row>
    <row r="4012" spans="1:1">
      <c r="A4012" s="142" t="s">
        <v>5973</v>
      </c>
    </row>
    <row r="4013" spans="1:1">
      <c r="A4013" s="142" t="s">
        <v>5974</v>
      </c>
    </row>
    <row r="4014" spans="1:1">
      <c r="A4014" s="142" t="s">
        <v>5975</v>
      </c>
    </row>
    <row r="4015" spans="1:1">
      <c r="A4015" s="142" t="s">
        <v>5976</v>
      </c>
    </row>
    <row r="4016" spans="1:1">
      <c r="A4016" s="142" t="s">
        <v>5977</v>
      </c>
    </row>
    <row r="4017" spans="1:1">
      <c r="A4017" s="142" t="s">
        <v>5978</v>
      </c>
    </row>
    <row r="4018" spans="1:1">
      <c r="A4018" s="142" t="s">
        <v>5979</v>
      </c>
    </row>
    <row r="4019" spans="1:1">
      <c r="A4019" s="142" t="s">
        <v>5980</v>
      </c>
    </row>
    <row r="4020" spans="1:1">
      <c r="A4020" s="142" t="s">
        <v>5981</v>
      </c>
    </row>
    <row r="4021" spans="1:1">
      <c r="A4021" s="142" t="s">
        <v>5982</v>
      </c>
    </row>
    <row r="4022" spans="1:1">
      <c r="A4022" s="142" t="s">
        <v>5983</v>
      </c>
    </row>
    <row r="4023" spans="1:1">
      <c r="A4023" s="142" t="s">
        <v>5984</v>
      </c>
    </row>
    <row r="4024" spans="1:1">
      <c r="A4024" s="142" t="s">
        <v>5985</v>
      </c>
    </row>
    <row r="4025" spans="1:1">
      <c r="A4025" s="142" t="s">
        <v>5986</v>
      </c>
    </row>
    <row r="4026" spans="1:1">
      <c r="A4026" s="142" t="s">
        <v>5987</v>
      </c>
    </row>
    <row r="4027" spans="1:1">
      <c r="A4027" s="142" t="s">
        <v>5988</v>
      </c>
    </row>
    <row r="4028" spans="1:1">
      <c r="A4028" s="142" t="s">
        <v>5989</v>
      </c>
    </row>
    <row r="4029" spans="1:1">
      <c r="A4029" s="142" t="s">
        <v>5990</v>
      </c>
    </row>
    <row r="4030" spans="1:1">
      <c r="A4030" s="142" t="s">
        <v>5991</v>
      </c>
    </row>
    <row r="4031" spans="1:1">
      <c r="A4031" s="142" t="s">
        <v>5992</v>
      </c>
    </row>
    <row r="4032" spans="1:1">
      <c r="A4032" s="142" t="s">
        <v>5993</v>
      </c>
    </row>
    <row r="4033" spans="1:1">
      <c r="A4033" s="142" t="s">
        <v>5994</v>
      </c>
    </row>
    <row r="4034" spans="1:1">
      <c r="A4034" s="142" t="s">
        <v>5995</v>
      </c>
    </row>
    <row r="4035" spans="1:1">
      <c r="A4035" s="142" t="s">
        <v>5996</v>
      </c>
    </row>
    <row r="4036" spans="1:1">
      <c r="A4036" s="142" t="s">
        <v>5997</v>
      </c>
    </row>
    <row r="4037" spans="1:1">
      <c r="A4037" s="142" t="s">
        <v>5998</v>
      </c>
    </row>
    <row r="4038" spans="1:1">
      <c r="A4038" s="142" t="s">
        <v>5999</v>
      </c>
    </row>
    <row r="4039" spans="1:1">
      <c r="A4039" s="142" t="s">
        <v>6000</v>
      </c>
    </row>
    <row r="4040" spans="1:1">
      <c r="A4040" s="142" t="s">
        <v>6001</v>
      </c>
    </row>
    <row r="4041" spans="1:1">
      <c r="A4041" s="142" t="s">
        <v>6002</v>
      </c>
    </row>
    <row r="4042" spans="1:1">
      <c r="A4042" s="142" t="s">
        <v>6003</v>
      </c>
    </row>
    <row r="4043" spans="1:1">
      <c r="A4043" s="142" t="s">
        <v>6004</v>
      </c>
    </row>
    <row r="4044" spans="1:1">
      <c r="A4044" s="142" t="s">
        <v>6005</v>
      </c>
    </row>
    <row r="4045" spans="1:1">
      <c r="A4045" s="142" t="s">
        <v>6006</v>
      </c>
    </row>
    <row r="4046" spans="1:1">
      <c r="A4046" s="142" t="s">
        <v>6007</v>
      </c>
    </row>
    <row r="4047" spans="1:1">
      <c r="A4047" s="142" t="s">
        <v>6008</v>
      </c>
    </row>
    <row r="4048" spans="1:1">
      <c r="A4048" s="142" t="s">
        <v>6009</v>
      </c>
    </row>
    <row r="4049" spans="1:1">
      <c r="A4049" s="142" t="s">
        <v>6010</v>
      </c>
    </row>
    <row r="4050" spans="1:1">
      <c r="A4050" s="142" t="s">
        <v>6011</v>
      </c>
    </row>
    <row r="4051" spans="1:1">
      <c r="A4051" s="142" t="s">
        <v>6012</v>
      </c>
    </row>
    <row r="4052" spans="1:1">
      <c r="A4052" s="142" t="s">
        <v>6013</v>
      </c>
    </row>
    <row r="4053" spans="1:1">
      <c r="A4053" s="142" t="s">
        <v>6014</v>
      </c>
    </row>
    <row r="4054" spans="1:1">
      <c r="A4054" s="142" t="s">
        <v>6015</v>
      </c>
    </row>
    <row r="4055" spans="1:1">
      <c r="A4055" s="142" t="s">
        <v>6016</v>
      </c>
    </row>
    <row r="4056" spans="1:1">
      <c r="A4056" s="142" t="s">
        <v>6017</v>
      </c>
    </row>
    <row r="4057" spans="1:1">
      <c r="A4057" s="142" t="s">
        <v>6018</v>
      </c>
    </row>
    <row r="4058" spans="1:1">
      <c r="A4058" s="142" t="s">
        <v>6019</v>
      </c>
    </row>
    <row r="4059" spans="1:1">
      <c r="A4059" s="142" t="s">
        <v>6020</v>
      </c>
    </row>
    <row r="4060" spans="1:1">
      <c r="A4060" s="142" t="s">
        <v>6021</v>
      </c>
    </row>
    <row r="4061" spans="1:1">
      <c r="A4061" s="142" t="s">
        <v>6022</v>
      </c>
    </row>
    <row r="4062" spans="1:1">
      <c r="A4062" s="142" t="s">
        <v>6023</v>
      </c>
    </row>
    <row r="4063" spans="1:1">
      <c r="A4063" s="142" t="s">
        <v>6024</v>
      </c>
    </row>
    <row r="4064" spans="1:1">
      <c r="A4064" s="142" t="s">
        <v>6025</v>
      </c>
    </row>
    <row r="4065" spans="1:1">
      <c r="A4065" s="142" t="s">
        <v>6026</v>
      </c>
    </row>
    <row r="4066" spans="1:1">
      <c r="A4066" s="142" t="s">
        <v>6027</v>
      </c>
    </row>
    <row r="4067" spans="1:1">
      <c r="A4067" s="142" t="s">
        <v>6028</v>
      </c>
    </row>
    <row r="4068" spans="1:1">
      <c r="A4068" s="142" t="s">
        <v>6029</v>
      </c>
    </row>
    <row r="4069" spans="1:1">
      <c r="A4069" s="142" t="s">
        <v>6030</v>
      </c>
    </row>
    <row r="4070" spans="1:1">
      <c r="A4070" s="142" t="s">
        <v>6031</v>
      </c>
    </row>
    <row r="4071" spans="1:1">
      <c r="A4071" s="142" t="s">
        <v>6032</v>
      </c>
    </row>
    <row r="4072" spans="1:1">
      <c r="A4072" s="142" t="s">
        <v>6033</v>
      </c>
    </row>
    <row r="4073" spans="1:1">
      <c r="A4073" s="142" t="s">
        <v>6034</v>
      </c>
    </row>
    <row r="4074" spans="1:1">
      <c r="A4074" s="142" t="s">
        <v>6035</v>
      </c>
    </row>
    <row r="4075" spans="1:1">
      <c r="A4075" s="142" t="s">
        <v>6036</v>
      </c>
    </row>
    <row r="4076" spans="1:1">
      <c r="A4076" s="142" t="s">
        <v>6037</v>
      </c>
    </row>
    <row r="4077" spans="1:1">
      <c r="A4077" s="142" t="s">
        <v>6038</v>
      </c>
    </row>
    <row r="4078" spans="1:1">
      <c r="A4078" s="142" t="s">
        <v>6039</v>
      </c>
    </row>
    <row r="4079" spans="1:1">
      <c r="A4079" s="142" t="s">
        <v>6040</v>
      </c>
    </row>
    <row r="4080" spans="1:1">
      <c r="A4080" s="142" t="s">
        <v>6041</v>
      </c>
    </row>
    <row r="4081" spans="1:1">
      <c r="A4081" s="142" t="s">
        <v>6042</v>
      </c>
    </row>
    <row r="4082" spans="1:1">
      <c r="A4082" s="142" t="s">
        <v>6043</v>
      </c>
    </row>
    <row r="4083" spans="1:1">
      <c r="A4083" s="142" t="s">
        <v>6044</v>
      </c>
    </row>
    <row r="4084" spans="1:1">
      <c r="A4084" s="142" t="s">
        <v>6045</v>
      </c>
    </row>
    <row r="4085" spans="1:1">
      <c r="A4085" s="142" t="s">
        <v>6046</v>
      </c>
    </row>
    <row r="4086" spans="1:1">
      <c r="A4086" s="142" t="s">
        <v>6047</v>
      </c>
    </row>
    <row r="4087" spans="1:1">
      <c r="A4087" s="142" t="s">
        <v>6048</v>
      </c>
    </row>
    <row r="4088" spans="1:1">
      <c r="A4088" s="142" t="s">
        <v>6049</v>
      </c>
    </row>
    <row r="4089" spans="1:1">
      <c r="A4089" s="142" t="s">
        <v>6050</v>
      </c>
    </row>
    <row r="4090" spans="1:1">
      <c r="A4090" s="142" t="s">
        <v>6051</v>
      </c>
    </row>
    <row r="4091" spans="1:1">
      <c r="A4091" s="142" t="s">
        <v>6052</v>
      </c>
    </row>
    <row r="4092" spans="1:1">
      <c r="A4092" s="142" t="s">
        <v>6053</v>
      </c>
    </row>
    <row r="4093" spans="1:1">
      <c r="A4093" s="142" t="s">
        <v>6054</v>
      </c>
    </row>
    <row r="4094" spans="1:1">
      <c r="A4094" s="142" t="s">
        <v>6055</v>
      </c>
    </row>
    <row r="4095" spans="1:1">
      <c r="A4095" s="142" t="s">
        <v>6056</v>
      </c>
    </row>
    <row r="4096" spans="1:1">
      <c r="A4096" s="142" t="s">
        <v>6057</v>
      </c>
    </row>
    <row r="4097" spans="1:1">
      <c r="A4097" s="142" t="s">
        <v>6058</v>
      </c>
    </row>
    <row r="4098" spans="1:1">
      <c r="A4098" s="142" t="s">
        <v>6059</v>
      </c>
    </row>
    <row r="4099" spans="1:1">
      <c r="A4099" s="142" t="s">
        <v>6060</v>
      </c>
    </row>
    <row r="4100" spans="1:1">
      <c r="A4100" s="142" t="s">
        <v>6061</v>
      </c>
    </row>
    <row r="4101" spans="1:1">
      <c r="A4101" s="142" t="s">
        <v>6062</v>
      </c>
    </row>
    <row r="4102" spans="1:1">
      <c r="A4102" s="142" t="s">
        <v>6063</v>
      </c>
    </row>
    <row r="4103" spans="1:1">
      <c r="A4103" s="142" t="s">
        <v>6064</v>
      </c>
    </row>
    <row r="4104" spans="1:1">
      <c r="A4104" s="142" t="s">
        <v>6065</v>
      </c>
    </row>
    <row r="4105" spans="1:1">
      <c r="A4105" s="142" t="s">
        <v>6066</v>
      </c>
    </row>
    <row r="4106" spans="1:1">
      <c r="A4106" s="142" t="s">
        <v>6067</v>
      </c>
    </row>
    <row r="4107" spans="1:1">
      <c r="A4107" s="142" t="s">
        <v>6068</v>
      </c>
    </row>
    <row r="4108" spans="1:1">
      <c r="A4108" s="142" t="s">
        <v>6069</v>
      </c>
    </row>
    <row r="4109" spans="1:1">
      <c r="A4109" s="142" t="s">
        <v>6070</v>
      </c>
    </row>
    <row r="4110" spans="1:1">
      <c r="A4110" s="142" t="s">
        <v>6071</v>
      </c>
    </row>
    <row r="4111" spans="1:1">
      <c r="A4111" s="142" t="s">
        <v>6072</v>
      </c>
    </row>
    <row r="4112" spans="1:1">
      <c r="A4112" s="142" t="s">
        <v>6073</v>
      </c>
    </row>
    <row r="4113" spans="1:1">
      <c r="A4113" s="142" t="s">
        <v>6074</v>
      </c>
    </row>
    <row r="4114" spans="1:1">
      <c r="A4114" s="142" t="s">
        <v>6075</v>
      </c>
    </row>
    <row r="4115" spans="1:1">
      <c r="A4115" s="142" t="s">
        <v>6076</v>
      </c>
    </row>
    <row r="4116" spans="1:1">
      <c r="A4116" s="142" t="s">
        <v>6077</v>
      </c>
    </row>
    <row r="4117" spans="1:1">
      <c r="A4117" s="142" t="s">
        <v>6078</v>
      </c>
    </row>
    <row r="4118" spans="1:1">
      <c r="A4118" s="142" t="s">
        <v>6079</v>
      </c>
    </row>
    <row r="4119" spans="1:1">
      <c r="A4119" s="142" t="s">
        <v>6080</v>
      </c>
    </row>
    <row r="4120" spans="1:1">
      <c r="A4120" s="142" t="s">
        <v>6081</v>
      </c>
    </row>
    <row r="4121" spans="1:1">
      <c r="A4121" s="142" t="s">
        <v>6082</v>
      </c>
    </row>
    <row r="4122" spans="1:1">
      <c r="A4122" s="142" t="s">
        <v>6083</v>
      </c>
    </row>
    <row r="4123" spans="1:1">
      <c r="A4123" s="142" t="s">
        <v>6084</v>
      </c>
    </row>
    <row r="4124" spans="1:1">
      <c r="A4124" s="142" t="s">
        <v>6085</v>
      </c>
    </row>
    <row r="4125" spans="1:1">
      <c r="A4125" s="142" t="s">
        <v>6086</v>
      </c>
    </row>
    <row r="4126" spans="1:1">
      <c r="A4126" s="142" t="s">
        <v>6087</v>
      </c>
    </row>
    <row r="4127" spans="1:1">
      <c r="A4127" s="142" t="s">
        <v>6088</v>
      </c>
    </row>
    <row r="4128" spans="1:1">
      <c r="A4128" s="142" t="s">
        <v>6089</v>
      </c>
    </row>
    <row r="4129" spans="1:1">
      <c r="A4129" s="142" t="s">
        <v>6090</v>
      </c>
    </row>
    <row r="4130" spans="1:1">
      <c r="A4130" s="142" t="s">
        <v>6091</v>
      </c>
    </row>
    <row r="4131" spans="1:1">
      <c r="A4131" s="142" t="s">
        <v>6092</v>
      </c>
    </row>
    <row r="4132" spans="1:1">
      <c r="A4132" s="142" t="s">
        <v>6093</v>
      </c>
    </row>
    <row r="4133" spans="1:1">
      <c r="A4133" s="142" t="s">
        <v>6094</v>
      </c>
    </row>
    <row r="4134" spans="1:1">
      <c r="A4134" s="142" t="s">
        <v>6095</v>
      </c>
    </row>
    <row r="4135" spans="1:1">
      <c r="A4135" s="142" t="s">
        <v>6096</v>
      </c>
    </row>
    <row r="4136" spans="1:1">
      <c r="A4136" s="142" t="s">
        <v>6097</v>
      </c>
    </row>
    <row r="4137" spans="1:1">
      <c r="A4137" s="142" t="s">
        <v>6098</v>
      </c>
    </row>
    <row r="4138" spans="1:1">
      <c r="A4138" s="142" t="s">
        <v>6099</v>
      </c>
    </row>
    <row r="4139" spans="1:1">
      <c r="A4139" s="142" t="s">
        <v>6100</v>
      </c>
    </row>
    <row r="4140" spans="1:1">
      <c r="A4140" s="142" t="s">
        <v>6101</v>
      </c>
    </row>
    <row r="4141" spans="1:1">
      <c r="A4141" s="142" t="s">
        <v>6102</v>
      </c>
    </row>
    <row r="4142" spans="1:1">
      <c r="A4142" s="142" t="s">
        <v>6103</v>
      </c>
    </row>
    <row r="4143" spans="1:1">
      <c r="A4143" s="142" t="s">
        <v>6104</v>
      </c>
    </row>
    <row r="4144" spans="1:1">
      <c r="A4144" s="142" t="s">
        <v>6105</v>
      </c>
    </row>
    <row r="4145" spans="1:1">
      <c r="A4145" s="142" t="s">
        <v>6106</v>
      </c>
    </row>
    <row r="4146" spans="1:1">
      <c r="A4146" s="142" t="s">
        <v>6107</v>
      </c>
    </row>
    <row r="4147" spans="1:1">
      <c r="A4147" s="142" t="s">
        <v>6108</v>
      </c>
    </row>
    <row r="4148" spans="1:1">
      <c r="A4148" s="142" t="s">
        <v>6109</v>
      </c>
    </row>
    <row r="4149" spans="1:1">
      <c r="A4149" s="142" t="s">
        <v>6110</v>
      </c>
    </row>
    <row r="4150" spans="1:1">
      <c r="A4150" s="142" t="s">
        <v>6111</v>
      </c>
    </row>
    <row r="4151" spans="1:1">
      <c r="A4151" s="142" t="s">
        <v>6112</v>
      </c>
    </row>
    <row r="4152" spans="1:1">
      <c r="A4152" s="142" t="s">
        <v>6113</v>
      </c>
    </row>
    <row r="4153" spans="1:1">
      <c r="A4153" s="142" t="s">
        <v>6114</v>
      </c>
    </row>
    <row r="4154" spans="1:1">
      <c r="A4154" s="142" t="s">
        <v>6115</v>
      </c>
    </row>
    <row r="4155" spans="1:1">
      <c r="A4155" s="142" t="s">
        <v>6116</v>
      </c>
    </row>
    <row r="4156" spans="1:1">
      <c r="A4156" s="142" t="s">
        <v>6117</v>
      </c>
    </row>
    <row r="4157" spans="1:1">
      <c r="A4157" s="142" t="s">
        <v>6118</v>
      </c>
    </row>
    <row r="4158" spans="1:1">
      <c r="A4158" s="142" t="s">
        <v>6119</v>
      </c>
    </row>
    <row r="4159" spans="1:1">
      <c r="A4159" s="142" t="s">
        <v>6120</v>
      </c>
    </row>
    <row r="4160" spans="1:1">
      <c r="A4160" s="142" t="s">
        <v>6121</v>
      </c>
    </row>
    <row r="4161" spans="1:1">
      <c r="A4161" s="142" t="s">
        <v>6122</v>
      </c>
    </row>
    <row r="4162" spans="1:1">
      <c r="A4162" s="142" t="s">
        <v>6123</v>
      </c>
    </row>
    <row r="4163" spans="1:1">
      <c r="A4163" s="142" t="s">
        <v>6124</v>
      </c>
    </row>
    <row r="4164" spans="1:1">
      <c r="A4164" s="142" t="s">
        <v>6125</v>
      </c>
    </row>
    <row r="4165" spans="1:1">
      <c r="A4165" s="142" t="s">
        <v>6126</v>
      </c>
    </row>
    <row r="4166" spans="1:1">
      <c r="A4166" s="142" t="s">
        <v>6127</v>
      </c>
    </row>
    <row r="4167" spans="1:1">
      <c r="A4167" s="142" t="s">
        <v>6128</v>
      </c>
    </row>
    <row r="4168" spans="1:1">
      <c r="A4168" s="142" t="s">
        <v>6129</v>
      </c>
    </row>
    <row r="4169" spans="1:1">
      <c r="A4169" s="142" t="s">
        <v>6130</v>
      </c>
    </row>
    <row r="4170" spans="1:1">
      <c r="A4170" s="142" t="s">
        <v>6131</v>
      </c>
    </row>
    <row r="4171" spans="1:1">
      <c r="A4171" s="142" t="s">
        <v>6132</v>
      </c>
    </row>
    <row r="4172" spans="1:1">
      <c r="A4172" s="142" t="s">
        <v>6133</v>
      </c>
    </row>
    <row r="4173" spans="1:1">
      <c r="A4173" s="142" t="s">
        <v>6134</v>
      </c>
    </row>
    <row r="4174" spans="1:1">
      <c r="A4174" s="142" t="s">
        <v>6135</v>
      </c>
    </row>
    <row r="4175" spans="1:1">
      <c r="A4175" s="142" t="s">
        <v>6136</v>
      </c>
    </row>
    <row r="4176" spans="1:1">
      <c r="A4176" s="142" t="s">
        <v>6137</v>
      </c>
    </row>
    <row r="4177" spans="1:1">
      <c r="A4177" s="142" t="s">
        <v>6138</v>
      </c>
    </row>
    <row r="4178" spans="1:1">
      <c r="A4178" s="142" t="s">
        <v>6139</v>
      </c>
    </row>
    <row r="4179" spans="1:1">
      <c r="A4179" s="142" t="s">
        <v>6140</v>
      </c>
    </row>
    <row r="4180" spans="1:1">
      <c r="A4180" s="142" t="s">
        <v>6141</v>
      </c>
    </row>
    <row r="4181" spans="1:1">
      <c r="A4181" s="142" t="s">
        <v>6142</v>
      </c>
    </row>
    <row r="4182" spans="1:1">
      <c r="A4182" s="142" t="s">
        <v>6143</v>
      </c>
    </row>
    <row r="4183" spans="1:1">
      <c r="A4183" s="142" t="s">
        <v>6144</v>
      </c>
    </row>
    <row r="4184" spans="1:1">
      <c r="A4184" s="142" t="s">
        <v>6145</v>
      </c>
    </row>
    <row r="4185" spans="1:1">
      <c r="A4185" s="142" t="s">
        <v>6146</v>
      </c>
    </row>
    <row r="4186" spans="1:1">
      <c r="A4186" s="142" t="s">
        <v>6147</v>
      </c>
    </row>
    <row r="4187" spans="1:1">
      <c r="A4187" s="142" t="s">
        <v>6148</v>
      </c>
    </row>
    <row r="4188" spans="1:1">
      <c r="A4188" s="142" t="s">
        <v>6149</v>
      </c>
    </row>
    <row r="4189" spans="1:1">
      <c r="A4189" s="142" t="s">
        <v>6150</v>
      </c>
    </row>
    <row r="4190" spans="1:1">
      <c r="A4190" s="142" t="s">
        <v>6151</v>
      </c>
    </row>
    <row r="4191" spans="1:1">
      <c r="A4191" s="142" t="s">
        <v>6152</v>
      </c>
    </row>
    <row r="4192" spans="1:1">
      <c r="A4192" s="142" t="s">
        <v>6153</v>
      </c>
    </row>
    <row r="4193" spans="1:1">
      <c r="A4193" s="142" t="s">
        <v>6154</v>
      </c>
    </row>
    <row r="4194" spans="1:1">
      <c r="A4194" s="142" t="s">
        <v>6155</v>
      </c>
    </row>
    <row r="4195" spans="1:1">
      <c r="A4195" s="142" t="s">
        <v>6156</v>
      </c>
    </row>
    <row r="4196" spans="1:1">
      <c r="A4196" s="142" t="s">
        <v>6157</v>
      </c>
    </row>
    <row r="4197" spans="1:1">
      <c r="A4197" s="142" t="s">
        <v>6158</v>
      </c>
    </row>
    <row r="4198" spans="1:1">
      <c r="A4198" s="142" t="s">
        <v>6159</v>
      </c>
    </row>
    <row r="4199" spans="1:1">
      <c r="A4199" s="142" t="s">
        <v>6160</v>
      </c>
    </row>
    <row r="4200" spans="1:1">
      <c r="A4200" s="142" t="s">
        <v>6161</v>
      </c>
    </row>
    <row r="4201" spans="1:1">
      <c r="A4201" s="142" t="s">
        <v>6162</v>
      </c>
    </row>
    <row r="4202" spans="1:1">
      <c r="A4202" s="142" t="s">
        <v>6163</v>
      </c>
    </row>
    <row r="4203" spans="1:1">
      <c r="A4203" s="142" t="s">
        <v>6164</v>
      </c>
    </row>
    <row r="4204" spans="1:1">
      <c r="A4204" s="142" t="s">
        <v>6165</v>
      </c>
    </row>
    <row r="4205" spans="1:1">
      <c r="A4205" s="142" t="s">
        <v>6166</v>
      </c>
    </row>
    <row r="4206" spans="1:1">
      <c r="A4206" s="142" t="s">
        <v>6167</v>
      </c>
    </row>
    <row r="4207" spans="1:1">
      <c r="A4207" s="142" t="s">
        <v>6168</v>
      </c>
    </row>
    <row r="4208" spans="1:1">
      <c r="A4208" s="142" t="s">
        <v>6169</v>
      </c>
    </row>
    <row r="4209" spans="1:1">
      <c r="A4209" s="142" t="s">
        <v>6170</v>
      </c>
    </row>
    <row r="4210" spans="1:1">
      <c r="A4210" s="142" t="s">
        <v>6171</v>
      </c>
    </row>
    <row r="4211" spans="1:1">
      <c r="A4211" s="142" t="s">
        <v>6172</v>
      </c>
    </row>
    <row r="4212" spans="1:1">
      <c r="A4212" s="142" t="s">
        <v>6173</v>
      </c>
    </row>
    <row r="4213" spans="1:1">
      <c r="A4213" s="142" t="s">
        <v>6174</v>
      </c>
    </row>
    <row r="4214" spans="1:1">
      <c r="A4214" s="142" t="s">
        <v>6175</v>
      </c>
    </row>
    <row r="4215" spans="1:1">
      <c r="A4215" s="142" t="s">
        <v>6176</v>
      </c>
    </row>
    <row r="4216" spans="1:1">
      <c r="A4216" s="142" t="s">
        <v>6177</v>
      </c>
    </row>
    <row r="4217" spans="1:1">
      <c r="A4217" s="142" t="s">
        <v>6178</v>
      </c>
    </row>
    <row r="4218" spans="1:1">
      <c r="A4218" s="142" t="s">
        <v>6179</v>
      </c>
    </row>
    <row r="4219" spans="1:1">
      <c r="A4219" s="142" t="s">
        <v>6180</v>
      </c>
    </row>
    <row r="4220" spans="1:1">
      <c r="A4220" s="142" t="s">
        <v>6181</v>
      </c>
    </row>
    <row r="4221" spans="1:1">
      <c r="A4221" s="142" t="s">
        <v>6182</v>
      </c>
    </row>
    <row r="4222" spans="1:1">
      <c r="A4222" s="142" t="s">
        <v>6183</v>
      </c>
    </row>
    <row r="4223" spans="1:1">
      <c r="A4223" s="142" t="s">
        <v>6184</v>
      </c>
    </row>
    <row r="4224" spans="1:1">
      <c r="A4224" s="142" t="s">
        <v>6185</v>
      </c>
    </row>
    <row r="4225" spans="1:1">
      <c r="A4225" s="142" t="s">
        <v>6186</v>
      </c>
    </row>
    <row r="4226" spans="1:1">
      <c r="A4226" s="142" t="s">
        <v>6187</v>
      </c>
    </row>
    <row r="4227" spans="1:1">
      <c r="A4227" s="142" t="s">
        <v>6188</v>
      </c>
    </row>
    <row r="4228" spans="1:1">
      <c r="A4228" s="142" t="s">
        <v>6189</v>
      </c>
    </row>
    <row r="4229" spans="1:1">
      <c r="A4229" s="142" t="s">
        <v>6190</v>
      </c>
    </row>
    <row r="4230" spans="1:1">
      <c r="A4230" s="142" t="s">
        <v>6191</v>
      </c>
    </row>
    <row r="4231" spans="1:1">
      <c r="A4231" s="142" t="s">
        <v>6192</v>
      </c>
    </row>
    <row r="4232" spans="1:1">
      <c r="A4232" s="142" t="s">
        <v>6193</v>
      </c>
    </row>
    <row r="4233" spans="1:1">
      <c r="A4233" s="142" t="s">
        <v>6194</v>
      </c>
    </row>
    <row r="4234" spans="1:1">
      <c r="A4234" s="142" t="s">
        <v>6195</v>
      </c>
    </row>
    <row r="4235" spans="1:1">
      <c r="A4235" s="142" t="s">
        <v>6196</v>
      </c>
    </row>
    <row r="4236" spans="1:1">
      <c r="A4236" s="142" t="s">
        <v>6197</v>
      </c>
    </row>
    <row r="4237" spans="1:1">
      <c r="A4237" s="142" t="s">
        <v>6198</v>
      </c>
    </row>
    <row r="4238" spans="1:1">
      <c r="A4238" s="142" t="s">
        <v>6199</v>
      </c>
    </row>
    <row r="4239" spans="1:1">
      <c r="A4239" s="142" t="s">
        <v>6200</v>
      </c>
    </row>
    <row r="4240" spans="1:1">
      <c r="A4240" s="142" t="s">
        <v>6201</v>
      </c>
    </row>
    <row r="4241" spans="1:1">
      <c r="A4241" s="142" t="s">
        <v>6202</v>
      </c>
    </row>
    <row r="4242" spans="1:1">
      <c r="A4242" s="142" t="s">
        <v>6203</v>
      </c>
    </row>
    <row r="4243" spans="1:1">
      <c r="A4243" s="142" t="s">
        <v>6204</v>
      </c>
    </row>
    <row r="4244" spans="1:1">
      <c r="A4244" s="142" t="s">
        <v>6205</v>
      </c>
    </row>
    <row r="4245" spans="1:1">
      <c r="A4245" s="142" t="s">
        <v>6206</v>
      </c>
    </row>
    <row r="4246" spans="1:1">
      <c r="A4246" s="142" t="s">
        <v>6207</v>
      </c>
    </row>
    <row r="4247" spans="1:1">
      <c r="A4247" s="142" t="s">
        <v>6208</v>
      </c>
    </row>
    <row r="4248" spans="1:1">
      <c r="A4248" s="142" t="s">
        <v>6209</v>
      </c>
    </row>
    <row r="4249" spans="1:1">
      <c r="A4249" s="142" t="s">
        <v>6210</v>
      </c>
    </row>
    <row r="4250" spans="1:1">
      <c r="A4250" s="142" t="s">
        <v>6211</v>
      </c>
    </row>
    <row r="4251" spans="1:1">
      <c r="A4251" s="142" t="s">
        <v>6212</v>
      </c>
    </row>
    <row r="4252" spans="1:1">
      <c r="A4252" s="142" t="s">
        <v>6213</v>
      </c>
    </row>
    <row r="4253" spans="1:1">
      <c r="A4253" s="142" t="s">
        <v>6214</v>
      </c>
    </row>
    <row r="4254" spans="1:1">
      <c r="A4254" s="142" t="s">
        <v>6215</v>
      </c>
    </row>
    <row r="4255" spans="1:1">
      <c r="A4255" s="142" t="s">
        <v>6216</v>
      </c>
    </row>
    <row r="4256" spans="1:1">
      <c r="A4256" s="142" t="s">
        <v>6217</v>
      </c>
    </row>
    <row r="4257" spans="1:1">
      <c r="A4257" s="142" t="s">
        <v>6218</v>
      </c>
    </row>
    <row r="4258" spans="1:1">
      <c r="A4258" s="142" t="s">
        <v>6219</v>
      </c>
    </row>
    <row r="4259" spans="1:1">
      <c r="A4259" s="142" t="s">
        <v>6220</v>
      </c>
    </row>
    <row r="4260" spans="1:1">
      <c r="A4260" s="142" t="s">
        <v>6221</v>
      </c>
    </row>
    <row r="4261" spans="1:1">
      <c r="A4261" s="142" t="s">
        <v>6222</v>
      </c>
    </row>
    <row r="4262" spans="1:1">
      <c r="A4262" s="142" t="s">
        <v>6223</v>
      </c>
    </row>
    <row r="4263" spans="1:1">
      <c r="A4263" s="142" t="s">
        <v>6224</v>
      </c>
    </row>
    <row r="4264" spans="1:1">
      <c r="A4264" s="142" t="s">
        <v>6225</v>
      </c>
    </row>
    <row r="4265" spans="1:1">
      <c r="A4265" s="142" t="s">
        <v>6226</v>
      </c>
    </row>
    <row r="4266" spans="1:1">
      <c r="A4266" s="142" t="s">
        <v>6227</v>
      </c>
    </row>
    <row r="4267" spans="1:1">
      <c r="A4267" s="142" t="s">
        <v>6228</v>
      </c>
    </row>
    <row r="4268" spans="1:1">
      <c r="A4268" s="142" t="s">
        <v>6229</v>
      </c>
    </row>
    <row r="4269" spans="1:1">
      <c r="A4269" s="142" t="s">
        <v>6230</v>
      </c>
    </row>
    <row r="4270" spans="1:1">
      <c r="A4270" s="142" t="s">
        <v>6231</v>
      </c>
    </row>
    <row r="4271" spans="1:1">
      <c r="A4271" s="142" t="s">
        <v>6232</v>
      </c>
    </row>
    <row r="4272" spans="1:1">
      <c r="A4272" s="142" t="s">
        <v>6233</v>
      </c>
    </row>
    <row r="4273" spans="1:1">
      <c r="A4273" s="142" t="s">
        <v>6234</v>
      </c>
    </row>
    <row r="4274" spans="1:1">
      <c r="A4274" s="142" t="s">
        <v>6235</v>
      </c>
    </row>
    <row r="4275" spans="1:1">
      <c r="A4275" s="142" t="s">
        <v>6236</v>
      </c>
    </row>
    <row r="4276" spans="1:1">
      <c r="A4276" s="142" t="s">
        <v>6237</v>
      </c>
    </row>
    <row r="4277" spans="1:1">
      <c r="A4277" s="142" t="s">
        <v>6238</v>
      </c>
    </row>
    <row r="4278" spans="1:1">
      <c r="A4278" s="142" t="s">
        <v>6239</v>
      </c>
    </row>
    <row r="4279" spans="1:1">
      <c r="A4279" s="142" t="s">
        <v>6240</v>
      </c>
    </row>
    <row r="4280" spans="1:1">
      <c r="A4280" s="142" t="s">
        <v>6241</v>
      </c>
    </row>
    <row r="4281" spans="1:1">
      <c r="A4281" s="142" t="s">
        <v>6242</v>
      </c>
    </row>
    <row r="4282" spans="1:1">
      <c r="A4282" s="142" t="s">
        <v>6243</v>
      </c>
    </row>
    <row r="4283" spans="1:1">
      <c r="A4283" s="142" t="s">
        <v>6244</v>
      </c>
    </row>
    <row r="4284" spans="1:1">
      <c r="A4284" s="142" t="s">
        <v>6245</v>
      </c>
    </row>
    <row r="4285" spans="1:1">
      <c r="A4285" s="142" t="s">
        <v>6246</v>
      </c>
    </row>
    <row r="4286" spans="1:1">
      <c r="A4286" s="142" t="s">
        <v>6247</v>
      </c>
    </row>
    <row r="4287" spans="1:1">
      <c r="A4287" s="142" t="s">
        <v>6248</v>
      </c>
    </row>
    <row r="4288" spans="1:1">
      <c r="A4288" s="142" t="s">
        <v>6249</v>
      </c>
    </row>
    <row r="4289" spans="1:1">
      <c r="A4289" s="142" t="s">
        <v>6250</v>
      </c>
    </row>
    <row r="4290" spans="1:1">
      <c r="A4290" s="142" t="s">
        <v>6251</v>
      </c>
    </row>
    <row r="4291" spans="1:1">
      <c r="A4291" s="142" t="s">
        <v>6252</v>
      </c>
    </row>
    <row r="4292" spans="1:1">
      <c r="A4292" s="142" t="s">
        <v>6253</v>
      </c>
    </row>
    <row r="4293" spans="1:1">
      <c r="A4293" s="142" t="s">
        <v>6254</v>
      </c>
    </row>
    <row r="4294" spans="1:1">
      <c r="A4294" s="142" t="s">
        <v>6255</v>
      </c>
    </row>
    <row r="4295" spans="1:1">
      <c r="A4295" s="142" t="s">
        <v>6256</v>
      </c>
    </row>
    <row r="4296" spans="1:1">
      <c r="A4296" s="142" t="s">
        <v>6257</v>
      </c>
    </row>
    <row r="4297" spans="1:1">
      <c r="A4297" s="142" t="s">
        <v>6258</v>
      </c>
    </row>
    <row r="4298" spans="1:1">
      <c r="A4298" s="142" t="s">
        <v>6259</v>
      </c>
    </row>
    <row r="4299" spans="1:1">
      <c r="A4299" s="142" t="s">
        <v>6260</v>
      </c>
    </row>
    <row r="4300" spans="1:1">
      <c r="A4300" s="142" t="s">
        <v>6261</v>
      </c>
    </row>
    <row r="4301" spans="1:1">
      <c r="A4301" s="142" t="s">
        <v>6262</v>
      </c>
    </row>
    <row r="4302" spans="1:1">
      <c r="A4302" s="142" t="s">
        <v>6263</v>
      </c>
    </row>
    <row r="4303" spans="1:1">
      <c r="A4303" s="142" t="s">
        <v>6264</v>
      </c>
    </row>
    <row r="4304" spans="1:1">
      <c r="A4304" s="142" t="s">
        <v>6265</v>
      </c>
    </row>
    <row r="4305" spans="1:1">
      <c r="A4305" s="142" t="s">
        <v>6266</v>
      </c>
    </row>
    <row r="4306" spans="1:1">
      <c r="A4306" s="142" t="s">
        <v>6267</v>
      </c>
    </row>
    <row r="4307" spans="1:1">
      <c r="A4307" s="142" t="s">
        <v>6268</v>
      </c>
    </row>
    <row r="4308" spans="1:1">
      <c r="A4308" s="142" t="s">
        <v>6269</v>
      </c>
    </row>
    <row r="4309" spans="1:1">
      <c r="A4309" s="142" t="s">
        <v>6270</v>
      </c>
    </row>
    <row r="4310" spans="1:1">
      <c r="A4310" s="142" t="s">
        <v>6271</v>
      </c>
    </row>
    <row r="4311" spans="1:1">
      <c r="A4311" s="142" t="s">
        <v>6272</v>
      </c>
    </row>
    <row r="4312" spans="1:1">
      <c r="A4312" s="142" t="s">
        <v>6273</v>
      </c>
    </row>
    <row r="4313" spans="1:1">
      <c r="A4313" s="142" t="s">
        <v>6274</v>
      </c>
    </row>
    <row r="4314" spans="1:1">
      <c r="A4314" s="142" t="s">
        <v>6275</v>
      </c>
    </row>
    <row r="4315" spans="1:1">
      <c r="A4315" s="142" t="s">
        <v>6276</v>
      </c>
    </row>
    <row r="4316" spans="1:1">
      <c r="A4316" s="142" t="s">
        <v>6277</v>
      </c>
    </row>
    <row r="4317" spans="1:1">
      <c r="A4317" s="142" t="s">
        <v>6278</v>
      </c>
    </row>
    <row r="4318" spans="1:1">
      <c r="A4318" s="142" t="s">
        <v>6279</v>
      </c>
    </row>
    <row r="4319" spans="1:1">
      <c r="A4319" s="142" t="s">
        <v>6280</v>
      </c>
    </row>
    <row r="4320" spans="1:1">
      <c r="A4320" s="142" t="s">
        <v>6281</v>
      </c>
    </row>
    <row r="4321" spans="1:1">
      <c r="A4321" s="142" t="s">
        <v>6282</v>
      </c>
    </row>
    <row r="4322" spans="1:1">
      <c r="A4322" s="142" t="s">
        <v>6283</v>
      </c>
    </row>
    <row r="4323" spans="1:1">
      <c r="A4323" s="142" t="s">
        <v>6284</v>
      </c>
    </row>
    <row r="4324" spans="1:1">
      <c r="A4324" s="142" t="s">
        <v>6285</v>
      </c>
    </row>
    <row r="4325" spans="1:1">
      <c r="A4325" s="142" t="s">
        <v>6286</v>
      </c>
    </row>
    <row r="4326" spans="1:1">
      <c r="A4326" s="142" t="s">
        <v>6287</v>
      </c>
    </row>
    <row r="4327" spans="1:1">
      <c r="A4327" s="142" t="s">
        <v>6288</v>
      </c>
    </row>
    <row r="4328" spans="1:1">
      <c r="A4328" s="142" t="s">
        <v>6289</v>
      </c>
    </row>
    <row r="4329" spans="1:1">
      <c r="A4329" s="142" t="s">
        <v>6290</v>
      </c>
    </row>
    <row r="4330" spans="1:1">
      <c r="A4330" s="142" t="s">
        <v>6291</v>
      </c>
    </row>
    <row r="4331" spans="1:1">
      <c r="A4331" s="142" t="s">
        <v>6292</v>
      </c>
    </row>
    <row r="4332" spans="1:1">
      <c r="A4332" s="142" t="s">
        <v>6293</v>
      </c>
    </row>
    <row r="4333" spans="1:1">
      <c r="A4333" s="142" t="s">
        <v>6294</v>
      </c>
    </row>
    <row r="4334" spans="1:1">
      <c r="A4334" s="142" t="s">
        <v>6295</v>
      </c>
    </row>
    <row r="4335" spans="1:1">
      <c r="A4335" s="142" t="s">
        <v>6296</v>
      </c>
    </row>
    <row r="4336" spans="1:1">
      <c r="A4336" s="142" t="s">
        <v>6297</v>
      </c>
    </row>
    <row r="4337" spans="1:1">
      <c r="A4337" s="142" t="s">
        <v>6298</v>
      </c>
    </row>
    <row r="4338" spans="1:1">
      <c r="A4338" s="142" t="s">
        <v>6299</v>
      </c>
    </row>
    <row r="4339" spans="1:1">
      <c r="A4339" s="142" t="s">
        <v>6300</v>
      </c>
    </row>
    <row r="4340" spans="1:1">
      <c r="A4340" s="142" t="s">
        <v>6301</v>
      </c>
    </row>
    <row r="4341" spans="1:1">
      <c r="A4341" s="142" t="s">
        <v>6302</v>
      </c>
    </row>
    <row r="4342" spans="1:1">
      <c r="A4342" s="142" t="s">
        <v>6303</v>
      </c>
    </row>
    <row r="4343" spans="1:1">
      <c r="A4343" s="142" t="s">
        <v>6304</v>
      </c>
    </row>
    <row r="4344" spans="1:1">
      <c r="A4344" s="142" t="s">
        <v>6305</v>
      </c>
    </row>
    <row r="4345" spans="1:1">
      <c r="A4345" s="142" t="s">
        <v>6306</v>
      </c>
    </row>
    <row r="4346" spans="1:1">
      <c r="A4346" s="142" t="s">
        <v>6307</v>
      </c>
    </row>
    <row r="4347" spans="1:1">
      <c r="A4347" s="142" t="s">
        <v>6308</v>
      </c>
    </row>
    <row r="4348" spans="1:1">
      <c r="A4348" s="142" t="s">
        <v>6309</v>
      </c>
    </row>
    <row r="4349" spans="1:1">
      <c r="A4349" s="142" t="s">
        <v>6310</v>
      </c>
    </row>
    <row r="4350" spans="1:1">
      <c r="A4350" s="142" t="s">
        <v>6311</v>
      </c>
    </row>
    <row r="4351" spans="1:1">
      <c r="A4351" s="142" t="s">
        <v>6312</v>
      </c>
    </row>
    <row r="4352" spans="1:1">
      <c r="A4352" s="142" t="s">
        <v>6313</v>
      </c>
    </row>
    <row r="4353" spans="1:1">
      <c r="A4353" s="142" t="s">
        <v>6314</v>
      </c>
    </row>
    <row r="4354" spans="1:1">
      <c r="A4354" s="142" t="s">
        <v>6315</v>
      </c>
    </row>
    <row r="4355" spans="1:1">
      <c r="A4355" s="142" t="s">
        <v>6316</v>
      </c>
    </row>
    <row r="4356" spans="1:1">
      <c r="A4356" s="142" t="s">
        <v>6317</v>
      </c>
    </row>
    <row r="4357" spans="1:1">
      <c r="A4357" s="142" t="s">
        <v>6318</v>
      </c>
    </row>
    <row r="4358" spans="1:1">
      <c r="A4358" s="142" t="s">
        <v>6319</v>
      </c>
    </row>
    <row r="4359" spans="1:1">
      <c r="A4359" s="142" t="s">
        <v>6320</v>
      </c>
    </row>
    <row r="4360" spans="1:1">
      <c r="A4360" s="142" t="s">
        <v>6321</v>
      </c>
    </row>
    <row r="4361" spans="1:1">
      <c r="A4361" s="142" t="s">
        <v>6322</v>
      </c>
    </row>
    <row r="4362" spans="1:1">
      <c r="A4362" s="142" t="s">
        <v>6323</v>
      </c>
    </row>
    <row r="4363" spans="1:1">
      <c r="A4363" s="142" t="s">
        <v>6324</v>
      </c>
    </row>
    <row r="4364" spans="1:1">
      <c r="A4364" s="142" t="s">
        <v>6325</v>
      </c>
    </row>
    <row r="4365" spans="1:1">
      <c r="A4365" s="142" t="s">
        <v>6326</v>
      </c>
    </row>
    <row r="4366" spans="1:1">
      <c r="A4366" s="142" t="s">
        <v>6327</v>
      </c>
    </row>
    <row r="4367" spans="1:1">
      <c r="A4367" s="142" t="s">
        <v>6328</v>
      </c>
    </row>
    <row r="4368" spans="1:1">
      <c r="A4368" s="142" t="s">
        <v>6329</v>
      </c>
    </row>
    <row r="4369" spans="1:1">
      <c r="A4369" s="142" t="s">
        <v>6330</v>
      </c>
    </row>
    <row r="4370" spans="1:1">
      <c r="A4370" s="142" t="s">
        <v>6331</v>
      </c>
    </row>
    <row r="4371" spans="1:1">
      <c r="A4371" s="142" t="s">
        <v>6332</v>
      </c>
    </row>
    <row r="4372" spans="1:1">
      <c r="A4372" s="142" t="s">
        <v>6333</v>
      </c>
    </row>
    <row r="4373" spans="1:1">
      <c r="A4373" s="142" t="s">
        <v>6334</v>
      </c>
    </row>
    <row r="4374" spans="1:1">
      <c r="A4374" s="142" t="s">
        <v>6335</v>
      </c>
    </row>
    <row r="4375" spans="1:1">
      <c r="A4375" s="142" t="s">
        <v>6336</v>
      </c>
    </row>
    <row r="4376" spans="1:1">
      <c r="A4376" s="142" t="s">
        <v>6337</v>
      </c>
    </row>
    <row r="4377" spans="1:1">
      <c r="A4377" s="142" t="s">
        <v>6338</v>
      </c>
    </row>
    <row r="4378" spans="1:1">
      <c r="A4378" s="142" t="s">
        <v>6339</v>
      </c>
    </row>
    <row r="4379" spans="1:1">
      <c r="A4379" s="142" t="s">
        <v>6340</v>
      </c>
    </row>
    <row r="4380" spans="1:1">
      <c r="A4380" s="142" t="s">
        <v>6341</v>
      </c>
    </row>
    <row r="4381" spans="1:1">
      <c r="A4381" s="142" t="s">
        <v>6342</v>
      </c>
    </row>
    <row r="4382" spans="1:1">
      <c r="A4382" s="142" t="s">
        <v>6343</v>
      </c>
    </row>
    <row r="4383" spans="1:1">
      <c r="A4383" s="142" t="s">
        <v>6344</v>
      </c>
    </row>
    <row r="4384" spans="1:1">
      <c r="A4384" s="142" t="s">
        <v>6345</v>
      </c>
    </row>
    <row r="4385" spans="1:1">
      <c r="A4385" s="142" t="s">
        <v>6346</v>
      </c>
    </row>
    <row r="4386" spans="1:1">
      <c r="A4386" s="142" t="s">
        <v>6347</v>
      </c>
    </row>
    <row r="4387" spans="1:1">
      <c r="A4387" s="142" t="s">
        <v>6348</v>
      </c>
    </row>
    <row r="4388" spans="1:1">
      <c r="A4388" s="142" t="s">
        <v>6349</v>
      </c>
    </row>
    <row r="4389" spans="1:1">
      <c r="A4389" s="142" t="s">
        <v>6350</v>
      </c>
    </row>
    <row r="4390" spans="1:1">
      <c r="A4390" s="142" t="s">
        <v>6351</v>
      </c>
    </row>
    <row r="4391" spans="1:1">
      <c r="A4391" s="142" t="s">
        <v>6352</v>
      </c>
    </row>
    <row r="4392" spans="1:1">
      <c r="A4392" s="142" t="s">
        <v>6353</v>
      </c>
    </row>
    <row r="4393" spans="1:1">
      <c r="A4393" s="142" t="s">
        <v>6354</v>
      </c>
    </row>
    <row r="4394" spans="1:1">
      <c r="A4394" s="142" t="s">
        <v>6355</v>
      </c>
    </row>
    <row r="4395" spans="1:1">
      <c r="A4395" s="142" t="s">
        <v>6356</v>
      </c>
    </row>
    <row r="4396" spans="1:1">
      <c r="A4396" s="142" t="s">
        <v>6357</v>
      </c>
    </row>
    <row r="4397" spans="1:1">
      <c r="A4397" s="142" t="s">
        <v>6358</v>
      </c>
    </row>
    <row r="4398" spans="1:1">
      <c r="A4398" s="142" t="s">
        <v>6359</v>
      </c>
    </row>
    <row r="4399" spans="1:1">
      <c r="A4399" s="142" t="s">
        <v>6360</v>
      </c>
    </row>
    <row r="4400" spans="1:1">
      <c r="A4400" s="142" t="s">
        <v>6361</v>
      </c>
    </row>
    <row r="4401" spans="1:1">
      <c r="A4401" s="142" t="s">
        <v>6362</v>
      </c>
    </row>
    <row r="4402" spans="1:1">
      <c r="A4402" s="142" t="s">
        <v>6363</v>
      </c>
    </row>
    <row r="4403" spans="1:1">
      <c r="A4403" s="142" t="s">
        <v>6364</v>
      </c>
    </row>
    <row r="4404" spans="1:1">
      <c r="A4404" s="142" t="s">
        <v>6365</v>
      </c>
    </row>
    <row r="4405" spans="1:1">
      <c r="A4405" s="142" t="s">
        <v>6366</v>
      </c>
    </row>
    <row r="4406" spans="1:1">
      <c r="A4406" s="142" t="s">
        <v>6367</v>
      </c>
    </row>
    <row r="4407" spans="1:1">
      <c r="A4407" s="142" t="s">
        <v>6368</v>
      </c>
    </row>
    <row r="4408" spans="1:1">
      <c r="A4408" s="142" t="s">
        <v>6369</v>
      </c>
    </row>
    <row r="4409" spans="1:1">
      <c r="A4409" s="142" t="s">
        <v>6370</v>
      </c>
    </row>
    <row r="4410" spans="1:1">
      <c r="A4410" s="142" t="s">
        <v>6371</v>
      </c>
    </row>
    <row r="4411" spans="1:1">
      <c r="A4411" s="142" t="s">
        <v>6372</v>
      </c>
    </row>
    <row r="4412" spans="1:1">
      <c r="A4412" s="142" t="s">
        <v>6373</v>
      </c>
    </row>
    <row r="4413" spans="1:1">
      <c r="A4413" s="142" t="s">
        <v>6374</v>
      </c>
    </row>
    <row r="4414" spans="1:1">
      <c r="A4414" s="142" t="s">
        <v>6375</v>
      </c>
    </row>
    <row r="4415" spans="1:1">
      <c r="A4415" s="142" t="s">
        <v>6376</v>
      </c>
    </row>
    <row r="4416" spans="1:1">
      <c r="A4416" s="142" t="s">
        <v>6377</v>
      </c>
    </row>
    <row r="4417" spans="1:1">
      <c r="A4417" s="142" t="s">
        <v>6378</v>
      </c>
    </row>
    <row r="4418" spans="1:1">
      <c r="A4418" s="142" t="s">
        <v>6379</v>
      </c>
    </row>
    <row r="4419" spans="1:1">
      <c r="A4419" s="142" t="s">
        <v>6380</v>
      </c>
    </row>
    <row r="4420" spans="1:1">
      <c r="A4420" s="142" t="s">
        <v>6381</v>
      </c>
    </row>
    <row r="4421" spans="1:1">
      <c r="A4421" s="142" t="s">
        <v>6382</v>
      </c>
    </row>
    <row r="4422" spans="1:1">
      <c r="A4422" s="142" t="s">
        <v>6383</v>
      </c>
    </row>
    <row r="4423" spans="1:1">
      <c r="A4423" s="142" t="s">
        <v>6384</v>
      </c>
    </row>
    <row r="4424" spans="1:1">
      <c r="A4424" s="142" t="s">
        <v>6385</v>
      </c>
    </row>
    <row r="4425" spans="1:1">
      <c r="A4425" s="142" t="s">
        <v>6386</v>
      </c>
    </row>
    <row r="4426" spans="1:1">
      <c r="A4426" s="142" t="s">
        <v>6387</v>
      </c>
    </row>
    <row r="4427" spans="1:1">
      <c r="A4427" s="142" t="s">
        <v>6388</v>
      </c>
    </row>
    <row r="4428" spans="1:1">
      <c r="A4428" s="142" t="s">
        <v>6389</v>
      </c>
    </row>
    <row r="4429" spans="1:1">
      <c r="A4429" s="142" t="s">
        <v>6390</v>
      </c>
    </row>
    <row r="4430" spans="1:1">
      <c r="A4430" s="142" t="s">
        <v>6391</v>
      </c>
    </row>
    <row r="4431" spans="1:1">
      <c r="A4431" s="142" t="s">
        <v>6392</v>
      </c>
    </row>
    <row r="4432" spans="1:1">
      <c r="A4432" s="142" t="s">
        <v>6393</v>
      </c>
    </row>
    <row r="4433" spans="1:1">
      <c r="A4433" s="142" t="s">
        <v>6394</v>
      </c>
    </row>
    <row r="4434" spans="1:1">
      <c r="A4434" s="142" t="s">
        <v>6395</v>
      </c>
    </row>
    <row r="4435" spans="1:1">
      <c r="A4435" s="142" t="s">
        <v>6396</v>
      </c>
    </row>
    <row r="4436" spans="1:1">
      <c r="A4436" s="142" t="s">
        <v>6397</v>
      </c>
    </row>
    <row r="4437" spans="1:1">
      <c r="A4437" s="142" t="s">
        <v>6398</v>
      </c>
    </row>
    <row r="4438" spans="1:1">
      <c r="A4438" s="142" t="s">
        <v>6399</v>
      </c>
    </row>
    <row r="4439" spans="1:1">
      <c r="A4439" s="142" t="s">
        <v>6400</v>
      </c>
    </row>
    <row r="4440" spans="1:1">
      <c r="A4440" s="142" t="s">
        <v>6401</v>
      </c>
    </row>
    <row r="4441" spans="1:1">
      <c r="A4441" s="142" t="s">
        <v>6402</v>
      </c>
    </row>
    <row r="4442" spans="1:1">
      <c r="A4442" s="142" t="s">
        <v>6403</v>
      </c>
    </row>
    <row r="4443" spans="1:1">
      <c r="A4443" s="142" t="s">
        <v>6404</v>
      </c>
    </row>
    <row r="4444" spans="1:1">
      <c r="A4444" s="142" t="s">
        <v>6405</v>
      </c>
    </row>
    <row r="4445" spans="1:1">
      <c r="A4445" s="142" t="s">
        <v>6406</v>
      </c>
    </row>
    <row r="4446" spans="1:1">
      <c r="A4446" s="142" t="s">
        <v>6407</v>
      </c>
    </row>
    <row r="4447" spans="1:1">
      <c r="A4447" s="142" t="s">
        <v>6408</v>
      </c>
    </row>
    <row r="4448" spans="1:1">
      <c r="A4448" s="142" t="s">
        <v>6409</v>
      </c>
    </row>
    <row r="4449" spans="1:1">
      <c r="A4449" s="142" t="s">
        <v>6410</v>
      </c>
    </row>
    <row r="4450" spans="1:1">
      <c r="A4450" s="142" t="s">
        <v>6411</v>
      </c>
    </row>
    <row r="4451" spans="1:1">
      <c r="A4451" s="142" t="s">
        <v>6412</v>
      </c>
    </row>
    <row r="4452" spans="1:1">
      <c r="A4452" s="142" t="s">
        <v>6413</v>
      </c>
    </row>
    <row r="4453" spans="1:1">
      <c r="A4453" s="142" t="s">
        <v>6414</v>
      </c>
    </row>
    <row r="4454" spans="1:1">
      <c r="A4454" s="142" t="s">
        <v>6415</v>
      </c>
    </row>
    <row r="4455" spans="1:1">
      <c r="A4455" s="142" t="s">
        <v>6416</v>
      </c>
    </row>
    <row r="4456" spans="1:1">
      <c r="A4456" s="142" t="s">
        <v>6417</v>
      </c>
    </row>
    <row r="4457" spans="1:1">
      <c r="A4457" s="142" t="s">
        <v>6418</v>
      </c>
    </row>
    <row r="4458" spans="1:1">
      <c r="A4458" s="142" t="s">
        <v>6419</v>
      </c>
    </row>
    <row r="4459" spans="1:1">
      <c r="A4459" s="142" t="s">
        <v>6420</v>
      </c>
    </row>
    <row r="4460" spans="1:1">
      <c r="A4460" s="142" t="s">
        <v>6421</v>
      </c>
    </row>
    <row r="4461" spans="1:1">
      <c r="A4461" s="142" t="s">
        <v>6422</v>
      </c>
    </row>
    <row r="4462" spans="1:1">
      <c r="A4462" s="142" t="s">
        <v>6423</v>
      </c>
    </row>
    <row r="4463" spans="1:1">
      <c r="A4463" s="142" t="s">
        <v>6424</v>
      </c>
    </row>
    <row r="4464" spans="1:1">
      <c r="A4464" s="142" t="s">
        <v>6425</v>
      </c>
    </row>
    <row r="4465" spans="1:1">
      <c r="A4465" s="142" t="s">
        <v>6426</v>
      </c>
    </row>
    <row r="4466" spans="1:1">
      <c r="A4466" s="142" t="s">
        <v>6427</v>
      </c>
    </row>
    <row r="4467" spans="1:1">
      <c r="A4467" s="142" t="s">
        <v>6428</v>
      </c>
    </row>
    <row r="4468" spans="1:1">
      <c r="A4468" s="142" t="s">
        <v>6429</v>
      </c>
    </row>
    <row r="4469" spans="1:1">
      <c r="A4469" s="142" t="s">
        <v>6430</v>
      </c>
    </row>
    <row r="4470" spans="1:1">
      <c r="A4470" s="142" t="s">
        <v>6431</v>
      </c>
    </row>
    <row r="4471" spans="1:1">
      <c r="A4471" s="142" t="s">
        <v>6432</v>
      </c>
    </row>
    <row r="4472" spans="1:1">
      <c r="A4472" s="142" t="s">
        <v>6433</v>
      </c>
    </row>
    <row r="4473" spans="1:1">
      <c r="A4473" s="142" t="s">
        <v>6434</v>
      </c>
    </row>
    <row r="4474" spans="1:1">
      <c r="A4474" s="142" t="s">
        <v>6435</v>
      </c>
    </row>
    <row r="4475" spans="1:1">
      <c r="A4475" s="142" t="s">
        <v>6436</v>
      </c>
    </row>
    <row r="4476" spans="1:1">
      <c r="A4476" s="142" t="s">
        <v>6437</v>
      </c>
    </row>
    <row r="4477" spans="1:1">
      <c r="A4477" s="142" t="s">
        <v>6438</v>
      </c>
    </row>
    <row r="4478" spans="1:1">
      <c r="A4478" s="142" t="s">
        <v>6439</v>
      </c>
    </row>
    <row r="4479" spans="1:1">
      <c r="A4479" s="142" t="s">
        <v>6440</v>
      </c>
    </row>
    <row r="4480" spans="1:1">
      <c r="A4480" s="142" t="s">
        <v>6441</v>
      </c>
    </row>
    <row r="4481" spans="1:1">
      <c r="A4481" s="142" t="s">
        <v>6442</v>
      </c>
    </row>
    <row r="4482" spans="1:1">
      <c r="A4482" s="142" t="s">
        <v>6443</v>
      </c>
    </row>
    <row r="4483" spans="1:1">
      <c r="A4483" s="142" t="s">
        <v>6444</v>
      </c>
    </row>
    <row r="4484" spans="1:1">
      <c r="A4484" s="142" t="s">
        <v>6445</v>
      </c>
    </row>
    <row r="4485" spans="1:1">
      <c r="A4485" s="142" t="s">
        <v>6446</v>
      </c>
    </row>
    <row r="4486" spans="1:1">
      <c r="A4486" s="142" t="s">
        <v>6447</v>
      </c>
    </row>
    <row r="4487" spans="1:1">
      <c r="A4487" s="142" t="s">
        <v>6448</v>
      </c>
    </row>
    <row r="4488" spans="1:1">
      <c r="A4488" s="142" t="s">
        <v>6449</v>
      </c>
    </row>
    <row r="4489" spans="1:1">
      <c r="A4489" s="142" t="s">
        <v>6450</v>
      </c>
    </row>
    <row r="4490" spans="1:1">
      <c r="A4490" s="142" t="s">
        <v>6451</v>
      </c>
    </row>
    <row r="4491" spans="1:1">
      <c r="A4491" s="142" t="s">
        <v>6452</v>
      </c>
    </row>
    <row r="4492" spans="1:1">
      <c r="A4492" s="142" t="s">
        <v>6453</v>
      </c>
    </row>
    <row r="4493" spans="1:1">
      <c r="A4493" s="142" t="s">
        <v>6454</v>
      </c>
    </row>
    <row r="4494" spans="1:1">
      <c r="A4494" s="142" t="s">
        <v>6455</v>
      </c>
    </row>
    <row r="4495" spans="1:1">
      <c r="A4495" s="142" t="s">
        <v>6456</v>
      </c>
    </row>
    <row r="4496" spans="1:1">
      <c r="A4496" s="142" t="s">
        <v>6457</v>
      </c>
    </row>
    <row r="4497" spans="1:1">
      <c r="A4497" s="142" t="s">
        <v>6458</v>
      </c>
    </row>
    <row r="4498" spans="1:1">
      <c r="A4498" s="142" t="s">
        <v>6459</v>
      </c>
    </row>
    <row r="4499" spans="1:1">
      <c r="A4499" s="142" t="s">
        <v>6460</v>
      </c>
    </row>
    <row r="4500" spans="1:1">
      <c r="A4500" s="142" t="s">
        <v>6461</v>
      </c>
    </row>
    <row r="4501" spans="1:1">
      <c r="A4501" s="142" t="s">
        <v>6462</v>
      </c>
    </row>
    <row r="4502" spans="1:1">
      <c r="A4502" s="142" t="s">
        <v>6463</v>
      </c>
    </row>
    <row r="4503" spans="1:1">
      <c r="A4503" s="142" t="s">
        <v>6464</v>
      </c>
    </row>
    <row r="4504" spans="1:1">
      <c r="A4504" s="142" t="s">
        <v>6465</v>
      </c>
    </row>
    <row r="4505" spans="1:1">
      <c r="A4505" s="142" t="s">
        <v>6466</v>
      </c>
    </row>
    <row r="4506" spans="1:1">
      <c r="A4506" s="142" t="s">
        <v>6467</v>
      </c>
    </row>
    <row r="4507" spans="1:1">
      <c r="A4507" s="142" t="s">
        <v>6468</v>
      </c>
    </row>
    <row r="4508" spans="1:1">
      <c r="A4508" s="142" t="s">
        <v>6469</v>
      </c>
    </row>
    <row r="4509" spans="1:1">
      <c r="A4509" s="142" t="s">
        <v>6470</v>
      </c>
    </row>
    <row r="4510" spans="1:1">
      <c r="A4510" s="142" t="s">
        <v>6471</v>
      </c>
    </row>
    <row r="4511" spans="1:1">
      <c r="A4511" s="142" t="s">
        <v>6472</v>
      </c>
    </row>
    <row r="4512" spans="1:1">
      <c r="A4512" s="142" t="s">
        <v>6473</v>
      </c>
    </row>
    <row r="4513" spans="1:1">
      <c r="A4513" s="142" t="s">
        <v>6474</v>
      </c>
    </row>
    <row r="4514" spans="1:1">
      <c r="A4514" s="142" t="s">
        <v>6475</v>
      </c>
    </row>
    <row r="4515" spans="1:1">
      <c r="A4515" s="142" t="s">
        <v>6476</v>
      </c>
    </row>
    <row r="4516" spans="1:1">
      <c r="A4516" s="142" t="s">
        <v>6477</v>
      </c>
    </row>
    <row r="4517" spans="1:1">
      <c r="A4517" s="142" t="s">
        <v>6478</v>
      </c>
    </row>
    <row r="4518" spans="1:1">
      <c r="A4518" s="142" t="s">
        <v>6479</v>
      </c>
    </row>
    <row r="4519" spans="1:1">
      <c r="A4519" s="142" t="s">
        <v>6480</v>
      </c>
    </row>
    <row r="4520" spans="1:1">
      <c r="A4520" s="142" t="s">
        <v>6481</v>
      </c>
    </row>
    <row r="4521" spans="1:1">
      <c r="A4521" s="142" t="s">
        <v>6482</v>
      </c>
    </row>
    <row r="4522" spans="1:1">
      <c r="A4522" s="142" t="s">
        <v>6483</v>
      </c>
    </row>
    <row r="4523" spans="1:1">
      <c r="A4523" s="142" t="s">
        <v>6484</v>
      </c>
    </row>
    <row r="4524" spans="1:1">
      <c r="A4524" s="142" t="s">
        <v>6485</v>
      </c>
    </row>
    <row r="4525" spans="1:1">
      <c r="A4525" s="142" t="s">
        <v>6486</v>
      </c>
    </row>
    <row r="4526" spans="1:1">
      <c r="A4526" s="142" t="s">
        <v>6487</v>
      </c>
    </row>
    <row r="4527" spans="1:1">
      <c r="A4527" s="142" t="s">
        <v>6488</v>
      </c>
    </row>
    <row r="4528" spans="1:1">
      <c r="A4528" s="142" t="s">
        <v>6489</v>
      </c>
    </row>
    <row r="4529" spans="1:1">
      <c r="A4529" s="142" t="s">
        <v>6490</v>
      </c>
    </row>
    <row r="4530" spans="1:1">
      <c r="A4530" s="142" t="s">
        <v>6491</v>
      </c>
    </row>
    <row r="4531" spans="1:1">
      <c r="A4531" s="142" t="s">
        <v>6492</v>
      </c>
    </row>
    <row r="4532" spans="1:1">
      <c r="A4532" s="142" t="s">
        <v>6493</v>
      </c>
    </row>
    <row r="4533" spans="1:1">
      <c r="A4533" s="142" t="s">
        <v>6494</v>
      </c>
    </row>
    <row r="4534" spans="1:1">
      <c r="A4534" s="142" t="s">
        <v>6495</v>
      </c>
    </row>
    <row r="4535" spans="1:1">
      <c r="A4535" s="142" t="s">
        <v>6496</v>
      </c>
    </row>
    <row r="4536" spans="1:1">
      <c r="A4536" s="142" t="s">
        <v>6497</v>
      </c>
    </row>
    <row r="4537" spans="1:1">
      <c r="A4537" s="142" t="s">
        <v>6498</v>
      </c>
    </row>
    <row r="4538" spans="1:1">
      <c r="A4538" s="142" t="s">
        <v>6499</v>
      </c>
    </row>
    <row r="4539" spans="1:1">
      <c r="A4539" s="142" t="s">
        <v>6500</v>
      </c>
    </row>
    <row r="4540" spans="1:1">
      <c r="A4540" s="142" t="s">
        <v>6501</v>
      </c>
    </row>
    <row r="4541" spans="1:1">
      <c r="A4541" s="142" t="s">
        <v>6502</v>
      </c>
    </row>
    <row r="4542" spans="1:1">
      <c r="A4542" s="142" t="s">
        <v>6503</v>
      </c>
    </row>
    <row r="4543" spans="1:1">
      <c r="A4543" s="142" t="s">
        <v>6504</v>
      </c>
    </row>
    <row r="4544" spans="1:1">
      <c r="A4544" s="142" t="s">
        <v>6505</v>
      </c>
    </row>
    <row r="4545" spans="1:1">
      <c r="A4545" s="142" t="s">
        <v>6506</v>
      </c>
    </row>
    <row r="4546" spans="1:1">
      <c r="A4546" s="142" t="s">
        <v>6507</v>
      </c>
    </row>
    <row r="4547" spans="1:1">
      <c r="A4547" s="142" t="s">
        <v>6508</v>
      </c>
    </row>
    <row r="4548" spans="1:1">
      <c r="A4548" s="142" t="s">
        <v>6509</v>
      </c>
    </row>
    <row r="4549" spans="1:1">
      <c r="A4549" s="142" t="s">
        <v>6510</v>
      </c>
    </row>
    <row r="4550" spans="1:1">
      <c r="A4550" s="142" t="s">
        <v>6511</v>
      </c>
    </row>
    <row r="4551" spans="1:1">
      <c r="A4551" s="142" t="s">
        <v>6512</v>
      </c>
    </row>
    <row r="4552" spans="1:1">
      <c r="A4552" s="142" t="s">
        <v>6513</v>
      </c>
    </row>
    <row r="4553" spans="1:1">
      <c r="A4553" s="142" t="s">
        <v>6514</v>
      </c>
    </row>
    <row r="4554" spans="1:1">
      <c r="A4554" s="142" t="s">
        <v>6515</v>
      </c>
    </row>
    <row r="4555" spans="1:1">
      <c r="A4555" s="142" t="s">
        <v>6516</v>
      </c>
    </row>
    <row r="4556" spans="1:1">
      <c r="A4556" s="142" t="s">
        <v>6517</v>
      </c>
    </row>
    <row r="4557" spans="1:1">
      <c r="A4557" s="142" t="s">
        <v>6518</v>
      </c>
    </row>
    <row r="4558" spans="1:1">
      <c r="A4558" s="142" t="s">
        <v>6519</v>
      </c>
    </row>
    <row r="4559" spans="1:1">
      <c r="A4559" s="142" t="s">
        <v>6520</v>
      </c>
    </row>
    <row r="4560" spans="1:1">
      <c r="A4560" s="142" t="s">
        <v>6521</v>
      </c>
    </row>
    <row r="4561" spans="1:1">
      <c r="A4561" s="142" t="s">
        <v>6522</v>
      </c>
    </row>
    <row r="4562" spans="1:1">
      <c r="A4562" s="142" t="s">
        <v>6523</v>
      </c>
    </row>
    <row r="4563" spans="1:1">
      <c r="A4563" s="142" t="s">
        <v>6524</v>
      </c>
    </row>
    <row r="4564" spans="1:1">
      <c r="A4564" s="142" t="s">
        <v>6525</v>
      </c>
    </row>
    <row r="4565" spans="1:1">
      <c r="A4565" s="142" t="s">
        <v>6526</v>
      </c>
    </row>
    <row r="4566" spans="1:1">
      <c r="A4566" s="142" t="s">
        <v>6527</v>
      </c>
    </row>
    <row r="4567" spans="1:1">
      <c r="A4567" s="142" t="s">
        <v>6528</v>
      </c>
    </row>
    <row r="4568" spans="1:1">
      <c r="A4568" s="142" t="s">
        <v>6529</v>
      </c>
    </row>
    <row r="4569" spans="1:1">
      <c r="A4569" s="142" t="s">
        <v>6530</v>
      </c>
    </row>
    <row r="4570" spans="1:1">
      <c r="A4570" s="142" t="s">
        <v>6531</v>
      </c>
    </row>
    <row r="4571" spans="1:1">
      <c r="A4571" s="142" t="s">
        <v>6532</v>
      </c>
    </row>
    <row r="4572" spans="1:1">
      <c r="A4572" s="142" t="s">
        <v>6533</v>
      </c>
    </row>
    <row r="4573" spans="1:1">
      <c r="A4573" s="142" t="s">
        <v>6534</v>
      </c>
    </row>
    <row r="4574" spans="1:1">
      <c r="A4574" s="142" t="s">
        <v>6535</v>
      </c>
    </row>
    <row r="4575" spans="1:1">
      <c r="A4575" s="142" t="s">
        <v>6536</v>
      </c>
    </row>
    <row r="4576" spans="1:1">
      <c r="A4576" s="142" t="s">
        <v>6537</v>
      </c>
    </row>
    <row r="4577" spans="1:1">
      <c r="A4577" s="142" t="s">
        <v>6538</v>
      </c>
    </row>
    <row r="4578" spans="1:1">
      <c r="A4578" s="142" t="s">
        <v>6539</v>
      </c>
    </row>
    <row r="4579" spans="1:1">
      <c r="A4579" s="142" t="s">
        <v>6540</v>
      </c>
    </row>
    <row r="4580" spans="1:1">
      <c r="A4580" s="142" t="s">
        <v>6541</v>
      </c>
    </row>
    <row r="4581" spans="1:1">
      <c r="A4581" s="142" t="s">
        <v>6542</v>
      </c>
    </row>
    <row r="4582" spans="1:1">
      <c r="A4582" s="142" t="s">
        <v>6543</v>
      </c>
    </row>
    <row r="4583" spans="1:1">
      <c r="A4583" s="142" t="s">
        <v>6544</v>
      </c>
    </row>
    <row r="4584" spans="1:1">
      <c r="A4584" s="142" t="s">
        <v>6545</v>
      </c>
    </row>
    <row r="4585" spans="1:1">
      <c r="A4585" s="142" t="s">
        <v>6546</v>
      </c>
    </row>
    <row r="4586" spans="1:1">
      <c r="A4586" s="142" t="s">
        <v>6547</v>
      </c>
    </row>
    <row r="4587" spans="1:1">
      <c r="A4587" s="142" t="s">
        <v>6548</v>
      </c>
    </row>
    <row r="4588" spans="1:1">
      <c r="A4588" s="142" t="s">
        <v>6549</v>
      </c>
    </row>
    <row r="4589" spans="1:1">
      <c r="A4589" s="142" t="s">
        <v>6550</v>
      </c>
    </row>
    <row r="4590" spans="1:1">
      <c r="A4590" s="142" t="s">
        <v>6551</v>
      </c>
    </row>
    <row r="4591" spans="1:1">
      <c r="A4591" s="142" t="s">
        <v>6552</v>
      </c>
    </row>
    <row r="4592" spans="1:1">
      <c r="A4592" s="142" t="s">
        <v>6553</v>
      </c>
    </row>
    <row r="4593" spans="1:1">
      <c r="A4593" s="142" t="s">
        <v>6554</v>
      </c>
    </row>
    <row r="4594" spans="1:1">
      <c r="A4594" s="142" t="s">
        <v>6555</v>
      </c>
    </row>
    <row r="4595" spans="1:1">
      <c r="A4595" s="142" t="s">
        <v>6556</v>
      </c>
    </row>
    <row r="4596" spans="1:1">
      <c r="A4596" s="142" t="s">
        <v>6557</v>
      </c>
    </row>
    <row r="4597" spans="1:1">
      <c r="A4597" s="142" t="s">
        <v>6558</v>
      </c>
    </row>
    <row r="4598" spans="1:1">
      <c r="A4598" s="142" t="s">
        <v>6559</v>
      </c>
    </row>
    <row r="4599" spans="1:1">
      <c r="A4599" s="142" t="s">
        <v>6560</v>
      </c>
    </row>
    <row r="4600" spans="1:1">
      <c r="A4600" s="142" t="s">
        <v>6561</v>
      </c>
    </row>
    <row r="4601" spans="1:1">
      <c r="A4601" s="142" t="s">
        <v>6562</v>
      </c>
    </row>
    <row r="4602" spans="1:1">
      <c r="A4602" s="142" t="s">
        <v>6563</v>
      </c>
    </row>
    <row r="4603" spans="1:1">
      <c r="A4603" s="142" t="s">
        <v>6564</v>
      </c>
    </row>
    <row r="4604" spans="1:1">
      <c r="A4604" s="142" t="s">
        <v>6565</v>
      </c>
    </row>
    <row r="4605" spans="1:1">
      <c r="A4605" s="142" t="s">
        <v>6566</v>
      </c>
    </row>
    <row r="4606" spans="1:1">
      <c r="A4606" s="142" t="s">
        <v>6567</v>
      </c>
    </row>
    <row r="4607" spans="1:1">
      <c r="A4607" s="142" t="s">
        <v>6568</v>
      </c>
    </row>
    <row r="4608" spans="1:1">
      <c r="A4608" s="142" t="s">
        <v>6569</v>
      </c>
    </row>
    <row r="4609" spans="1:1">
      <c r="A4609" s="142" t="s">
        <v>6570</v>
      </c>
    </row>
    <row r="4610" spans="1:1">
      <c r="A4610" s="142" t="s">
        <v>6571</v>
      </c>
    </row>
    <row r="4611" spans="1:1">
      <c r="A4611" s="142" t="s">
        <v>6572</v>
      </c>
    </row>
    <row r="4612" spans="1:1">
      <c r="A4612" s="142" t="s">
        <v>6573</v>
      </c>
    </row>
    <row r="4613" spans="1:1">
      <c r="A4613" s="142" t="s">
        <v>6574</v>
      </c>
    </row>
    <row r="4614" spans="1:1">
      <c r="A4614" s="142" t="s">
        <v>6575</v>
      </c>
    </row>
    <row r="4615" spans="1:1">
      <c r="A4615" s="142" t="s">
        <v>6576</v>
      </c>
    </row>
    <row r="4616" spans="1:1">
      <c r="A4616" s="142" t="s">
        <v>6577</v>
      </c>
    </row>
    <row r="4617" spans="1:1">
      <c r="A4617" s="142" t="s">
        <v>6578</v>
      </c>
    </row>
    <row r="4618" spans="1:1">
      <c r="A4618" s="142" t="s">
        <v>6579</v>
      </c>
    </row>
    <row r="4619" spans="1:1">
      <c r="A4619" s="142" t="s">
        <v>6580</v>
      </c>
    </row>
    <row r="4620" spans="1:1">
      <c r="A4620" s="142" t="s">
        <v>6581</v>
      </c>
    </row>
    <row r="4621" spans="1:1">
      <c r="A4621" s="142" t="s">
        <v>6582</v>
      </c>
    </row>
    <row r="4622" spans="1:1">
      <c r="A4622" s="142" t="s">
        <v>6583</v>
      </c>
    </row>
    <row r="4623" spans="1:1">
      <c r="A4623" s="142" t="s">
        <v>6584</v>
      </c>
    </row>
    <row r="4624" spans="1:1">
      <c r="A4624" s="142" t="s">
        <v>6585</v>
      </c>
    </row>
    <row r="4625" spans="1:1">
      <c r="A4625" s="142" t="s">
        <v>6586</v>
      </c>
    </row>
    <row r="4626" spans="1:1">
      <c r="A4626" s="142" t="s">
        <v>6587</v>
      </c>
    </row>
    <row r="4627" spans="1:1">
      <c r="A4627" s="142" t="s">
        <v>6588</v>
      </c>
    </row>
    <row r="4628" spans="1:1">
      <c r="A4628" s="142" t="s">
        <v>6589</v>
      </c>
    </row>
    <row r="4629" spans="1:1">
      <c r="A4629" s="142" t="s">
        <v>6590</v>
      </c>
    </row>
    <row r="4630" spans="1:1">
      <c r="A4630" s="142" t="s">
        <v>6591</v>
      </c>
    </row>
    <row r="4631" spans="1:1">
      <c r="A4631" s="142" t="s">
        <v>6592</v>
      </c>
    </row>
    <row r="4632" spans="1:1">
      <c r="A4632" s="142" t="s">
        <v>6593</v>
      </c>
    </row>
    <row r="4633" spans="1:1">
      <c r="A4633" s="142" t="s">
        <v>6594</v>
      </c>
    </row>
    <row r="4634" spans="1:1">
      <c r="A4634" s="142" t="s">
        <v>6595</v>
      </c>
    </row>
    <row r="4635" spans="1:1">
      <c r="A4635" s="142" t="s">
        <v>6596</v>
      </c>
    </row>
    <row r="4636" spans="1:1">
      <c r="A4636" s="142" t="s">
        <v>6597</v>
      </c>
    </row>
    <row r="4637" spans="1:1">
      <c r="A4637" s="142" t="s">
        <v>6598</v>
      </c>
    </row>
    <row r="4638" spans="1:1">
      <c r="A4638" s="142" t="s">
        <v>6599</v>
      </c>
    </row>
    <row r="4639" spans="1:1">
      <c r="A4639" s="142" t="s">
        <v>6600</v>
      </c>
    </row>
    <row r="4640" spans="1:1">
      <c r="A4640" s="142" t="s">
        <v>6601</v>
      </c>
    </row>
    <row r="4641" spans="1:1">
      <c r="A4641" s="142" t="s">
        <v>6602</v>
      </c>
    </row>
    <row r="4642" spans="1:1">
      <c r="A4642" s="142" t="s">
        <v>6603</v>
      </c>
    </row>
    <row r="4643" spans="1:1">
      <c r="A4643" s="142" t="s">
        <v>6604</v>
      </c>
    </row>
    <row r="4644" spans="1:1">
      <c r="A4644" s="142" t="s">
        <v>6605</v>
      </c>
    </row>
    <row r="4645" spans="1:1">
      <c r="A4645" s="142" t="s">
        <v>6606</v>
      </c>
    </row>
    <row r="4646" spans="1:1">
      <c r="A4646" s="142" t="s">
        <v>6607</v>
      </c>
    </row>
    <row r="4647" spans="1:1">
      <c r="A4647" s="142" t="s">
        <v>6608</v>
      </c>
    </row>
    <row r="4648" spans="1:1">
      <c r="A4648" s="142" t="s">
        <v>6609</v>
      </c>
    </row>
    <row r="4649" spans="1:1">
      <c r="A4649" s="142" t="s">
        <v>6610</v>
      </c>
    </row>
    <row r="4650" spans="1:1">
      <c r="A4650" s="142" t="s">
        <v>6611</v>
      </c>
    </row>
    <row r="4651" spans="1:1">
      <c r="A4651" s="142" t="s">
        <v>6612</v>
      </c>
    </row>
    <row r="4652" spans="1:1">
      <c r="A4652" s="142" t="s">
        <v>6613</v>
      </c>
    </row>
    <row r="4653" spans="1:1">
      <c r="A4653" s="142" t="s">
        <v>6614</v>
      </c>
    </row>
    <row r="4654" spans="1:1">
      <c r="A4654" s="142" t="s">
        <v>6615</v>
      </c>
    </row>
    <row r="4655" spans="1:1">
      <c r="A4655" s="142" t="s">
        <v>6616</v>
      </c>
    </row>
    <row r="4656" spans="1:1">
      <c r="A4656" s="142" t="s">
        <v>6617</v>
      </c>
    </row>
    <row r="4657" spans="1:1">
      <c r="A4657" s="142" t="s">
        <v>6618</v>
      </c>
    </row>
    <row r="4658" spans="1:1">
      <c r="A4658" s="142" t="s">
        <v>6619</v>
      </c>
    </row>
    <row r="4659" spans="1:1">
      <c r="A4659" s="142" t="s">
        <v>6620</v>
      </c>
    </row>
    <row r="4660" spans="1:1">
      <c r="A4660" s="142" t="s">
        <v>6621</v>
      </c>
    </row>
    <row r="4661" spans="1:1">
      <c r="A4661" s="142" t="s">
        <v>6622</v>
      </c>
    </row>
    <row r="4662" spans="1:1">
      <c r="A4662" s="142" t="s">
        <v>6623</v>
      </c>
    </row>
    <row r="4663" spans="1:1">
      <c r="A4663" s="142" t="s">
        <v>6624</v>
      </c>
    </row>
    <row r="4664" spans="1:1">
      <c r="A4664" s="142" t="s">
        <v>6625</v>
      </c>
    </row>
    <row r="4665" spans="1:1">
      <c r="A4665" s="142" t="s">
        <v>6626</v>
      </c>
    </row>
    <row r="4666" spans="1:1">
      <c r="A4666" s="142" t="s">
        <v>6627</v>
      </c>
    </row>
    <row r="4667" spans="1:1">
      <c r="A4667" s="142" t="s">
        <v>6628</v>
      </c>
    </row>
    <row r="4668" spans="1:1">
      <c r="A4668" s="142" t="s">
        <v>6629</v>
      </c>
    </row>
    <row r="4669" spans="1:1">
      <c r="A4669" s="142" t="s">
        <v>6630</v>
      </c>
    </row>
    <row r="4670" spans="1:1">
      <c r="A4670" s="142" t="s">
        <v>6631</v>
      </c>
    </row>
    <row r="4671" spans="1:1">
      <c r="A4671" s="142" t="s">
        <v>6632</v>
      </c>
    </row>
    <row r="4672" spans="1:1">
      <c r="A4672" s="142" t="s">
        <v>6633</v>
      </c>
    </row>
    <row r="4673" spans="1:1">
      <c r="A4673" s="142" t="s">
        <v>6634</v>
      </c>
    </row>
    <row r="4674" spans="1:1">
      <c r="A4674" s="142" t="s">
        <v>6635</v>
      </c>
    </row>
    <row r="4675" spans="1:1">
      <c r="A4675" s="142" t="s">
        <v>6636</v>
      </c>
    </row>
    <row r="4676" spans="1:1">
      <c r="A4676" s="142" t="s">
        <v>6637</v>
      </c>
    </row>
    <row r="4677" spans="1:1">
      <c r="A4677" s="142" t="s">
        <v>6638</v>
      </c>
    </row>
    <row r="4678" spans="1:1">
      <c r="A4678" s="142" t="s">
        <v>6639</v>
      </c>
    </row>
    <row r="4679" spans="1:1">
      <c r="A4679" s="142" t="s">
        <v>6640</v>
      </c>
    </row>
    <row r="4680" spans="1:1">
      <c r="A4680" s="142" t="s">
        <v>6641</v>
      </c>
    </row>
    <row r="4681" spans="1:1">
      <c r="A4681" s="142" t="s">
        <v>6642</v>
      </c>
    </row>
    <row r="4682" spans="1:1">
      <c r="A4682" s="142" t="s">
        <v>6643</v>
      </c>
    </row>
    <row r="4683" spans="1:1">
      <c r="A4683" s="142" t="s">
        <v>6644</v>
      </c>
    </row>
    <row r="4684" spans="1:1">
      <c r="A4684" s="142" t="s">
        <v>6645</v>
      </c>
    </row>
    <row r="4685" spans="1:1">
      <c r="A4685" s="142" t="s">
        <v>6646</v>
      </c>
    </row>
    <row r="4686" spans="1:1">
      <c r="A4686" s="142" t="s">
        <v>6647</v>
      </c>
    </row>
    <row r="4687" spans="1:1">
      <c r="A4687" s="142" t="s">
        <v>6648</v>
      </c>
    </row>
    <row r="4688" spans="1:1">
      <c r="A4688" s="142" t="s">
        <v>6649</v>
      </c>
    </row>
    <row r="4689" spans="1:1">
      <c r="A4689" s="142" t="s">
        <v>6650</v>
      </c>
    </row>
    <row r="4690" spans="1:1">
      <c r="A4690" s="142" t="s">
        <v>6651</v>
      </c>
    </row>
    <row r="4691" spans="1:1">
      <c r="A4691" s="142" t="s">
        <v>6652</v>
      </c>
    </row>
    <row r="4692" spans="1:1">
      <c r="A4692" s="142" t="s">
        <v>6653</v>
      </c>
    </row>
    <row r="4693" spans="1:1">
      <c r="A4693" s="142" t="s">
        <v>6654</v>
      </c>
    </row>
    <row r="4694" spans="1:1">
      <c r="A4694" s="142" t="s">
        <v>6655</v>
      </c>
    </row>
    <row r="4695" spans="1:1">
      <c r="A4695" s="142" t="s">
        <v>6656</v>
      </c>
    </row>
    <row r="4696" spans="1:1">
      <c r="A4696" s="142" t="s">
        <v>6657</v>
      </c>
    </row>
    <row r="4697" spans="1:1">
      <c r="A4697" s="142" t="s">
        <v>6658</v>
      </c>
    </row>
    <row r="4698" spans="1:1">
      <c r="A4698" s="142" t="s">
        <v>6659</v>
      </c>
    </row>
    <row r="4699" spans="1:1">
      <c r="A4699" s="142" t="s">
        <v>6660</v>
      </c>
    </row>
    <row r="4700" spans="1:1">
      <c r="A4700" s="142" t="s">
        <v>6661</v>
      </c>
    </row>
    <row r="4701" spans="1:1">
      <c r="A4701" s="142" t="s">
        <v>6662</v>
      </c>
    </row>
    <row r="4702" spans="1:1">
      <c r="A4702" s="142" t="s">
        <v>6663</v>
      </c>
    </row>
    <row r="4703" spans="1:1">
      <c r="A4703" s="142" t="s">
        <v>6664</v>
      </c>
    </row>
    <row r="4704" spans="1:1">
      <c r="A4704" s="142" t="s">
        <v>6665</v>
      </c>
    </row>
    <row r="4705" spans="1:1">
      <c r="A4705" s="142" t="s">
        <v>6666</v>
      </c>
    </row>
    <row r="4706" spans="1:1">
      <c r="A4706" s="142" t="s">
        <v>6667</v>
      </c>
    </row>
    <row r="4707" spans="1:1">
      <c r="A4707" s="142" t="s">
        <v>6668</v>
      </c>
    </row>
    <row r="4708" spans="1:1">
      <c r="A4708" s="142" t="s">
        <v>6669</v>
      </c>
    </row>
    <row r="4709" spans="1:1">
      <c r="A4709" s="142" t="s">
        <v>6670</v>
      </c>
    </row>
    <row r="4710" spans="1:1">
      <c r="A4710" s="142" t="s">
        <v>6671</v>
      </c>
    </row>
    <row r="4711" spans="1:1">
      <c r="A4711" s="142" t="s">
        <v>6672</v>
      </c>
    </row>
    <row r="4712" spans="1:1">
      <c r="A4712" s="142" t="s">
        <v>6673</v>
      </c>
    </row>
    <row r="4713" spans="1:1">
      <c r="A4713" s="142" t="s">
        <v>6674</v>
      </c>
    </row>
    <row r="4714" spans="1:1">
      <c r="A4714" s="142" t="s">
        <v>6675</v>
      </c>
    </row>
    <row r="4715" spans="1:1">
      <c r="A4715" s="142" t="s">
        <v>6676</v>
      </c>
    </row>
    <row r="4716" spans="1:1">
      <c r="A4716" s="142" t="s">
        <v>6677</v>
      </c>
    </row>
    <row r="4717" spans="1:1">
      <c r="A4717" s="142" t="s">
        <v>6678</v>
      </c>
    </row>
    <row r="4718" spans="1:1">
      <c r="A4718" s="142" t="s">
        <v>6679</v>
      </c>
    </row>
    <row r="4719" spans="1:1">
      <c r="A4719" s="142" t="s">
        <v>6680</v>
      </c>
    </row>
    <row r="4720" spans="1:1">
      <c r="A4720" s="142" t="s">
        <v>6681</v>
      </c>
    </row>
    <row r="4721" spans="1:1">
      <c r="A4721" s="142" t="s">
        <v>6682</v>
      </c>
    </row>
    <row r="4722" spans="1:1">
      <c r="A4722" s="142" t="s">
        <v>6683</v>
      </c>
    </row>
    <row r="4723" spans="1:1">
      <c r="A4723" s="142" t="s">
        <v>6684</v>
      </c>
    </row>
    <row r="4724" spans="1:1">
      <c r="A4724" s="142" t="s">
        <v>6685</v>
      </c>
    </row>
    <row r="4725" spans="1:1">
      <c r="A4725" s="142" t="s">
        <v>6686</v>
      </c>
    </row>
    <row r="4726" spans="1:1">
      <c r="A4726" s="142" t="s">
        <v>6687</v>
      </c>
    </row>
    <row r="4727" spans="1:1">
      <c r="A4727" s="142" t="s">
        <v>6688</v>
      </c>
    </row>
    <row r="4728" spans="1:1">
      <c r="A4728" s="142" t="s">
        <v>6689</v>
      </c>
    </row>
    <row r="4729" spans="1:1">
      <c r="A4729" s="142" t="s">
        <v>6690</v>
      </c>
    </row>
    <row r="4730" spans="1:1">
      <c r="A4730" s="142" t="s">
        <v>6691</v>
      </c>
    </row>
    <row r="4731" spans="1:1">
      <c r="A4731" s="142" t="s">
        <v>6692</v>
      </c>
    </row>
    <row r="4732" spans="1:1">
      <c r="A4732" s="142" t="s">
        <v>6693</v>
      </c>
    </row>
    <row r="4733" spans="1:1">
      <c r="A4733" s="142" t="s">
        <v>6694</v>
      </c>
    </row>
    <row r="4734" spans="1:1">
      <c r="A4734" s="142" t="s">
        <v>6695</v>
      </c>
    </row>
    <row r="4735" spans="1:1">
      <c r="A4735" s="142" t="s">
        <v>6696</v>
      </c>
    </row>
    <row r="4736" spans="1:1">
      <c r="A4736" s="142" t="s">
        <v>6697</v>
      </c>
    </row>
    <row r="4737" spans="1:1">
      <c r="A4737" s="142" t="s">
        <v>6698</v>
      </c>
    </row>
    <row r="4738" spans="1:1">
      <c r="A4738" s="142" t="s">
        <v>6699</v>
      </c>
    </row>
    <row r="4739" spans="1:1">
      <c r="A4739" s="142" t="s">
        <v>6700</v>
      </c>
    </row>
    <row r="4740" spans="1:1">
      <c r="A4740" s="142" t="s">
        <v>6701</v>
      </c>
    </row>
    <row r="4741" spans="1:1">
      <c r="A4741" s="142" t="s">
        <v>6702</v>
      </c>
    </row>
    <row r="4742" spans="1:1">
      <c r="A4742" s="142" t="s">
        <v>6703</v>
      </c>
    </row>
    <row r="4743" spans="1:1">
      <c r="A4743" s="142" t="s">
        <v>6704</v>
      </c>
    </row>
    <row r="4744" spans="1:1">
      <c r="A4744" s="142" t="s">
        <v>6705</v>
      </c>
    </row>
    <row r="4745" spans="1:1">
      <c r="A4745" s="142" t="s">
        <v>6706</v>
      </c>
    </row>
    <row r="4746" spans="1:1">
      <c r="A4746" s="142" t="s">
        <v>6707</v>
      </c>
    </row>
    <row r="4747" spans="1:1">
      <c r="A4747" s="142" t="s">
        <v>6708</v>
      </c>
    </row>
    <row r="4748" spans="1:1">
      <c r="A4748" s="142" t="s">
        <v>6709</v>
      </c>
    </row>
    <row r="4749" spans="1:1">
      <c r="A4749" s="142" t="s">
        <v>6710</v>
      </c>
    </row>
    <row r="4750" spans="1:1">
      <c r="A4750" s="142" t="s">
        <v>6711</v>
      </c>
    </row>
    <row r="4751" spans="1:1">
      <c r="A4751" s="142" t="s">
        <v>6712</v>
      </c>
    </row>
    <row r="4752" spans="1:1">
      <c r="A4752" s="142" t="s">
        <v>6713</v>
      </c>
    </row>
    <row r="4753" spans="1:1">
      <c r="A4753" s="142" t="s">
        <v>6714</v>
      </c>
    </row>
    <row r="4754" spans="1:1">
      <c r="A4754" s="142" t="s">
        <v>6715</v>
      </c>
    </row>
    <row r="4755" spans="1:1">
      <c r="A4755" s="142" t="s">
        <v>6716</v>
      </c>
    </row>
    <row r="4756" spans="1:1">
      <c r="A4756" s="142" t="s">
        <v>6717</v>
      </c>
    </row>
    <row r="4757" spans="1:1">
      <c r="A4757" s="142" t="s">
        <v>6718</v>
      </c>
    </row>
    <row r="4758" spans="1:1">
      <c r="A4758" s="142" t="s">
        <v>6719</v>
      </c>
    </row>
    <row r="4759" spans="1:1">
      <c r="A4759" s="142" t="s">
        <v>6720</v>
      </c>
    </row>
    <row r="4760" spans="1:1">
      <c r="A4760" s="142" t="s">
        <v>6721</v>
      </c>
    </row>
    <row r="4761" spans="1:1">
      <c r="A4761" s="142" t="s">
        <v>6722</v>
      </c>
    </row>
    <row r="4762" spans="1:1">
      <c r="A4762" s="142" t="s">
        <v>6723</v>
      </c>
    </row>
    <row r="4763" spans="1:1">
      <c r="A4763" s="142" t="s">
        <v>6724</v>
      </c>
    </row>
    <row r="4764" spans="1:1">
      <c r="A4764" s="142" t="s">
        <v>6725</v>
      </c>
    </row>
    <row r="4765" spans="1:1">
      <c r="A4765" s="142" t="s">
        <v>6726</v>
      </c>
    </row>
    <row r="4766" spans="1:1">
      <c r="A4766" s="142" t="s">
        <v>6727</v>
      </c>
    </row>
    <row r="4767" spans="1:1">
      <c r="A4767" s="142" t="s">
        <v>6728</v>
      </c>
    </row>
    <row r="4768" spans="1:1">
      <c r="A4768" s="142" t="s">
        <v>6729</v>
      </c>
    </row>
    <row r="4769" spans="1:1">
      <c r="A4769" s="142" t="s">
        <v>6730</v>
      </c>
    </row>
    <row r="4770" spans="1:1">
      <c r="A4770" s="142" t="s">
        <v>6731</v>
      </c>
    </row>
    <row r="4771" spans="1:1">
      <c r="A4771" s="142" t="s">
        <v>6732</v>
      </c>
    </row>
    <row r="4772" spans="1:1">
      <c r="A4772" s="142" t="s">
        <v>6733</v>
      </c>
    </row>
    <row r="4773" spans="1:1">
      <c r="A4773" s="142" t="s">
        <v>6734</v>
      </c>
    </row>
    <row r="4774" spans="1:1">
      <c r="A4774" s="142" t="s">
        <v>6735</v>
      </c>
    </row>
    <row r="4775" spans="1:1">
      <c r="A4775" s="142" t="s">
        <v>6736</v>
      </c>
    </row>
    <row r="4776" spans="1:1">
      <c r="A4776" s="142" t="s">
        <v>6737</v>
      </c>
    </row>
    <row r="4777" spans="1:1">
      <c r="A4777" s="142" t="s">
        <v>6738</v>
      </c>
    </row>
    <row r="4778" spans="1:1">
      <c r="A4778" s="142" t="s">
        <v>6739</v>
      </c>
    </row>
    <row r="4779" spans="1:1">
      <c r="A4779" s="142" t="s">
        <v>6740</v>
      </c>
    </row>
    <row r="4780" spans="1:1">
      <c r="A4780" s="142" t="s">
        <v>6741</v>
      </c>
    </row>
    <row r="4781" spans="1:1">
      <c r="A4781" s="142" t="s">
        <v>6742</v>
      </c>
    </row>
    <row r="4782" spans="1:1">
      <c r="A4782" s="142" t="s">
        <v>6743</v>
      </c>
    </row>
    <row r="4783" spans="1:1">
      <c r="A4783" s="142" t="s">
        <v>6744</v>
      </c>
    </row>
    <row r="4784" spans="1:1">
      <c r="A4784" s="142" t="s">
        <v>6745</v>
      </c>
    </row>
    <row r="4785" spans="1:1">
      <c r="A4785" s="142" t="s">
        <v>6746</v>
      </c>
    </row>
    <row r="4786" spans="1:1">
      <c r="A4786" s="142" t="s">
        <v>6747</v>
      </c>
    </row>
    <row r="4787" spans="1:1">
      <c r="A4787" s="142" t="s">
        <v>6748</v>
      </c>
    </row>
    <row r="4788" spans="1:1">
      <c r="A4788" s="142" t="s">
        <v>6749</v>
      </c>
    </row>
    <row r="4789" spans="1:1">
      <c r="A4789" s="142" t="s">
        <v>6750</v>
      </c>
    </row>
    <row r="4790" spans="1:1">
      <c r="A4790" s="142" t="s">
        <v>6751</v>
      </c>
    </row>
    <row r="4791" spans="1:1">
      <c r="A4791" s="142" t="s">
        <v>6752</v>
      </c>
    </row>
    <row r="4792" spans="1:1">
      <c r="A4792" s="142" t="s">
        <v>6753</v>
      </c>
    </row>
    <row r="4793" spans="1:1">
      <c r="A4793" s="142" t="s">
        <v>6754</v>
      </c>
    </row>
    <row r="4794" spans="1:1">
      <c r="A4794" s="142" t="s">
        <v>6755</v>
      </c>
    </row>
    <row r="4795" spans="1:1">
      <c r="A4795" s="142" t="s">
        <v>6756</v>
      </c>
    </row>
    <row r="4796" spans="1:1">
      <c r="A4796" s="142" t="s">
        <v>6757</v>
      </c>
    </row>
    <row r="4797" spans="1:1">
      <c r="A4797" s="142" t="s">
        <v>6758</v>
      </c>
    </row>
    <row r="4798" spans="1:1">
      <c r="A4798" s="142" t="s">
        <v>6759</v>
      </c>
    </row>
    <row r="4799" spans="1:1">
      <c r="A4799" s="142" t="s">
        <v>6760</v>
      </c>
    </row>
    <row r="4800" spans="1:1">
      <c r="A4800" s="142" t="s">
        <v>6761</v>
      </c>
    </row>
    <row r="4801" spans="1:1">
      <c r="A4801" s="142" t="s">
        <v>6762</v>
      </c>
    </row>
    <row r="4802" spans="1:1">
      <c r="A4802" s="142" t="s">
        <v>6763</v>
      </c>
    </row>
    <row r="4803" spans="1:1">
      <c r="A4803" s="142" t="s">
        <v>6764</v>
      </c>
    </row>
    <row r="4804" spans="1:1">
      <c r="A4804" s="142" t="s">
        <v>6765</v>
      </c>
    </row>
    <row r="4805" spans="1:1">
      <c r="A4805" s="142" t="s">
        <v>6766</v>
      </c>
    </row>
    <row r="4806" spans="1:1">
      <c r="A4806" s="142" t="s">
        <v>6767</v>
      </c>
    </row>
    <row r="4807" spans="1:1">
      <c r="A4807" s="142" t="s">
        <v>6768</v>
      </c>
    </row>
    <row r="4808" spans="1:1">
      <c r="A4808" s="142" t="s">
        <v>6769</v>
      </c>
    </row>
    <row r="4809" spans="1:1">
      <c r="A4809" s="142" t="s">
        <v>6770</v>
      </c>
    </row>
    <row r="4810" spans="1:1">
      <c r="A4810" s="142" t="s">
        <v>6771</v>
      </c>
    </row>
    <row r="4811" spans="1:1">
      <c r="A4811" s="142" t="s">
        <v>6772</v>
      </c>
    </row>
    <row r="4812" spans="1:1">
      <c r="A4812" s="142" t="s">
        <v>6773</v>
      </c>
    </row>
    <row r="4813" spans="1:1">
      <c r="A4813" s="142" t="s">
        <v>6774</v>
      </c>
    </row>
    <row r="4814" spans="1:1">
      <c r="A4814" s="142" t="s">
        <v>6775</v>
      </c>
    </row>
    <row r="4815" spans="1:1">
      <c r="A4815" s="142" t="s">
        <v>6776</v>
      </c>
    </row>
    <row r="4816" spans="1:1">
      <c r="A4816" s="142" t="s">
        <v>6777</v>
      </c>
    </row>
    <row r="4817" spans="1:1">
      <c r="A4817" s="142" t="s">
        <v>6778</v>
      </c>
    </row>
    <row r="4818" spans="1:1">
      <c r="A4818" s="142" t="s">
        <v>6779</v>
      </c>
    </row>
    <row r="4819" spans="1:1">
      <c r="A4819" s="142" t="s">
        <v>6780</v>
      </c>
    </row>
    <row r="4820" spans="1:1">
      <c r="A4820" s="142" t="s">
        <v>6781</v>
      </c>
    </row>
    <row r="4821" spans="1:1">
      <c r="A4821" s="142" t="s">
        <v>6782</v>
      </c>
    </row>
    <row r="4822" spans="1:1">
      <c r="A4822" s="142" t="s">
        <v>6783</v>
      </c>
    </row>
    <row r="4823" spans="1:1">
      <c r="A4823" s="142" t="s">
        <v>6784</v>
      </c>
    </row>
    <row r="4824" spans="1:1">
      <c r="A4824" s="142" t="s">
        <v>6785</v>
      </c>
    </row>
    <row r="4825" spans="1:1">
      <c r="A4825" s="142" t="s">
        <v>6786</v>
      </c>
    </row>
    <row r="4826" spans="1:1">
      <c r="A4826" s="142" t="s">
        <v>6787</v>
      </c>
    </row>
    <row r="4827" spans="1:1">
      <c r="A4827" s="142" t="s">
        <v>6788</v>
      </c>
    </row>
    <row r="4828" spans="1:1">
      <c r="A4828" s="142" t="s">
        <v>6789</v>
      </c>
    </row>
    <row r="4829" spans="1:1">
      <c r="A4829" s="142" t="s">
        <v>6790</v>
      </c>
    </row>
    <row r="4830" spans="1:1">
      <c r="A4830" s="142" t="s">
        <v>6791</v>
      </c>
    </row>
    <row r="4831" spans="1:1">
      <c r="A4831" s="142" t="s">
        <v>6792</v>
      </c>
    </row>
    <row r="4832" spans="1:1">
      <c r="A4832" s="142" t="s">
        <v>6793</v>
      </c>
    </row>
    <row r="4833" spans="1:1">
      <c r="A4833" s="142" t="s">
        <v>6794</v>
      </c>
    </row>
    <row r="4834" spans="1:1">
      <c r="A4834" s="142" t="s">
        <v>6795</v>
      </c>
    </row>
    <row r="4835" spans="1:1">
      <c r="A4835" s="142" t="s">
        <v>6796</v>
      </c>
    </row>
    <row r="4836" spans="1:1">
      <c r="A4836" s="142" t="s">
        <v>6797</v>
      </c>
    </row>
    <row r="4837" spans="1:1">
      <c r="A4837" s="142" t="s">
        <v>6798</v>
      </c>
    </row>
    <row r="4838" spans="1:1">
      <c r="A4838" s="142" t="s">
        <v>6799</v>
      </c>
    </row>
    <row r="4839" spans="1:1">
      <c r="A4839" s="142" t="s">
        <v>6800</v>
      </c>
    </row>
    <row r="4840" spans="1:1">
      <c r="A4840" s="142" t="s">
        <v>6801</v>
      </c>
    </row>
    <row r="4841" spans="1:1">
      <c r="A4841" s="142" t="s">
        <v>6802</v>
      </c>
    </row>
    <row r="4842" spans="1:1">
      <c r="A4842" s="142" t="s">
        <v>6803</v>
      </c>
    </row>
    <row r="4843" spans="1:1">
      <c r="A4843" s="142" t="s">
        <v>6804</v>
      </c>
    </row>
    <row r="4844" spans="1:1">
      <c r="A4844" s="142" t="s">
        <v>6805</v>
      </c>
    </row>
    <row r="4845" spans="1:1">
      <c r="A4845" s="142" t="s">
        <v>6806</v>
      </c>
    </row>
    <row r="4846" spans="1:1">
      <c r="A4846" s="142" t="s">
        <v>6807</v>
      </c>
    </row>
    <row r="4847" spans="1:1">
      <c r="A4847" s="142" t="s">
        <v>6808</v>
      </c>
    </row>
    <row r="4848" spans="1:1">
      <c r="A4848" s="142" t="s">
        <v>6809</v>
      </c>
    </row>
    <row r="4849" spans="1:1">
      <c r="A4849" s="142" t="s">
        <v>6810</v>
      </c>
    </row>
    <row r="4850" spans="1:1">
      <c r="A4850" s="142" t="s">
        <v>6811</v>
      </c>
    </row>
    <row r="4851" spans="1:1">
      <c r="A4851" s="142" t="s">
        <v>6812</v>
      </c>
    </row>
    <row r="4852" spans="1:1">
      <c r="A4852" s="142" t="s">
        <v>6813</v>
      </c>
    </row>
    <row r="4853" spans="1:1">
      <c r="A4853" s="142" t="s">
        <v>6814</v>
      </c>
    </row>
    <row r="4854" spans="1:1">
      <c r="A4854" s="142" t="s">
        <v>6815</v>
      </c>
    </row>
    <row r="4855" spans="1:1">
      <c r="A4855" s="142" t="s">
        <v>6816</v>
      </c>
    </row>
    <row r="4856" spans="1:1">
      <c r="A4856" s="142" t="s">
        <v>6817</v>
      </c>
    </row>
    <row r="4857" spans="1:1">
      <c r="A4857" s="142" t="s">
        <v>6818</v>
      </c>
    </row>
    <row r="4858" spans="1:1">
      <c r="A4858" s="142" t="s">
        <v>6819</v>
      </c>
    </row>
    <row r="4859" spans="1:1">
      <c r="A4859" s="142" t="s">
        <v>6820</v>
      </c>
    </row>
    <row r="4860" spans="1:1">
      <c r="A4860" s="142" t="s">
        <v>6821</v>
      </c>
    </row>
    <row r="4861" spans="1:1">
      <c r="A4861" s="142" t="s">
        <v>6822</v>
      </c>
    </row>
    <row r="4862" spans="1:1">
      <c r="A4862" s="142" t="s">
        <v>6823</v>
      </c>
    </row>
    <row r="4863" spans="1:1">
      <c r="A4863" s="142" t="s">
        <v>6824</v>
      </c>
    </row>
    <row r="4864" spans="1:1">
      <c r="A4864" s="142" t="s">
        <v>6825</v>
      </c>
    </row>
    <row r="4865" spans="1:1">
      <c r="A4865" s="142" t="s">
        <v>6826</v>
      </c>
    </row>
    <row r="4866" spans="1:1">
      <c r="A4866" s="142" t="s">
        <v>6827</v>
      </c>
    </row>
    <row r="4867" spans="1:1">
      <c r="A4867" s="142" t="s">
        <v>6828</v>
      </c>
    </row>
    <row r="4868" spans="1:1">
      <c r="A4868" s="142" t="s">
        <v>6829</v>
      </c>
    </row>
    <row r="4869" spans="1:1">
      <c r="A4869" s="142" t="s">
        <v>6830</v>
      </c>
    </row>
    <row r="4870" spans="1:1">
      <c r="A4870" s="142" t="s">
        <v>6831</v>
      </c>
    </row>
    <row r="4871" spans="1:1">
      <c r="A4871" s="142" t="s">
        <v>6832</v>
      </c>
    </row>
    <row r="4872" spans="1:1">
      <c r="A4872" s="142" t="s">
        <v>6833</v>
      </c>
    </row>
    <row r="4873" spans="1:1">
      <c r="A4873" s="142" t="s">
        <v>6834</v>
      </c>
    </row>
    <row r="4874" spans="1:1">
      <c r="A4874" s="142" t="s">
        <v>6835</v>
      </c>
    </row>
    <row r="4875" spans="1:1">
      <c r="A4875" s="142" t="s">
        <v>6836</v>
      </c>
    </row>
    <row r="4876" spans="1:1">
      <c r="A4876" s="142" t="s">
        <v>6837</v>
      </c>
    </row>
    <row r="4877" spans="1:1">
      <c r="A4877" s="142" t="s">
        <v>6838</v>
      </c>
    </row>
    <row r="4878" spans="1:1">
      <c r="A4878" s="142" t="s">
        <v>6839</v>
      </c>
    </row>
    <row r="4879" spans="1:1">
      <c r="A4879" s="142" t="s">
        <v>6840</v>
      </c>
    </row>
    <row r="4880" spans="1:1">
      <c r="A4880" s="142" t="s">
        <v>6841</v>
      </c>
    </row>
    <row r="4881" spans="1:1">
      <c r="A4881" s="142" t="s">
        <v>6842</v>
      </c>
    </row>
    <row r="4882" spans="1:1">
      <c r="A4882" s="142" t="s">
        <v>6843</v>
      </c>
    </row>
    <row r="4883" spans="1:1">
      <c r="A4883" s="142" t="s">
        <v>6844</v>
      </c>
    </row>
    <row r="4884" spans="1:1">
      <c r="A4884" s="142" t="s">
        <v>6845</v>
      </c>
    </row>
    <row r="4885" spans="1:1">
      <c r="A4885" s="142" t="s">
        <v>6846</v>
      </c>
    </row>
    <row r="4886" spans="1:1">
      <c r="A4886" s="142" t="s">
        <v>6847</v>
      </c>
    </row>
    <row r="4887" spans="1:1">
      <c r="A4887" s="142" t="s">
        <v>6848</v>
      </c>
    </row>
    <row r="4888" spans="1:1">
      <c r="A4888" s="142" t="s">
        <v>6849</v>
      </c>
    </row>
    <row r="4889" spans="1:1">
      <c r="A4889" s="142" t="s">
        <v>6850</v>
      </c>
    </row>
    <row r="4890" spans="1:1">
      <c r="A4890" s="142" t="s">
        <v>6851</v>
      </c>
    </row>
    <row r="4891" spans="1:1">
      <c r="A4891" s="142" t="s">
        <v>6852</v>
      </c>
    </row>
    <row r="4892" spans="1:1">
      <c r="A4892" s="142" t="s">
        <v>6853</v>
      </c>
    </row>
    <row r="4893" spans="1:1">
      <c r="A4893" s="142" t="s">
        <v>6854</v>
      </c>
    </row>
    <row r="4894" spans="1:1">
      <c r="A4894" s="142" t="s">
        <v>6855</v>
      </c>
    </row>
    <row r="4895" spans="1:1">
      <c r="A4895" s="142" t="s">
        <v>6856</v>
      </c>
    </row>
    <row r="4896" spans="1:1">
      <c r="A4896" s="142" t="s">
        <v>6857</v>
      </c>
    </row>
    <row r="4897" spans="1:1">
      <c r="A4897" s="142" t="s">
        <v>6858</v>
      </c>
    </row>
    <row r="4898" spans="1:1">
      <c r="A4898" s="142" t="s">
        <v>6859</v>
      </c>
    </row>
    <row r="4899" spans="1:1">
      <c r="A4899" s="142" t="s">
        <v>6860</v>
      </c>
    </row>
    <row r="4900" spans="1:1">
      <c r="A4900" s="142" t="s">
        <v>6861</v>
      </c>
    </row>
    <row r="4901" spans="1:1">
      <c r="A4901" s="142" t="s">
        <v>6862</v>
      </c>
    </row>
    <row r="4902" spans="1:1">
      <c r="A4902" s="142" t="s">
        <v>6863</v>
      </c>
    </row>
    <row r="4903" spans="1:1">
      <c r="A4903" s="142" t="s">
        <v>6864</v>
      </c>
    </row>
    <row r="4904" spans="1:1">
      <c r="A4904" s="142" t="s">
        <v>6865</v>
      </c>
    </row>
    <row r="4905" spans="1:1">
      <c r="A4905" s="142" t="s">
        <v>6866</v>
      </c>
    </row>
    <row r="4906" spans="1:1">
      <c r="A4906" s="142" t="s">
        <v>6867</v>
      </c>
    </row>
    <row r="4907" spans="1:1">
      <c r="A4907" s="142" t="s">
        <v>6868</v>
      </c>
    </row>
    <row r="4908" spans="1:1">
      <c r="A4908" s="142" t="s">
        <v>6869</v>
      </c>
    </row>
    <row r="4909" spans="1:1">
      <c r="A4909" s="142" t="s">
        <v>6870</v>
      </c>
    </row>
    <row r="4910" spans="1:1">
      <c r="A4910" s="142" t="s">
        <v>6871</v>
      </c>
    </row>
    <row r="4911" spans="1:1">
      <c r="A4911" s="142" t="s">
        <v>6872</v>
      </c>
    </row>
    <row r="4912" spans="1:1">
      <c r="A4912" s="142" t="s">
        <v>6873</v>
      </c>
    </row>
    <row r="4913" spans="1:1">
      <c r="A4913" s="142" t="s">
        <v>6874</v>
      </c>
    </row>
    <row r="4914" spans="1:1">
      <c r="A4914" s="142" t="s">
        <v>6875</v>
      </c>
    </row>
    <row r="4915" spans="1:1">
      <c r="A4915" s="142" t="s">
        <v>6876</v>
      </c>
    </row>
    <row r="4916" spans="1:1">
      <c r="A4916" s="142" t="s">
        <v>6877</v>
      </c>
    </row>
    <row r="4917" spans="1:1">
      <c r="A4917" s="142" t="s">
        <v>6878</v>
      </c>
    </row>
    <row r="4918" spans="1:1">
      <c r="A4918" s="142" t="s">
        <v>6879</v>
      </c>
    </row>
    <row r="4919" spans="1:1">
      <c r="A4919" s="142" t="s">
        <v>6880</v>
      </c>
    </row>
    <row r="4920" spans="1:1">
      <c r="A4920" s="142" t="s">
        <v>6881</v>
      </c>
    </row>
    <row r="4921" spans="1:1">
      <c r="A4921" s="142" t="s">
        <v>6882</v>
      </c>
    </row>
    <row r="4922" spans="1:1">
      <c r="A4922" s="142" t="s">
        <v>6883</v>
      </c>
    </row>
    <row r="4923" spans="1:1">
      <c r="A4923" s="142" t="s">
        <v>6884</v>
      </c>
    </row>
    <row r="4924" spans="1:1">
      <c r="A4924" s="142" t="s">
        <v>6885</v>
      </c>
    </row>
    <row r="4925" spans="1:1">
      <c r="A4925" s="142" t="s">
        <v>6886</v>
      </c>
    </row>
    <row r="4926" spans="1:1">
      <c r="A4926" s="142" t="s">
        <v>6887</v>
      </c>
    </row>
    <row r="4927" spans="1:1">
      <c r="A4927" s="142" t="s">
        <v>6888</v>
      </c>
    </row>
    <row r="4928" spans="1:1">
      <c r="A4928" s="142" t="s">
        <v>6889</v>
      </c>
    </row>
    <row r="4929" spans="1:1">
      <c r="A4929" s="142" t="s">
        <v>6890</v>
      </c>
    </row>
    <row r="4930" spans="1:1">
      <c r="A4930" s="142" t="s">
        <v>6891</v>
      </c>
    </row>
    <row r="4931" spans="1:1">
      <c r="A4931" s="142" t="s">
        <v>6892</v>
      </c>
    </row>
    <row r="4932" spans="1:1">
      <c r="A4932" s="142" t="s">
        <v>6893</v>
      </c>
    </row>
    <row r="4933" spans="1:1">
      <c r="A4933" s="142" t="s">
        <v>6894</v>
      </c>
    </row>
    <row r="4934" spans="1:1">
      <c r="A4934" s="142" t="s">
        <v>6895</v>
      </c>
    </row>
    <row r="4935" spans="1:1">
      <c r="A4935" s="142" t="s">
        <v>6896</v>
      </c>
    </row>
    <row r="4936" spans="1:1">
      <c r="A4936" s="142" t="s">
        <v>6897</v>
      </c>
    </row>
    <row r="4937" spans="1:1">
      <c r="A4937" s="142" t="s">
        <v>6898</v>
      </c>
    </row>
    <row r="4938" spans="1:1">
      <c r="A4938" s="142" t="s">
        <v>6899</v>
      </c>
    </row>
    <row r="4939" spans="1:1">
      <c r="A4939" s="142" t="s">
        <v>6900</v>
      </c>
    </row>
    <row r="4940" spans="1:1">
      <c r="A4940" s="142" t="s">
        <v>6901</v>
      </c>
    </row>
    <row r="4941" spans="1:1">
      <c r="A4941" s="142" t="s">
        <v>6902</v>
      </c>
    </row>
    <row r="4942" spans="1:1">
      <c r="A4942" s="142" t="s">
        <v>6903</v>
      </c>
    </row>
    <row r="4943" spans="1:1">
      <c r="A4943" s="142" t="s">
        <v>6904</v>
      </c>
    </row>
    <row r="4944" spans="1:1">
      <c r="A4944" s="142" t="s">
        <v>6905</v>
      </c>
    </row>
    <row r="4945" spans="1:1">
      <c r="A4945" s="142" t="s">
        <v>6906</v>
      </c>
    </row>
    <row r="4946" spans="1:1">
      <c r="A4946" s="142" t="s">
        <v>6907</v>
      </c>
    </row>
    <row r="4947" spans="1:1">
      <c r="A4947" s="142" t="s">
        <v>6908</v>
      </c>
    </row>
    <row r="4948" spans="1:1">
      <c r="A4948" s="142" t="s">
        <v>6909</v>
      </c>
    </row>
    <row r="4949" spans="1:1">
      <c r="A4949" s="142" t="s">
        <v>6910</v>
      </c>
    </row>
    <row r="4950" spans="1:1">
      <c r="A4950" s="142" t="s">
        <v>6911</v>
      </c>
    </row>
    <row r="4951" spans="1:1">
      <c r="A4951" s="142" t="s">
        <v>6912</v>
      </c>
    </row>
    <row r="4952" spans="1:1">
      <c r="A4952" s="142" t="s">
        <v>6913</v>
      </c>
    </row>
    <row r="4953" spans="1:1">
      <c r="A4953" s="142" t="s">
        <v>6914</v>
      </c>
    </row>
    <row r="4954" spans="1:1">
      <c r="A4954" s="142" t="s">
        <v>6915</v>
      </c>
    </row>
    <row r="4955" spans="1:1">
      <c r="A4955" s="142" t="s">
        <v>6916</v>
      </c>
    </row>
    <row r="4956" spans="1:1">
      <c r="A4956" s="142" t="s">
        <v>6917</v>
      </c>
    </row>
    <row r="4957" spans="1:1">
      <c r="A4957" s="142" t="s">
        <v>6918</v>
      </c>
    </row>
    <row r="4958" spans="1:1">
      <c r="A4958" s="142" t="s">
        <v>6919</v>
      </c>
    </row>
    <row r="4959" spans="1:1">
      <c r="A4959" s="142" t="s">
        <v>6920</v>
      </c>
    </row>
    <row r="4960" spans="1:1">
      <c r="A4960" s="142" t="s">
        <v>6921</v>
      </c>
    </row>
    <row r="4961" spans="1:1">
      <c r="A4961" s="142" t="s">
        <v>6922</v>
      </c>
    </row>
    <row r="4962" spans="1:1">
      <c r="A4962" s="142" t="s">
        <v>6923</v>
      </c>
    </row>
    <row r="4963" spans="1:1">
      <c r="A4963" s="142" t="s">
        <v>6924</v>
      </c>
    </row>
    <row r="4964" spans="1:1">
      <c r="A4964" s="142" t="s">
        <v>6925</v>
      </c>
    </row>
    <row r="4965" spans="1:1">
      <c r="A4965" s="142" t="s">
        <v>6926</v>
      </c>
    </row>
    <row r="4966" spans="1:1">
      <c r="A4966" s="142" t="s">
        <v>6927</v>
      </c>
    </row>
    <row r="4967" spans="1:1">
      <c r="A4967" s="142" t="s">
        <v>6928</v>
      </c>
    </row>
    <row r="4968" spans="1:1">
      <c r="A4968" s="142" t="s">
        <v>6929</v>
      </c>
    </row>
    <row r="4969" spans="1:1">
      <c r="A4969" s="142" t="s">
        <v>6930</v>
      </c>
    </row>
    <row r="4970" spans="1:1">
      <c r="A4970" s="142" t="s">
        <v>6931</v>
      </c>
    </row>
    <row r="4971" spans="1:1">
      <c r="A4971" s="142" t="s">
        <v>6932</v>
      </c>
    </row>
    <row r="4972" spans="1:1">
      <c r="A4972" s="142" t="s">
        <v>6933</v>
      </c>
    </row>
    <row r="4973" spans="1:1">
      <c r="A4973" s="142" t="s">
        <v>6934</v>
      </c>
    </row>
    <row r="4974" spans="1:1">
      <c r="A4974" s="142" t="s">
        <v>6935</v>
      </c>
    </row>
    <row r="4975" spans="1:1">
      <c r="A4975" s="142" t="s">
        <v>6936</v>
      </c>
    </row>
    <row r="4976" spans="1:1">
      <c r="A4976" s="142" t="s">
        <v>6937</v>
      </c>
    </row>
    <row r="4977" spans="1:1">
      <c r="A4977" s="142" t="s">
        <v>6938</v>
      </c>
    </row>
    <row r="4978" spans="1:1">
      <c r="A4978" s="142" t="s">
        <v>6939</v>
      </c>
    </row>
    <row r="4979" spans="1:1">
      <c r="A4979" s="142" t="s">
        <v>6940</v>
      </c>
    </row>
    <row r="4980" spans="1:1">
      <c r="A4980" s="142" t="s">
        <v>6941</v>
      </c>
    </row>
    <row r="4981" spans="1:1">
      <c r="A4981" s="142" t="s">
        <v>6942</v>
      </c>
    </row>
    <row r="4982" spans="1:1">
      <c r="A4982" s="142" t="s">
        <v>6943</v>
      </c>
    </row>
    <row r="4983" spans="1:1">
      <c r="A4983" s="142" t="s">
        <v>6944</v>
      </c>
    </row>
    <row r="4984" spans="1:1">
      <c r="A4984" s="142" t="s">
        <v>6945</v>
      </c>
    </row>
    <row r="4985" spans="1:1">
      <c r="A4985" s="142" t="s">
        <v>6946</v>
      </c>
    </row>
    <row r="4986" spans="1:1">
      <c r="A4986" s="142" t="s">
        <v>6947</v>
      </c>
    </row>
    <row r="4987" spans="1:1">
      <c r="A4987" s="142" t="s">
        <v>6948</v>
      </c>
    </row>
    <row r="4988" spans="1:1">
      <c r="A4988" s="142" t="s">
        <v>6949</v>
      </c>
    </row>
    <row r="4989" spans="1:1">
      <c r="A4989" s="142" t="s">
        <v>6950</v>
      </c>
    </row>
    <row r="4990" spans="1:1">
      <c r="A4990" s="142" t="s">
        <v>6951</v>
      </c>
    </row>
    <row r="4991" spans="1:1">
      <c r="A4991" s="142" t="s">
        <v>6952</v>
      </c>
    </row>
    <row r="4992" spans="1:1">
      <c r="A4992" s="142" t="s">
        <v>6953</v>
      </c>
    </row>
    <row r="4993" spans="1:1">
      <c r="A4993" s="142" t="s">
        <v>6954</v>
      </c>
    </row>
    <row r="4994" spans="1:1">
      <c r="A4994" s="142" t="s">
        <v>6955</v>
      </c>
    </row>
    <row r="4995" spans="1:1">
      <c r="A4995" s="142" t="s">
        <v>6956</v>
      </c>
    </row>
    <row r="4996" spans="1:1">
      <c r="A4996" s="142" t="s">
        <v>6957</v>
      </c>
    </row>
    <row r="4997" spans="1:1">
      <c r="A4997" s="142" t="s">
        <v>6958</v>
      </c>
    </row>
    <row r="4998" spans="1:1">
      <c r="A4998" s="142" t="s">
        <v>6959</v>
      </c>
    </row>
    <row r="4999" spans="1:1">
      <c r="A4999" s="142" t="s">
        <v>6960</v>
      </c>
    </row>
    <row r="5000" spans="1:1">
      <c r="A5000" s="142" t="s">
        <v>6961</v>
      </c>
    </row>
    <row r="5001" spans="1:1">
      <c r="A5001" s="142" t="s">
        <v>6962</v>
      </c>
    </row>
    <row r="5002" spans="1:1">
      <c r="A5002" s="142" t="s">
        <v>6963</v>
      </c>
    </row>
    <row r="5003" spans="1:1">
      <c r="A5003" s="142" t="s">
        <v>6964</v>
      </c>
    </row>
    <row r="5004" spans="1:1">
      <c r="A5004" s="142" t="s">
        <v>6965</v>
      </c>
    </row>
    <row r="5005" spans="1:1">
      <c r="A5005" s="142" t="s">
        <v>6966</v>
      </c>
    </row>
    <row r="5006" spans="1:1">
      <c r="A5006" s="142" t="s">
        <v>6967</v>
      </c>
    </row>
    <row r="5007" spans="1:1">
      <c r="A5007" s="142" t="s">
        <v>6968</v>
      </c>
    </row>
    <row r="5008" spans="1:1">
      <c r="A5008" s="142" t="s">
        <v>6969</v>
      </c>
    </row>
    <row r="5009" spans="1:1">
      <c r="A5009" s="142" t="s">
        <v>6970</v>
      </c>
    </row>
    <row r="5010" spans="1:1">
      <c r="A5010" s="142" t="s">
        <v>6971</v>
      </c>
    </row>
    <row r="5011" spans="1:1">
      <c r="A5011" s="142" t="s">
        <v>6972</v>
      </c>
    </row>
    <row r="5012" spans="1:1">
      <c r="A5012" s="142" t="s">
        <v>6973</v>
      </c>
    </row>
    <row r="5013" spans="1:1">
      <c r="A5013" s="142" t="s">
        <v>6974</v>
      </c>
    </row>
    <row r="5014" spans="1:1">
      <c r="A5014" s="142" t="s">
        <v>6975</v>
      </c>
    </row>
    <row r="5015" spans="1:1">
      <c r="A5015" s="142" t="s">
        <v>6976</v>
      </c>
    </row>
    <row r="5016" spans="1:1">
      <c r="A5016" s="142" t="s">
        <v>6977</v>
      </c>
    </row>
    <row r="5017" spans="1:1">
      <c r="A5017" s="142" t="s">
        <v>6978</v>
      </c>
    </row>
    <row r="5018" spans="1:1">
      <c r="A5018" s="142" t="s">
        <v>6979</v>
      </c>
    </row>
    <row r="5019" spans="1:1">
      <c r="A5019" s="142" t="s">
        <v>6980</v>
      </c>
    </row>
    <row r="5020" spans="1:1">
      <c r="A5020" s="142" t="s">
        <v>6981</v>
      </c>
    </row>
    <row r="5021" spans="1:1">
      <c r="A5021" s="142" t="s">
        <v>6982</v>
      </c>
    </row>
    <row r="5022" spans="1:1">
      <c r="A5022" s="142" t="s">
        <v>6983</v>
      </c>
    </row>
    <row r="5023" spans="1:1">
      <c r="A5023" s="142" t="s">
        <v>6984</v>
      </c>
    </row>
    <row r="5024" spans="1:1">
      <c r="A5024" s="142" t="s">
        <v>6985</v>
      </c>
    </row>
    <row r="5025" spans="1:1">
      <c r="A5025" s="142" t="s">
        <v>6986</v>
      </c>
    </row>
    <row r="5026" spans="1:1">
      <c r="A5026" s="142" t="s">
        <v>6987</v>
      </c>
    </row>
    <row r="5027" spans="1:1">
      <c r="A5027" s="142" t="s">
        <v>6988</v>
      </c>
    </row>
    <row r="5028" spans="1:1">
      <c r="A5028" s="142" t="s">
        <v>6989</v>
      </c>
    </row>
    <row r="5029" spans="1:1">
      <c r="A5029" s="142" t="s">
        <v>6990</v>
      </c>
    </row>
    <row r="5030" spans="1:1">
      <c r="A5030" s="142" t="s">
        <v>6991</v>
      </c>
    </row>
    <row r="5031" spans="1:1">
      <c r="A5031" s="142" t="s">
        <v>6992</v>
      </c>
    </row>
    <row r="5032" spans="1:1">
      <c r="A5032" s="142" t="s">
        <v>6993</v>
      </c>
    </row>
    <row r="5033" spans="1:1">
      <c r="A5033" s="142" t="s">
        <v>6994</v>
      </c>
    </row>
    <row r="5034" spans="1:1">
      <c r="A5034" s="142" t="s">
        <v>6995</v>
      </c>
    </row>
    <row r="5035" spans="1:1">
      <c r="A5035" s="142" t="s">
        <v>6996</v>
      </c>
    </row>
    <row r="5036" spans="1:1">
      <c r="A5036" s="142" t="s">
        <v>6997</v>
      </c>
    </row>
    <row r="5037" spans="1:1">
      <c r="A5037" s="142" t="s">
        <v>6998</v>
      </c>
    </row>
    <row r="5038" spans="1:1">
      <c r="A5038" s="142" t="s">
        <v>6999</v>
      </c>
    </row>
    <row r="5039" spans="1:1">
      <c r="A5039" s="142" t="s">
        <v>7000</v>
      </c>
    </row>
    <row r="5040" spans="1:1">
      <c r="A5040" s="142" t="s">
        <v>7001</v>
      </c>
    </row>
    <row r="5041" spans="1:1">
      <c r="A5041" s="142" t="s">
        <v>7002</v>
      </c>
    </row>
    <row r="5042" spans="1:1">
      <c r="A5042" s="142" t="s">
        <v>7003</v>
      </c>
    </row>
    <row r="5043" spans="1:1">
      <c r="A5043" s="142" t="s">
        <v>7004</v>
      </c>
    </row>
    <row r="5044" spans="1:1">
      <c r="A5044" s="142" t="s">
        <v>7005</v>
      </c>
    </row>
    <row r="5045" spans="1:1">
      <c r="A5045" s="142" t="s">
        <v>7006</v>
      </c>
    </row>
    <row r="5046" spans="1:1">
      <c r="A5046" s="142" t="s">
        <v>7007</v>
      </c>
    </row>
    <row r="5047" spans="1:1">
      <c r="A5047" s="142" t="s">
        <v>7008</v>
      </c>
    </row>
    <row r="5048" spans="1:1">
      <c r="A5048" s="142" t="s">
        <v>7009</v>
      </c>
    </row>
    <row r="5049" spans="1:1">
      <c r="A5049" s="142" t="s">
        <v>7010</v>
      </c>
    </row>
    <row r="5050" spans="1:1">
      <c r="A5050" s="142" t="s">
        <v>7011</v>
      </c>
    </row>
    <row r="5051" spans="1:1">
      <c r="A5051" s="142" t="s">
        <v>7012</v>
      </c>
    </row>
    <row r="5052" spans="1:1">
      <c r="A5052" s="142" t="s">
        <v>7013</v>
      </c>
    </row>
    <row r="5053" spans="1:1">
      <c r="A5053" s="142" t="s">
        <v>7014</v>
      </c>
    </row>
    <row r="5054" spans="1:1">
      <c r="A5054" s="142" t="s">
        <v>7015</v>
      </c>
    </row>
    <row r="5055" spans="1:1">
      <c r="A5055" s="142" t="s">
        <v>7016</v>
      </c>
    </row>
    <row r="5056" spans="1:1">
      <c r="A5056" s="142" t="s">
        <v>7017</v>
      </c>
    </row>
    <row r="5057" spans="1:1">
      <c r="A5057" s="142" t="s">
        <v>7018</v>
      </c>
    </row>
    <row r="5058" spans="1:1">
      <c r="A5058" s="142" t="s">
        <v>7019</v>
      </c>
    </row>
    <row r="5059" spans="1:1">
      <c r="A5059" s="142" t="s">
        <v>7020</v>
      </c>
    </row>
    <row r="5060" spans="1:1">
      <c r="A5060" s="142" t="s">
        <v>7021</v>
      </c>
    </row>
    <row r="5061" spans="1:1">
      <c r="A5061" s="142" t="s">
        <v>7022</v>
      </c>
    </row>
    <row r="5062" spans="1:1">
      <c r="A5062" s="142" t="s">
        <v>7023</v>
      </c>
    </row>
    <row r="5063" spans="1:1">
      <c r="A5063" s="142" t="s">
        <v>7024</v>
      </c>
    </row>
    <row r="5064" spans="1:1">
      <c r="A5064" s="142" t="s">
        <v>7025</v>
      </c>
    </row>
    <row r="5065" spans="1:1">
      <c r="A5065" s="142" t="s">
        <v>7026</v>
      </c>
    </row>
    <row r="5066" spans="1:1">
      <c r="A5066" s="142" t="s">
        <v>7027</v>
      </c>
    </row>
    <row r="5067" spans="1:1">
      <c r="A5067" s="142" t="s">
        <v>7028</v>
      </c>
    </row>
    <row r="5068" spans="1:1">
      <c r="A5068" s="142" t="s">
        <v>7029</v>
      </c>
    </row>
    <row r="5069" spans="1:1">
      <c r="A5069" s="142" t="s">
        <v>7030</v>
      </c>
    </row>
    <row r="5070" spans="1:1">
      <c r="A5070" s="142" t="s">
        <v>7031</v>
      </c>
    </row>
    <row r="5071" spans="1:1">
      <c r="A5071" s="142" t="s">
        <v>7032</v>
      </c>
    </row>
    <row r="5072" spans="1:1">
      <c r="A5072" s="142" t="s">
        <v>7033</v>
      </c>
    </row>
    <row r="5073" spans="1:1">
      <c r="A5073" s="142" t="s">
        <v>7034</v>
      </c>
    </row>
    <row r="5074" spans="1:1">
      <c r="A5074" s="142" t="s">
        <v>7035</v>
      </c>
    </row>
    <row r="5075" spans="1:1">
      <c r="A5075" s="142" t="s">
        <v>7036</v>
      </c>
    </row>
    <row r="5076" spans="1:1">
      <c r="A5076" s="142" t="s">
        <v>7037</v>
      </c>
    </row>
    <row r="5077" spans="1:1">
      <c r="A5077" s="142" t="s">
        <v>7038</v>
      </c>
    </row>
    <row r="5078" spans="1:1">
      <c r="A5078" s="142" t="s">
        <v>7039</v>
      </c>
    </row>
    <row r="5079" spans="1:1">
      <c r="A5079" s="142" t="s">
        <v>7040</v>
      </c>
    </row>
    <row r="5080" spans="1:1">
      <c r="A5080" s="142" t="s">
        <v>7041</v>
      </c>
    </row>
    <row r="5081" spans="1:1">
      <c r="A5081" s="142" t="s">
        <v>7042</v>
      </c>
    </row>
    <row r="5082" spans="1:1">
      <c r="A5082" s="142" t="s">
        <v>7043</v>
      </c>
    </row>
    <row r="5083" spans="1:1">
      <c r="A5083" s="142" t="s">
        <v>7044</v>
      </c>
    </row>
    <row r="5084" spans="1:1">
      <c r="A5084" s="142" t="s">
        <v>7045</v>
      </c>
    </row>
    <row r="5085" spans="1:1">
      <c r="A5085" s="142" t="s">
        <v>7046</v>
      </c>
    </row>
    <row r="5086" spans="1:1">
      <c r="A5086" s="142" t="s">
        <v>7047</v>
      </c>
    </row>
    <row r="5087" spans="1:1">
      <c r="A5087" s="142" t="s">
        <v>7048</v>
      </c>
    </row>
    <row r="5088" spans="1:1">
      <c r="A5088" s="142" t="s">
        <v>7049</v>
      </c>
    </row>
    <row r="5089" spans="1:1">
      <c r="A5089" s="142" t="s">
        <v>7050</v>
      </c>
    </row>
    <row r="5090" spans="1:1">
      <c r="A5090" s="142" t="s">
        <v>7051</v>
      </c>
    </row>
    <row r="5091" spans="1:1">
      <c r="A5091" s="142" t="s">
        <v>7052</v>
      </c>
    </row>
    <row r="5092" spans="1:1">
      <c r="A5092" s="142" t="s">
        <v>7053</v>
      </c>
    </row>
    <row r="5093" spans="1:1">
      <c r="A5093" s="142" t="s">
        <v>7054</v>
      </c>
    </row>
    <row r="5094" spans="1:1">
      <c r="A5094" s="142" t="s">
        <v>7055</v>
      </c>
    </row>
    <row r="5095" spans="1:1">
      <c r="A5095" s="142" t="s">
        <v>7056</v>
      </c>
    </row>
    <row r="5096" spans="1:1">
      <c r="A5096" s="142" t="s">
        <v>7057</v>
      </c>
    </row>
    <row r="5097" spans="1:1">
      <c r="A5097" s="142" t="s">
        <v>7058</v>
      </c>
    </row>
    <row r="5098" spans="1:1">
      <c r="A5098" s="142" t="s">
        <v>7059</v>
      </c>
    </row>
    <row r="5099" spans="1:1">
      <c r="A5099" s="142" t="s">
        <v>7060</v>
      </c>
    </row>
    <row r="5100" spans="1:1">
      <c r="A5100" s="142" t="s">
        <v>7061</v>
      </c>
    </row>
    <row r="5101" spans="1:1">
      <c r="A5101" s="142" t="s">
        <v>7062</v>
      </c>
    </row>
    <row r="5102" spans="1:1">
      <c r="A5102" s="142" t="s">
        <v>7063</v>
      </c>
    </row>
    <row r="5103" spans="1:1">
      <c r="A5103" s="142" t="s">
        <v>7064</v>
      </c>
    </row>
    <row r="5104" spans="1:1">
      <c r="A5104" s="142" t="s">
        <v>7065</v>
      </c>
    </row>
    <row r="5105" spans="1:1">
      <c r="A5105" s="142" t="s">
        <v>7066</v>
      </c>
    </row>
    <row r="5106" spans="1:1">
      <c r="A5106" s="142" t="s">
        <v>7067</v>
      </c>
    </row>
    <row r="5107" spans="1:1">
      <c r="A5107" s="142" t="s">
        <v>7068</v>
      </c>
    </row>
    <row r="5108" spans="1:1">
      <c r="A5108" s="142" t="s">
        <v>7069</v>
      </c>
    </row>
    <row r="5109" spans="1:1">
      <c r="A5109" s="142" t="s">
        <v>7070</v>
      </c>
    </row>
    <row r="5110" spans="1:1">
      <c r="A5110" s="142" t="s">
        <v>7071</v>
      </c>
    </row>
    <row r="5111" spans="1:1">
      <c r="A5111" s="142" t="s">
        <v>7072</v>
      </c>
    </row>
    <row r="5112" spans="1:1">
      <c r="A5112" s="142" t="s">
        <v>7073</v>
      </c>
    </row>
    <row r="5113" spans="1:1">
      <c r="A5113" s="142" t="s">
        <v>7074</v>
      </c>
    </row>
    <row r="5114" spans="1:1">
      <c r="A5114" s="142" t="s">
        <v>7075</v>
      </c>
    </row>
    <row r="5115" spans="1:1">
      <c r="A5115" s="142" t="s">
        <v>7076</v>
      </c>
    </row>
    <row r="5116" spans="1:1">
      <c r="A5116" s="142" t="s">
        <v>7077</v>
      </c>
    </row>
    <row r="5117" spans="1:1">
      <c r="A5117" s="142" t="s">
        <v>7078</v>
      </c>
    </row>
    <row r="5118" spans="1:1">
      <c r="A5118" s="142" t="s">
        <v>7079</v>
      </c>
    </row>
    <row r="5119" spans="1:1">
      <c r="A5119" s="142" t="s">
        <v>7080</v>
      </c>
    </row>
    <row r="5120" spans="1:1">
      <c r="A5120" s="142" t="s">
        <v>7081</v>
      </c>
    </row>
    <row r="5121" spans="1:1">
      <c r="A5121" s="142" t="s">
        <v>7082</v>
      </c>
    </row>
    <row r="5122" spans="1:1">
      <c r="A5122" s="142" t="s">
        <v>7083</v>
      </c>
    </row>
    <row r="5123" spans="1:1">
      <c r="A5123" s="142" t="s">
        <v>7084</v>
      </c>
    </row>
    <row r="5124" spans="1:1">
      <c r="A5124" s="142" t="s">
        <v>7085</v>
      </c>
    </row>
    <row r="5125" spans="1:1">
      <c r="A5125" s="142" t="s">
        <v>7086</v>
      </c>
    </row>
    <row r="5126" spans="1:1">
      <c r="A5126" s="142" t="s">
        <v>7087</v>
      </c>
    </row>
    <row r="5127" spans="1:1">
      <c r="A5127" s="142" t="s">
        <v>7088</v>
      </c>
    </row>
    <row r="5128" spans="1:1">
      <c r="A5128" s="142" t="s">
        <v>7089</v>
      </c>
    </row>
    <row r="5129" spans="1:1">
      <c r="A5129" s="142" t="s">
        <v>7090</v>
      </c>
    </row>
    <row r="5130" spans="1:1">
      <c r="A5130" s="142" t="s">
        <v>7091</v>
      </c>
    </row>
    <row r="5131" spans="1:1">
      <c r="A5131" s="142" t="s">
        <v>7092</v>
      </c>
    </row>
    <row r="5132" spans="1:1">
      <c r="A5132" s="142" t="s">
        <v>7093</v>
      </c>
    </row>
    <row r="5133" spans="1:1">
      <c r="A5133" s="142" t="s">
        <v>7094</v>
      </c>
    </row>
    <row r="5134" spans="1:1">
      <c r="A5134" s="142" t="s">
        <v>7095</v>
      </c>
    </row>
    <row r="5135" spans="1:1">
      <c r="A5135" s="142" t="s">
        <v>7096</v>
      </c>
    </row>
    <row r="5136" spans="1:1">
      <c r="A5136" s="142" t="s">
        <v>7097</v>
      </c>
    </row>
    <row r="5137" spans="1:1">
      <c r="A5137" s="142" t="s">
        <v>7098</v>
      </c>
    </row>
    <row r="5138" spans="1:1">
      <c r="A5138" s="142" t="s">
        <v>7099</v>
      </c>
    </row>
    <row r="5139" spans="1:1">
      <c r="A5139" s="142" t="s">
        <v>7100</v>
      </c>
    </row>
    <row r="5140" spans="1:1">
      <c r="A5140" s="142" t="s">
        <v>7101</v>
      </c>
    </row>
    <row r="5141" spans="1:1">
      <c r="A5141" s="142" t="s">
        <v>7102</v>
      </c>
    </row>
    <row r="5142" spans="1:1">
      <c r="A5142" s="142" t="s">
        <v>7103</v>
      </c>
    </row>
    <row r="5143" spans="1:1">
      <c r="A5143" s="142" t="s">
        <v>7104</v>
      </c>
    </row>
    <row r="5144" spans="1:1">
      <c r="A5144" s="142" t="s">
        <v>7105</v>
      </c>
    </row>
    <row r="5145" spans="1:1">
      <c r="A5145" s="142" t="s">
        <v>7106</v>
      </c>
    </row>
    <row r="5146" spans="1:1">
      <c r="A5146" s="142" t="s">
        <v>7107</v>
      </c>
    </row>
    <row r="5147" spans="1:1">
      <c r="A5147" s="142" t="s">
        <v>7108</v>
      </c>
    </row>
    <row r="5148" spans="1:1">
      <c r="A5148" s="142" t="s">
        <v>7109</v>
      </c>
    </row>
    <row r="5149" spans="1:1">
      <c r="A5149" s="142" t="s">
        <v>7110</v>
      </c>
    </row>
    <row r="5150" spans="1:1">
      <c r="A5150" s="142" t="s">
        <v>7111</v>
      </c>
    </row>
    <row r="5151" spans="1:1">
      <c r="A5151" s="142" t="s">
        <v>7112</v>
      </c>
    </row>
    <row r="5152" spans="1:1">
      <c r="A5152" s="142" t="s">
        <v>7113</v>
      </c>
    </row>
    <row r="5153" spans="1:1">
      <c r="A5153" s="142" t="s">
        <v>7114</v>
      </c>
    </row>
    <row r="5154" spans="1:1">
      <c r="A5154" s="142" t="s">
        <v>7115</v>
      </c>
    </row>
    <row r="5155" spans="1:1">
      <c r="A5155" s="142" t="s">
        <v>7116</v>
      </c>
    </row>
    <row r="5156" spans="1:1">
      <c r="A5156" s="142" t="s">
        <v>7117</v>
      </c>
    </row>
    <row r="5157" spans="1:1">
      <c r="A5157" s="142" t="s">
        <v>7118</v>
      </c>
    </row>
    <row r="5158" spans="1:1">
      <c r="A5158" s="142" t="s">
        <v>7119</v>
      </c>
    </row>
    <row r="5159" spans="1:1">
      <c r="A5159" s="142" t="s">
        <v>7120</v>
      </c>
    </row>
    <row r="5160" spans="1:1">
      <c r="A5160" s="142" t="s">
        <v>7121</v>
      </c>
    </row>
    <row r="5161" spans="1:1">
      <c r="A5161" s="142" t="s">
        <v>7122</v>
      </c>
    </row>
    <row r="5162" spans="1:1">
      <c r="A5162" s="142" t="s">
        <v>7123</v>
      </c>
    </row>
    <row r="5163" spans="1:1">
      <c r="A5163" s="142" t="s">
        <v>7124</v>
      </c>
    </row>
    <row r="5164" spans="1:1">
      <c r="A5164" s="142" t="s">
        <v>7125</v>
      </c>
    </row>
    <row r="5165" spans="1:1">
      <c r="A5165" s="142" t="s">
        <v>7126</v>
      </c>
    </row>
    <row r="5166" spans="1:1">
      <c r="A5166" s="142" t="s">
        <v>7127</v>
      </c>
    </row>
    <row r="5167" spans="1:1">
      <c r="A5167" s="142" t="s">
        <v>7128</v>
      </c>
    </row>
    <row r="5168" spans="1:1">
      <c r="A5168" s="142" t="s">
        <v>7129</v>
      </c>
    </row>
    <row r="5169" spans="1:1">
      <c r="A5169" s="142" t="s">
        <v>7130</v>
      </c>
    </row>
    <row r="5170" spans="1:1">
      <c r="A5170" s="142" t="s">
        <v>7131</v>
      </c>
    </row>
    <row r="5171" spans="1:1">
      <c r="A5171" s="142" t="s">
        <v>7132</v>
      </c>
    </row>
    <row r="5172" spans="1:1">
      <c r="A5172" s="142" t="s">
        <v>7133</v>
      </c>
    </row>
    <row r="5173" spans="1:1">
      <c r="A5173" s="142" t="s">
        <v>7134</v>
      </c>
    </row>
    <row r="5174" spans="1:1">
      <c r="A5174" s="142" t="s">
        <v>7135</v>
      </c>
    </row>
    <row r="5175" spans="1:1">
      <c r="A5175" s="142" t="s">
        <v>7136</v>
      </c>
    </row>
    <row r="5176" spans="1:1">
      <c r="A5176" s="142" t="s">
        <v>7137</v>
      </c>
    </row>
    <row r="5177" spans="1:1">
      <c r="A5177" s="142" t="s">
        <v>7138</v>
      </c>
    </row>
    <row r="5178" spans="1:1">
      <c r="A5178" s="142" t="s">
        <v>7139</v>
      </c>
    </row>
    <row r="5179" spans="1:1">
      <c r="A5179" s="142" t="s">
        <v>7140</v>
      </c>
    </row>
    <row r="5180" spans="1:1">
      <c r="A5180" s="142" t="s">
        <v>7141</v>
      </c>
    </row>
    <row r="5181" spans="1:1">
      <c r="A5181" s="142" t="s">
        <v>7142</v>
      </c>
    </row>
    <row r="5182" spans="1:1">
      <c r="A5182" s="142" t="s">
        <v>7143</v>
      </c>
    </row>
    <row r="5183" spans="1:1">
      <c r="A5183" s="142" t="s">
        <v>7144</v>
      </c>
    </row>
    <row r="5184" spans="1:1">
      <c r="A5184" s="142" t="s">
        <v>7145</v>
      </c>
    </row>
    <row r="5185" spans="1:1">
      <c r="A5185" s="142" t="s">
        <v>7146</v>
      </c>
    </row>
    <row r="5186" spans="1:1">
      <c r="A5186" s="142" t="s">
        <v>7147</v>
      </c>
    </row>
    <row r="5187" spans="1:1">
      <c r="A5187" s="142" t="s">
        <v>7148</v>
      </c>
    </row>
    <row r="5188" spans="1:1">
      <c r="A5188" s="142" t="s">
        <v>7149</v>
      </c>
    </row>
    <row r="5189" spans="1:1">
      <c r="A5189" s="142" t="s">
        <v>7150</v>
      </c>
    </row>
    <row r="5190" spans="1:1">
      <c r="A5190" s="142" t="s">
        <v>7151</v>
      </c>
    </row>
    <row r="5191" spans="1:1">
      <c r="A5191" s="142" t="s">
        <v>7152</v>
      </c>
    </row>
    <row r="5192" spans="1:1">
      <c r="A5192" s="142" t="s">
        <v>7153</v>
      </c>
    </row>
    <row r="5193" spans="1:1">
      <c r="A5193" s="142" t="s">
        <v>7154</v>
      </c>
    </row>
    <row r="5194" spans="1:1">
      <c r="A5194" s="142" t="s">
        <v>7155</v>
      </c>
    </row>
    <row r="5195" spans="1:1">
      <c r="A5195" s="142" t="s">
        <v>7156</v>
      </c>
    </row>
    <row r="5196" spans="1:1">
      <c r="A5196" s="142" t="s">
        <v>7157</v>
      </c>
    </row>
    <row r="5197" spans="1:1">
      <c r="A5197" s="142" t="s">
        <v>7158</v>
      </c>
    </row>
    <row r="5198" spans="1:1">
      <c r="A5198" s="142" t="s">
        <v>7159</v>
      </c>
    </row>
    <row r="5199" spans="1:1">
      <c r="A5199" s="142" t="s">
        <v>7160</v>
      </c>
    </row>
    <row r="5200" spans="1:1">
      <c r="A5200" s="142" t="s">
        <v>7161</v>
      </c>
    </row>
    <row r="5201" spans="1:1">
      <c r="A5201" s="142" t="s">
        <v>7162</v>
      </c>
    </row>
    <row r="5202" spans="1:1">
      <c r="A5202" s="142" t="s">
        <v>7163</v>
      </c>
    </row>
    <row r="5203" spans="1:1">
      <c r="A5203" s="142" t="s">
        <v>7164</v>
      </c>
    </row>
    <row r="5204" spans="1:1">
      <c r="A5204" s="142" t="s">
        <v>7165</v>
      </c>
    </row>
    <row r="5205" spans="1:1">
      <c r="A5205" s="142" t="s">
        <v>7166</v>
      </c>
    </row>
    <row r="5206" spans="1:1">
      <c r="A5206" s="142" t="s">
        <v>7167</v>
      </c>
    </row>
    <row r="5207" spans="1:1">
      <c r="A5207" s="142" t="s">
        <v>7168</v>
      </c>
    </row>
    <row r="5208" spans="1:1">
      <c r="A5208" s="142" t="s">
        <v>7169</v>
      </c>
    </row>
    <row r="5209" spans="1:1">
      <c r="A5209" s="142" t="s">
        <v>7170</v>
      </c>
    </row>
    <row r="5210" spans="1:1">
      <c r="A5210" s="142" t="s">
        <v>7171</v>
      </c>
    </row>
    <row r="5211" spans="1:1">
      <c r="A5211" s="142" t="s">
        <v>7172</v>
      </c>
    </row>
    <row r="5212" spans="1:1">
      <c r="A5212" s="142" t="s">
        <v>7173</v>
      </c>
    </row>
    <row r="5213" spans="1:1">
      <c r="A5213" s="142" t="s">
        <v>7174</v>
      </c>
    </row>
    <row r="5214" spans="1:1">
      <c r="A5214" s="142" t="s">
        <v>7175</v>
      </c>
    </row>
    <row r="5215" spans="1:1">
      <c r="A5215" s="142" t="s">
        <v>7176</v>
      </c>
    </row>
    <row r="5216" spans="1:1">
      <c r="A5216" s="142" t="s">
        <v>7177</v>
      </c>
    </row>
    <row r="5217" spans="1:1">
      <c r="A5217" s="142" t="s">
        <v>7178</v>
      </c>
    </row>
    <row r="5218" spans="1:1">
      <c r="A5218" s="142" t="s">
        <v>7179</v>
      </c>
    </row>
    <row r="5219" spans="1:1">
      <c r="A5219" s="142" t="s">
        <v>7180</v>
      </c>
    </row>
    <row r="5220" spans="1:1">
      <c r="A5220" s="142" t="s">
        <v>7181</v>
      </c>
    </row>
    <row r="5221" spans="1:1">
      <c r="A5221" s="142" t="s">
        <v>7182</v>
      </c>
    </row>
    <row r="5222" spans="1:1">
      <c r="A5222" s="142" t="s">
        <v>7183</v>
      </c>
    </row>
    <row r="5223" spans="1:1">
      <c r="A5223" s="142" t="s">
        <v>7184</v>
      </c>
    </row>
    <row r="5224" spans="1:1">
      <c r="A5224" s="142" t="s">
        <v>7185</v>
      </c>
    </row>
    <row r="5225" spans="1:1">
      <c r="A5225" s="142" t="s">
        <v>7186</v>
      </c>
    </row>
    <row r="5226" spans="1:1">
      <c r="A5226" s="142" t="s">
        <v>7187</v>
      </c>
    </row>
    <row r="5227" spans="1:1">
      <c r="A5227" s="142" t="s">
        <v>7188</v>
      </c>
    </row>
    <row r="5228" spans="1:1">
      <c r="A5228" s="142" t="s">
        <v>7189</v>
      </c>
    </row>
    <row r="5229" spans="1:1">
      <c r="A5229" s="142" t="s">
        <v>7190</v>
      </c>
    </row>
    <row r="5230" spans="1:1">
      <c r="A5230" s="142" t="s">
        <v>7191</v>
      </c>
    </row>
    <row r="5231" spans="1:1">
      <c r="A5231" s="142" t="s">
        <v>7192</v>
      </c>
    </row>
    <row r="5232" spans="1:1">
      <c r="A5232" s="142" t="s">
        <v>7193</v>
      </c>
    </row>
    <row r="5233" spans="1:1">
      <c r="A5233" s="142" t="s">
        <v>7194</v>
      </c>
    </row>
    <row r="5234" spans="1:1">
      <c r="A5234" s="142" t="s">
        <v>7195</v>
      </c>
    </row>
    <row r="5235" spans="1:1">
      <c r="A5235" s="142" t="s">
        <v>7196</v>
      </c>
    </row>
    <row r="5236" spans="1:1">
      <c r="A5236" s="142" t="s">
        <v>7197</v>
      </c>
    </row>
    <row r="5237" spans="1:1">
      <c r="A5237" s="142" t="s">
        <v>7198</v>
      </c>
    </row>
    <row r="5238" spans="1:1">
      <c r="A5238" s="142" t="s">
        <v>7199</v>
      </c>
    </row>
    <row r="5239" spans="1:1">
      <c r="A5239" s="142" t="s">
        <v>7200</v>
      </c>
    </row>
    <row r="5240" spans="1:1">
      <c r="A5240" s="142" t="s">
        <v>7201</v>
      </c>
    </row>
    <row r="5241" spans="1:1">
      <c r="A5241" s="142" t="s">
        <v>7202</v>
      </c>
    </row>
    <row r="5242" spans="1:1">
      <c r="A5242" s="142" t="s">
        <v>7203</v>
      </c>
    </row>
    <row r="5243" spans="1:1">
      <c r="A5243" s="142" t="s">
        <v>7204</v>
      </c>
    </row>
    <row r="5244" spans="1:1">
      <c r="A5244" s="142" t="s">
        <v>7205</v>
      </c>
    </row>
    <row r="5245" spans="1:1">
      <c r="A5245" s="142" t="s">
        <v>7206</v>
      </c>
    </row>
    <row r="5246" spans="1:1">
      <c r="A5246" s="142" t="s">
        <v>7207</v>
      </c>
    </row>
    <row r="5247" spans="1:1">
      <c r="A5247" s="142" t="s">
        <v>7208</v>
      </c>
    </row>
    <row r="5248" spans="1:1">
      <c r="A5248" s="142" t="s">
        <v>7209</v>
      </c>
    </row>
    <row r="5249" spans="1:1">
      <c r="A5249" s="142" t="s">
        <v>7210</v>
      </c>
    </row>
    <row r="5250" spans="1:1">
      <c r="A5250" s="142" t="s">
        <v>7211</v>
      </c>
    </row>
    <row r="5251" spans="1:1">
      <c r="A5251" s="142" t="s">
        <v>7212</v>
      </c>
    </row>
    <row r="5252" spans="1:1">
      <c r="A5252" s="142" t="s">
        <v>7213</v>
      </c>
    </row>
    <row r="5253" spans="1:1">
      <c r="A5253" s="142" t="s">
        <v>7214</v>
      </c>
    </row>
    <row r="5254" spans="1:1">
      <c r="A5254" s="142" t="s">
        <v>7215</v>
      </c>
    </row>
    <row r="5255" spans="1:1">
      <c r="A5255" s="142" t="s">
        <v>7216</v>
      </c>
    </row>
    <row r="5256" spans="1:1">
      <c r="A5256" s="142" t="s">
        <v>7217</v>
      </c>
    </row>
    <row r="5257" spans="1:1">
      <c r="A5257" s="142" t="s">
        <v>7218</v>
      </c>
    </row>
    <row r="5258" spans="1:1">
      <c r="A5258" s="142" t="s">
        <v>7219</v>
      </c>
    </row>
    <row r="5259" spans="1:1">
      <c r="A5259" s="142" t="s">
        <v>7220</v>
      </c>
    </row>
    <row r="5260" spans="1:1">
      <c r="A5260" s="142" t="s">
        <v>7221</v>
      </c>
    </row>
    <row r="5261" spans="1:1">
      <c r="A5261" s="142" t="s">
        <v>7222</v>
      </c>
    </row>
    <row r="5262" spans="1:1">
      <c r="A5262" s="142" t="s">
        <v>7223</v>
      </c>
    </row>
    <row r="5263" spans="1:1">
      <c r="A5263" s="142" t="s">
        <v>7224</v>
      </c>
    </row>
    <row r="5264" spans="1:1">
      <c r="A5264" s="142" t="s">
        <v>7225</v>
      </c>
    </row>
    <row r="5265" spans="1:1">
      <c r="A5265" s="142" t="s">
        <v>7226</v>
      </c>
    </row>
    <row r="5266" spans="1:1">
      <c r="A5266" s="142" t="s">
        <v>7227</v>
      </c>
    </row>
    <row r="5267" spans="1:1">
      <c r="A5267" s="142" t="s">
        <v>7228</v>
      </c>
    </row>
    <row r="5268" spans="1:1">
      <c r="A5268" s="142" t="s">
        <v>7229</v>
      </c>
    </row>
    <row r="5269" spans="1:1">
      <c r="A5269" s="142" t="s">
        <v>7230</v>
      </c>
    </row>
    <row r="5270" spans="1:1">
      <c r="A5270" s="142" t="s">
        <v>7231</v>
      </c>
    </row>
    <row r="5271" spans="1:1">
      <c r="A5271" s="142" t="s">
        <v>7232</v>
      </c>
    </row>
    <row r="5272" spans="1:1">
      <c r="A5272" s="142" t="s">
        <v>7233</v>
      </c>
    </row>
    <row r="5273" spans="1:1">
      <c r="A5273" s="142" t="s">
        <v>7234</v>
      </c>
    </row>
    <row r="5274" spans="1:1">
      <c r="A5274" s="142" t="s">
        <v>7235</v>
      </c>
    </row>
    <row r="5275" spans="1:1">
      <c r="A5275" s="142" t="s">
        <v>7236</v>
      </c>
    </row>
    <row r="5276" spans="1:1">
      <c r="A5276" s="142" t="s">
        <v>7237</v>
      </c>
    </row>
    <row r="5277" spans="1:1">
      <c r="A5277" s="142" t="s">
        <v>7238</v>
      </c>
    </row>
    <row r="5278" spans="1:1">
      <c r="A5278" s="142" t="s">
        <v>7239</v>
      </c>
    </row>
    <row r="5279" spans="1:1">
      <c r="A5279" s="142" t="s">
        <v>7240</v>
      </c>
    </row>
    <row r="5280" spans="1:1">
      <c r="A5280" s="142" t="s">
        <v>7241</v>
      </c>
    </row>
    <row r="5281" spans="1:1">
      <c r="A5281" s="142" t="s">
        <v>7242</v>
      </c>
    </row>
    <row r="5282" spans="1:1">
      <c r="A5282" s="142" t="s">
        <v>7243</v>
      </c>
    </row>
    <row r="5283" spans="1:1">
      <c r="A5283" s="142" t="s">
        <v>7244</v>
      </c>
    </row>
    <row r="5284" spans="1:1">
      <c r="A5284" s="142" t="s">
        <v>7245</v>
      </c>
    </row>
    <row r="5285" spans="1:1">
      <c r="A5285" s="142" t="s">
        <v>7246</v>
      </c>
    </row>
    <row r="5286" spans="1:1">
      <c r="A5286" s="142" t="s">
        <v>7247</v>
      </c>
    </row>
    <row r="5287" spans="1:1">
      <c r="A5287" s="142" t="s">
        <v>7248</v>
      </c>
    </row>
    <row r="5288" spans="1:1">
      <c r="A5288" s="142" t="s">
        <v>7249</v>
      </c>
    </row>
    <row r="5289" spans="1:1">
      <c r="A5289" s="142" t="s">
        <v>7250</v>
      </c>
    </row>
    <row r="5290" spans="1:1">
      <c r="A5290" s="142" t="s">
        <v>7251</v>
      </c>
    </row>
    <row r="5291" spans="1:1">
      <c r="A5291" s="142" t="s">
        <v>7252</v>
      </c>
    </row>
    <row r="5292" spans="1:1">
      <c r="A5292" s="142" t="s">
        <v>7253</v>
      </c>
    </row>
    <row r="5293" spans="1:1">
      <c r="A5293" s="142" t="s">
        <v>7254</v>
      </c>
    </row>
    <row r="5294" spans="1:1">
      <c r="A5294" s="142" t="s">
        <v>7255</v>
      </c>
    </row>
    <row r="5295" spans="1:1">
      <c r="A5295" s="142" t="s">
        <v>7256</v>
      </c>
    </row>
    <row r="5296" spans="1:1">
      <c r="A5296" s="142" t="s">
        <v>7257</v>
      </c>
    </row>
    <row r="5297" spans="1:1">
      <c r="A5297" s="142" t="s">
        <v>7258</v>
      </c>
    </row>
    <row r="5298" spans="1:1">
      <c r="A5298" s="142" t="s">
        <v>7259</v>
      </c>
    </row>
    <row r="5299" spans="1:1">
      <c r="A5299" s="142" t="s">
        <v>7260</v>
      </c>
    </row>
    <row r="5300" spans="1:1">
      <c r="A5300" s="142" t="s">
        <v>7261</v>
      </c>
    </row>
    <row r="5301" spans="1:1">
      <c r="A5301" s="142" t="s">
        <v>7262</v>
      </c>
    </row>
    <row r="5302" spans="1:1">
      <c r="A5302" s="142" t="s">
        <v>7263</v>
      </c>
    </row>
    <row r="5303" spans="1:1">
      <c r="A5303" s="142" t="s">
        <v>7264</v>
      </c>
    </row>
    <row r="5304" spans="1:1">
      <c r="A5304" s="142" t="s">
        <v>7265</v>
      </c>
    </row>
    <row r="5305" spans="1:1">
      <c r="A5305" s="142" t="s">
        <v>7266</v>
      </c>
    </row>
    <row r="5306" spans="1:1">
      <c r="A5306" s="142" t="s">
        <v>7267</v>
      </c>
    </row>
    <row r="5307" spans="1:1">
      <c r="A5307" s="142" t="s">
        <v>7268</v>
      </c>
    </row>
    <row r="5308" spans="1:1">
      <c r="A5308" s="142" t="s">
        <v>7269</v>
      </c>
    </row>
    <row r="5309" spans="1:1">
      <c r="A5309" s="142" t="s">
        <v>7270</v>
      </c>
    </row>
    <row r="5310" spans="1:1">
      <c r="A5310" s="142" t="s">
        <v>7271</v>
      </c>
    </row>
    <row r="5311" spans="1:1">
      <c r="A5311" s="142" t="s">
        <v>7272</v>
      </c>
    </row>
    <row r="5312" spans="1:1">
      <c r="A5312" s="142" t="s">
        <v>7273</v>
      </c>
    </row>
    <row r="5313" spans="1:1">
      <c r="A5313" s="142" t="s">
        <v>7274</v>
      </c>
    </row>
    <row r="5314" spans="1:1">
      <c r="A5314" s="142" t="s">
        <v>7275</v>
      </c>
    </row>
    <row r="5315" spans="1:1">
      <c r="A5315" s="142" t="s">
        <v>7276</v>
      </c>
    </row>
    <row r="5316" spans="1:1">
      <c r="A5316" s="142" t="s">
        <v>7277</v>
      </c>
    </row>
    <row r="5317" spans="1:1">
      <c r="A5317" s="142" t="s">
        <v>7278</v>
      </c>
    </row>
    <row r="5318" spans="1:1">
      <c r="A5318" s="142" t="s">
        <v>7279</v>
      </c>
    </row>
    <row r="5319" spans="1:1">
      <c r="A5319" s="142" t="s">
        <v>7280</v>
      </c>
    </row>
    <row r="5320" spans="1:1">
      <c r="A5320" s="142" t="s">
        <v>7281</v>
      </c>
    </row>
    <row r="5321" spans="1:1">
      <c r="A5321" s="142" t="s">
        <v>7282</v>
      </c>
    </row>
    <row r="5322" spans="1:1">
      <c r="A5322" s="142" t="s">
        <v>7283</v>
      </c>
    </row>
    <row r="5323" spans="1:1">
      <c r="A5323" s="142" t="s">
        <v>7284</v>
      </c>
    </row>
    <row r="5324" spans="1:1">
      <c r="A5324" s="142" t="s">
        <v>7285</v>
      </c>
    </row>
    <row r="5325" spans="1:1">
      <c r="A5325" s="142" t="s">
        <v>7286</v>
      </c>
    </row>
    <row r="5326" spans="1:1">
      <c r="A5326" s="142" t="s">
        <v>7287</v>
      </c>
    </row>
    <row r="5327" spans="1:1">
      <c r="A5327" s="142" t="s">
        <v>7288</v>
      </c>
    </row>
    <row r="5328" spans="1:1">
      <c r="A5328" s="142" t="s">
        <v>7289</v>
      </c>
    </row>
    <row r="5329" spans="1:1">
      <c r="A5329" s="142" t="s">
        <v>7290</v>
      </c>
    </row>
    <row r="5330" spans="1:1">
      <c r="A5330" s="142" t="s">
        <v>7291</v>
      </c>
    </row>
    <row r="5331" spans="1:1">
      <c r="A5331" s="142" t="s">
        <v>7292</v>
      </c>
    </row>
    <row r="5332" spans="1:1">
      <c r="A5332" s="142" t="s">
        <v>7293</v>
      </c>
    </row>
    <row r="5333" spans="1:1">
      <c r="A5333" s="142" t="s">
        <v>7294</v>
      </c>
    </row>
    <row r="5334" spans="1:1">
      <c r="A5334" s="142" t="s">
        <v>7295</v>
      </c>
    </row>
    <row r="5335" spans="1:1">
      <c r="A5335" s="142" t="s">
        <v>7296</v>
      </c>
    </row>
    <row r="5336" spans="1:1">
      <c r="A5336" s="142" t="s">
        <v>7297</v>
      </c>
    </row>
    <row r="5337" spans="1:1">
      <c r="A5337" s="142" t="s">
        <v>7298</v>
      </c>
    </row>
    <row r="5338" spans="1:1">
      <c r="A5338" s="142" t="s">
        <v>7299</v>
      </c>
    </row>
    <row r="5339" spans="1:1">
      <c r="A5339" s="142" t="s">
        <v>7300</v>
      </c>
    </row>
    <row r="5340" spans="1:1">
      <c r="A5340" s="142" t="s">
        <v>7301</v>
      </c>
    </row>
    <row r="5341" spans="1:1">
      <c r="A5341" s="142" t="s">
        <v>7302</v>
      </c>
    </row>
    <row r="5342" spans="1:1">
      <c r="A5342" s="142" t="s">
        <v>7303</v>
      </c>
    </row>
    <row r="5343" spans="1:1">
      <c r="A5343" s="142" t="s">
        <v>7304</v>
      </c>
    </row>
    <row r="5344" spans="1:1">
      <c r="A5344" s="142" t="s">
        <v>7305</v>
      </c>
    </row>
    <row r="5345" spans="1:1">
      <c r="A5345" s="142" t="s">
        <v>7306</v>
      </c>
    </row>
    <row r="5346" spans="1:1">
      <c r="A5346" s="142" t="s">
        <v>7307</v>
      </c>
    </row>
    <row r="5347" spans="1:1">
      <c r="A5347" s="142" t="s">
        <v>7308</v>
      </c>
    </row>
    <row r="5348" spans="1:1">
      <c r="A5348" s="142" t="s">
        <v>7309</v>
      </c>
    </row>
    <row r="5349" spans="1:1">
      <c r="A5349" s="142" t="s">
        <v>7310</v>
      </c>
    </row>
    <row r="5350" spans="1:1">
      <c r="A5350" s="142" t="s">
        <v>7311</v>
      </c>
    </row>
    <row r="5351" spans="1:1">
      <c r="A5351" s="142" t="s">
        <v>7312</v>
      </c>
    </row>
    <row r="5352" spans="1:1">
      <c r="A5352" s="142" t="s">
        <v>7313</v>
      </c>
    </row>
    <row r="5353" spans="1:1">
      <c r="A5353" s="142" t="s">
        <v>7314</v>
      </c>
    </row>
    <row r="5354" spans="1:1">
      <c r="A5354" s="142" t="s">
        <v>7315</v>
      </c>
    </row>
    <row r="5355" spans="1:1">
      <c r="A5355" s="142" t="s">
        <v>7316</v>
      </c>
    </row>
    <row r="5356" spans="1:1">
      <c r="A5356" s="142" t="s">
        <v>7317</v>
      </c>
    </row>
    <row r="5357" spans="1:1">
      <c r="A5357" s="142" t="s">
        <v>7318</v>
      </c>
    </row>
    <row r="5358" spans="1:1">
      <c r="A5358" s="142" t="s">
        <v>7319</v>
      </c>
    </row>
    <row r="5359" spans="1:1">
      <c r="A5359" s="142" t="s">
        <v>7320</v>
      </c>
    </row>
    <row r="5360" spans="1:1">
      <c r="A5360" s="142" t="s">
        <v>7321</v>
      </c>
    </row>
    <row r="5361" spans="1:1">
      <c r="A5361" s="142" t="s">
        <v>7322</v>
      </c>
    </row>
    <row r="5362" spans="1:1">
      <c r="A5362" s="142" t="s">
        <v>7323</v>
      </c>
    </row>
    <row r="5363" spans="1:1">
      <c r="A5363" s="142" t="s">
        <v>7324</v>
      </c>
    </row>
    <row r="5364" spans="1:1">
      <c r="A5364" s="142" t="s">
        <v>7325</v>
      </c>
    </row>
    <row r="5365" spans="1:1">
      <c r="A5365" s="142" t="s">
        <v>7326</v>
      </c>
    </row>
    <row r="5366" spans="1:1">
      <c r="A5366" s="142" t="s">
        <v>7327</v>
      </c>
    </row>
    <row r="5367" spans="1:1">
      <c r="A5367" s="142" t="s">
        <v>7328</v>
      </c>
    </row>
    <row r="5368" spans="1:1">
      <c r="A5368" s="142" t="s">
        <v>7329</v>
      </c>
    </row>
    <row r="5369" spans="1:1">
      <c r="A5369" s="142" t="s">
        <v>7330</v>
      </c>
    </row>
    <row r="5370" spans="1:1">
      <c r="A5370" s="142" t="s">
        <v>7331</v>
      </c>
    </row>
    <row r="5371" spans="1:1">
      <c r="A5371" s="142" t="s">
        <v>7332</v>
      </c>
    </row>
    <row r="5372" spans="1:1">
      <c r="A5372" s="142" t="s">
        <v>7333</v>
      </c>
    </row>
    <row r="5373" spans="1:1">
      <c r="A5373" s="142" t="s">
        <v>7334</v>
      </c>
    </row>
    <row r="5374" spans="1:1">
      <c r="A5374" s="142" t="s">
        <v>7335</v>
      </c>
    </row>
    <row r="5375" spans="1:1">
      <c r="A5375" s="142" t="s">
        <v>7336</v>
      </c>
    </row>
    <row r="5376" spans="1:1">
      <c r="A5376" s="142" t="s">
        <v>7337</v>
      </c>
    </row>
    <row r="5377" spans="1:1">
      <c r="A5377" s="142" t="s">
        <v>7338</v>
      </c>
    </row>
    <row r="5378" spans="1:1">
      <c r="A5378" s="142" t="s">
        <v>7339</v>
      </c>
    </row>
    <row r="5379" spans="1:1">
      <c r="A5379" s="142" t="s">
        <v>7340</v>
      </c>
    </row>
    <row r="5380" spans="1:1">
      <c r="A5380" s="142" t="s">
        <v>7341</v>
      </c>
    </row>
    <row r="5381" spans="1:1">
      <c r="A5381" s="142" t="s">
        <v>7342</v>
      </c>
    </row>
    <row r="5382" spans="1:1">
      <c r="A5382" s="142" t="s">
        <v>7343</v>
      </c>
    </row>
    <row r="5383" spans="1:1">
      <c r="A5383" s="142" t="s">
        <v>7344</v>
      </c>
    </row>
    <row r="5384" spans="1:1">
      <c r="A5384" s="142" t="s">
        <v>7345</v>
      </c>
    </row>
    <row r="5385" spans="1:1">
      <c r="A5385" s="142" t="s">
        <v>7346</v>
      </c>
    </row>
    <row r="5386" spans="1:1">
      <c r="A5386" s="142" t="s">
        <v>7347</v>
      </c>
    </row>
    <row r="5387" spans="1:1">
      <c r="A5387" s="142" t="s">
        <v>7348</v>
      </c>
    </row>
    <row r="5388" spans="1:1">
      <c r="A5388" s="142" t="s">
        <v>7349</v>
      </c>
    </row>
    <row r="5389" spans="1:1">
      <c r="A5389" s="142" t="s">
        <v>7350</v>
      </c>
    </row>
    <row r="5390" spans="1:1">
      <c r="A5390" s="142" t="s">
        <v>7351</v>
      </c>
    </row>
    <row r="5391" spans="1:1">
      <c r="A5391" s="142" t="s">
        <v>7352</v>
      </c>
    </row>
    <row r="5392" spans="1:1">
      <c r="A5392" s="142" t="s">
        <v>7353</v>
      </c>
    </row>
    <row r="5393" spans="1:1">
      <c r="A5393" s="142" t="s">
        <v>7354</v>
      </c>
    </row>
    <row r="5394" spans="1:1">
      <c r="A5394" s="142" t="s">
        <v>7355</v>
      </c>
    </row>
    <row r="5395" spans="1:1">
      <c r="A5395" s="142" t="s">
        <v>7356</v>
      </c>
    </row>
    <row r="5396" spans="1:1">
      <c r="A5396" s="142" t="s">
        <v>7357</v>
      </c>
    </row>
    <row r="5397" spans="1:1">
      <c r="A5397" s="142" t="s">
        <v>7358</v>
      </c>
    </row>
    <row r="5398" spans="1:1">
      <c r="A5398" s="142" t="s">
        <v>7359</v>
      </c>
    </row>
    <row r="5399" spans="1:1">
      <c r="A5399" s="142" t="s">
        <v>7360</v>
      </c>
    </row>
    <row r="5400" spans="1:1">
      <c r="A5400" s="142" t="s">
        <v>7361</v>
      </c>
    </row>
    <row r="5401" spans="1:1">
      <c r="A5401" s="142" t="s">
        <v>7362</v>
      </c>
    </row>
    <row r="5402" spans="1:1">
      <c r="A5402" s="142" t="s">
        <v>7363</v>
      </c>
    </row>
    <row r="5403" spans="1:1">
      <c r="A5403" s="142" t="s">
        <v>7364</v>
      </c>
    </row>
    <row r="5404" spans="1:1">
      <c r="A5404" s="142" t="s">
        <v>7365</v>
      </c>
    </row>
    <row r="5405" spans="1:1">
      <c r="A5405" s="142" t="s">
        <v>7366</v>
      </c>
    </row>
    <row r="5406" spans="1:1">
      <c r="A5406" s="142" t="s">
        <v>7367</v>
      </c>
    </row>
    <row r="5407" spans="1:1">
      <c r="A5407" s="142" t="s">
        <v>7368</v>
      </c>
    </row>
    <row r="5408" spans="1:1">
      <c r="A5408" s="142" t="s">
        <v>7369</v>
      </c>
    </row>
    <row r="5409" spans="1:1">
      <c r="A5409" s="142" t="s">
        <v>7370</v>
      </c>
    </row>
    <row r="5410" spans="1:1">
      <c r="A5410" s="142" t="s">
        <v>7371</v>
      </c>
    </row>
    <row r="5411" spans="1:1">
      <c r="A5411" s="142" t="s">
        <v>7372</v>
      </c>
    </row>
    <row r="5412" spans="1:1">
      <c r="A5412" s="142" t="s">
        <v>7373</v>
      </c>
    </row>
    <row r="5413" spans="1:1">
      <c r="A5413" s="142" t="s">
        <v>7374</v>
      </c>
    </row>
    <row r="5414" spans="1:1">
      <c r="A5414" s="142" t="s">
        <v>7375</v>
      </c>
    </row>
    <row r="5415" spans="1:1">
      <c r="A5415" s="142" t="s">
        <v>7376</v>
      </c>
    </row>
    <row r="5416" spans="1:1">
      <c r="A5416" s="142" t="s">
        <v>7377</v>
      </c>
    </row>
    <row r="5417" spans="1:1">
      <c r="A5417" s="142" t="s">
        <v>7378</v>
      </c>
    </row>
    <row r="5418" spans="1:1">
      <c r="A5418" s="142" t="s">
        <v>7379</v>
      </c>
    </row>
    <row r="5419" spans="1:1">
      <c r="A5419" s="142" t="s">
        <v>7380</v>
      </c>
    </row>
    <row r="5420" spans="1:1">
      <c r="A5420" s="142" t="s">
        <v>7381</v>
      </c>
    </row>
    <row r="5421" spans="1:1">
      <c r="A5421" s="142" t="s">
        <v>7382</v>
      </c>
    </row>
    <row r="5422" spans="1:1">
      <c r="A5422" s="142" t="s">
        <v>7383</v>
      </c>
    </row>
    <row r="5423" spans="1:1">
      <c r="A5423" s="142" t="s">
        <v>7384</v>
      </c>
    </row>
    <row r="5424" spans="1:1">
      <c r="A5424" s="142" t="s">
        <v>7385</v>
      </c>
    </row>
    <row r="5425" spans="1:1">
      <c r="A5425" s="142" t="s">
        <v>7386</v>
      </c>
    </row>
    <row r="5426" spans="1:1">
      <c r="A5426" s="142" t="s">
        <v>7387</v>
      </c>
    </row>
    <row r="5427" spans="1:1">
      <c r="A5427" s="142" t="s">
        <v>7388</v>
      </c>
    </row>
    <row r="5428" spans="1:1">
      <c r="A5428" s="142" t="s">
        <v>7389</v>
      </c>
    </row>
    <row r="5429" spans="1:1">
      <c r="A5429" s="142" t="s">
        <v>7390</v>
      </c>
    </row>
    <row r="5430" spans="1:1">
      <c r="A5430" s="142" t="s">
        <v>7391</v>
      </c>
    </row>
    <row r="5431" spans="1:1">
      <c r="A5431" s="142" t="s">
        <v>7392</v>
      </c>
    </row>
    <row r="5432" spans="1:1">
      <c r="A5432" s="142" t="s">
        <v>7393</v>
      </c>
    </row>
    <row r="5433" spans="1:1">
      <c r="A5433" s="142" t="s">
        <v>7394</v>
      </c>
    </row>
    <row r="5434" spans="1:1">
      <c r="A5434" s="142" t="s">
        <v>7395</v>
      </c>
    </row>
    <row r="5435" spans="1:1">
      <c r="A5435" s="142" t="s">
        <v>7396</v>
      </c>
    </row>
    <row r="5436" spans="1:1">
      <c r="A5436" s="142" t="s">
        <v>7397</v>
      </c>
    </row>
    <row r="5437" spans="1:1">
      <c r="A5437" s="142" t="s">
        <v>7398</v>
      </c>
    </row>
    <row r="5438" spans="1:1">
      <c r="A5438" s="142" t="s">
        <v>7399</v>
      </c>
    </row>
    <row r="5439" spans="1:1">
      <c r="A5439" s="142" t="s">
        <v>7400</v>
      </c>
    </row>
    <row r="5440" spans="1:1">
      <c r="A5440" s="142" t="s">
        <v>7401</v>
      </c>
    </row>
    <row r="5441" spans="1:1">
      <c r="A5441" s="142" t="s">
        <v>7402</v>
      </c>
    </row>
    <row r="5442" spans="1:1">
      <c r="A5442" s="142" t="s">
        <v>7403</v>
      </c>
    </row>
    <row r="5443" spans="1:1">
      <c r="A5443" s="142" t="s">
        <v>7404</v>
      </c>
    </row>
    <row r="5444" spans="1:1">
      <c r="A5444" s="142" t="s">
        <v>7405</v>
      </c>
    </row>
    <row r="5445" spans="1:1">
      <c r="A5445" s="142" t="s">
        <v>7406</v>
      </c>
    </row>
    <row r="5446" spans="1:1">
      <c r="A5446" s="142" t="s">
        <v>7407</v>
      </c>
    </row>
    <row r="5447" spans="1:1">
      <c r="A5447" s="142" t="s">
        <v>7408</v>
      </c>
    </row>
    <row r="5448" spans="1:1">
      <c r="A5448" s="142" t="s">
        <v>7409</v>
      </c>
    </row>
    <row r="5449" spans="1:1">
      <c r="A5449" s="142" t="s">
        <v>7410</v>
      </c>
    </row>
    <row r="5450" spans="1:1">
      <c r="A5450" s="142" t="s">
        <v>7411</v>
      </c>
    </row>
    <row r="5451" spans="1:1">
      <c r="A5451" s="142" t="s">
        <v>7412</v>
      </c>
    </row>
    <row r="5452" spans="1:1">
      <c r="A5452" s="142" t="s">
        <v>7413</v>
      </c>
    </row>
    <row r="5453" spans="1:1">
      <c r="A5453" s="142" t="s">
        <v>7414</v>
      </c>
    </row>
    <row r="5454" spans="1:1">
      <c r="A5454" s="142" t="s">
        <v>7415</v>
      </c>
    </row>
    <row r="5455" spans="1:1">
      <c r="A5455" s="142" t="s">
        <v>7416</v>
      </c>
    </row>
    <row r="5456" spans="1:1">
      <c r="A5456" s="142" t="s">
        <v>7417</v>
      </c>
    </row>
    <row r="5457" spans="1:1">
      <c r="A5457" s="142" t="s">
        <v>7418</v>
      </c>
    </row>
    <row r="5458" spans="1:1">
      <c r="A5458" s="142" t="s">
        <v>7419</v>
      </c>
    </row>
    <row r="5459" spans="1:1">
      <c r="A5459" s="142" t="s">
        <v>7420</v>
      </c>
    </row>
    <row r="5460" spans="1:1">
      <c r="A5460" s="142" t="s">
        <v>7421</v>
      </c>
    </row>
    <row r="5461" spans="1:1">
      <c r="A5461" s="142" t="s">
        <v>7422</v>
      </c>
    </row>
    <row r="5462" spans="1:1">
      <c r="A5462" s="142" t="s">
        <v>7423</v>
      </c>
    </row>
    <row r="5463" spans="1:1">
      <c r="A5463" s="142" t="s">
        <v>7424</v>
      </c>
    </row>
    <row r="5464" spans="1:1">
      <c r="A5464" s="142" t="s">
        <v>7425</v>
      </c>
    </row>
    <row r="5465" spans="1:1">
      <c r="A5465" s="142" t="s">
        <v>7426</v>
      </c>
    </row>
    <row r="5466" spans="1:1">
      <c r="A5466" s="142" t="s">
        <v>7427</v>
      </c>
    </row>
    <row r="5467" spans="1:1">
      <c r="A5467" s="142" t="s">
        <v>7428</v>
      </c>
    </row>
    <row r="5468" spans="1:1">
      <c r="A5468" s="142" t="s">
        <v>7429</v>
      </c>
    </row>
    <row r="5469" spans="1:1">
      <c r="A5469" s="142" t="s">
        <v>7430</v>
      </c>
    </row>
    <row r="5470" spans="1:1">
      <c r="A5470" s="142" t="s">
        <v>7431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opLeftCell="B5" workbookViewId="0">
      <pane ySplit="1" topLeftCell="A6" activePane="bottomLeft" state="frozen"/>
      <selection activeCell="B5" sqref="B5"/>
      <selection pane="bottomLeft" activeCell="B5" sqref="B5:O10"/>
    </sheetView>
  </sheetViews>
  <sheetFormatPr baseColWidth="10" defaultRowHeight="12"/>
  <sheetData>
    <row r="1" spans="1:16" ht="12.75">
      <c r="A1" s="194" t="s">
        <v>7716</v>
      </c>
      <c r="B1" s="194"/>
      <c r="C1" s="195"/>
      <c r="E1" s="196"/>
      <c r="F1" s="196"/>
      <c r="G1" s="196"/>
      <c r="H1" s="197"/>
      <c r="I1" s="196"/>
      <c r="J1" s="197"/>
      <c r="K1" s="198"/>
      <c r="L1" s="196"/>
      <c r="M1" s="199"/>
      <c r="N1" s="199"/>
      <c r="O1" s="199"/>
      <c r="P1" s="200"/>
    </row>
    <row r="2" spans="1:16" ht="12.75">
      <c r="A2" s="194" t="s">
        <v>7717</v>
      </c>
      <c r="B2" s="201">
        <v>42481</v>
      </c>
      <c r="C2" s="201"/>
      <c r="E2" s="196"/>
      <c r="F2" s="196"/>
      <c r="G2" s="196"/>
      <c r="H2" s="197"/>
      <c r="I2" s="196"/>
      <c r="J2" s="197"/>
      <c r="K2" s="198"/>
      <c r="L2" s="196"/>
      <c r="M2" s="199"/>
      <c r="N2" s="199"/>
      <c r="O2" s="199"/>
      <c r="P2" s="200"/>
    </row>
    <row r="3" spans="1:16" ht="13.5" thickBot="1">
      <c r="A3" s="194" t="s">
        <v>7718</v>
      </c>
      <c r="B3" s="195" t="s">
        <v>7719</v>
      </c>
      <c r="C3" s="195"/>
      <c r="E3" s="196"/>
      <c r="F3" s="196"/>
      <c r="G3" s="196"/>
      <c r="H3" s="197"/>
      <c r="I3" s="196"/>
      <c r="J3" s="197"/>
      <c r="K3" s="198"/>
      <c r="L3" s="196"/>
      <c r="M3" s="199"/>
      <c r="N3" s="199"/>
      <c r="O3" s="199"/>
      <c r="P3" s="200"/>
    </row>
    <row r="4" spans="1:16" ht="13.5" thickBot="1">
      <c r="A4" s="202" t="s">
        <v>7720</v>
      </c>
      <c r="B4" s="202"/>
      <c r="C4" s="203"/>
      <c r="D4" s="204"/>
      <c r="E4" s="205"/>
      <c r="F4" s="205"/>
      <c r="G4" s="205"/>
      <c r="H4" s="206"/>
      <c r="I4" s="207" t="s">
        <v>7721</v>
      </c>
      <c r="J4" s="208"/>
      <c r="K4" s="209" t="s">
        <v>7722</v>
      </c>
      <c r="L4" s="210"/>
      <c r="M4" s="211" t="s">
        <v>7723</v>
      </c>
      <c r="N4" s="211"/>
      <c r="O4" s="211"/>
      <c r="P4" s="212"/>
    </row>
    <row r="5" spans="1:16" ht="12.75" thickBot="1">
      <c r="B5" s="142" t="s">
        <v>7725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</row>
    <row r="6" spans="1:16" ht="15">
      <c r="B6" s="142"/>
      <c r="C6" s="269" t="s">
        <v>7726</v>
      </c>
      <c r="D6" s="270"/>
      <c r="E6" s="270"/>
      <c r="F6" s="270"/>
      <c r="G6" s="270"/>
      <c r="H6" s="271"/>
      <c r="I6" s="269" t="s">
        <v>7727</v>
      </c>
      <c r="J6" s="270"/>
      <c r="K6" s="270"/>
      <c r="L6" s="270"/>
      <c r="M6" s="270"/>
      <c r="N6" s="271"/>
      <c r="O6" s="216"/>
    </row>
    <row r="7" spans="1:16" ht="15">
      <c r="B7" s="217" t="s">
        <v>7734</v>
      </c>
      <c r="C7" s="218" t="s">
        <v>7728</v>
      </c>
      <c r="D7" s="219" t="s">
        <v>7724</v>
      </c>
      <c r="E7" s="220" t="s">
        <v>7729</v>
      </c>
      <c r="F7" s="219" t="s">
        <v>7730</v>
      </c>
      <c r="G7" s="220" t="s">
        <v>7731</v>
      </c>
      <c r="H7" s="221" t="s">
        <v>7732</v>
      </c>
      <c r="I7" s="218" t="s">
        <v>7728</v>
      </c>
      <c r="J7" s="219" t="s">
        <v>7724</v>
      </c>
      <c r="K7" s="220" t="s">
        <v>7729</v>
      </c>
      <c r="L7" s="219" t="s">
        <v>7730</v>
      </c>
      <c r="M7" s="220" t="s">
        <v>7731</v>
      </c>
      <c r="N7" s="221" t="s">
        <v>7732</v>
      </c>
      <c r="O7" s="222" t="s">
        <v>7733</v>
      </c>
    </row>
    <row r="8" spans="1:16" ht="15">
      <c r="B8" s="213" t="s">
        <v>7433</v>
      </c>
      <c r="C8" s="223">
        <v>48</v>
      </c>
      <c r="D8" s="224">
        <v>18.7</v>
      </c>
      <c r="E8" s="225">
        <f t="shared" ref="E8:E10" si="0">ROUND(C8*(D8/100),2)</f>
        <v>8.98</v>
      </c>
      <c r="F8" s="224">
        <v>4.5999999999999996</v>
      </c>
      <c r="G8" s="225">
        <f t="shared" ref="G8:G10" si="1">IF(F8&lt;&gt;"",ROUND(4.48*E8^(-0.25),2),"")</f>
        <v>2.59</v>
      </c>
      <c r="H8" s="226">
        <f t="shared" ref="H8:H10" si="2">IF(G8&lt;&gt;"",ROUND(F8/G8,2),"")</f>
        <v>1.78</v>
      </c>
      <c r="I8" s="223">
        <v>40.090000000000003</v>
      </c>
      <c r="J8" s="224">
        <v>13.03</v>
      </c>
      <c r="K8" s="225">
        <f t="shared" ref="K8:K10" si="3">ROUND(I8*(J8/100),2)</f>
        <v>5.22</v>
      </c>
      <c r="L8" s="224">
        <v>3.4910000000000001</v>
      </c>
      <c r="M8" s="225">
        <f t="shared" ref="M8:M10" si="4">IF(L8&lt;&gt;"",ROUND(4.48*K8^(-0.25),2),"")</f>
        <v>2.96</v>
      </c>
      <c r="N8" s="226">
        <f t="shared" ref="N8:N10" si="5">IF(M8&lt;&gt;"",ROUND(L8/M8,2),"")</f>
        <v>1.18</v>
      </c>
      <c r="O8" s="227">
        <f t="shared" ref="O8:O10" si="6">IF(H8&lt;&gt;"",ROUND(AVERAGE(H8,N8),2),"")</f>
        <v>1.48</v>
      </c>
    </row>
    <row r="9" spans="1:16" ht="15.75" thickBot="1">
      <c r="B9" s="214" t="s">
        <v>7713</v>
      </c>
      <c r="C9" s="223">
        <v>37.270000000000003</v>
      </c>
      <c r="D9" s="224">
        <v>21</v>
      </c>
      <c r="E9" s="225">
        <f t="shared" si="0"/>
        <v>7.83</v>
      </c>
      <c r="F9" s="224">
        <v>4.75</v>
      </c>
      <c r="G9" s="225">
        <f t="shared" si="1"/>
        <v>2.68</v>
      </c>
      <c r="H9" s="226">
        <f t="shared" si="2"/>
        <v>1.77</v>
      </c>
      <c r="I9" s="223">
        <v>42.79</v>
      </c>
      <c r="J9" s="224">
        <v>19.100000000000001</v>
      </c>
      <c r="K9" s="225">
        <v>3.8</v>
      </c>
      <c r="L9" s="228">
        <v>3.77</v>
      </c>
      <c r="M9" s="225">
        <f t="shared" si="4"/>
        <v>3.21</v>
      </c>
      <c r="N9" s="226">
        <f t="shared" si="5"/>
        <v>1.17</v>
      </c>
      <c r="O9" s="227">
        <f t="shared" si="6"/>
        <v>1.47</v>
      </c>
    </row>
    <row r="10" spans="1:16" ht="15.75" thickBot="1">
      <c r="B10" s="214" t="s">
        <v>7714</v>
      </c>
      <c r="C10" s="223">
        <v>51.83</v>
      </c>
      <c r="D10" s="224">
        <v>15.1</v>
      </c>
      <c r="E10" s="225">
        <f t="shared" si="0"/>
        <v>7.83</v>
      </c>
      <c r="F10" s="224">
        <v>4.1900000000000004</v>
      </c>
      <c r="G10" s="225">
        <f t="shared" si="1"/>
        <v>2.68</v>
      </c>
      <c r="H10" s="226">
        <f t="shared" si="2"/>
        <v>1.56</v>
      </c>
      <c r="I10" s="223">
        <v>38.799999999999997</v>
      </c>
      <c r="J10" s="224">
        <v>18.7</v>
      </c>
      <c r="K10" s="225">
        <f t="shared" si="3"/>
        <v>7.26</v>
      </c>
      <c r="L10" s="224">
        <v>3.36</v>
      </c>
      <c r="M10" s="225">
        <f t="shared" si="4"/>
        <v>2.73</v>
      </c>
      <c r="N10" s="226">
        <f t="shared" si="5"/>
        <v>1.23</v>
      </c>
      <c r="O10" s="227">
        <f t="shared" si="6"/>
        <v>1.4</v>
      </c>
    </row>
  </sheetData>
  <mergeCells count="2">
    <mergeCell ref="C6:H6"/>
    <mergeCell ref="I6:N6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0"/>
  <sheetViews>
    <sheetView tabSelected="1" zoomScale="70" zoomScaleNormal="70" workbookViewId="0">
      <pane xSplit="1" topLeftCell="B1" activePane="topRight" state="frozen"/>
      <selection pane="topRight" activeCell="H32" sqref="H32"/>
    </sheetView>
  </sheetViews>
  <sheetFormatPr baseColWidth="10" defaultRowHeight="12"/>
  <cols>
    <col min="1" max="1" width="3.5703125" bestFit="1" customWidth="1"/>
    <col min="2" max="31" width="6" style="96" bestFit="1" customWidth="1"/>
    <col min="32" max="35" width="6.5703125" style="96" bestFit="1" customWidth="1"/>
    <col min="36" max="39" width="6" style="96" bestFit="1" customWidth="1"/>
    <col min="40" max="40" width="6.5703125" style="96" bestFit="1" customWidth="1"/>
    <col min="41" max="70" width="6" style="96" bestFit="1" customWidth="1"/>
    <col min="71" max="74" width="6.5703125" style="96" bestFit="1" customWidth="1"/>
    <col min="75" max="76" width="6" style="96" bestFit="1" customWidth="1"/>
    <col min="77" max="77" width="3.5703125" bestFit="1" customWidth="1"/>
  </cols>
  <sheetData>
    <row r="1" spans="1:77" ht="30.75" thickBot="1">
      <c r="AL1" s="286" t="s">
        <v>7745</v>
      </c>
      <c r="AM1" s="287"/>
      <c r="AN1" s="287"/>
      <c r="AO1" s="287"/>
      <c r="AP1" s="288"/>
    </row>
    <row r="2" spans="1:77" ht="12.75" thickBot="1"/>
    <row r="3" spans="1:77" ht="21" thickBot="1">
      <c r="P3" s="289" t="s">
        <v>7746</v>
      </c>
      <c r="Q3" s="290"/>
      <c r="BE3" s="289" t="s">
        <v>7747</v>
      </c>
      <c r="BF3" s="290"/>
    </row>
    <row r="8" spans="1:77" ht="12.75">
      <c r="B8" s="231" t="s">
        <v>7743</v>
      </c>
      <c r="C8" s="231" t="s">
        <v>7744</v>
      </c>
      <c r="D8" s="231" t="s">
        <v>7744</v>
      </c>
      <c r="E8" s="231" t="s">
        <v>7743</v>
      </c>
      <c r="F8" s="231" t="s">
        <v>7743</v>
      </c>
      <c r="G8" s="231" t="s">
        <v>7744</v>
      </c>
      <c r="H8" s="231" t="s">
        <v>7744</v>
      </c>
      <c r="I8" s="231" t="s">
        <v>7743</v>
      </c>
      <c r="J8" s="231" t="s">
        <v>7743</v>
      </c>
      <c r="K8" s="231" t="s">
        <v>7744</v>
      </c>
      <c r="L8" s="231" t="s">
        <v>7744</v>
      </c>
      <c r="M8" s="231" t="s">
        <v>7743</v>
      </c>
      <c r="N8" s="231" t="s">
        <v>7743</v>
      </c>
      <c r="O8" s="231" t="s">
        <v>7744</v>
      </c>
      <c r="P8" s="231" t="s">
        <v>7744</v>
      </c>
      <c r="Q8" s="231" t="s">
        <v>7743</v>
      </c>
      <c r="R8" s="231" t="s">
        <v>7743</v>
      </c>
      <c r="S8" s="231" t="s">
        <v>7744</v>
      </c>
      <c r="T8" s="231" t="s">
        <v>7744</v>
      </c>
      <c r="U8" s="231" t="s">
        <v>7743</v>
      </c>
      <c r="V8" s="231" t="s">
        <v>7743</v>
      </c>
      <c r="W8" s="231" t="s">
        <v>7744</v>
      </c>
      <c r="X8" s="231" t="s">
        <v>7744</v>
      </c>
      <c r="Y8" s="231" t="s">
        <v>7743</v>
      </c>
      <c r="Z8" s="231" t="s">
        <v>7743</v>
      </c>
      <c r="AA8" s="231" t="s">
        <v>7744</v>
      </c>
      <c r="AB8" s="231" t="s">
        <v>7744</v>
      </c>
      <c r="AC8" s="231" t="s">
        <v>7743</v>
      </c>
      <c r="AD8" s="231" t="s">
        <v>7743</v>
      </c>
      <c r="AE8" s="231" t="s">
        <v>7744</v>
      </c>
      <c r="AF8" s="231" t="s">
        <v>7744</v>
      </c>
      <c r="AG8" s="231" t="s">
        <v>7743</v>
      </c>
      <c r="AH8" s="231" t="s">
        <v>7743</v>
      </c>
      <c r="AI8" s="231" t="s">
        <v>7744</v>
      </c>
      <c r="AJ8" s="231" t="s">
        <v>7744</v>
      </c>
      <c r="AK8" s="231" t="s">
        <v>7743</v>
      </c>
      <c r="AL8" s="231" t="s">
        <v>7743</v>
      </c>
      <c r="AM8" s="231" t="s">
        <v>7744</v>
      </c>
      <c r="AN8" s="231" t="s">
        <v>7744</v>
      </c>
      <c r="AO8" s="231" t="s">
        <v>7743</v>
      </c>
      <c r="AP8" s="231" t="s">
        <v>7743</v>
      </c>
      <c r="AQ8" s="231" t="s">
        <v>7744</v>
      </c>
      <c r="AR8" s="231" t="s">
        <v>7744</v>
      </c>
      <c r="AS8" s="231" t="s">
        <v>7743</v>
      </c>
      <c r="AT8" s="231" t="s">
        <v>7743</v>
      </c>
      <c r="AU8" s="231" t="s">
        <v>7744</v>
      </c>
      <c r="AV8" s="231" t="s">
        <v>7744</v>
      </c>
      <c r="AW8" s="231" t="s">
        <v>7743</v>
      </c>
      <c r="AX8" s="231" t="s">
        <v>7743</v>
      </c>
      <c r="AY8" s="231" t="s">
        <v>7744</v>
      </c>
      <c r="AZ8" s="231" t="s">
        <v>7744</v>
      </c>
      <c r="BA8" s="231" t="s">
        <v>7743</v>
      </c>
      <c r="BB8" s="231" t="s">
        <v>7743</v>
      </c>
      <c r="BC8" s="231" t="s">
        <v>7744</v>
      </c>
      <c r="BD8" s="231" t="s">
        <v>7744</v>
      </c>
      <c r="BE8" s="231" t="s">
        <v>7743</v>
      </c>
      <c r="BF8" s="231" t="s">
        <v>7743</v>
      </c>
      <c r="BG8" s="231" t="s">
        <v>7744</v>
      </c>
      <c r="BH8" s="231" t="s">
        <v>7744</v>
      </c>
      <c r="BI8" s="231" t="s">
        <v>7743</v>
      </c>
      <c r="BJ8" s="231" t="s">
        <v>7743</v>
      </c>
      <c r="BK8" s="231" t="s">
        <v>7744</v>
      </c>
      <c r="BL8" s="231" t="s">
        <v>7744</v>
      </c>
      <c r="BM8" s="231" t="s">
        <v>7743</v>
      </c>
      <c r="BN8" s="231" t="s">
        <v>7743</v>
      </c>
      <c r="BO8" s="231" t="s">
        <v>7744</v>
      </c>
      <c r="BP8" s="231" t="s">
        <v>7744</v>
      </c>
      <c r="BQ8" s="231" t="s">
        <v>7743</v>
      </c>
      <c r="BR8" s="231" t="s">
        <v>7743</v>
      </c>
      <c r="BS8" s="231" t="s">
        <v>7744</v>
      </c>
      <c r="BT8" s="231" t="s">
        <v>7744</v>
      </c>
      <c r="BU8" s="231" t="s">
        <v>7743</v>
      </c>
      <c r="BV8" s="231" t="s">
        <v>7743</v>
      </c>
      <c r="BW8" s="231" t="s">
        <v>7744</v>
      </c>
      <c r="BX8" s="231" t="s">
        <v>7744</v>
      </c>
    </row>
    <row r="10" spans="1:77" s="258" customFormat="1" ht="12.75">
      <c r="B10" s="257">
        <v>127</v>
      </c>
      <c r="C10" s="257">
        <v>128</v>
      </c>
      <c r="D10" s="257">
        <v>129</v>
      </c>
      <c r="E10" s="257">
        <v>130</v>
      </c>
      <c r="F10" s="257">
        <v>131</v>
      </c>
      <c r="G10" s="257">
        <v>132</v>
      </c>
      <c r="H10" s="257">
        <v>133</v>
      </c>
      <c r="I10" s="257">
        <v>134</v>
      </c>
      <c r="J10" s="257">
        <v>135</v>
      </c>
      <c r="K10" s="257">
        <v>136</v>
      </c>
      <c r="L10" s="257">
        <v>137</v>
      </c>
      <c r="M10" s="257">
        <v>138</v>
      </c>
      <c r="N10" s="257">
        <v>139</v>
      </c>
      <c r="O10" s="257">
        <v>140</v>
      </c>
      <c r="P10" s="257">
        <v>141</v>
      </c>
      <c r="Q10" s="257">
        <v>142</v>
      </c>
      <c r="R10" s="257">
        <v>143</v>
      </c>
      <c r="S10" s="257">
        <v>144</v>
      </c>
      <c r="T10" s="257">
        <v>145</v>
      </c>
      <c r="U10" s="257">
        <v>146</v>
      </c>
      <c r="V10" s="257">
        <v>147</v>
      </c>
      <c r="W10" s="257">
        <v>148</v>
      </c>
      <c r="X10" s="257">
        <v>149</v>
      </c>
      <c r="Y10" s="257">
        <v>150</v>
      </c>
      <c r="Z10" s="257">
        <v>151</v>
      </c>
      <c r="AA10" s="257">
        <v>152</v>
      </c>
      <c r="AB10" s="257">
        <v>153</v>
      </c>
      <c r="AC10" s="257">
        <v>154</v>
      </c>
      <c r="AD10" s="257">
        <v>155</v>
      </c>
      <c r="AE10" s="257">
        <v>156</v>
      </c>
      <c r="AF10" s="257">
        <v>157</v>
      </c>
      <c r="AG10" s="257">
        <v>158</v>
      </c>
      <c r="AH10" s="257">
        <v>159</v>
      </c>
      <c r="AI10" s="257">
        <v>160</v>
      </c>
      <c r="AJ10" s="257">
        <v>161</v>
      </c>
      <c r="AK10" s="257">
        <v>162</v>
      </c>
      <c r="AL10" s="257">
        <v>163</v>
      </c>
      <c r="AM10" s="257">
        <v>164</v>
      </c>
      <c r="AN10" s="257">
        <v>165</v>
      </c>
      <c r="AO10" s="257">
        <v>166</v>
      </c>
      <c r="AP10" s="257">
        <v>167</v>
      </c>
      <c r="AQ10" s="257">
        <v>168</v>
      </c>
      <c r="AR10" s="257">
        <v>169</v>
      </c>
      <c r="AS10" s="257">
        <v>170</v>
      </c>
      <c r="AT10" s="257">
        <v>171</v>
      </c>
      <c r="AU10" s="257">
        <v>172</v>
      </c>
      <c r="AV10" s="257">
        <v>173</v>
      </c>
      <c r="AW10" s="257">
        <v>174</v>
      </c>
      <c r="AX10" s="257">
        <v>175</v>
      </c>
      <c r="AY10" s="257">
        <v>176</v>
      </c>
      <c r="AZ10" s="257">
        <v>177</v>
      </c>
      <c r="BA10" s="257">
        <v>178</v>
      </c>
      <c r="BB10" s="257">
        <v>179</v>
      </c>
      <c r="BC10" s="257">
        <v>180</v>
      </c>
      <c r="BD10" s="257">
        <v>181</v>
      </c>
      <c r="BE10" s="257">
        <v>182</v>
      </c>
      <c r="BF10" s="257">
        <v>183</v>
      </c>
      <c r="BG10" s="257">
        <v>184</v>
      </c>
      <c r="BH10" s="257">
        <v>185</v>
      </c>
      <c r="BI10" s="257">
        <v>186</v>
      </c>
      <c r="BJ10" s="257">
        <v>187</v>
      </c>
      <c r="BK10" s="257">
        <v>188</v>
      </c>
      <c r="BL10" s="257">
        <v>189</v>
      </c>
      <c r="BM10" s="257">
        <v>190</v>
      </c>
      <c r="BN10" s="257">
        <v>191</v>
      </c>
      <c r="BO10" s="257">
        <v>192</v>
      </c>
      <c r="BP10" s="257">
        <v>193</v>
      </c>
      <c r="BQ10" s="257">
        <v>194</v>
      </c>
      <c r="BR10" s="257">
        <v>195</v>
      </c>
      <c r="BS10" s="257">
        <v>196</v>
      </c>
      <c r="BT10" s="257">
        <v>197</v>
      </c>
      <c r="BU10" s="257">
        <v>198</v>
      </c>
      <c r="BV10" s="257">
        <v>199</v>
      </c>
      <c r="BW10" s="257">
        <v>200</v>
      </c>
      <c r="BX10" s="257">
        <v>201</v>
      </c>
    </row>
    <row r="11" spans="1:77" ht="12.75" thickBot="1"/>
    <row r="12" spans="1:77" ht="15">
      <c r="A12" s="259">
        <v>12</v>
      </c>
      <c r="B12" s="232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4"/>
      <c r="AF12" s="279"/>
      <c r="AG12" s="279"/>
      <c r="AH12" s="279"/>
      <c r="AI12" s="279"/>
      <c r="AJ12" s="272"/>
      <c r="AK12" s="282"/>
      <c r="AL12" s="291"/>
      <c r="AM12" s="292"/>
      <c r="AN12" s="276"/>
      <c r="AO12" s="232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4"/>
      <c r="BS12" s="279"/>
      <c r="BT12" s="279"/>
      <c r="BU12" s="279"/>
      <c r="BV12" s="279"/>
      <c r="BW12" s="272"/>
      <c r="BX12" s="282"/>
      <c r="BY12" s="259">
        <v>12</v>
      </c>
    </row>
    <row r="13" spans="1:77" ht="15.75" thickBot="1">
      <c r="A13" s="259">
        <v>11</v>
      </c>
      <c r="B13" s="235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7"/>
      <c r="AF13" s="280"/>
      <c r="AG13" s="280"/>
      <c r="AH13" s="280"/>
      <c r="AI13" s="280"/>
      <c r="AJ13" s="283"/>
      <c r="AK13" s="284"/>
      <c r="AL13" s="293"/>
      <c r="AM13" s="294"/>
      <c r="AN13" s="277"/>
      <c r="AO13" s="235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6"/>
      <c r="BK13" s="236"/>
      <c r="BL13" s="236"/>
      <c r="BM13" s="236"/>
      <c r="BN13" s="236"/>
      <c r="BO13" s="236"/>
      <c r="BP13" s="236"/>
      <c r="BQ13" s="236"/>
      <c r="BR13" s="237"/>
      <c r="BS13" s="280"/>
      <c r="BT13" s="280"/>
      <c r="BU13" s="280"/>
      <c r="BV13" s="280"/>
      <c r="BW13" s="283"/>
      <c r="BX13" s="284"/>
      <c r="BY13" s="259">
        <v>11</v>
      </c>
    </row>
    <row r="14" spans="1:77" ht="15">
      <c r="A14" s="259">
        <v>10</v>
      </c>
      <c r="B14" s="232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4"/>
      <c r="AF14" s="280"/>
      <c r="AG14" s="280"/>
      <c r="AH14" s="280"/>
      <c r="AI14" s="280"/>
      <c r="AJ14" s="283"/>
      <c r="AK14" s="284"/>
      <c r="AL14" s="293"/>
      <c r="AM14" s="294"/>
      <c r="AN14" s="277"/>
      <c r="AO14" s="232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4"/>
      <c r="BS14" s="280"/>
      <c r="BT14" s="280"/>
      <c r="BU14" s="280"/>
      <c r="BV14" s="280"/>
      <c r="BW14" s="283"/>
      <c r="BX14" s="284"/>
      <c r="BY14" s="259">
        <v>10</v>
      </c>
    </row>
    <row r="15" spans="1:77" ht="15.75" thickBot="1">
      <c r="A15" s="259">
        <v>9</v>
      </c>
      <c r="B15" s="235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7"/>
      <c r="AF15" s="280"/>
      <c r="AG15" s="280"/>
      <c r="AH15" s="280"/>
      <c r="AI15" s="280"/>
      <c r="AJ15" s="283"/>
      <c r="AK15" s="284"/>
      <c r="AL15" s="293"/>
      <c r="AM15" s="294"/>
      <c r="AN15" s="277"/>
      <c r="AO15" s="235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  <c r="BC15" s="236"/>
      <c r="BD15" s="236"/>
      <c r="BE15" s="236"/>
      <c r="BF15" s="236"/>
      <c r="BG15" s="236"/>
      <c r="BH15" s="236"/>
      <c r="BI15" s="236"/>
      <c r="BJ15" s="236"/>
      <c r="BK15" s="236"/>
      <c r="BL15" s="236"/>
      <c r="BM15" s="236"/>
      <c r="BN15" s="236"/>
      <c r="BO15" s="236"/>
      <c r="BP15" s="236"/>
      <c r="BQ15" s="236"/>
      <c r="BR15" s="237"/>
      <c r="BS15" s="280"/>
      <c r="BT15" s="280"/>
      <c r="BU15" s="280"/>
      <c r="BV15" s="280"/>
      <c r="BW15" s="283"/>
      <c r="BX15" s="284"/>
      <c r="BY15" s="259">
        <v>9</v>
      </c>
    </row>
    <row r="16" spans="1:77" ht="15">
      <c r="A16" s="259">
        <v>8</v>
      </c>
      <c r="B16" s="238"/>
      <c r="C16" s="239"/>
      <c r="D16" s="239"/>
      <c r="E16" s="239"/>
      <c r="F16" s="239"/>
      <c r="G16" s="239"/>
      <c r="H16" s="239"/>
      <c r="I16" s="240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41"/>
      <c r="AF16" s="280"/>
      <c r="AG16" s="280"/>
      <c r="AH16" s="280"/>
      <c r="AI16" s="280"/>
      <c r="AJ16" s="283"/>
      <c r="AK16" s="284"/>
      <c r="AL16" s="293"/>
      <c r="AM16" s="294"/>
      <c r="AN16" s="277"/>
      <c r="AO16" s="238"/>
      <c r="AP16" s="239"/>
      <c r="AQ16" s="239"/>
      <c r="AR16" s="239"/>
      <c r="AS16" s="239"/>
      <c r="AT16" s="239"/>
      <c r="AU16" s="239"/>
      <c r="AV16" s="240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39"/>
      <c r="BL16" s="239"/>
      <c r="BM16" s="239"/>
      <c r="BN16" s="239"/>
      <c r="BO16" s="239"/>
      <c r="BP16" s="239"/>
      <c r="BQ16" s="239"/>
      <c r="BR16" s="241"/>
      <c r="BS16" s="280"/>
      <c r="BT16" s="280"/>
      <c r="BU16" s="280"/>
      <c r="BV16" s="280"/>
      <c r="BW16" s="283"/>
      <c r="BX16" s="284"/>
      <c r="BY16" s="259">
        <v>8</v>
      </c>
    </row>
    <row r="17" spans="1:77" ht="15">
      <c r="A17" s="259">
        <v>7</v>
      </c>
      <c r="B17" s="242"/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4"/>
      <c r="AF17" s="280"/>
      <c r="AG17" s="280"/>
      <c r="AH17" s="280"/>
      <c r="AI17" s="280"/>
      <c r="AJ17" s="283"/>
      <c r="AK17" s="284"/>
      <c r="AL17" s="293"/>
      <c r="AM17" s="294"/>
      <c r="AN17" s="277"/>
      <c r="AO17" s="242"/>
      <c r="AP17" s="243"/>
      <c r="AQ17" s="243"/>
      <c r="AR17" s="243"/>
      <c r="AS17" s="243"/>
      <c r="AT17" s="243"/>
      <c r="AU17" s="243"/>
      <c r="AV17" s="243"/>
      <c r="AW17" s="243"/>
      <c r="AX17" s="243"/>
      <c r="AY17" s="243"/>
      <c r="AZ17" s="243"/>
      <c r="BA17" s="243"/>
      <c r="BB17" s="243"/>
      <c r="BC17" s="243"/>
      <c r="BD17" s="243"/>
      <c r="BE17" s="243"/>
      <c r="BF17" s="243"/>
      <c r="BG17" s="243"/>
      <c r="BH17" s="243"/>
      <c r="BI17" s="243"/>
      <c r="BJ17" s="243"/>
      <c r="BK17" s="243"/>
      <c r="BL17" s="243"/>
      <c r="BM17" s="243"/>
      <c r="BN17" s="243"/>
      <c r="BO17" s="243"/>
      <c r="BP17" s="243"/>
      <c r="BQ17" s="243"/>
      <c r="BR17" s="244"/>
      <c r="BS17" s="280"/>
      <c r="BT17" s="280"/>
      <c r="BU17" s="280"/>
      <c r="BV17" s="280"/>
      <c r="BW17" s="283"/>
      <c r="BX17" s="284"/>
      <c r="BY17" s="259">
        <v>7</v>
      </c>
    </row>
    <row r="18" spans="1:77" ht="15.75" thickBot="1">
      <c r="A18" s="259">
        <v>6</v>
      </c>
      <c r="B18" s="245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7"/>
      <c r="AF18" s="281"/>
      <c r="AG18" s="281"/>
      <c r="AH18" s="281"/>
      <c r="AI18" s="281"/>
      <c r="AJ18" s="283"/>
      <c r="AK18" s="284"/>
      <c r="AL18" s="293"/>
      <c r="AM18" s="294"/>
      <c r="AN18" s="277"/>
      <c r="AO18" s="245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7"/>
      <c r="BS18" s="281"/>
      <c r="BT18" s="281"/>
      <c r="BU18" s="281"/>
      <c r="BV18" s="281"/>
      <c r="BW18" s="283"/>
      <c r="BX18" s="284"/>
      <c r="BY18" s="259">
        <v>6</v>
      </c>
    </row>
    <row r="19" spans="1:77" ht="15">
      <c r="A19" s="259">
        <v>5</v>
      </c>
      <c r="B19" s="232">
        <v>6</v>
      </c>
      <c r="C19" s="233">
        <v>12</v>
      </c>
      <c r="D19" s="233">
        <v>15</v>
      </c>
      <c r="E19" s="233">
        <v>23</v>
      </c>
      <c r="F19" s="233">
        <v>27</v>
      </c>
      <c r="G19" s="233">
        <v>26</v>
      </c>
      <c r="H19" s="233">
        <v>13</v>
      </c>
      <c r="I19" s="233">
        <v>24</v>
      </c>
      <c r="J19" s="233">
        <v>11</v>
      </c>
      <c r="K19" s="233">
        <v>2</v>
      </c>
      <c r="L19" s="233">
        <v>16</v>
      </c>
      <c r="M19" s="233">
        <v>17</v>
      </c>
      <c r="N19" s="233">
        <v>31</v>
      </c>
      <c r="O19" s="233">
        <v>14</v>
      </c>
      <c r="P19" s="233">
        <v>8</v>
      </c>
      <c r="Q19" s="233">
        <v>18</v>
      </c>
      <c r="R19" s="233">
        <v>10</v>
      </c>
      <c r="S19" s="233">
        <v>25</v>
      </c>
      <c r="T19" s="233">
        <v>33</v>
      </c>
      <c r="U19" s="233">
        <v>30</v>
      </c>
      <c r="V19" s="233">
        <v>1</v>
      </c>
      <c r="W19" s="233">
        <v>34</v>
      </c>
      <c r="X19" s="233">
        <v>20</v>
      </c>
      <c r="Y19" s="233">
        <v>28</v>
      </c>
      <c r="Z19" s="233">
        <v>19</v>
      </c>
      <c r="AA19" s="233">
        <v>3</v>
      </c>
      <c r="AB19" s="233">
        <v>29</v>
      </c>
      <c r="AC19" s="233">
        <v>21</v>
      </c>
      <c r="AD19" s="233">
        <v>32</v>
      </c>
      <c r="AE19" s="233">
        <v>22</v>
      </c>
      <c r="AF19" s="233">
        <v>5</v>
      </c>
      <c r="AG19" s="233">
        <v>7</v>
      </c>
      <c r="AH19" s="233">
        <v>4</v>
      </c>
      <c r="AI19" s="248">
        <v>9</v>
      </c>
      <c r="AJ19" s="283"/>
      <c r="AK19" s="284"/>
      <c r="AL19" s="293"/>
      <c r="AM19" s="294"/>
      <c r="AN19" s="277"/>
      <c r="AO19" s="232">
        <v>19</v>
      </c>
      <c r="AP19" s="233">
        <v>17</v>
      </c>
      <c r="AQ19" s="233">
        <v>26</v>
      </c>
      <c r="AR19" s="233">
        <v>21</v>
      </c>
      <c r="AS19" s="233">
        <v>25</v>
      </c>
      <c r="AT19" s="233">
        <v>2</v>
      </c>
      <c r="AU19" s="233">
        <v>18</v>
      </c>
      <c r="AV19" s="233">
        <v>9</v>
      </c>
      <c r="AW19" s="233">
        <v>33</v>
      </c>
      <c r="AX19" s="233">
        <v>34</v>
      </c>
      <c r="AY19" s="233">
        <v>4</v>
      </c>
      <c r="AZ19" s="233">
        <v>10</v>
      </c>
      <c r="BA19" s="233">
        <v>29</v>
      </c>
      <c r="BB19" s="233">
        <v>22</v>
      </c>
      <c r="BC19" s="233">
        <v>1</v>
      </c>
      <c r="BD19" s="233">
        <v>31</v>
      </c>
      <c r="BE19" s="233">
        <v>32</v>
      </c>
      <c r="BF19" s="233">
        <v>12</v>
      </c>
      <c r="BG19" s="233">
        <v>13</v>
      </c>
      <c r="BH19" s="233">
        <v>23</v>
      </c>
      <c r="BI19" s="233">
        <v>28</v>
      </c>
      <c r="BJ19" s="233">
        <v>15</v>
      </c>
      <c r="BK19" s="233">
        <v>27</v>
      </c>
      <c r="BL19" s="233">
        <v>24</v>
      </c>
      <c r="BM19" s="233">
        <v>3</v>
      </c>
      <c r="BN19" s="233">
        <v>5</v>
      </c>
      <c r="BO19" s="233">
        <v>14</v>
      </c>
      <c r="BP19" s="233">
        <v>6</v>
      </c>
      <c r="BQ19" s="233">
        <v>30</v>
      </c>
      <c r="BR19" s="233">
        <v>7</v>
      </c>
      <c r="BS19" s="233">
        <v>11</v>
      </c>
      <c r="BT19" s="233">
        <v>8</v>
      </c>
      <c r="BU19" s="233">
        <v>20</v>
      </c>
      <c r="BV19" s="234">
        <v>16</v>
      </c>
      <c r="BW19" s="283"/>
      <c r="BX19" s="284"/>
      <c r="BY19" s="259">
        <v>5</v>
      </c>
    </row>
    <row r="20" spans="1:77" ht="15">
      <c r="A20" s="259">
        <v>4</v>
      </c>
      <c r="B20" s="249">
        <v>27</v>
      </c>
      <c r="C20" s="250">
        <v>29</v>
      </c>
      <c r="D20" s="250">
        <v>24</v>
      </c>
      <c r="E20" s="250">
        <v>4</v>
      </c>
      <c r="F20" s="250">
        <v>32</v>
      </c>
      <c r="G20" s="250">
        <v>15</v>
      </c>
      <c r="H20" s="250">
        <v>5</v>
      </c>
      <c r="I20" s="250">
        <v>33</v>
      </c>
      <c r="J20" s="250">
        <v>31</v>
      </c>
      <c r="K20" s="250">
        <v>21</v>
      </c>
      <c r="L20" s="250">
        <v>7</v>
      </c>
      <c r="M20" s="250">
        <v>17</v>
      </c>
      <c r="N20" s="250">
        <v>16</v>
      </c>
      <c r="O20" s="250">
        <v>8</v>
      </c>
      <c r="P20" s="250">
        <v>9</v>
      </c>
      <c r="Q20" s="250">
        <v>6</v>
      </c>
      <c r="R20" s="250">
        <v>23</v>
      </c>
      <c r="S20" s="250">
        <v>10</v>
      </c>
      <c r="T20" s="250">
        <v>18</v>
      </c>
      <c r="U20" s="250">
        <v>30</v>
      </c>
      <c r="V20" s="250">
        <v>3</v>
      </c>
      <c r="W20" s="250">
        <v>22</v>
      </c>
      <c r="X20" s="250">
        <v>28</v>
      </c>
      <c r="Y20" s="250">
        <v>26</v>
      </c>
      <c r="Z20" s="250">
        <v>1</v>
      </c>
      <c r="AA20" s="250">
        <v>12</v>
      </c>
      <c r="AB20" s="250">
        <v>34</v>
      </c>
      <c r="AC20" s="250">
        <v>2</v>
      </c>
      <c r="AD20" s="250">
        <v>14</v>
      </c>
      <c r="AE20" s="250">
        <v>20</v>
      </c>
      <c r="AF20" s="250">
        <v>25</v>
      </c>
      <c r="AG20" s="250">
        <v>13</v>
      </c>
      <c r="AH20" s="250">
        <v>11</v>
      </c>
      <c r="AI20" s="251">
        <v>19</v>
      </c>
      <c r="AJ20" s="283"/>
      <c r="AK20" s="284"/>
      <c r="AL20" s="293"/>
      <c r="AM20" s="294"/>
      <c r="AN20" s="277"/>
      <c r="AO20" s="249">
        <v>2</v>
      </c>
      <c r="AP20" s="250">
        <v>25</v>
      </c>
      <c r="AQ20" s="250">
        <v>18</v>
      </c>
      <c r="AR20" s="250">
        <v>20</v>
      </c>
      <c r="AS20" s="250">
        <v>11</v>
      </c>
      <c r="AT20" s="250">
        <v>3</v>
      </c>
      <c r="AU20" s="250">
        <v>9</v>
      </c>
      <c r="AV20" s="250">
        <v>10</v>
      </c>
      <c r="AW20" s="250">
        <v>7</v>
      </c>
      <c r="AX20" s="250">
        <v>8</v>
      </c>
      <c r="AY20" s="250">
        <v>29</v>
      </c>
      <c r="AZ20" s="250">
        <v>30</v>
      </c>
      <c r="BA20" s="250">
        <v>16</v>
      </c>
      <c r="BB20" s="250">
        <v>15</v>
      </c>
      <c r="BC20" s="250">
        <v>27</v>
      </c>
      <c r="BD20" s="250">
        <v>4</v>
      </c>
      <c r="BE20" s="250">
        <v>19</v>
      </c>
      <c r="BF20" s="250">
        <v>21</v>
      </c>
      <c r="BG20" s="250">
        <v>6</v>
      </c>
      <c r="BH20" s="250">
        <v>17</v>
      </c>
      <c r="BI20" s="250">
        <v>14</v>
      </c>
      <c r="BJ20" s="250">
        <v>33</v>
      </c>
      <c r="BK20" s="250">
        <v>24</v>
      </c>
      <c r="BL20" s="250">
        <v>13</v>
      </c>
      <c r="BM20" s="250">
        <v>5</v>
      </c>
      <c r="BN20" s="250">
        <v>34</v>
      </c>
      <c r="BO20" s="250">
        <v>26</v>
      </c>
      <c r="BP20" s="250">
        <v>31</v>
      </c>
      <c r="BQ20" s="250">
        <v>32</v>
      </c>
      <c r="BR20" s="250">
        <v>28</v>
      </c>
      <c r="BS20" s="250">
        <v>12</v>
      </c>
      <c r="BT20" s="250">
        <v>1</v>
      </c>
      <c r="BU20" s="250">
        <v>23</v>
      </c>
      <c r="BV20" s="252">
        <v>22</v>
      </c>
      <c r="BW20" s="283"/>
      <c r="BX20" s="284"/>
      <c r="BY20" s="259">
        <v>4</v>
      </c>
    </row>
    <row r="21" spans="1:77" ht="15.75" thickBot="1">
      <c r="A21" s="259">
        <v>3</v>
      </c>
      <c r="B21" s="235">
        <v>11</v>
      </c>
      <c r="C21" s="236">
        <v>5</v>
      </c>
      <c r="D21" s="236">
        <v>8</v>
      </c>
      <c r="E21" s="236">
        <v>20</v>
      </c>
      <c r="F21" s="236">
        <v>4</v>
      </c>
      <c r="G21" s="236">
        <v>10</v>
      </c>
      <c r="H21" s="236">
        <v>16</v>
      </c>
      <c r="I21" s="236">
        <v>9</v>
      </c>
      <c r="J21" s="236">
        <v>23</v>
      </c>
      <c r="K21" s="236">
        <v>7</v>
      </c>
      <c r="L21" s="236">
        <v>6</v>
      </c>
      <c r="M21" s="236">
        <v>25</v>
      </c>
      <c r="N21" s="236">
        <v>30</v>
      </c>
      <c r="O21" s="236">
        <v>32</v>
      </c>
      <c r="P21" s="236">
        <v>19</v>
      </c>
      <c r="Q21" s="236">
        <v>28</v>
      </c>
      <c r="R21" s="236">
        <v>3</v>
      </c>
      <c r="S21" s="236">
        <v>12</v>
      </c>
      <c r="T21" s="236">
        <v>21</v>
      </c>
      <c r="U21" s="236">
        <v>17</v>
      </c>
      <c r="V21" s="236">
        <v>27</v>
      </c>
      <c r="W21" s="236">
        <v>1</v>
      </c>
      <c r="X21" s="236">
        <v>13</v>
      </c>
      <c r="Y21" s="236">
        <v>26</v>
      </c>
      <c r="Z21" s="236">
        <v>15</v>
      </c>
      <c r="AA21" s="236">
        <v>34</v>
      </c>
      <c r="AB21" s="236">
        <v>2</v>
      </c>
      <c r="AC21" s="236">
        <v>33</v>
      </c>
      <c r="AD21" s="236">
        <v>24</v>
      </c>
      <c r="AE21" s="236">
        <v>22</v>
      </c>
      <c r="AF21" s="236">
        <v>18</v>
      </c>
      <c r="AG21" s="236">
        <v>29</v>
      </c>
      <c r="AH21" s="236">
        <v>31</v>
      </c>
      <c r="AI21" s="253">
        <v>14</v>
      </c>
      <c r="AJ21" s="283"/>
      <c r="AK21" s="284"/>
      <c r="AL21" s="293"/>
      <c r="AM21" s="294"/>
      <c r="AN21" s="277"/>
      <c r="AO21" s="235">
        <v>8</v>
      </c>
      <c r="AP21" s="236">
        <v>18</v>
      </c>
      <c r="AQ21" s="236">
        <v>10</v>
      </c>
      <c r="AR21" s="236">
        <v>19</v>
      </c>
      <c r="AS21" s="236">
        <v>4</v>
      </c>
      <c r="AT21" s="236">
        <v>5</v>
      </c>
      <c r="AU21" s="236">
        <v>7</v>
      </c>
      <c r="AV21" s="236">
        <v>21</v>
      </c>
      <c r="AW21" s="236">
        <v>11</v>
      </c>
      <c r="AX21" s="236">
        <v>27</v>
      </c>
      <c r="AY21" s="236">
        <v>31</v>
      </c>
      <c r="AZ21" s="236">
        <v>2</v>
      </c>
      <c r="BA21" s="236">
        <v>3</v>
      </c>
      <c r="BB21" s="236">
        <v>9</v>
      </c>
      <c r="BC21" s="236">
        <v>29</v>
      </c>
      <c r="BD21" s="236">
        <v>26</v>
      </c>
      <c r="BE21" s="236">
        <v>28</v>
      </c>
      <c r="BF21" s="236">
        <v>33</v>
      </c>
      <c r="BG21" s="236">
        <v>15</v>
      </c>
      <c r="BH21" s="236">
        <v>13</v>
      </c>
      <c r="BI21" s="236">
        <v>17</v>
      </c>
      <c r="BJ21" s="236">
        <v>32</v>
      </c>
      <c r="BK21" s="236">
        <v>34</v>
      </c>
      <c r="BL21" s="236">
        <v>22</v>
      </c>
      <c r="BM21" s="236">
        <v>20</v>
      </c>
      <c r="BN21" s="236">
        <v>30</v>
      </c>
      <c r="BO21" s="236">
        <v>1</v>
      </c>
      <c r="BP21" s="236">
        <v>14</v>
      </c>
      <c r="BQ21" s="236">
        <v>12</v>
      </c>
      <c r="BR21" s="236">
        <v>23</v>
      </c>
      <c r="BS21" s="236">
        <v>6</v>
      </c>
      <c r="BT21" s="236">
        <v>24</v>
      </c>
      <c r="BU21" s="236">
        <v>16</v>
      </c>
      <c r="BV21" s="237">
        <v>25</v>
      </c>
      <c r="BW21" s="283"/>
      <c r="BX21" s="284"/>
      <c r="BY21" s="259">
        <v>3</v>
      </c>
    </row>
    <row r="22" spans="1:77" ht="15">
      <c r="A22" s="259">
        <v>2</v>
      </c>
      <c r="B22" s="254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6"/>
      <c r="V22" s="272"/>
      <c r="W22" s="273"/>
      <c r="X22" s="273"/>
      <c r="Y22" s="273"/>
      <c r="Z22" s="273"/>
      <c r="AA22" s="273"/>
      <c r="AB22" s="273"/>
      <c r="AC22" s="273"/>
      <c r="AD22" s="273"/>
      <c r="AE22" s="273"/>
      <c r="AF22" s="273"/>
      <c r="AG22" s="273"/>
      <c r="AH22" s="273"/>
      <c r="AI22" s="273"/>
      <c r="AJ22" s="283"/>
      <c r="AK22" s="284"/>
      <c r="AL22" s="293"/>
      <c r="AM22" s="294"/>
      <c r="AN22" s="277"/>
      <c r="AO22" s="254"/>
      <c r="AP22" s="255"/>
      <c r="AQ22" s="255"/>
      <c r="AR22" s="255"/>
      <c r="AS22" s="255"/>
      <c r="AT22" s="255"/>
      <c r="AU22" s="255"/>
      <c r="AV22" s="255"/>
      <c r="AW22" s="255"/>
      <c r="AX22" s="255"/>
      <c r="AY22" s="255"/>
      <c r="AZ22" s="255"/>
      <c r="BA22" s="255"/>
      <c r="BB22" s="255"/>
      <c r="BC22" s="255"/>
      <c r="BD22" s="255"/>
      <c r="BE22" s="255"/>
      <c r="BF22" s="255"/>
      <c r="BG22" s="255"/>
      <c r="BH22" s="256"/>
      <c r="BI22" s="272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83"/>
      <c r="BX22" s="284"/>
      <c r="BY22" s="259">
        <v>2</v>
      </c>
    </row>
    <row r="23" spans="1:77" ht="15.75" thickBot="1">
      <c r="A23" s="259">
        <v>1</v>
      </c>
      <c r="B23" s="235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7"/>
      <c r="V23" s="274"/>
      <c r="W23" s="275"/>
      <c r="X23" s="275"/>
      <c r="Y23" s="275"/>
      <c r="Z23" s="275"/>
      <c r="AA23" s="275"/>
      <c r="AB23" s="275"/>
      <c r="AC23" s="275"/>
      <c r="AD23" s="275"/>
      <c r="AE23" s="275"/>
      <c r="AF23" s="275"/>
      <c r="AG23" s="275"/>
      <c r="AH23" s="275"/>
      <c r="AI23" s="275"/>
      <c r="AJ23" s="274"/>
      <c r="AK23" s="285"/>
      <c r="AL23" s="295"/>
      <c r="AM23" s="296"/>
      <c r="AN23" s="278"/>
      <c r="AO23" s="235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7"/>
      <c r="BI23" s="274"/>
      <c r="BJ23" s="275"/>
      <c r="BK23" s="275"/>
      <c r="BL23" s="275"/>
      <c r="BM23" s="275"/>
      <c r="BN23" s="275"/>
      <c r="BO23" s="275"/>
      <c r="BP23" s="275"/>
      <c r="BQ23" s="275"/>
      <c r="BR23" s="275"/>
      <c r="BS23" s="275"/>
      <c r="BT23" s="275"/>
      <c r="BU23" s="275"/>
      <c r="BV23" s="275"/>
      <c r="BW23" s="274"/>
      <c r="BX23" s="285"/>
      <c r="BY23" s="259">
        <v>1</v>
      </c>
    </row>
    <row r="25" spans="1:77" s="258" customFormat="1" ht="12.75">
      <c r="B25" s="257">
        <v>127</v>
      </c>
      <c r="C25" s="257">
        <v>128</v>
      </c>
      <c r="D25" s="257">
        <v>129</v>
      </c>
      <c r="E25" s="257">
        <v>130</v>
      </c>
      <c r="F25" s="257">
        <v>131</v>
      </c>
      <c r="G25" s="257">
        <v>132</v>
      </c>
      <c r="H25" s="257">
        <v>133</v>
      </c>
      <c r="I25" s="257">
        <v>134</v>
      </c>
      <c r="J25" s="257">
        <v>135</v>
      </c>
      <c r="K25" s="257">
        <v>136</v>
      </c>
      <c r="L25" s="257">
        <v>137</v>
      </c>
      <c r="M25" s="257">
        <v>138</v>
      </c>
      <c r="N25" s="257">
        <v>139</v>
      </c>
      <c r="O25" s="257">
        <v>140</v>
      </c>
      <c r="P25" s="257">
        <v>141</v>
      </c>
      <c r="Q25" s="257">
        <v>142</v>
      </c>
      <c r="R25" s="257">
        <v>143</v>
      </c>
      <c r="S25" s="257">
        <v>144</v>
      </c>
      <c r="T25" s="257">
        <v>145</v>
      </c>
      <c r="U25" s="257">
        <v>146</v>
      </c>
      <c r="V25" s="257">
        <v>147</v>
      </c>
      <c r="W25" s="257">
        <v>148</v>
      </c>
      <c r="X25" s="257">
        <v>149</v>
      </c>
      <c r="Y25" s="257">
        <v>150</v>
      </c>
      <c r="Z25" s="257">
        <v>151</v>
      </c>
      <c r="AA25" s="257">
        <v>152</v>
      </c>
      <c r="AB25" s="257">
        <v>153</v>
      </c>
      <c r="AC25" s="257">
        <v>154</v>
      </c>
      <c r="AD25" s="257">
        <v>155</v>
      </c>
      <c r="AE25" s="257">
        <v>156</v>
      </c>
      <c r="AF25" s="257">
        <v>157</v>
      </c>
      <c r="AG25" s="257">
        <v>158</v>
      </c>
      <c r="AH25" s="257">
        <v>159</v>
      </c>
      <c r="AI25" s="257">
        <v>160</v>
      </c>
      <c r="AJ25" s="257">
        <v>161</v>
      </c>
      <c r="AK25" s="257">
        <v>162</v>
      </c>
      <c r="AL25" s="257">
        <v>163</v>
      </c>
      <c r="AM25" s="257">
        <v>164</v>
      </c>
      <c r="AN25" s="257">
        <v>165</v>
      </c>
      <c r="AO25" s="257">
        <v>166</v>
      </c>
      <c r="AP25" s="257">
        <v>167</v>
      </c>
      <c r="AQ25" s="257">
        <v>168</v>
      </c>
      <c r="AR25" s="257">
        <v>169</v>
      </c>
      <c r="AS25" s="257">
        <v>170</v>
      </c>
      <c r="AT25" s="257">
        <v>171</v>
      </c>
      <c r="AU25" s="257">
        <v>172</v>
      </c>
      <c r="AV25" s="257">
        <v>173</v>
      </c>
      <c r="AW25" s="257">
        <v>174</v>
      </c>
      <c r="AX25" s="257">
        <v>175</v>
      </c>
      <c r="AY25" s="257">
        <v>176</v>
      </c>
      <c r="AZ25" s="257">
        <v>177</v>
      </c>
      <c r="BA25" s="257">
        <v>178</v>
      </c>
      <c r="BB25" s="257">
        <v>179</v>
      </c>
      <c r="BC25" s="257">
        <v>180</v>
      </c>
      <c r="BD25" s="257">
        <v>181</v>
      </c>
      <c r="BE25" s="257">
        <v>182</v>
      </c>
      <c r="BF25" s="257">
        <v>183</v>
      </c>
      <c r="BG25" s="257">
        <v>184</v>
      </c>
      <c r="BH25" s="257">
        <v>185</v>
      </c>
      <c r="BI25" s="257">
        <v>186</v>
      </c>
      <c r="BJ25" s="257">
        <v>187</v>
      </c>
      <c r="BK25" s="257">
        <v>188</v>
      </c>
      <c r="BL25" s="257">
        <v>189</v>
      </c>
      <c r="BM25" s="257">
        <v>190</v>
      </c>
      <c r="BN25" s="257">
        <v>191</v>
      </c>
      <c r="BO25" s="257">
        <v>192</v>
      </c>
      <c r="BP25" s="257">
        <v>193</v>
      </c>
      <c r="BQ25" s="257">
        <v>194</v>
      </c>
      <c r="BR25" s="257">
        <v>195</v>
      </c>
      <c r="BS25" s="257">
        <v>196</v>
      </c>
      <c r="BT25" s="257">
        <v>197</v>
      </c>
      <c r="BU25" s="257">
        <v>198</v>
      </c>
      <c r="BV25" s="257">
        <v>199</v>
      </c>
      <c r="BW25" s="257">
        <v>200</v>
      </c>
      <c r="BX25" s="257">
        <v>201</v>
      </c>
    </row>
    <row r="29" spans="1:77" ht="12.75">
      <c r="B29" s="231" t="s">
        <v>7743</v>
      </c>
      <c r="C29" s="231" t="s">
        <v>7744</v>
      </c>
      <c r="D29" s="231" t="s">
        <v>7744</v>
      </c>
      <c r="E29" s="231" t="s">
        <v>7743</v>
      </c>
      <c r="F29" s="231" t="s">
        <v>7743</v>
      </c>
      <c r="G29" s="231" t="s">
        <v>7744</v>
      </c>
      <c r="H29" s="231" t="s">
        <v>7744</v>
      </c>
      <c r="I29" s="231" t="s">
        <v>7743</v>
      </c>
      <c r="J29" s="231" t="s">
        <v>7743</v>
      </c>
      <c r="K29" s="231" t="s">
        <v>7744</v>
      </c>
      <c r="L29" s="231" t="s">
        <v>7744</v>
      </c>
      <c r="M29" s="231" t="s">
        <v>7743</v>
      </c>
      <c r="N29" s="231" t="s">
        <v>7743</v>
      </c>
      <c r="O29" s="231" t="s">
        <v>7744</v>
      </c>
      <c r="P29" s="231" t="s">
        <v>7744</v>
      </c>
      <c r="Q29" s="231" t="s">
        <v>7743</v>
      </c>
      <c r="R29" s="231" t="s">
        <v>7743</v>
      </c>
      <c r="S29" s="231" t="s">
        <v>7744</v>
      </c>
      <c r="T29" s="231" t="s">
        <v>7744</v>
      </c>
      <c r="U29" s="231" t="s">
        <v>7743</v>
      </c>
      <c r="V29" s="231" t="s">
        <v>7743</v>
      </c>
      <c r="W29" s="231" t="s">
        <v>7744</v>
      </c>
      <c r="X29" s="231" t="s">
        <v>7744</v>
      </c>
      <c r="Y29" s="231" t="s">
        <v>7743</v>
      </c>
      <c r="Z29" s="231" t="s">
        <v>7743</v>
      </c>
      <c r="AA29" s="231" t="s">
        <v>7744</v>
      </c>
      <c r="AB29" s="231" t="s">
        <v>7744</v>
      </c>
      <c r="AC29" s="231" t="s">
        <v>7743</v>
      </c>
      <c r="AD29" s="231" t="s">
        <v>7743</v>
      </c>
      <c r="AE29" s="231" t="s">
        <v>7744</v>
      </c>
      <c r="AF29" s="231" t="s">
        <v>7744</v>
      </c>
      <c r="AG29" s="231" t="s">
        <v>7743</v>
      </c>
      <c r="AH29" s="231" t="s">
        <v>7743</v>
      </c>
      <c r="AI29" s="231" t="s">
        <v>7744</v>
      </c>
      <c r="AJ29" s="231" t="s">
        <v>7744</v>
      </c>
      <c r="AK29" s="231" t="s">
        <v>7743</v>
      </c>
      <c r="AL29" s="231" t="s">
        <v>7743</v>
      </c>
      <c r="AM29" s="231" t="s">
        <v>7744</v>
      </c>
      <c r="AN29" s="231" t="s">
        <v>7744</v>
      </c>
      <c r="AO29" s="231" t="s">
        <v>7743</v>
      </c>
      <c r="AP29" s="231" t="s">
        <v>7743</v>
      </c>
      <c r="AQ29" s="231" t="s">
        <v>7744</v>
      </c>
      <c r="AR29" s="231" t="s">
        <v>7744</v>
      </c>
      <c r="AS29" s="231" t="s">
        <v>7743</v>
      </c>
      <c r="AT29" s="231" t="s">
        <v>7743</v>
      </c>
      <c r="AU29" s="231" t="s">
        <v>7744</v>
      </c>
      <c r="AV29" s="231" t="s">
        <v>7744</v>
      </c>
      <c r="AW29" s="231" t="s">
        <v>7743</v>
      </c>
      <c r="AX29" s="231" t="s">
        <v>7743</v>
      </c>
      <c r="AY29" s="231" t="s">
        <v>7744</v>
      </c>
      <c r="AZ29" s="231" t="s">
        <v>7744</v>
      </c>
      <c r="BA29" s="231" t="s">
        <v>7743</v>
      </c>
      <c r="BB29" s="231" t="s">
        <v>7743</v>
      </c>
      <c r="BC29" s="231" t="s">
        <v>7744</v>
      </c>
      <c r="BD29" s="231" t="s">
        <v>7744</v>
      </c>
      <c r="BE29" s="231" t="s">
        <v>7743</v>
      </c>
      <c r="BF29" s="231" t="s">
        <v>7743</v>
      </c>
      <c r="BG29" s="231" t="s">
        <v>7744</v>
      </c>
      <c r="BH29" s="231" t="s">
        <v>7744</v>
      </c>
      <c r="BI29" s="231" t="s">
        <v>7743</v>
      </c>
      <c r="BJ29" s="231" t="s">
        <v>7743</v>
      </c>
      <c r="BK29" s="231" t="s">
        <v>7744</v>
      </c>
      <c r="BL29" s="231" t="s">
        <v>7744</v>
      </c>
      <c r="BM29" s="231" t="s">
        <v>7743</v>
      </c>
      <c r="BN29" s="231" t="s">
        <v>7743</v>
      </c>
      <c r="BO29" s="231" t="s">
        <v>7744</v>
      </c>
      <c r="BP29" s="231" t="s">
        <v>7744</v>
      </c>
      <c r="BQ29" s="231" t="s">
        <v>7743</v>
      </c>
      <c r="BR29" s="231" t="s">
        <v>7743</v>
      </c>
      <c r="BS29" s="231" t="s">
        <v>7744</v>
      </c>
      <c r="BT29" s="231" t="s">
        <v>7744</v>
      </c>
      <c r="BU29" s="231" t="s">
        <v>7743</v>
      </c>
      <c r="BV29" s="231" t="s">
        <v>7743</v>
      </c>
      <c r="BW29" s="231" t="s">
        <v>7744</v>
      </c>
      <c r="BX29" s="231" t="s">
        <v>7744</v>
      </c>
    </row>
    <row r="30" spans="1:77" ht="12.75"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231"/>
      <c r="AT30" s="231"/>
      <c r="AU30" s="231"/>
      <c r="AV30" s="231"/>
      <c r="AW30" s="231"/>
      <c r="AX30" s="231"/>
      <c r="AY30" s="231"/>
      <c r="AZ30" s="231"/>
      <c r="BA30" s="231"/>
      <c r="BB30" s="231"/>
      <c r="BC30" s="231"/>
      <c r="BD30" s="231"/>
      <c r="BE30" s="231"/>
      <c r="BF30" s="231"/>
      <c r="BG30" s="231"/>
      <c r="BH30" s="231"/>
      <c r="BI30" s="231"/>
      <c r="BJ30" s="231"/>
      <c r="BK30" s="231"/>
      <c r="BL30" s="231"/>
      <c r="BM30" s="231"/>
      <c r="BN30" s="231"/>
      <c r="BO30" s="231"/>
      <c r="BP30" s="231"/>
      <c r="BQ30" s="231"/>
      <c r="BR30" s="231"/>
      <c r="BS30" s="231"/>
      <c r="BT30" s="231"/>
      <c r="BU30" s="231"/>
      <c r="BV30" s="231"/>
      <c r="BW30" s="231"/>
      <c r="BX30" s="231"/>
    </row>
    <row r="31" spans="1:77" ht="12.75"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1"/>
      <c r="AT31" s="231"/>
      <c r="AU31" s="231"/>
      <c r="AV31" s="231"/>
      <c r="AW31" s="231"/>
      <c r="AX31" s="231"/>
      <c r="AY31" s="231"/>
      <c r="AZ31" s="231"/>
      <c r="BA31" s="231"/>
      <c r="BB31" s="231"/>
      <c r="BC31" s="231"/>
      <c r="BD31" s="231"/>
      <c r="BE31" s="231"/>
      <c r="BF31" s="231"/>
      <c r="BG31" s="231"/>
      <c r="BH31" s="231"/>
      <c r="BI31" s="231"/>
      <c r="BJ31" s="231"/>
      <c r="BK31" s="231"/>
      <c r="BL31" s="231"/>
      <c r="BM31" s="231"/>
      <c r="BN31" s="231"/>
      <c r="BO31" s="231"/>
      <c r="BP31" s="231"/>
      <c r="BQ31" s="231"/>
      <c r="BR31" s="231"/>
      <c r="BS31" s="231"/>
      <c r="BT31" s="231"/>
      <c r="BU31" s="231"/>
      <c r="BV31" s="231"/>
      <c r="BW31" s="231"/>
      <c r="BX31" s="231"/>
    </row>
    <row r="32" spans="1:77" ht="12.75">
      <c r="B32" s="231"/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  <c r="AX32" s="231"/>
      <c r="AY32" s="231"/>
      <c r="AZ32" s="231"/>
      <c r="BA32" s="231"/>
      <c r="BB32" s="231"/>
      <c r="BC32" s="231"/>
      <c r="BD32" s="231"/>
      <c r="BE32" s="231"/>
      <c r="BF32" s="231"/>
      <c r="BG32" s="231"/>
      <c r="BH32" s="231"/>
      <c r="BI32" s="231"/>
      <c r="BJ32" s="231"/>
      <c r="BK32" s="231"/>
      <c r="BL32" s="231"/>
      <c r="BM32" s="231"/>
      <c r="BN32" s="231"/>
      <c r="BO32" s="231"/>
      <c r="BP32" s="231"/>
      <c r="BQ32" s="231"/>
      <c r="BR32" s="231"/>
      <c r="BS32" s="231"/>
      <c r="BT32" s="231"/>
      <c r="BU32" s="231"/>
      <c r="BV32" s="231"/>
      <c r="BW32" s="231"/>
      <c r="BX32" s="231"/>
    </row>
    <row r="33" spans="2:76" ht="12.75">
      <c r="B33" s="231"/>
      <c r="C33" s="231"/>
      <c r="D33" s="231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1"/>
      <c r="AR33" s="231"/>
      <c r="AS33" s="231"/>
      <c r="AT33" s="231"/>
      <c r="AU33" s="231"/>
      <c r="AV33" s="231"/>
      <c r="AW33" s="231"/>
      <c r="AX33" s="231"/>
      <c r="AY33" s="231"/>
      <c r="AZ33" s="231"/>
      <c r="BA33" s="231"/>
      <c r="BB33" s="231"/>
      <c r="BC33" s="231"/>
      <c r="BD33" s="231"/>
      <c r="BE33" s="231"/>
      <c r="BF33" s="231"/>
      <c r="BG33" s="231"/>
      <c r="BH33" s="231"/>
      <c r="BI33" s="231"/>
      <c r="BJ33" s="231"/>
      <c r="BK33" s="231"/>
      <c r="BL33" s="231"/>
      <c r="BM33" s="231"/>
      <c r="BN33" s="231"/>
      <c r="BO33" s="231"/>
      <c r="BP33" s="231"/>
      <c r="BQ33" s="231"/>
      <c r="BR33" s="231"/>
      <c r="BS33" s="231"/>
      <c r="BT33" s="231"/>
      <c r="BU33" s="231"/>
      <c r="BV33" s="231"/>
      <c r="BW33" s="231"/>
      <c r="BX33" s="231"/>
    </row>
    <row r="34" spans="2:76" ht="12.75"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31"/>
      <c r="AS34" s="231"/>
      <c r="AT34" s="231"/>
      <c r="AU34" s="231"/>
      <c r="AV34" s="231"/>
      <c r="AW34" s="231"/>
      <c r="AX34" s="231"/>
      <c r="AY34" s="231"/>
      <c r="AZ34" s="231"/>
      <c r="BA34" s="231"/>
      <c r="BB34" s="231"/>
      <c r="BC34" s="231"/>
      <c r="BD34" s="231"/>
      <c r="BE34" s="231"/>
      <c r="BF34" s="231"/>
      <c r="BG34" s="231"/>
      <c r="BH34" s="231"/>
      <c r="BI34" s="231"/>
      <c r="BJ34" s="231"/>
      <c r="BK34" s="231"/>
      <c r="BL34" s="231"/>
      <c r="BM34" s="231"/>
      <c r="BN34" s="231"/>
      <c r="BO34" s="231"/>
      <c r="BP34" s="231"/>
      <c r="BQ34" s="231"/>
      <c r="BR34" s="231"/>
      <c r="BS34" s="231"/>
      <c r="BT34" s="231"/>
      <c r="BU34" s="231"/>
      <c r="BV34" s="231"/>
      <c r="BW34" s="231"/>
      <c r="BX34" s="231"/>
    </row>
    <row r="35" spans="2:76" ht="12.75">
      <c r="B35" s="231"/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231"/>
      <c r="AJ35" s="231"/>
      <c r="AK35" s="231"/>
      <c r="AL35" s="231"/>
      <c r="AM35" s="231"/>
      <c r="AN35" s="231"/>
      <c r="AO35" s="231"/>
      <c r="AP35" s="231"/>
      <c r="AQ35" s="231"/>
      <c r="AR35" s="231"/>
      <c r="AS35" s="231"/>
      <c r="AT35" s="231"/>
      <c r="AU35" s="231"/>
      <c r="AV35" s="231"/>
      <c r="AW35" s="231"/>
      <c r="AX35" s="231"/>
      <c r="AY35" s="231"/>
      <c r="AZ35" s="231"/>
      <c r="BA35" s="231"/>
      <c r="BB35" s="231"/>
      <c r="BC35" s="231"/>
      <c r="BD35" s="231"/>
      <c r="BE35" s="231"/>
      <c r="BF35" s="231"/>
      <c r="BG35" s="231"/>
      <c r="BH35" s="231"/>
      <c r="BI35" s="231"/>
      <c r="BJ35" s="231"/>
      <c r="BK35" s="231"/>
      <c r="BL35" s="231"/>
      <c r="BM35" s="231"/>
      <c r="BN35" s="231"/>
      <c r="BO35" s="231"/>
      <c r="BP35" s="231"/>
      <c r="BQ35" s="231"/>
      <c r="BR35" s="231"/>
      <c r="BS35" s="231"/>
      <c r="BT35" s="231"/>
      <c r="BU35" s="231"/>
      <c r="BV35" s="231"/>
      <c r="BW35" s="231"/>
      <c r="BX35" s="231"/>
    </row>
    <row r="36" spans="2:76" ht="12.75"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1"/>
      <c r="AX36" s="231"/>
      <c r="AY36" s="231"/>
      <c r="AZ36" s="231"/>
      <c r="BA36" s="231"/>
      <c r="BB36" s="231"/>
      <c r="BC36" s="231"/>
      <c r="BD36" s="231"/>
      <c r="BE36" s="231"/>
      <c r="BF36" s="231"/>
      <c r="BG36" s="231"/>
      <c r="BH36" s="231"/>
      <c r="BI36" s="231"/>
      <c r="BJ36" s="231"/>
      <c r="BK36" s="231"/>
      <c r="BL36" s="231"/>
      <c r="BM36" s="231"/>
      <c r="BN36" s="231"/>
      <c r="BO36" s="231"/>
      <c r="BP36" s="231"/>
      <c r="BQ36" s="231"/>
      <c r="BR36" s="231"/>
      <c r="BS36" s="231"/>
      <c r="BT36" s="231"/>
      <c r="BU36" s="231"/>
      <c r="BV36" s="231"/>
      <c r="BW36" s="231"/>
      <c r="BX36" s="231"/>
    </row>
    <row r="37" spans="2:76" ht="12.75"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1"/>
      <c r="AQ37" s="231"/>
      <c r="AR37" s="231"/>
      <c r="AS37" s="231"/>
      <c r="AT37" s="231"/>
      <c r="AU37" s="231"/>
      <c r="AV37" s="231"/>
      <c r="AW37" s="231"/>
      <c r="AX37" s="231"/>
      <c r="AY37" s="231"/>
      <c r="AZ37" s="231"/>
      <c r="BA37" s="231"/>
      <c r="BB37" s="231"/>
      <c r="BC37" s="231"/>
      <c r="BD37" s="231"/>
      <c r="BE37" s="231"/>
      <c r="BF37" s="231"/>
      <c r="BG37" s="231"/>
      <c r="BH37" s="231"/>
      <c r="BI37" s="231"/>
      <c r="BJ37" s="231"/>
      <c r="BK37" s="231"/>
      <c r="BL37" s="231"/>
      <c r="BM37" s="231"/>
      <c r="BN37" s="231"/>
      <c r="BO37" s="231"/>
      <c r="BP37" s="231"/>
      <c r="BQ37" s="231"/>
      <c r="BR37" s="231"/>
      <c r="BS37" s="231"/>
      <c r="BT37" s="231"/>
      <c r="BU37" s="231"/>
      <c r="BV37" s="231"/>
      <c r="BW37" s="231"/>
      <c r="BX37" s="231"/>
    </row>
    <row r="38" spans="2:76" ht="12.75"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  <c r="BW38" s="231"/>
      <c r="BX38" s="231"/>
    </row>
    <row r="39" spans="2:76" ht="12.75"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  <c r="BW39" s="231"/>
      <c r="BX39" s="231"/>
    </row>
    <row r="40" spans="2:76" ht="12.75"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  <c r="BW40" s="231"/>
      <c r="BX40" s="231"/>
    </row>
    <row r="41" spans="2:76" ht="12.75">
      <c r="B41" s="231"/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  <c r="BW41" s="231"/>
      <c r="BX41" s="231"/>
    </row>
    <row r="42" spans="2:76" ht="12.75"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  <c r="BW42" s="231"/>
      <c r="BX42" s="231"/>
    </row>
    <row r="43" spans="2:76" ht="12.75"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  <c r="BW43" s="231"/>
      <c r="BX43" s="231"/>
    </row>
    <row r="44" spans="2:76" ht="12.75">
      <c r="B44" s="231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231"/>
      <c r="AO44" s="231"/>
      <c r="AP44" s="231"/>
      <c r="AQ44" s="231"/>
      <c r="AR44" s="231"/>
      <c r="AS44" s="231"/>
      <c r="AT44" s="231"/>
      <c r="AU44" s="231"/>
      <c r="AV44" s="231"/>
      <c r="AW44" s="231"/>
      <c r="AX44" s="231"/>
      <c r="AY44" s="231"/>
      <c r="AZ44" s="231"/>
      <c r="BA44" s="231"/>
      <c r="BB44" s="231"/>
      <c r="BC44" s="231"/>
      <c r="BD44" s="231"/>
      <c r="BE44" s="231"/>
      <c r="BF44" s="231"/>
      <c r="BG44" s="231"/>
      <c r="BH44" s="231"/>
      <c r="BI44" s="231"/>
      <c r="BJ44" s="231"/>
      <c r="BK44" s="231"/>
      <c r="BL44" s="231"/>
      <c r="BM44" s="231"/>
      <c r="BN44" s="231"/>
      <c r="BO44" s="231"/>
      <c r="BP44" s="231"/>
      <c r="BQ44" s="231"/>
      <c r="BR44" s="231"/>
      <c r="BS44" s="231"/>
      <c r="BT44" s="231"/>
      <c r="BU44" s="231"/>
      <c r="BV44" s="231"/>
      <c r="BW44" s="231"/>
      <c r="BX44" s="231"/>
    </row>
    <row r="45" spans="2:76" ht="12.75">
      <c r="B45" s="231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231"/>
      <c r="AT45" s="231"/>
      <c r="AU45" s="231"/>
      <c r="AV45" s="231"/>
      <c r="AW45" s="231"/>
      <c r="AX45" s="231"/>
      <c r="AY45" s="231"/>
      <c r="AZ45" s="231"/>
      <c r="BA45" s="231"/>
      <c r="BB45" s="231"/>
      <c r="BC45" s="231"/>
      <c r="BD45" s="231"/>
      <c r="BE45" s="231"/>
      <c r="BF45" s="231"/>
      <c r="BG45" s="231"/>
      <c r="BH45" s="231"/>
      <c r="BI45" s="231"/>
      <c r="BJ45" s="231"/>
      <c r="BK45" s="231"/>
      <c r="BL45" s="231"/>
      <c r="BM45" s="231"/>
      <c r="BN45" s="231"/>
      <c r="BO45" s="231"/>
      <c r="BP45" s="231"/>
      <c r="BQ45" s="231"/>
      <c r="BR45" s="231"/>
      <c r="BS45" s="231"/>
      <c r="BT45" s="231"/>
      <c r="BU45" s="231"/>
      <c r="BV45" s="231"/>
      <c r="BW45" s="231"/>
      <c r="BX45" s="231"/>
    </row>
    <row r="46" spans="2:76" ht="12.75"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/>
      <c r="AP46" s="231"/>
      <c r="AQ46" s="231"/>
      <c r="AR46" s="231"/>
      <c r="AS46" s="231"/>
      <c r="AT46" s="231"/>
      <c r="AU46" s="231"/>
      <c r="AV46" s="231"/>
      <c r="AW46" s="231"/>
      <c r="AX46" s="231"/>
      <c r="AY46" s="231"/>
      <c r="AZ46" s="231"/>
      <c r="BA46" s="231"/>
      <c r="BB46" s="231"/>
      <c r="BC46" s="231"/>
      <c r="BD46" s="231"/>
      <c r="BE46" s="231"/>
      <c r="BF46" s="231"/>
      <c r="BG46" s="231"/>
      <c r="BH46" s="231"/>
      <c r="BI46" s="231"/>
      <c r="BJ46" s="231"/>
      <c r="BK46" s="231"/>
      <c r="BL46" s="231"/>
      <c r="BM46" s="231"/>
      <c r="BN46" s="231"/>
      <c r="BO46" s="231"/>
      <c r="BP46" s="231"/>
      <c r="BQ46" s="231"/>
      <c r="BR46" s="231"/>
      <c r="BS46" s="231"/>
      <c r="BT46" s="231"/>
      <c r="BU46" s="231"/>
      <c r="BV46" s="231"/>
      <c r="BW46" s="231"/>
      <c r="BX46" s="231"/>
    </row>
    <row r="47" spans="2:76" ht="10.5" customHeight="1">
      <c r="B47" s="231"/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/>
      <c r="AM47" s="231"/>
      <c r="AN47" s="231"/>
      <c r="AO47" s="231"/>
      <c r="AP47" s="231"/>
      <c r="AQ47" s="231"/>
      <c r="AR47" s="231"/>
      <c r="AS47" s="231"/>
      <c r="AT47" s="231"/>
      <c r="AU47" s="231"/>
      <c r="AV47" s="231"/>
      <c r="AW47" s="231"/>
      <c r="AX47" s="231"/>
      <c r="AY47" s="231"/>
      <c r="AZ47" s="231"/>
      <c r="BA47" s="231"/>
      <c r="BB47" s="231"/>
      <c r="BC47" s="231"/>
      <c r="BD47" s="231"/>
      <c r="BE47" s="231"/>
      <c r="BF47" s="231"/>
      <c r="BG47" s="231"/>
      <c r="BH47" s="231"/>
      <c r="BI47" s="231"/>
      <c r="BJ47" s="231"/>
      <c r="BK47" s="231"/>
      <c r="BL47" s="231"/>
      <c r="BM47" s="231"/>
      <c r="BN47" s="231"/>
      <c r="BO47" s="231"/>
      <c r="BP47" s="231"/>
      <c r="BQ47" s="231"/>
      <c r="BR47" s="231"/>
      <c r="BS47" s="231"/>
      <c r="BT47" s="231"/>
      <c r="BU47" s="231"/>
      <c r="BV47" s="231"/>
      <c r="BW47" s="231"/>
      <c r="BX47" s="231"/>
    </row>
    <row r="48" spans="2:76" ht="12.75">
      <c r="B48" s="231"/>
      <c r="C48" s="231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1"/>
      <c r="AY48" s="231"/>
      <c r="AZ48" s="231"/>
      <c r="BA48" s="231"/>
      <c r="BB48" s="231"/>
      <c r="BC48" s="231"/>
      <c r="BD48" s="231"/>
      <c r="BE48" s="231"/>
      <c r="BF48" s="231"/>
      <c r="BG48" s="231"/>
      <c r="BH48" s="231"/>
      <c r="BI48" s="231"/>
      <c r="BJ48" s="231"/>
      <c r="BK48" s="231"/>
      <c r="BL48" s="231"/>
      <c r="BM48" s="231"/>
      <c r="BN48" s="231"/>
      <c r="BO48" s="231"/>
      <c r="BP48" s="231"/>
      <c r="BQ48" s="231"/>
      <c r="BR48" s="231"/>
      <c r="BS48" s="231"/>
      <c r="BT48" s="231"/>
      <c r="BU48" s="231"/>
      <c r="BV48" s="231"/>
      <c r="BW48" s="231"/>
      <c r="BX48" s="231"/>
    </row>
    <row r="49" spans="2:76" ht="12.75"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231"/>
      <c r="AO49" s="231"/>
      <c r="AP49" s="231"/>
      <c r="AQ49" s="231"/>
      <c r="AR49" s="231"/>
      <c r="AS49" s="231"/>
      <c r="AT49" s="231"/>
      <c r="AU49" s="231"/>
      <c r="AV49" s="231"/>
      <c r="AW49" s="231"/>
      <c r="AX49" s="231"/>
      <c r="AY49" s="231"/>
      <c r="AZ49" s="231"/>
      <c r="BA49" s="231"/>
      <c r="BB49" s="231"/>
      <c r="BC49" s="231"/>
      <c r="BD49" s="231"/>
      <c r="BE49" s="231"/>
      <c r="BF49" s="231"/>
      <c r="BG49" s="231"/>
      <c r="BH49" s="231"/>
      <c r="BI49" s="231"/>
      <c r="BJ49" s="231"/>
      <c r="BK49" s="231"/>
      <c r="BL49" s="231"/>
      <c r="BM49" s="231"/>
      <c r="BN49" s="231"/>
      <c r="BO49" s="231"/>
      <c r="BP49" s="231"/>
      <c r="BQ49" s="231"/>
      <c r="BR49" s="231"/>
      <c r="BS49" s="231"/>
      <c r="BT49" s="231"/>
      <c r="BU49" s="231"/>
      <c r="BV49" s="231"/>
      <c r="BW49" s="231"/>
      <c r="BX49" s="231"/>
    </row>
    <row r="50" spans="2:76" ht="12.75">
      <c r="B50" s="231"/>
      <c r="C50" s="231"/>
      <c r="D50" s="231"/>
      <c r="E50" s="231"/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/>
      <c r="AT50" s="231"/>
      <c r="AU50" s="231"/>
      <c r="AV50" s="231"/>
      <c r="AW50" s="231"/>
      <c r="AX50" s="231"/>
      <c r="AY50" s="231"/>
      <c r="AZ50" s="231"/>
      <c r="BA50" s="231"/>
      <c r="BB50" s="231"/>
      <c r="BC50" s="231"/>
      <c r="BD50" s="231"/>
      <c r="BE50" s="231"/>
      <c r="BF50" s="231"/>
      <c r="BG50" s="231"/>
      <c r="BH50" s="231"/>
      <c r="BI50" s="231"/>
      <c r="BJ50" s="231"/>
      <c r="BK50" s="231"/>
      <c r="BL50" s="231"/>
      <c r="BM50" s="231"/>
      <c r="BN50" s="231"/>
      <c r="BO50" s="231"/>
      <c r="BP50" s="231"/>
      <c r="BQ50" s="231"/>
      <c r="BR50" s="231"/>
      <c r="BS50" s="231"/>
      <c r="BT50" s="231"/>
      <c r="BU50" s="231"/>
      <c r="BV50" s="231"/>
      <c r="BW50" s="231"/>
      <c r="BX50" s="231"/>
    </row>
  </sheetData>
  <mergeCells count="17">
    <mergeCell ref="BW12:BX23"/>
    <mergeCell ref="AL1:AP1"/>
    <mergeCell ref="P3:Q3"/>
    <mergeCell ref="BE3:BF3"/>
    <mergeCell ref="AF12:AF18"/>
    <mergeCell ref="AG12:AG18"/>
    <mergeCell ref="AH12:AH18"/>
    <mergeCell ref="AI12:AI18"/>
    <mergeCell ref="AJ12:AK23"/>
    <mergeCell ref="AL12:AM23"/>
    <mergeCell ref="V22:AI23"/>
    <mergeCell ref="BI22:BV23"/>
    <mergeCell ref="AN12:AN23"/>
    <mergeCell ref="BS12:BS18"/>
    <mergeCell ref="BT12:BT18"/>
    <mergeCell ref="BU12:BU18"/>
    <mergeCell ref="BV12:BV18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7</vt:i4>
      </vt:variant>
    </vt:vector>
  </HeadingPairs>
  <TitlesOfParts>
    <vt:vector size="21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Data</vt:lpstr>
      <vt:lpstr>Level</vt:lpstr>
      <vt:lpstr>Files</vt:lpstr>
      <vt:lpstr>ForestComplementaryInfo</vt:lpstr>
      <vt:lpstr>StaticData</vt:lpstr>
      <vt:lpstr>INN</vt:lpstr>
      <vt:lpstr>CARTO</vt:lpstr>
      <vt:lpstr>HoldingInstitution</vt:lpstr>
      <vt:lpstr>Variable!Impression_des_titres</vt:lpstr>
      <vt:lpstr>InstitutionName</vt:lpstr>
      <vt:lpstr>ProjectAcronym</vt:lpstr>
      <vt:lpstr>SiteName</vt:lpstr>
      <vt:lpstr>TaxonScientificName</vt:lpstr>
      <vt:lpstr>Variable!Zone_d_impression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FOUBERT Thomas</cp:lastModifiedBy>
  <cp:revision>11</cp:revision>
  <cp:lastPrinted>2016-10-06T12:05:10Z</cp:lastPrinted>
  <dcterms:created xsi:type="dcterms:W3CDTF">2013-10-04T13:51:10Z</dcterms:created>
  <dcterms:modified xsi:type="dcterms:W3CDTF">2016-10-11T14:49:25Z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